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defaultThemeVersion="166925"/>
  <mc:AlternateContent xmlns:mc="http://schemas.openxmlformats.org/markup-compatibility/2006">
    <mc:Choice Requires="x15">
      <x15ac:absPath xmlns:x15ac="http://schemas.microsoft.com/office/spreadsheetml/2010/11/ac" url="/Users/shivani/Downloads/"/>
    </mc:Choice>
  </mc:AlternateContent>
  <xr:revisionPtr revIDLastSave="0" documentId="8_{9620ABD8-EB35-4B42-B507-6534E5D3A853}" xr6:coauthVersionLast="47" xr6:coauthVersionMax="47" xr10:uidLastSave="{00000000-0000-0000-0000-000000000000}"/>
  <bookViews>
    <workbookView xWindow="0" yWindow="500" windowWidth="19420" windowHeight="10420" xr2:uid="{53A94EA4-BAD2-4432-B64D-6F6CDBA2D0F4}"/>
  </bookViews>
  <sheets>
    <sheet name="Cover" sheetId="15" r:id="rId1"/>
    <sheet name="Version Control Sheet" sheetId="28" state="hidden" r:id="rId2"/>
    <sheet name="Parameter Overview" sheetId="29" state="hidden" r:id="rId3"/>
    <sheet name="Introduction" sheetId="6" r:id="rId4"/>
    <sheet name="Model Structure" sheetId="21" r:id="rId5"/>
    <sheet name="Assumptions" sheetId="16" r:id="rId6"/>
    <sheet name="Model Settings" sheetId="1" r:id="rId7"/>
    <sheet name="Costs" sheetId="4" r:id="rId8"/>
    <sheet name="Transition Probabilites" sheetId="10" r:id="rId9"/>
    <sheet name="Calculation" sheetId="26" r:id="rId10"/>
    <sheet name="Results_1" sheetId="14" r:id="rId11"/>
    <sheet name="OWSA" sheetId="17" r:id="rId12"/>
    <sheet name="PSA_1" sheetId="25" r:id="rId13"/>
    <sheet name="Results" sheetId="18" r:id="rId14"/>
    <sheet name="OWSA_Results" sheetId="19" r:id="rId15"/>
    <sheet name="PSA" sheetId="27" r:id="rId16"/>
    <sheet name="Parameters" sheetId="5" r:id="rId17"/>
    <sheet name="PF CHG T1" sheetId="9" r:id="rId18"/>
    <sheet name="PF PVI T1" sheetId="12" r:id="rId19"/>
    <sheet name="PF CHG T4" sheetId="11" r:id="rId20"/>
    <sheet name="PF PVI T4" sheetId="13" r:id="rId21"/>
    <sheet name="Report Export" sheetId="20" r:id="rId22"/>
  </sheets>
  <externalReferences>
    <externalReference r:id="rId23"/>
  </externalReferences>
  <definedNames>
    <definedName name="Adverse_Event_Cost">Calculation!$J$11</definedName>
    <definedName name="assumedSE">Parameters!$F$11</definedName>
    <definedName name="c_currency">'Model Settings'!$E$11</definedName>
    <definedName name="c_WTP">'Model Settings'!$G$13</definedName>
    <definedName name="CHG1_cost_perpatient">Calculation!$E$13</definedName>
    <definedName name="CHG4_cost_perpatient">Calculation!$E$14</definedName>
    <definedName name="Comparator">Results!$C$10:$C$12</definedName>
    <definedName name="Comparators">[1]Lists!$F$25:$F$26</definedName>
    <definedName name="con_age">'Model Settings'!$G$17</definedName>
    <definedName name="con_cycle">'Model Settings'!#REF!</definedName>
    <definedName name="Con_population">'Model Settings'!#REF!</definedName>
    <definedName name="ICU_Cost_per_day_without">Costs!$F$24</definedName>
    <definedName name="ICU_cost_with">Calculation!$H$11</definedName>
    <definedName name="ICU_Cost_without">Calculation!$G$11</definedName>
    <definedName name="Incl_AE">'Model Settings'!$E$22</definedName>
    <definedName name="Include_CHGT4">'Model Settings'!$F$20</definedName>
    <definedName name="Include_PVIT1">'Model Settings'!$E$20</definedName>
    <definedName name="Include_PVIT4">'Model Settings'!$G$20</definedName>
    <definedName name="Intervention">Results!$C$9</definedName>
    <definedName name="Interventions">[1]Lists!$F$17:$F$20</definedName>
    <definedName name="lists_binomial">'Model Settings'!#REF!</definedName>
    <definedName name="lists_binomial_code">'Model Settings'!#REF!</definedName>
    <definedName name="No_of_iterations_PSA">PSA_1!$D$34</definedName>
    <definedName name="OWSA_active">OWSA!$D$72:$F$72</definedName>
    <definedName name="OWSA_clear_range">OWSA_Results!$B$4:$E$43</definedName>
    <definedName name="OWSA_ICER_1">OWSA!$D$72</definedName>
    <definedName name="OWSA_ICER_2">OWSA!$E$72</definedName>
    <definedName name="OWSA_ICER_3">OWSA!$F$72</definedName>
    <definedName name="OWSA_include">Parameters!$I$13</definedName>
    <definedName name="OWSA_n">OWSA!$A$77</definedName>
    <definedName name="OWSA_pastelb">OWSA!$D$77:$F$77</definedName>
    <definedName name="OWSA_pastepara">OWSA!$C$77</definedName>
    <definedName name="OWSA_pasteub">OWSA!$G$77:$I$77</definedName>
    <definedName name="OWSA_range">OWSA!$C$78:$C$193,OWSA!$D$78:$I$193</definedName>
    <definedName name="OWSA_Results">OWSA_Results!$B$4:$E$43</definedName>
    <definedName name="p_add_cost_los">Parameters!$F$285</definedName>
    <definedName name="p_AE_c_derma">Parameters!$F$282</definedName>
    <definedName name="p_con_age">Parameters!$F$14</definedName>
    <definedName name="p_Control">Parameters!$G$13</definedName>
    <definedName name="p_cost_CGH1">Parameters!$F$273</definedName>
    <definedName name="p_cost_CGH4">Parameters!$F$274</definedName>
    <definedName name="p_cost_PVI1">Parameters!$F$271</definedName>
    <definedName name="p_cost_PVI4">Parameters!$F$272</definedName>
    <definedName name="p_ICU_cost">Parameters!$F$284</definedName>
    <definedName name="p_ICU_Cost_with">Parameters!#REF!</definedName>
    <definedName name="p_OWSAN">Parameters!$R$8</definedName>
    <definedName name="p_Reso_cost">Parameters!$F$286</definedName>
    <definedName name="p_rows">Parameters!$R$7</definedName>
    <definedName name="p_tp_CHG4_1_1">Parameters!$F$143</definedName>
    <definedName name="p_tp_CHG4_1_2">Parameters!$F$144</definedName>
    <definedName name="p_tp_CHG4_1_3">Parameters!$F$145</definedName>
    <definedName name="p_tp_CHG4_1_4">Parameters!$F$146</definedName>
    <definedName name="p_tp_CHG4_1_5">Parameters!$F$147</definedName>
    <definedName name="p_tp_CHG4_1_6">Parameters!$F$148</definedName>
    <definedName name="p_tp_CHG4_1_7">Parameters!$F$149</definedName>
    <definedName name="p_tp_CHG4_1_8">Parameters!$F$150</definedName>
    <definedName name="p_tp_CHG4_2_1">Parameters!$F$151</definedName>
    <definedName name="p_tp_CHG4_2_2">Parameters!$F$152</definedName>
    <definedName name="p_tp_CHG4_2_3">Parameters!$F$153</definedName>
    <definedName name="p_tp_CHG4_2_4">Parameters!$F$154</definedName>
    <definedName name="p_tp_CHG4_2_5">Parameters!$F$155</definedName>
    <definedName name="p_tp_CHG4_2_6">Parameters!$F$156</definedName>
    <definedName name="p_tp_CHG4_2_7">Parameters!$F$157</definedName>
    <definedName name="p_tp_CHG4_2_8">Parameters!$F$158</definedName>
    <definedName name="p_tp_CHG4_3_1">Parameters!$F$159</definedName>
    <definedName name="p_tp_CHG4_3_2">Parameters!$F$160</definedName>
    <definedName name="p_tp_CHG4_3_3">Parameters!$F$161</definedName>
    <definedName name="p_tp_CHG4_3_4">Parameters!$F$162</definedName>
    <definedName name="p_tp_CHG4_3_5">Parameters!$F$163</definedName>
    <definedName name="p_tp_CHG4_3_6">Parameters!$F$164</definedName>
    <definedName name="p_tp_CHG4_3_7">Parameters!$F$165</definedName>
    <definedName name="p_tp_CHG4_3_8">Parameters!$F$166</definedName>
    <definedName name="p_tp_CHG4_4_1">Parameters!$F$167</definedName>
    <definedName name="p_tp_CHG4_4_2">Parameters!$F$168</definedName>
    <definedName name="p_tp_CHG4_4_3">Parameters!$F$169</definedName>
    <definedName name="p_tp_CHG4_4_4">Parameters!$F$170</definedName>
    <definedName name="p_tp_CHG4_4_5">Parameters!$F$171</definedName>
    <definedName name="p_tp_CHG4_4_6">Parameters!$F$172</definedName>
    <definedName name="p_tp_CHG4_4_7">Parameters!$F$173</definedName>
    <definedName name="p_tp_CHG4_4_8">Parameters!$F$174</definedName>
    <definedName name="p_tp_CHG4_5_1">Parameters!$F$175</definedName>
    <definedName name="p_tp_CHG4_5_2">Parameters!$F$176</definedName>
    <definedName name="p_tp_CHG4_5_3">Parameters!$F$177</definedName>
    <definedName name="p_tp_CHG4_5_4">Parameters!$F$178</definedName>
    <definedName name="p_tp_CHG4_5_5">Parameters!$F$179</definedName>
    <definedName name="p_tp_CHG4_5_6">Parameters!$F$180</definedName>
    <definedName name="p_tp_CHG4_5_7">Parameters!$F$181</definedName>
    <definedName name="p_tp_CHG4_5_8">Parameters!$F$182</definedName>
    <definedName name="p_tp_CHG4_6_1">Parameters!$F$183</definedName>
    <definedName name="p_tp_CHG4_6_2">Parameters!$F$184</definedName>
    <definedName name="p_tp_CHG4_6_3">Parameters!$F$185</definedName>
    <definedName name="p_tp_CHG4_6_4">Parameters!$F$186</definedName>
    <definedName name="p_tp_CHG4_6_5">Parameters!$F$187</definedName>
    <definedName name="p_tp_CHG4_6_6">Parameters!$F$188</definedName>
    <definedName name="p_tp_CHG4_6_7">Parameters!$F$189</definedName>
    <definedName name="p_tp_CHG4_6_8">Parameters!$F$190</definedName>
    <definedName name="p_tp_CHG4_7_1">Parameters!$F$191</definedName>
    <definedName name="p_tp_CHG4_7_2">Parameters!$F$192</definedName>
    <definedName name="p_tp_CHG4_7_3">Parameters!$F$193</definedName>
    <definedName name="p_tp_CHG4_7_4">Parameters!$F$194</definedName>
    <definedName name="p_tp_CHG4_7_5">Parameters!$F$195</definedName>
    <definedName name="p_tp_CHG4_7_6">Parameters!$F$196</definedName>
    <definedName name="p_tp_CHG4_7_7">Parameters!$F$197</definedName>
    <definedName name="p_tp_CHG4_7_8">Parameters!$F$198</definedName>
    <definedName name="p_tp_CHG4_8_1">Parameters!$F$199</definedName>
    <definedName name="p_tp_CHG4_8_2">Parameters!$F$200</definedName>
    <definedName name="p_tp_CHG4_8_3">Parameters!$F$201</definedName>
    <definedName name="p_tp_CHG4_8_4">Parameters!$F$202</definedName>
    <definedName name="p_tp_CHG4_8_5">Parameters!$F$203</definedName>
    <definedName name="p_tp_CHG4_8_6">Parameters!$F$204</definedName>
    <definedName name="p_tp_CHG4_8_7">Parameters!$F$205</definedName>
    <definedName name="p_tp_CHG4_8_8">Parameters!$F$206</definedName>
    <definedName name="p_tp_pvi1_1_1">Parameters!$F$79</definedName>
    <definedName name="p_tp_pvi1_1_2">Parameters!$F$80</definedName>
    <definedName name="p_tp_pvi1_1_3">Parameters!$F$81</definedName>
    <definedName name="p_tp_pvi1_1_4">Parameters!$F$82</definedName>
    <definedName name="p_tp_pvi1_1_5">Parameters!$F$83</definedName>
    <definedName name="p_tp_pvi1_1_6">Parameters!$F$84</definedName>
    <definedName name="p_tp_pvi1_1_7">Parameters!$F$85</definedName>
    <definedName name="p_tp_pvi1_1_8">Parameters!$F$86</definedName>
    <definedName name="p_tp_pvi1_2_1">Parameters!$F$87</definedName>
    <definedName name="p_tp_pvi1_2_2">Parameters!$F$88</definedName>
    <definedName name="p_tp_pvi1_2_3">Parameters!$F$89</definedName>
    <definedName name="p_tp_pvi1_2_4">Parameters!$F$90</definedName>
    <definedName name="p_tp_pvi1_2_5">Parameters!$F$91</definedName>
    <definedName name="p_tp_pvi1_2_6">Parameters!$F$92</definedName>
    <definedName name="p_tp_pvi1_2_7">Parameters!$F$93</definedName>
    <definedName name="p_tp_pvi1_2_8">Parameters!$F$94</definedName>
    <definedName name="p_tp_pvi1_3_1">Parameters!$F$95</definedName>
    <definedName name="p_tp_pvi1_3_2">Parameters!$F$96</definedName>
    <definedName name="p_tp_pvi1_3_3">Parameters!$F$97</definedName>
    <definedName name="p_tp_pvi1_3_4">Parameters!$F$98</definedName>
    <definedName name="p_tp_pvi1_3_5">Parameters!$F$99</definedName>
    <definedName name="p_tp_pvi1_3_6">Parameters!$F$100</definedName>
    <definedName name="p_tp_pvi1_3_7">Parameters!$F$101</definedName>
    <definedName name="p_tp_pvi1_3_8">Parameters!$F$102</definedName>
    <definedName name="p_tp_pvi1_4_1">Parameters!$F$103</definedName>
    <definedName name="p_tp_pvi1_4_2">Parameters!$F$104</definedName>
    <definedName name="p_tp_pvi1_4_3">Parameters!$F$105</definedName>
    <definedName name="p_tp_pvi1_4_4">Parameters!$F$106</definedName>
    <definedName name="p_tp_pvi1_4_5">Parameters!$F$107</definedName>
    <definedName name="p_tp_pvi1_4_6">Parameters!$F$108</definedName>
    <definedName name="p_tp_pvi1_4_7">Parameters!$F$109</definedName>
    <definedName name="p_tp_pvi1_4_8">Parameters!$F$110</definedName>
    <definedName name="p_tp_pvi1_5_1">Parameters!$F$111</definedName>
    <definedName name="p_tp_pvi1_5_2">Parameters!$F$112</definedName>
    <definedName name="p_tp_pvi1_5_3">Parameters!$F$113</definedName>
    <definedName name="p_tp_pvi1_5_4">Parameters!$F$114</definedName>
    <definedName name="p_tp_pvi1_5_5">Parameters!$F$115</definedName>
    <definedName name="p_tp_pvi1_5_6">Parameters!$F$116</definedName>
    <definedName name="p_tp_pvi1_5_7">Parameters!$F$117</definedName>
    <definedName name="p_tp_pvi1_5_8">Parameters!$F$118</definedName>
    <definedName name="p_tp_pvi1_6_1">Parameters!$F$119</definedName>
    <definedName name="p_tp_pvi1_6_2">Parameters!$F$120</definedName>
    <definedName name="p_tp_pvi1_6_3">Parameters!$F$121</definedName>
    <definedName name="p_tp_pvi1_6_4">Parameters!$F$122</definedName>
    <definedName name="p_tp_pvi1_6_5">Parameters!$F$123</definedName>
    <definedName name="p_tp_pvi1_6_6">Parameters!$F$124</definedName>
    <definedName name="p_tp_pvi1_6_7">Parameters!$F$125</definedName>
    <definedName name="p_tp_pvi1_6_8">Parameters!$F$126</definedName>
    <definedName name="p_tp_pvi1_7_1">Parameters!$F$127</definedName>
    <definedName name="p_tp_pvi1_7_2">Parameters!$F$128</definedName>
    <definedName name="p_tp_pvi1_7_3">Parameters!$F$129</definedName>
    <definedName name="p_tp_pvi1_7_4">Parameters!$F$130</definedName>
    <definedName name="p_tp_pvi1_7_5">Parameters!$F$131</definedName>
    <definedName name="p_tp_pvi1_7_6">Parameters!$F$132</definedName>
    <definedName name="p_tp_pvi1_7_7">Parameters!$F$133</definedName>
    <definedName name="p_tp_pvi1_7_8">Parameters!$F$134</definedName>
    <definedName name="p_tp_pvi1_8_1">Parameters!$F$135</definedName>
    <definedName name="p_tp_pvi1_8_2">Parameters!$F$136</definedName>
    <definedName name="p_tp_pvi1_8_3">Parameters!$F$137</definedName>
    <definedName name="p_tp_pvi1_8_4">Parameters!$F$138</definedName>
    <definedName name="p_tp_pvi1_8_5">Parameters!$F$139</definedName>
    <definedName name="p_tp_pvi1_8_6">Parameters!$F$140</definedName>
    <definedName name="p_tp_pvi1_8_7">Parameters!$F$141</definedName>
    <definedName name="p_tp_pvi1_8_8">Parameters!$F$142</definedName>
    <definedName name="p_tp_pvi4_1_1">Parameters!$F$207</definedName>
    <definedName name="p_tp_pvi4_1_2">Parameters!$F$208</definedName>
    <definedName name="p_tp_pvi4_1_3">Parameters!$F$209</definedName>
    <definedName name="p_tp_pvi4_1_4">Parameters!$F$210</definedName>
    <definedName name="p_tp_pvi4_1_5">Parameters!$F$211</definedName>
    <definedName name="p_tp_pvi4_1_6">Parameters!$F$212</definedName>
    <definedName name="p_tp_pvi4_1_7">Parameters!$F$213</definedName>
    <definedName name="p_tp_pvi4_1_8">Parameters!$F$214</definedName>
    <definedName name="p_tp_pvi4_2_1">Parameters!$F$215</definedName>
    <definedName name="p_tp_pvi4_2_2">Parameters!$F$216</definedName>
    <definedName name="p_tp_pvi4_2_3">Parameters!$F$217</definedName>
    <definedName name="p_tp_pvi4_2_4">Parameters!$F$218</definedName>
    <definedName name="p_tp_pvi4_2_5">Parameters!$F$219</definedName>
    <definedName name="p_tp_pvi4_2_6">Parameters!$F$220</definedName>
    <definedName name="p_tp_pvi4_2_7">Parameters!$F$221</definedName>
    <definedName name="p_tp_pvi4_2_8">Parameters!$F$222</definedName>
    <definedName name="p_tp_pvi4_3_1">Parameters!$F$223</definedName>
    <definedName name="p_tp_pvi4_3_2">Parameters!$F$224</definedName>
    <definedName name="p_tp_pvi4_3_3">Parameters!$F$225</definedName>
    <definedName name="p_tp_pvi4_3_4">Parameters!$F$226</definedName>
    <definedName name="p_tp_pvi4_3_5">Parameters!$F$227</definedName>
    <definedName name="p_tp_pvi4_3_6">Parameters!$F$228</definedName>
    <definedName name="p_tp_pvi4_3_7">Parameters!$F$229</definedName>
    <definedName name="p_tp_pvi4_3_8">Parameters!$F$230</definedName>
    <definedName name="p_tp_pvi4_4_1">Parameters!$F$231</definedName>
    <definedName name="p_tp_pvi4_4_2">Parameters!$F$232</definedName>
    <definedName name="p_tp_pvi4_4_3">Parameters!$F$233</definedName>
    <definedName name="p_tp_pvi4_4_4">Parameters!$F$234</definedName>
    <definedName name="p_tp_pvi4_4_5">Parameters!$F$235</definedName>
    <definedName name="p_tp_pvi4_4_6">Parameters!$F$236</definedName>
    <definedName name="p_tp_pvi4_4_7">Parameters!$F$237</definedName>
    <definedName name="p_tp_pvi4_4_8">Parameters!$F$238</definedName>
    <definedName name="p_tp_pvi4_5_1">Parameters!$F$239</definedName>
    <definedName name="p_tp_pvi4_5_2">Parameters!$F$240</definedName>
    <definedName name="p_tp_pvi4_5_3">Parameters!$F$241</definedName>
    <definedName name="p_tp_pvi4_5_4">Parameters!$F$242</definedName>
    <definedName name="p_tp_pvi4_5_5">Parameters!$F$243</definedName>
    <definedName name="p_tp_pvi4_5_6">Parameters!$F$244</definedName>
    <definedName name="p_tp_pvi4_5_7">Parameters!$F$245</definedName>
    <definedName name="p_tp_pvi4_5_8">Parameters!$F$246</definedName>
    <definedName name="p_tp_pvi4_6_1">Parameters!$F$247</definedName>
    <definedName name="p_tp_pvi4_6_2">Parameters!$F$248</definedName>
    <definedName name="p_tp_pvi4_6_3">Parameters!$F$249</definedName>
    <definedName name="p_tp_pvi4_6_4">Parameters!$F$250</definedName>
    <definedName name="p_tp_pvi4_6_5">Parameters!$F$251</definedName>
    <definedName name="p_tp_pvi4_6_6">Parameters!$F$252</definedName>
    <definedName name="p_tp_pvi4_6_7">Parameters!$F$253</definedName>
    <definedName name="p_tp_pvi4_6_8">Parameters!$F$254</definedName>
    <definedName name="p_tp_pvi4_7_1">Parameters!$F$255</definedName>
    <definedName name="p_tp_pvi4_7_2">Parameters!$F$256</definedName>
    <definedName name="p_tp_pvi4_7_3">Parameters!$F$257</definedName>
    <definedName name="p_tp_pvi4_7_4">Parameters!$F$258</definedName>
    <definedName name="p_tp_pvi4_7_5">Parameters!$F$259</definedName>
    <definedName name="p_tp_pvi4_7_6">Parameters!$F$260</definedName>
    <definedName name="p_tp_pvi4_7_7">Parameters!$F$261</definedName>
    <definedName name="p_tp_pvi4_7_8">Parameters!$F$262</definedName>
    <definedName name="p_tp_pvi4_8_1">Parameters!$F$263</definedName>
    <definedName name="p_tp_pvi4_8_2">Parameters!$F$264</definedName>
    <definedName name="p_tp_pvi4_8_3">Parameters!$F$265</definedName>
    <definedName name="p_tp_pvi4_8_4">Parameters!$F$266</definedName>
    <definedName name="p_tp_pvi4_8_5">Parameters!$F$267</definedName>
    <definedName name="p_tp_pvi4_8_6">Parameters!$F$268</definedName>
    <definedName name="p_tp_pvi4_8_7">Parameters!$F$269</definedName>
    <definedName name="p_tp_pvi4_8_8">Parameters!$F$270</definedName>
    <definedName name="p_tp1_1">Parameters!$F$15</definedName>
    <definedName name="p_tp1_2">Parameters!$F$16</definedName>
    <definedName name="p_tp1_3">Parameters!$F$17</definedName>
    <definedName name="p_tp1_4">Parameters!$F$18</definedName>
    <definedName name="p_tp1_5">Parameters!$F$19</definedName>
    <definedName name="p_tp1_6">Parameters!$F$20</definedName>
    <definedName name="p_tp1_7">Parameters!$F$21</definedName>
    <definedName name="p_tp1_8">Parameters!$F$22</definedName>
    <definedName name="p_tp2_1">Parameters!$F$23</definedName>
    <definedName name="p_tp2_2">Parameters!$F$24</definedName>
    <definedName name="p_tp2_3">Parameters!$F$25</definedName>
    <definedName name="p_tp2_4">Parameters!$F$26</definedName>
    <definedName name="p_tp2_5">Parameters!$F$27</definedName>
    <definedName name="p_tp2_6">Parameters!$F$28</definedName>
    <definedName name="p_tp2_7">Parameters!$F$29</definedName>
    <definedName name="p_tp2_8">Parameters!$F$30</definedName>
    <definedName name="p_tp3_1">Parameters!$F$31</definedName>
    <definedName name="p_tp3_2">Parameters!$F$32</definedName>
    <definedName name="p_tp3_3">Parameters!$F$33</definedName>
    <definedName name="p_tp3_4">Parameters!$F$34</definedName>
    <definedName name="p_tp3_5">Parameters!$F$35</definedName>
    <definedName name="p_tp3_6">Parameters!$F$36</definedName>
    <definedName name="p_tp3_7">Parameters!$F$37</definedName>
    <definedName name="p_tp3_8">Parameters!$F$38</definedName>
    <definedName name="p_tp4_1">Parameters!$F$39</definedName>
    <definedName name="p_tp4_2">Parameters!$F$40</definedName>
    <definedName name="p_tp4_3">Parameters!$F$41</definedName>
    <definedName name="p_tp4_4">Parameters!$F$42</definedName>
    <definedName name="p_tp4_5">Parameters!$F$43</definedName>
    <definedName name="p_tp4_6">Parameters!$F$44</definedName>
    <definedName name="p_tp4_7">Parameters!$F$45</definedName>
    <definedName name="p_tp4_8">Parameters!$F$46</definedName>
    <definedName name="p_tp5_1">Parameters!$F$47</definedName>
    <definedName name="p_tp5_2">Parameters!$F$48</definedName>
    <definedName name="p_tp5_3">Parameters!$F$49</definedName>
    <definedName name="p_tp5_4">Parameters!$F$50</definedName>
    <definedName name="p_tp5_5">Parameters!$F$51</definedName>
    <definedName name="p_tp5_6">Parameters!$F$52</definedName>
    <definedName name="p_tp5_7">Parameters!$F$53</definedName>
    <definedName name="p_tp5_8">Parameters!$F$54</definedName>
    <definedName name="p_tp6_1">Parameters!$F$55</definedName>
    <definedName name="p_tp6_2">Parameters!$F$56</definedName>
    <definedName name="p_tp6_3">Parameters!$F$57</definedName>
    <definedName name="p_tp6_4">Parameters!$F$58</definedName>
    <definedName name="p_tp6_5">Parameters!$F$59</definedName>
    <definedName name="p_tp6_6">Parameters!$F$60</definedName>
    <definedName name="p_tp6_7">Parameters!$F$61</definedName>
    <definedName name="p_tp6_8">Parameters!$F$62</definedName>
    <definedName name="p_tp7_1">Parameters!$F$63</definedName>
    <definedName name="p_tp7_2">Parameters!$F$64</definedName>
    <definedName name="p_tp7_3">Parameters!$F$65</definedName>
    <definedName name="p_tp7_4">Parameters!$F$66</definedName>
    <definedName name="p_tp7_5">Parameters!$F$67</definedName>
    <definedName name="p_tp7_6">Parameters!$F$68</definedName>
    <definedName name="p_tp7_7">Parameters!$F$69</definedName>
    <definedName name="p_tp7_8">Parameters!$F$70</definedName>
    <definedName name="p_tp8_1">Parameters!$F$71</definedName>
    <definedName name="p_tp8_2">Parameters!$F$72</definedName>
    <definedName name="p_tp8_3">Parameters!$F$73</definedName>
    <definedName name="p_tp8_4">Parameters!$F$74</definedName>
    <definedName name="p_tp8_5">Parameters!$F$75</definedName>
    <definedName name="p_tp8_6">Parameters!$F$76</definedName>
    <definedName name="p_tp8_7">Parameters!$F$77</definedName>
    <definedName name="p_tp8_8">Parameters!$F$78</definedName>
    <definedName name="p_treatment_cost">Parameters!$F$283</definedName>
    <definedName name="para_name">Parameters!$E$13</definedName>
    <definedName name="pf_cost_CHG_T1">'PF CHG T1'!$X$10</definedName>
    <definedName name="pf_cost_CHG_T4">'PF CHG T4'!$X$10</definedName>
    <definedName name="pf_cost_PVI_T1">'PF PVI T1'!$X$10</definedName>
    <definedName name="pf_cost_PVI_T4">'PF PVI T4'!$X$10</definedName>
    <definedName name="pf_CRBSI_redu_CHG_T1">'PF CHG T1'!$R$10</definedName>
    <definedName name="pf_CRBSI_redu_CHG_T4">'PF CHG T4'!$R$10</definedName>
    <definedName name="pf_CRBSI_redu_PVI_T1">'PF PVI T1'!$R$10</definedName>
    <definedName name="pf_CRBSI_redu_PVI_T4">'PF PVI T4'!$R$10</definedName>
    <definedName name="PSA_live">PSA_1!$D$38:$K$38</definedName>
    <definedName name="PSA_paste">PSA_1!$D$39:$K$39</definedName>
    <definedName name="PSA_range">PSA_1!$D$40:$K$1039</definedName>
    <definedName name="PVI1_cost_perpatient">Calculation!$E$11</definedName>
    <definedName name="PVI4_cost_perpatient">Calculation!$E$12</definedName>
    <definedName name="Resource_cost">Calculation!$I$11</definedName>
    <definedName name="Resource_use_cost">Costs!$F$28</definedName>
    <definedName name="Results_range">Results!$C$9:$M$33</definedName>
    <definedName name="tp_CHG4_1_1">Calculation!$X$12</definedName>
    <definedName name="tp_CHG4_1_2">Calculation!$Y$12</definedName>
    <definedName name="tp_CHG4_1_3">Calculation!$Z$12</definedName>
    <definedName name="tp_CHG4_1_4">Calculation!$AA$12</definedName>
    <definedName name="tp_CHG4_1_5">Calculation!$AB$12</definedName>
    <definedName name="tp_CHG4_1_6">Calculation!$AC$12</definedName>
    <definedName name="tp_CHG4_1_7">Calculation!$AD$12</definedName>
    <definedName name="tp_CHG4_1_8">Calculation!$AE$12</definedName>
    <definedName name="tp_CHG4_2_1">Calculation!$X$13</definedName>
    <definedName name="tp_CHG4_2_2">Calculation!$Y$13</definedName>
    <definedName name="tp_CHG4_2_3">Calculation!$Z$13</definedName>
    <definedName name="tp_CHG4_2_4">Calculation!$AA$13</definedName>
    <definedName name="tp_chg4_2_5">Calculation!$AB$13</definedName>
    <definedName name="tp_CHG4_2_6">Calculation!$AC$13</definedName>
    <definedName name="tp_CHG4_2_7">Calculation!$AD$13</definedName>
    <definedName name="tp_CHG4_2_8">Calculation!$AE$13</definedName>
    <definedName name="tp_CHG4_3_1">Calculation!$X$14</definedName>
    <definedName name="tp_CHG4_3_2">Calculation!$Y$14</definedName>
    <definedName name="tp_CHG4_3_3">Calculation!$Z$14</definedName>
    <definedName name="tp_CHG4_3_4">Calculation!$AA$14</definedName>
    <definedName name="tp_CHG4_3_5">Calculation!$AB$14</definedName>
    <definedName name="tp_CHG4_3_6">Calculation!$AC$14</definedName>
    <definedName name="tp_CHG4_3_7">Calculation!$AD$14</definedName>
    <definedName name="tp_CHG4_3_8">Calculation!$AE$14</definedName>
    <definedName name="tp_CHG4_4_1">Calculation!$X$15</definedName>
    <definedName name="tp_CHG4_4_2">Calculation!$Y$15</definedName>
    <definedName name="tp_CHG4_4_3">Calculation!$Z$15</definedName>
    <definedName name="tp_CHG4_4_4">Calculation!$AA$15</definedName>
    <definedName name="tp_CHG4_4_5">Calculation!$AB$15</definedName>
    <definedName name="tp_CHG4_4_6">Calculation!$AC$15</definedName>
    <definedName name="tp_CHG4_4_7">Calculation!$AD$15</definedName>
    <definedName name="tp_CHG4_4_8">Calculation!$AE$15</definedName>
    <definedName name="tp_CHG4_5_1">Calculation!$X$16</definedName>
    <definedName name="tp_CHG4_5_2">Calculation!$Y$16</definedName>
    <definedName name="tp_CHG4_5_3">Calculation!$Z$16</definedName>
    <definedName name="tp_CHG4_5_4">Calculation!$AA$16</definedName>
    <definedName name="tp_CHG4_5_5">Calculation!$AB$16</definedName>
    <definedName name="tp_CHG4_5_6">Calculation!$AC$16</definedName>
    <definedName name="tp_CHG4_5_7">Calculation!$AD$16</definedName>
    <definedName name="tp_CHG4_5_8">Calculation!$AE$16</definedName>
    <definedName name="tp_CHG4_6_1">Calculation!$X$17</definedName>
    <definedName name="tp_CHG4_6_2">Calculation!$Y$17</definedName>
    <definedName name="tp_CHG4_6_3">Calculation!$Z$17</definedName>
    <definedName name="tp_CHG4_6_4">Calculation!$AA$17</definedName>
    <definedName name="tp_CHG4_6_5">Calculation!$AB$17</definedName>
    <definedName name="tp_CHG4_6_6">Calculation!$AC$17</definedName>
    <definedName name="tp_CHG4_6_7">Calculation!$AD$17</definedName>
    <definedName name="tp_CHG4_6_8">Calculation!$AE$17</definedName>
    <definedName name="tp_CHG4_7_1">Calculation!$X$18</definedName>
    <definedName name="tp_CHG4_7_2">Calculation!$Y$18</definedName>
    <definedName name="tp_CHG4_7_3">Calculation!$Z$18</definedName>
    <definedName name="tp_CHG4_7_4">Calculation!$AA$18</definedName>
    <definedName name="tp_CHG4_7_5">Calculation!$AB$18</definedName>
    <definedName name="tp_CHG4_7_6">Calculation!$AC$18</definedName>
    <definedName name="tp_CHG4_7_7">Calculation!$AD$18</definedName>
    <definedName name="tp_CHG4_7_8">Calculation!$AE$18</definedName>
    <definedName name="tp_CHG4_8_1">Calculation!$X$19</definedName>
    <definedName name="tp_CHG4_8_2">Calculation!$Y$19</definedName>
    <definedName name="tp_CHG4_8_3">Calculation!$Z$19</definedName>
    <definedName name="tp_CHG4_8_4">Calculation!$AA$19</definedName>
    <definedName name="tp_CHG4_8_5">Calculation!$AB$19</definedName>
    <definedName name="tp_CHG4_8_6">Calculation!$AC$19</definedName>
    <definedName name="tp_CHG4_8_7">Calculation!$AD$19</definedName>
    <definedName name="tp_CHG4_8_8">Calculation!$AE$19</definedName>
    <definedName name="tp_pvi1_1_1">Calculation!$M$25</definedName>
    <definedName name="tp_pvi1_1_2">Calculation!$N$25</definedName>
    <definedName name="tp_pvi1_1_3">Calculation!$O$25</definedName>
    <definedName name="tp_pvi1_1_4">Calculation!$P$25</definedName>
    <definedName name="tp_pvi1_1_5">Calculation!$Q$25</definedName>
    <definedName name="tp_pvi1_1_6">Calculation!$R$25</definedName>
    <definedName name="tp_pvi1_1_7">Calculation!$S$25</definedName>
    <definedName name="tp_pvi1_1_8">Calculation!$T$25</definedName>
    <definedName name="tp_pvi1_2_1">Calculation!$M$26</definedName>
    <definedName name="tp_pvi1_2_2">Calculation!$N$26</definedName>
    <definedName name="tp_pvi1_2_3">Calculation!$O$26</definedName>
    <definedName name="tp_pvi1_2_4">Calculation!$P$26</definedName>
    <definedName name="tp_pvi1_2_5">Calculation!$Q$26</definedName>
    <definedName name="tp_pvi1_2_6">Calculation!$R$26</definedName>
    <definedName name="tp_pvi1_2_7">Calculation!$S$26</definedName>
    <definedName name="tp_pvi1_2_8">Calculation!$T$26</definedName>
    <definedName name="tp_pvi1_3_1">Calculation!$M$27</definedName>
    <definedName name="tp_pvi1_3_2">Calculation!$N$27</definedName>
    <definedName name="tp_pvi1_3_3">Calculation!$O$27</definedName>
    <definedName name="tp_pvi1_3_4">Calculation!$P$27</definedName>
    <definedName name="tp_pvi1_3_5">Calculation!$Q$27</definedName>
    <definedName name="tp_pvi1_3_6">Calculation!$R$27</definedName>
    <definedName name="tp_pvi1_3_7">Calculation!$S$27</definedName>
    <definedName name="tp_pvi1_3_8">Calculation!$T$27</definedName>
    <definedName name="tp_pvi1_4_1">Calculation!$M$28</definedName>
    <definedName name="tp_pvi1_4_2">Calculation!$N$28</definedName>
    <definedName name="tp_pvi1_4_3">Calculation!$O$28</definedName>
    <definedName name="tp_pvi1_4_4">Calculation!$P$28</definedName>
    <definedName name="tp_pvi1_4_5">Calculation!$Q$28</definedName>
    <definedName name="tp_pvi1_4_6">Calculation!$R$28</definedName>
    <definedName name="tp_pvi1_4_7">Calculation!$S$28</definedName>
    <definedName name="tp_pvi1_4_8">Calculation!$T$28</definedName>
    <definedName name="tp_pvi1_5_1">Calculation!$M$29</definedName>
    <definedName name="tp_pvi1_5_2">Calculation!$N$29</definedName>
    <definedName name="tp_pvi1_5_3">Calculation!$O$29</definedName>
    <definedName name="tp_pvi1_5_4">Calculation!$P$29</definedName>
    <definedName name="tp_pvi1_5_5">Calculation!$Q$29</definedName>
    <definedName name="tp_pvi1_5_6">Calculation!$R$29</definedName>
    <definedName name="tp_pvi1_5_7">Calculation!$S$29</definedName>
    <definedName name="tp_pvi1_5_8">Calculation!$T$29</definedName>
    <definedName name="tp_pvi1_6_1">Calculation!$M$30</definedName>
    <definedName name="tp_pvi1_6_2">Calculation!$N$30</definedName>
    <definedName name="tp_pvi1_6_3">Calculation!$O$30</definedName>
    <definedName name="tp_pvi1_6_4">Calculation!$P$30</definedName>
    <definedName name="tp_pvi1_6_5">Calculation!$Q$30</definedName>
    <definedName name="tp_pvi1_6_6">Calculation!$R$30</definedName>
    <definedName name="tp_pvi1_6_7">Calculation!$S$30</definedName>
    <definedName name="tp_pvi1_6_8">Calculation!$T$30</definedName>
    <definedName name="tp_pvi1_7_1">Calculation!$M$31</definedName>
    <definedName name="tp_pvi1_7_2">Calculation!$N$31</definedName>
    <definedName name="tp_pvi1_7_3">Calculation!$O$31</definedName>
    <definedName name="tp_pvi1_7_4">Calculation!$P$31</definedName>
    <definedName name="tp_pvi1_7_5">Calculation!$Q$31</definedName>
    <definedName name="tp_pvi1_7_6">Calculation!$R$31</definedName>
    <definedName name="tp_pvi1_7_7">Calculation!$S$31</definedName>
    <definedName name="tp_pvi1_7_8">Calculation!$T$31</definedName>
    <definedName name="tp_pvi1_8_1">Calculation!$M$32</definedName>
    <definedName name="tp_pvi1_8_2">Calculation!$N$32</definedName>
    <definedName name="tp_pvi1_8_3">Calculation!$O$32</definedName>
    <definedName name="tp_pvi1_8_4">Calculation!$P$32</definedName>
    <definedName name="tp_pvi1_8_5">Calculation!$Q$32</definedName>
    <definedName name="tp_pvi1_8_6">Calculation!$R$32</definedName>
    <definedName name="tp_pvi1_8_7">Calculation!$S$32</definedName>
    <definedName name="tp_pvi1_8_8">Calculation!$T$32</definedName>
    <definedName name="tp_pvi4_1_1">Calculation!$X$25</definedName>
    <definedName name="tp_pvi4_1_2">Calculation!$Y$25</definedName>
    <definedName name="tp_pvi4_1_3">Calculation!$Z$25</definedName>
    <definedName name="tp_pvi4_1_4">Calculation!$AA$25</definedName>
    <definedName name="tp_pvi4_1_5">Calculation!$AB$25</definedName>
    <definedName name="tp_pvi4_1_6">Calculation!$AC$25</definedName>
    <definedName name="tp_pvi4_1_7">Calculation!$AD$25</definedName>
    <definedName name="tp_pvi4_1_8">Calculation!$AE$25</definedName>
    <definedName name="tp_pvi4_2_1">Calculation!$X$26</definedName>
    <definedName name="tp_pvi4_2_2">Calculation!$Y$26</definedName>
    <definedName name="tp_pvi4_2_3">Calculation!$Z$26</definedName>
    <definedName name="tp_pvi4_2_4">Calculation!$AA$26</definedName>
    <definedName name="tp_pvi4_2_5">Calculation!$AB$26</definedName>
    <definedName name="tp_pvi4_2_6">Calculation!$AC$26</definedName>
    <definedName name="tp_pvi4_2_7">Calculation!$AD$26</definedName>
    <definedName name="tp_pvi4_2_8">Calculation!$AE$26</definedName>
    <definedName name="tp_pvi4_3_1">Calculation!$X$27</definedName>
    <definedName name="tp_pvi4_3_2">Calculation!$Y$27</definedName>
    <definedName name="tp_pvi4_3_3">Calculation!$Z$27</definedName>
    <definedName name="tp_pvi4_3_4">Calculation!$AA$27</definedName>
    <definedName name="tp_pvi4_3_5">Calculation!$AB$27</definedName>
    <definedName name="tp_pvi4_3_6">Calculation!$AC$27</definedName>
    <definedName name="tp_pvi4_3_7">Calculation!$AD$27</definedName>
    <definedName name="tp_pvi4_3_8">Calculation!$AE$27</definedName>
    <definedName name="tp_pvi4_4_1">Calculation!$X$28</definedName>
    <definedName name="tp_pvi4_4_2">Calculation!$Y$28</definedName>
    <definedName name="tp_pvi4_4_3">Calculation!$Z$28</definedName>
    <definedName name="tp_pvi4_4_4">Calculation!$AA$28</definedName>
    <definedName name="tp_pvi4_4_5">Calculation!$AB$28</definedName>
    <definedName name="tp_pvi4_4_6">Calculation!$AC$28</definedName>
    <definedName name="tp_pvi4_4_7">Calculation!$AD$28</definedName>
    <definedName name="tp_pvi4_4_8">Calculation!$AE$28</definedName>
    <definedName name="tp_pvi4_5_1">Calculation!$X$29</definedName>
    <definedName name="tp_pvi4_5_2">Calculation!$Y$29</definedName>
    <definedName name="tp_pvi4_5_3">Calculation!$Z$29</definedName>
    <definedName name="tp_pvi4_5_4">Calculation!$AA$29</definedName>
    <definedName name="tp_pvi4_5_5">Calculation!$AB$29</definedName>
    <definedName name="tp_pvi4_5_6">Calculation!$AC$29</definedName>
    <definedName name="tp_pvi4_5_7">Calculation!$AD$29</definedName>
    <definedName name="tp_pvi4_5_8">Calculation!$AE$29</definedName>
    <definedName name="tp_pvi4_6_1">Calculation!$X$30</definedName>
    <definedName name="tp_pvi4_6_2">Calculation!$Y$30</definedName>
    <definedName name="tp_pvi4_6_3">Calculation!$Z$30</definedName>
    <definedName name="tp_pvi4_6_4">Calculation!$AA$30</definedName>
    <definedName name="tp_pvi4_6_5">Calculation!$AB$30</definedName>
    <definedName name="tp_pvi4_6_6">Calculation!$AC$30</definedName>
    <definedName name="tp_pvi4_6_7">Calculation!$AD$30</definedName>
    <definedName name="tp_pvi4_6_8">Calculation!$AE$30</definedName>
    <definedName name="tp_pvi4_7_1">Calculation!$X$31</definedName>
    <definedName name="tp_pvi4_7_2">Calculation!$Y$31</definedName>
    <definedName name="tp_pvi4_7_3">Calculation!$Z$31</definedName>
    <definedName name="tp_pvi4_7_4">Calculation!$AA$31</definedName>
    <definedName name="tp_pvi4_7_5">Calculation!$AB$31</definedName>
    <definedName name="tp_pvi4_7_6">Calculation!$AC$31</definedName>
    <definedName name="tp_pvi4_7_7">Calculation!$AD$31</definedName>
    <definedName name="tp_pvi4_7_8">Calculation!$AE$31</definedName>
    <definedName name="tp_pvi4_8_1">Calculation!$X$32</definedName>
    <definedName name="tp_pvi4_8_2">Calculation!$Y$32</definedName>
    <definedName name="tp_pvi4_8_3">Calculation!$Z$32</definedName>
    <definedName name="tp_pvi4_8_4">Calculation!$AA$32</definedName>
    <definedName name="tp_pvi4_8_5">Calculation!$AB$32</definedName>
    <definedName name="tp_pvi4_8_6">Calculation!$AC$32</definedName>
    <definedName name="tp_pvi4_8_7">Calculation!$AD$32</definedName>
    <definedName name="tp_pvi4_8_8">Calculation!$AE$32</definedName>
    <definedName name="tp_pvi4_85">Calculation!$AB$32</definedName>
    <definedName name="tp1_1">Calculation!$M$12</definedName>
    <definedName name="tp1_2">Calculation!$N$12</definedName>
    <definedName name="tp1_3">Calculation!$O$12</definedName>
    <definedName name="tp1_4">Calculation!$P$12</definedName>
    <definedName name="tp1_5">Calculation!$Q$12</definedName>
    <definedName name="tp1_6">Calculation!$R$12</definedName>
    <definedName name="tp1_7">Calculation!$S$12</definedName>
    <definedName name="tp1_8">Calculation!$T$12</definedName>
    <definedName name="tp2_1">Calculation!$M$13</definedName>
    <definedName name="tp2_2">Calculation!$N$13</definedName>
    <definedName name="tp2_3">Calculation!$O$13</definedName>
    <definedName name="tp2_4">Calculation!$P$13</definedName>
    <definedName name="tp2_5">Calculation!$Q$13</definedName>
    <definedName name="tp2_6">Calculation!$R$13</definedName>
    <definedName name="tp2_7">Calculation!$S$13</definedName>
    <definedName name="tp2_8">Calculation!$T$13</definedName>
    <definedName name="tp3_1">Calculation!$M$14</definedName>
    <definedName name="tp3_2">Calculation!$N$14</definedName>
    <definedName name="tp3_3">Calculation!$O$14</definedName>
    <definedName name="tp3_4">Calculation!$P$14</definedName>
    <definedName name="tp3_5">Calculation!$Q$14</definedName>
    <definedName name="tp3_6">Calculation!$R$14</definedName>
    <definedName name="tp3_7">Calculation!$S$14</definedName>
    <definedName name="tp3_8">Calculation!$T$14</definedName>
    <definedName name="tp4_1">Calculation!$M$15</definedName>
    <definedName name="tp4_2">Calculation!$N$15</definedName>
    <definedName name="tp4_3">Calculation!$O$15</definedName>
    <definedName name="tp4_4">Calculation!$P$15</definedName>
    <definedName name="tp4_5">Calculation!$Q$15</definedName>
    <definedName name="tp4_6">Calculation!$R$15</definedName>
    <definedName name="tp4_7">Calculation!$S$15</definedName>
    <definedName name="tp4_8">Calculation!$T$15</definedName>
    <definedName name="tp5_1">Calculation!$M$16</definedName>
    <definedName name="tp5_2">Calculation!$N$16</definedName>
    <definedName name="tp5_3">Calculation!$O$16</definedName>
    <definedName name="tp5_4">Calculation!$P$16</definedName>
    <definedName name="tp5_5">Calculation!$Q$16</definedName>
    <definedName name="tp5_6">Calculation!$R$16</definedName>
    <definedName name="tp5_7">Calculation!$S$16</definedName>
    <definedName name="tp5_8">Calculation!$T$16</definedName>
    <definedName name="tp6_1">Calculation!$M$17</definedName>
    <definedName name="tp6_2">Calculation!$N$17</definedName>
    <definedName name="tp6_3">Calculation!$O$17</definedName>
    <definedName name="tp6_4">Calculation!$P$17</definedName>
    <definedName name="tp6_5">Calculation!$Q$17</definedName>
    <definedName name="tp6_6">Calculation!$R$17</definedName>
    <definedName name="tp6_7">Calculation!$S$17</definedName>
    <definedName name="tp6_8">Calculation!$T$17</definedName>
    <definedName name="tp7_1">Calculation!$M$18</definedName>
    <definedName name="tp7_2">Calculation!$N$18</definedName>
    <definedName name="tp7_3">Calculation!$O$18</definedName>
    <definedName name="tp7_4">Calculation!$P$18</definedName>
    <definedName name="tp7_5">Calculation!$Q$18</definedName>
    <definedName name="tp7_6">Calculation!$R$18</definedName>
    <definedName name="tp7_7">Calculation!$S$18</definedName>
    <definedName name="tp7_8">Calculation!$T$18</definedName>
    <definedName name="tp8_1">Calculation!$M$19</definedName>
    <definedName name="tp8_2">Calculation!$N$19</definedName>
    <definedName name="tp8_3">Calculation!$O$19</definedName>
    <definedName name="tp8_4">Calculation!$P$19</definedName>
    <definedName name="tp8_5">Calculation!$Q$19</definedName>
    <definedName name="tp8_6">Calculation!$R$19</definedName>
    <definedName name="tp8_7">Calculation!$S$19</definedName>
    <definedName name="tp8_8">Calculation!$T$19</definedName>
    <definedName name="treatment_cost">Calculation!$F$11</definedName>
    <definedName name="Use_in_PSA">Parameters!$L$13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34" i="26" l="1"/>
  <c r="O11" i="11" l="1"/>
  <c r="O11" i="12"/>
  <c r="H48" i="10"/>
  <c r="O11" i="9" l="1"/>
  <c r="D8" i="20"/>
  <c r="K284" i="20" l="1"/>
  <c r="J284" i="20"/>
  <c r="I284" i="20"/>
  <c r="K283" i="20"/>
  <c r="K280" i="20"/>
  <c r="K287" i="20"/>
  <c r="O54" i="20"/>
  <c r="O53" i="20"/>
  <c r="O52" i="20"/>
  <c r="K10" i="20"/>
  <c r="E22" i="5" l="1"/>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05"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141"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77"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13" i="20"/>
  <c r="R9" i="5"/>
  <c r="R8" i="5"/>
  <c r="AK19" i="26" l="1"/>
  <c r="AJ18" i="26"/>
  <c r="AJ19" i="26"/>
  <c r="AP19" i="26"/>
  <c r="AO19" i="26"/>
  <c r="AN19" i="26"/>
  <c r="AM19" i="26"/>
  <c r="AL19" i="26"/>
  <c r="AK18" i="26"/>
  <c r="AI16" i="26"/>
  <c r="AP18" i="26"/>
  <c r="AO18" i="26"/>
  <c r="AN18" i="26"/>
  <c r="AM18" i="26"/>
  <c r="AL18" i="26"/>
  <c r="AJ16" i="26"/>
  <c r="AK16" i="26"/>
  <c r="AI14" i="26"/>
  <c r="AP16" i="26"/>
  <c r="AO16" i="26"/>
  <c r="AN16" i="26"/>
  <c r="AM16" i="26"/>
  <c r="AL16" i="26"/>
  <c r="AJ14" i="26"/>
  <c r="AK14" i="26"/>
  <c r="AP14" i="26"/>
  <c r="AO14" i="26"/>
  <c r="AN14" i="26"/>
  <c r="AM14" i="26"/>
  <c r="AL14" i="26"/>
  <c r="AI19" i="26"/>
  <c r="AI18" i="26"/>
  <c r="G13" i="1"/>
  <c r="K277" i="20"/>
  <c r="K272" i="20"/>
  <c r="K273" i="20"/>
  <c r="K274" i="20"/>
  <c r="K271" i="20"/>
  <c r="O285" i="5" l="1"/>
  <c r="O279" i="5"/>
  <c r="O280" i="5"/>
  <c r="O281" i="5"/>
  <c r="O275" i="5"/>
  <c r="O276" i="5"/>
  <c r="O277" i="5"/>
  <c r="O278" i="5"/>
  <c r="E10" i="26"/>
  <c r="F10" i="26"/>
  <c r="G10" i="26"/>
  <c r="I10" i="26"/>
  <c r="C10" i="4"/>
  <c r="K35" i="25" l="1"/>
  <c r="J35" i="25"/>
  <c r="I35" i="25"/>
  <c r="H35" i="25"/>
  <c r="G35" i="25"/>
  <c r="F35" i="25"/>
  <c r="E35" i="25"/>
  <c r="D35" i="25"/>
  <c r="C40" i="25" l="1" a="1"/>
  <c r="C40" i="25" l="1"/>
  <c r="Q41" i="25"/>
  <c r="Q49" i="25"/>
  <c r="Q57" i="25"/>
  <c r="Q65" i="25"/>
  <c r="Q73" i="25"/>
  <c r="Q81" i="25"/>
  <c r="Q89" i="25"/>
  <c r="Q97" i="25"/>
  <c r="Q105" i="25"/>
  <c r="Q113" i="25"/>
  <c r="Q121" i="25"/>
  <c r="Q129" i="25"/>
  <c r="Q137" i="25"/>
  <c r="Q145" i="25"/>
  <c r="Q153" i="25"/>
  <c r="Q161" i="25"/>
  <c r="Q169" i="25"/>
  <c r="Q177" i="25"/>
  <c r="Q185" i="25"/>
  <c r="Q193" i="25"/>
  <c r="Q201" i="25"/>
  <c r="Q209" i="25"/>
  <c r="Q217" i="25"/>
  <c r="Q225" i="25"/>
  <c r="Q233" i="25"/>
  <c r="Q241" i="25"/>
  <c r="Q249" i="25"/>
  <c r="Q257" i="25"/>
  <c r="Q265" i="25"/>
  <c r="Q273" i="25"/>
  <c r="Q281" i="25"/>
  <c r="Q289" i="25"/>
  <c r="Q297" i="25"/>
  <c r="Q305" i="25"/>
  <c r="Q313" i="25"/>
  <c r="Q321" i="25"/>
  <c r="Q329" i="25"/>
  <c r="Q337" i="25"/>
  <c r="Q345" i="25"/>
  <c r="Q353" i="25"/>
  <c r="Q361" i="25"/>
  <c r="Q369" i="25"/>
  <c r="Q377" i="25"/>
  <c r="Q385" i="25"/>
  <c r="Q393" i="25"/>
  <c r="Q401" i="25"/>
  <c r="Q409" i="25"/>
  <c r="Q417" i="25"/>
  <c r="Q425" i="25"/>
  <c r="Q433" i="25"/>
  <c r="Q441" i="25"/>
  <c r="Q449" i="25"/>
  <c r="Q457" i="25"/>
  <c r="Q465" i="25"/>
  <c r="Q473" i="25"/>
  <c r="Q481" i="25"/>
  <c r="Q489" i="25"/>
  <c r="Q497" i="25"/>
  <c r="Q505" i="25"/>
  <c r="Q513" i="25"/>
  <c r="Q521" i="25"/>
  <c r="Q529" i="25"/>
  <c r="Q537" i="25"/>
  <c r="Q545" i="25"/>
  <c r="Q553" i="25"/>
  <c r="Q561" i="25"/>
  <c r="Q569" i="25"/>
  <c r="Q577" i="25"/>
  <c r="Q585" i="25"/>
  <c r="Q593" i="25"/>
  <c r="Q601" i="25"/>
  <c r="Q609" i="25"/>
  <c r="Q617" i="25"/>
  <c r="Q625" i="25"/>
  <c r="Q633" i="25"/>
  <c r="Q641" i="25"/>
  <c r="Q649" i="25"/>
  <c r="Q657" i="25"/>
  <c r="Q665" i="25"/>
  <c r="Q673" i="25"/>
  <c r="Q681" i="25"/>
  <c r="Q689" i="25"/>
  <c r="Q697" i="25"/>
  <c r="Q705" i="25"/>
  <c r="Q713" i="25"/>
  <c r="Q42" i="25"/>
  <c r="Q50" i="25"/>
  <c r="Q58" i="25"/>
  <c r="Q66" i="25"/>
  <c r="Q74" i="25"/>
  <c r="Q82" i="25"/>
  <c r="Q90" i="25"/>
  <c r="Q98" i="25"/>
  <c r="Q106" i="25"/>
  <c r="Q114" i="25"/>
  <c r="Q122" i="25"/>
  <c r="Q130" i="25"/>
  <c r="Q138" i="25"/>
  <c r="Q146" i="25"/>
  <c r="Q154" i="25"/>
  <c r="Q162" i="25"/>
  <c r="Q170" i="25"/>
  <c r="Q178" i="25"/>
  <c r="Q186" i="25"/>
  <c r="Q194" i="25"/>
  <c r="Q202" i="25"/>
  <c r="Q210" i="25"/>
  <c r="Q218" i="25"/>
  <c r="Q226" i="25"/>
  <c r="Q234" i="25"/>
  <c r="Q242" i="25"/>
  <c r="Q250" i="25"/>
  <c r="Q258" i="25"/>
  <c r="Q266" i="25"/>
  <c r="Q274" i="25"/>
  <c r="Q282" i="25"/>
  <c r="Q290" i="25"/>
  <c r="Q298" i="25"/>
  <c r="Q306" i="25"/>
  <c r="Q314" i="25"/>
  <c r="Q322" i="25"/>
  <c r="Q330" i="25"/>
  <c r="Q338" i="25"/>
  <c r="Q346" i="25"/>
  <c r="Q354" i="25"/>
  <c r="Q362" i="25"/>
  <c r="Q370" i="25"/>
  <c r="Q378" i="25"/>
  <c r="Q386" i="25"/>
  <c r="Q394" i="25"/>
  <c r="Q402" i="25"/>
  <c r="Q410" i="25"/>
  <c r="Q418" i="25"/>
  <c r="Q426" i="25"/>
  <c r="Q434" i="25"/>
  <c r="Q442" i="25"/>
  <c r="Q450" i="25"/>
  <c r="Q458" i="25"/>
  <c r="Q466" i="25"/>
  <c r="Q474" i="25"/>
  <c r="Q482" i="25"/>
  <c r="Q490" i="25"/>
  <c r="Q498" i="25"/>
  <c r="Q506" i="25"/>
  <c r="Q514" i="25"/>
  <c r="Q522" i="25"/>
  <c r="Q530" i="25"/>
  <c r="Q538" i="25"/>
  <c r="Q546" i="25"/>
  <c r="Q554" i="25"/>
  <c r="Q562" i="25"/>
  <c r="Q570" i="25"/>
  <c r="Q578" i="25"/>
  <c r="Q586" i="25"/>
  <c r="Q594" i="25"/>
  <c r="Q602" i="25"/>
  <c r="Q610" i="25"/>
  <c r="Q618" i="25"/>
  <c r="Q626" i="25"/>
  <c r="Q634" i="25"/>
  <c r="Q642" i="25"/>
  <c r="Q650" i="25"/>
  <c r="Q658" i="25"/>
  <c r="Q666" i="25"/>
  <c r="Q674" i="25"/>
  <c r="Q682" i="25"/>
  <c r="Q690" i="25"/>
  <c r="Q698" i="25"/>
  <c r="Q706" i="25"/>
  <c r="Q714" i="25"/>
  <c r="Q43" i="25"/>
  <c r="Q51" i="25"/>
  <c r="Q59" i="25"/>
  <c r="Q67" i="25"/>
  <c r="Q75" i="25"/>
  <c r="Q83" i="25"/>
  <c r="Q91" i="25"/>
  <c r="Q99" i="25"/>
  <c r="Q107" i="25"/>
  <c r="Q115" i="25"/>
  <c r="Q123" i="25"/>
  <c r="Q131" i="25"/>
  <c r="Q139" i="25"/>
  <c r="Q147" i="25"/>
  <c r="Q155" i="25"/>
  <c r="Q163" i="25"/>
  <c r="Q171" i="25"/>
  <c r="Q179" i="25"/>
  <c r="Q187" i="25"/>
  <c r="Q195" i="25"/>
  <c r="Q203" i="25"/>
  <c r="Q211" i="25"/>
  <c r="Q219" i="25"/>
  <c r="Q227" i="25"/>
  <c r="Q235" i="25"/>
  <c r="Q243" i="25"/>
  <c r="Q251" i="25"/>
  <c r="Q259" i="25"/>
  <c r="Q267" i="25"/>
  <c r="Q275" i="25"/>
  <c r="Q283" i="25"/>
  <c r="Q291" i="25"/>
  <c r="Q299" i="25"/>
  <c r="Q307" i="25"/>
  <c r="Q315" i="25"/>
  <c r="Q323" i="25"/>
  <c r="Q331" i="25"/>
  <c r="Q339" i="25"/>
  <c r="Q347" i="25"/>
  <c r="Q355" i="25"/>
  <c r="Q363" i="25"/>
  <c r="Q371" i="25"/>
  <c r="Q379" i="25"/>
  <c r="Q387" i="25"/>
  <c r="Q395" i="25"/>
  <c r="Q403" i="25"/>
  <c r="Q411" i="25"/>
  <c r="Q419" i="25"/>
  <c r="Q427" i="25"/>
  <c r="Q435" i="25"/>
  <c r="Q443" i="25"/>
  <c r="Q451" i="25"/>
  <c r="Q459" i="25"/>
  <c r="Q467" i="25"/>
  <c r="Q475" i="25"/>
  <c r="Q483" i="25"/>
  <c r="Q491" i="25"/>
  <c r="Q499" i="25"/>
  <c r="Q507" i="25"/>
  <c r="Q515" i="25"/>
  <c r="Q523" i="25"/>
  <c r="Q531" i="25"/>
  <c r="Q539" i="25"/>
  <c r="Q547" i="25"/>
  <c r="Q555" i="25"/>
  <c r="Q563" i="25"/>
  <c r="Q571" i="25"/>
  <c r="Q579" i="25"/>
  <c r="Q587" i="25"/>
  <c r="Q595" i="25"/>
  <c r="Q603" i="25"/>
  <c r="Q611" i="25"/>
  <c r="Q619" i="25"/>
  <c r="Q627" i="25"/>
  <c r="Q635" i="25"/>
  <c r="Q643" i="25"/>
  <c r="Q651" i="25"/>
  <c r="Q659" i="25"/>
  <c r="Q667" i="25"/>
  <c r="Q675" i="25"/>
  <c r="Q683" i="25"/>
  <c r="Q691" i="25"/>
  <c r="Q699" i="25"/>
  <c r="Q707" i="25"/>
  <c r="Q715" i="25"/>
  <c r="Q44" i="25"/>
  <c r="Q52" i="25"/>
  <c r="Q60" i="25"/>
  <c r="Q68" i="25"/>
  <c r="Q76" i="25"/>
  <c r="Q84" i="25"/>
  <c r="Q92" i="25"/>
  <c r="Q100" i="25"/>
  <c r="Q108" i="25"/>
  <c r="Q116" i="25"/>
  <c r="Q124" i="25"/>
  <c r="Q132" i="25"/>
  <c r="Q140" i="25"/>
  <c r="Q148" i="25"/>
  <c r="Q156" i="25"/>
  <c r="Q164" i="25"/>
  <c r="Q172" i="25"/>
  <c r="Q180" i="25"/>
  <c r="Q188" i="25"/>
  <c r="Q196" i="25"/>
  <c r="Q204" i="25"/>
  <c r="Q212" i="25"/>
  <c r="Q220" i="25"/>
  <c r="Q228" i="25"/>
  <c r="Q236" i="25"/>
  <c r="Q244" i="25"/>
  <c r="Q252" i="25"/>
  <c r="Q260" i="25"/>
  <c r="Q268" i="25"/>
  <c r="Q276" i="25"/>
  <c r="Q284" i="25"/>
  <c r="Q292" i="25"/>
  <c r="Q300" i="25"/>
  <c r="Q308" i="25"/>
  <c r="Q316" i="25"/>
  <c r="Q324" i="25"/>
  <c r="Q332" i="25"/>
  <c r="Q340" i="25"/>
  <c r="Q348" i="25"/>
  <c r="Q356" i="25"/>
  <c r="Q364" i="25"/>
  <c r="Q372" i="25"/>
  <c r="Q380" i="25"/>
  <c r="Q388" i="25"/>
  <c r="Q396" i="25"/>
  <c r="Q404" i="25"/>
  <c r="Q412" i="25"/>
  <c r="Q420" i="25"/>
  <c r="Q428" i="25"/>
  <c r="Q436" i="25"/>
  <c r="Q444" i="25"/>
  <c r="Q452" i="25"/>
  <c r="Q460" i="25"/>
  <c r="Q468" i="25"/>
  <c r="Q476" i="25"/>
  <c r="Q484" i="25"/>
  <c r="Q492" i="25"/>
  <c r="Q500" i="25"/>
  <c r="Q508" i="25"/>
  <c r="Q516" i="25"/>
  <c r="Q524" i="25"/>
  <c r="Q532" i="25"/>
  <c r="Q540" i="25"/>
  <c r="Q548" i="25"/>
  <c r="Q556" i="25"/>
  <c r="Q564" i="25"/>
  <c r="Q572" i="25"/>
  <c r="Q580" i="25"/>
  <c r="Q588" i="25"/>
  <c r="Q596" i="25"/>
  <c r="Q604" i="25"/>
  <c r="Q612" i="25"/>
  <c r="Q620" i="25"/>
  <c r="Q628" i="25"/>
  <c r="Q636" i="25"/>
  <c r="Q644" i="25"/>
  <c r="Q652" i="25"/>
  <c r="Q660" i="25"/>
  <c r="Q668" i="25"/>
  <c r="Q676" i="25"/>
  <c r="Q684" i="25"/>
  <c r="Q692" i="25"/>
  <c r="Q700" i="25"/>
  <c r="Q708" i="25"/>
  <c r="Q716" i="25"/>
  <c r="Q45" i="25"/>
  <c r="Q53" i="25"/>
  <c r="Q61" i="25"/>
  <c r="Q69" i="25"/>
  <c r="Q77" i="25"/>
  <c r="Q85" i="25"/>
  <c r="Q93" i="25"/>
  <c r="Q101" i="25"/>
  <c r="Q109" i="25"/>
  <c r="Q117" i="25"/>
  <c r="Q125" i="25"/>
  <c r="Q133" i="25"/>
  <c r="Q141" i="25"/>
  <c r="Q149" i="25"/>
  <c r="Q157" i="25"/>
  <c r="Q165" i="25"/>
  <c r="Q173" i="25"/>
  <c r="Q181" i="25"/>
  <c r="Q189" i="25"/>
  <c r="Q197" i="25"/>
  <c r="Q205" i="25"/>
  <c r="Q213" i="25"/>
  <c r="Q221" i="25"/>
  <c r="Q229" i="25"/>
  <c r="Q237" i="25"/>
  <c r="Q245" i="25"/>
  <c r="Q253" i="25"/>
  <c r="Q261" i="25"/>
  <c r="Q269" i="25"/>
  <c r="Q277" i="25"/>
  <c r="Q285" i="25"/>
  <c r="Q293" i="25"/>
  <c r="Q301" i="25"/>
  <c r="Q309" i="25"/>
  <c r="Q317" i="25"/>
  <c r="Q325" i="25"/>
  <c r="Q333" i="25"/>
  <c r="Q341" i="25"/>
  <c r="Q349" i="25"/>
  <c r="Q357" i="25"/>
  <c r="Q365" i="25"/>
  <c r="Q373" i="25"/>
  <c r="Q381" i="25"/>
  <c r="Q389" i="25"/>
  <c r="Q397" i="25"/>
  <c r="Q405" i="25"/>
  <c r="Q413" i="25"/>
  <c r="Q421" i="25"/>
  <c r="Q429" i="25"/>
  <c r="Q437" i="25"/>
  <c r="Q445" i="25"/>
  <c r="Q453" i="25"/>
  <c r="Q461" i="25"/>
  <c r="Q469" i="25"/>
  <c r="Q477" i="25"/>
  <c r="Q485" i="25"/>
  <c r="Q493" i="25"/>
  <c r="Q501" i="25"/>
  <c r="Q509" i="25"/>
  <c r="Q517" i="25"/>
  <c r="Q525" i="25"/>
  <c r="Q533" i="25"/>
  <c r="Q541" i="25"/>
  <c r="Q549" i="25"/>
  <c r="Q557" i="25"/>
  <c r="Q565" i="25"/>
  <c r="Q573" i="25"/>
  <c r="Q581" i="25"/>
  <c r="Q589" i="25"/>
  <c r="Q597" i="25"/>
  <c r="Q605" i="25"/>
  <c r="Q613" i="25"/>
  <c r="Q621" i="25"/>
  <c r="Q629" i="25"/>
  <c r="Q637" i="25"/>
  <c r="Q645" i="25"/>
  <c r="Q653" i="25"/>
  <c r="Q661" i="25"/>
  <c r="Q669" i="25"/>
  <c r="Q677" i="25"/>
  <c r="Q685" i="25"/>
  <c r="Q693" i="25"/>
  <c r="Q701" i="25"/>
  <c r="Q709" i="25"/>
  <c r="Q717" i="25"/>
  <c r="Q46" i="25"/>
  <c r="Q54" i="25"/>
  <c r="Q62" i="25"/>
  <c r="Q70" i="25"/>
  <c r="Q78" i="25"/>
  <c r="Q86" i="25"/>
  <c r="Q94" i="25"/>
  <c r="Q102" i="25"/>
  <c r="Q110" i="25"/>
  <c r="Q118" i="25"/>
  <c r="Q126" i="25"/>
  <c r="Q134" i="25"/>
  <c r="Q142" i="25"/>
  <c r="Q150" i="25"/>
  <c r="Q158" i="25"/>
  <c r="Q166" i="25"/>
  <c r="Q174" i="25"/>
  <c r="Q182" i="25"/>
  <c r="Q190" i="25"/>
  <c r="Q198" i="25"/>
  <c r="Q206" i="25"/>
  <c r="Q214" i="25"/>
  <c r="Q222" i="25"/>
  <c r="Q230" i="25"/>
  <c r="Q238" i="25"/>
  <c r="Q246" i="25"/>
  <c r="Q254" i="25"/>
  <c r="Q262" i="25"/>
  <c r="Q270" i="25"/>
  <c r="Q278" i="25"/>
  <c r="Q286" i="25"/>
  <c r="Q294" i="25"/>
  <c r="Q302" i="25"/>
  <c r="Q310" i="25"/>
  <c r="Q318" i="25"/>
  <c r="Q326" i="25"/>
  <c r="Q334" i="25"/>
  <c r="Q342" i="25"/>
  <c r="Q350" i="25"/>
  <c r="Q358" i="25"/>
  <c r="Q366" i="25"/>
  <c r="Q374" i="25"/>
  <c r="Q382" i="25"/>
  <c r="Q390" i="25"/>
  <c r="Q398" i="25"/>
  <c r="Q406" i="25"/>
  <c r="Q414" i="25"/>
  <c r="Q422" i="25"/>
  <c r="Q430" i="25"/>
  <c r="Q438" i="25"/>
  <c r="Q446" i="25"/>
  <c r="Q454" i="25"/>
  <c r="Q462" i="25"/>
  <c r="Q470" i="25"/>
  <c r="Q478" i="25"/>
  <c r="Q486" i="25"/>
  <c r="Q494" i="25"/>
  <c r="Q502" i="25"/>
  <c r="Q510" i="25"/>
  <c r="Q518" i="25"/>
  <c r="Q526" i="25"/>
  <c r="Q534" i="25"/>
  <c r="Q542" i="25"/>
  <c r="Q550" i="25"/>
  <c r="Q558" i="25"/>
  <c r="Q566" i="25"/>
  <c r="Q574" i="25"/>
  <c r="Q582" i="25"/>
  <c r="Q590" i="25"/>
  <c r="Q598" i="25"/>
  <c r="Q606" i="25"/>
  <c r="Q614" i="25"/>
  <c r="Q622" i="25"/>
  <c r="Q630" i="25"/>
  <c r="Q638" i="25"/>
  <c r="Q646" i="25"/>
  <c r="Q654" i="25"/>
  <c r="Q662" i="25"/>
  <c r="Q670" i="25"/>
  <c r="Q678" i="25"/>
  <c r="Q686" i="25"/>
  <c r="Q694" i="25"/>
  <c r="Q702" i="25"/>
  <c r="Q710" i="25"/>
  <c r="Q718" i="25"/>
  <c r="Q47" i="25"/>
  <c r="Q55" i="25"/>
  <c r="Q63" i="25"/>
  <c r="Q71" i="25"/>
  <c r="Q79" i="25"/>
  <c r="Q87" i="25"/>
  <c r="Q95" i="25"/>
  <c r="Q103" i="25"/>
  <c r="Q111" i="25"/>
  <c r="Q119" i="25"/>
  <c r="Q127" i="25"/>
  <c r="Q135" i="25"/>
  <c r="Q143" i="25"/>
  <c r="Q151" i="25"/>
  <c r="Q159" i="25"/>
  <c r="Q167" i="25"/>
  <c r="Q175" i="25"/>
  <c r="Q183" i="25"/>
  <c r="Q191" i="25"/>
  <c r="Q199" i="25"/>
  <c r="Q207" i="25"/>
  <c r="Q215" i="25"/>
  <c r="Q223" i="25"/>
  <c r="Q231" i="25"/>
  <c r="Q239" i="25"/>
  <c r="Q247" i="25"/>
  <c r="Q255" i="25"/>
  <c r="Q263" i="25"/>
  <c r="Q271" i="25"/>
  <c r="Q279" i="25"/>
  <c r="Q287" i="25"/>
  <c r="Q295" i="25"/>
  <c r="Q303" i="25"/>
  <c r="Q311" i="25"/>
  <c r="Q319" i="25"/>
  <c r="Q327" i="25"/>
  <c r="Q335" i="25"/>
  <c r="Q343" i="25"/>
  <c r="Q351" i="25"/>
  <c r="Q359" i="25"/>
  <c r="Q367" i="25"/>
  <c r="Q375" i="25"/>
  <c r="Q383" i="25"/>
  <c r="Q391" i="25"/>
  <c r="Q399" i="25"/>
  <c r="Q407" i="25"/>
  <c r="Q415" i="25"/>
  <c r="Q423" i="25"/>
  <c r="Q431" i="25"/>
  <c r="Q439" i="25"/>
  <c r="Q447" i="25"/>
  <c r="Q455" i="25"/>
  <c r="Q463" i="25"/>
  <c r="Q471" i="25"/>
  <c r="Q479" i="25"/>
  <c r="Q487" i="25"/>
  <c r="Q495" i="25"/>
  <c r="Q503" i="25"/>
  <c r="Q511" i="25"/>
  <c r="Q519" i="25"/>
  <c r="Q527" i="25"/>
  <c r="Q535" i="25"/>
  <c r="Q543" i="25"/>
  <c r="Q551" i="25"/>
  <c r="Q559" i="25"/>
  <c r="Q567" i="25"/>
  <c r="Q575" i="25"/>
  <c r="Q583" i="25"/>
  <c r="Q591" i="25"/>
  <c r="Q599" i="25"/>
  <c r="Q607" i="25"/>
  <c r="Q615" i="25"/>
  <c r="Q623" i="25"/>
  <c r="Q631" i="25"/>
  <c r="Q639" i="25"/>
  <c r="Q647" i="25"/>
  <c r="Q655" i="25"/>
  <c r="Q663" i="25"/>
  <c r="Q671" i="25"/>
  <c r="Q679" i="25"/>
  <c r="Q687" i="25"/>
  <c r="Q695" i="25"/>
  <c r="Q703" i="25"/>
  <c r="Q711" i="25"/>
  <c r="Q719" i="25"/>
  <c r="Q48" i="25"/>
  <c r="Q56" i="25"/>
  <c r="Q64" i="25"/>
  <c r="Q72" i="25"/>
  <c r="Q80" i="25"/>
  <c r="Q88" i="25"/>
  <c r="Q96" i="25"/>
  <c r="Q104" i="25"/>
  <c r="Q112" i="25"/>
  <c r="Q120" i="25"/>
  <c r="Q128" i="25"/>
  <c r="Q136" i="25"/>
  <c r="Q144" i="25"/>
  <c r="Q152" i="25"/>
  <c r="Q160" i="25"/>
  <c r="Q168" i="25"/>
  <c r="Q176" i="25"/>
  <c r="Q184" i="25"/>
  <c r="Q192" i="25"/>
  <c r="Q200" i="25"/>
  <c r="Q208" i="25"/>
  <c r="Q216" i="25"/>
  <c r="Q224" i="25"/>
  <c r="Q232" i="25"/>
  <c r="Q240" i="25"/>
  <c r="Q248" i="25"/>
  <c r="Q256" i="25"/>
  <c r="Q264" i="25"/>
  <c r="Q272" i="25"/>
  <c r="Q280" i="25"/>
  <c r="Q288" i="25"/>
  <c r="Q296" i="25"/>
  <c r="Q304" i="25"/>
  <c r="Q312" i="25"/>
  <c r="Q320" i="25"/>
  <c r="Q328" i="25"/>
  <c r="Q336" i="25"/>
  <c r="Q344" i="25"/>
  <c r="Q352" i="25"/>
  <c r="Q360" i="25"/>
  <c r="Q368" i="25"/>
  <c r="Q376" i="25"/>
  <c r="Q384" i="25"/>
  <c r="Q392" i="25"/>
  <c r="Q400" i="25"/>
  <c r="Q408" i="25"/>
  <c r="Q416" i="25"/>
  <c r="Q424" i="25"/>
  <c r="Q432" i="25"/>
  <c r="Q440" i="25"/>
  <c r="Q448" i="25"/>
  <c r="Q456" i="25"/>
  <c r="Q464" i="25"/>
  <c r="Q472" i="25"/>
  <c r="Q480" i="25"/>
  <c r="Q488" i="25"/>
  <c r="Q496" i="25"/>
  <c r="Q504" i="25"/>
  <c r="Q512" i="25"/>
  <c r="Q520" i="25"/>
  <c r="Q528" i="25"/>
  <c r="Q536" i="25"/>
  <c r="Q544" i="25"/>
  <c r="Q552" i="25"/>
  <c r="Q560" i="25"/>
  <c r="Q568" i="25"/>
  <c r="Q576" i="25"/>
  <c r="Q584" i="25"/>
  <c r="Q592" i="25"/>
  <c r="Q600" i="25"/>
  <c r="Q608" i="25"/>
  <c r="Q616" i="25"/>
  <c r="Q624" i="25"/>
  <c r="Q632" i="25"/>
  <c r="Q640" i="25"/>
  <c r="Q648" i="25"/>
  <c r="Q656" i="25"/>
  <c r="Q664" i="25"/>
  <c r="Q672" i="25"/>
  <c r="Q680" i="25"/>
  <c r="Q688" i="25"/>
  <c r="Q696" i="25"/>
  <c r="Q704" i="25"/>
  <c r="Q712" i="25"/>
  <c r="Q720" i="25"/>
  <c r="Q721" i="25"/>
  <c r="Q729" i="25"/>
  <c r="Q737" i="25"/>
  <c r="Q745" i="25"/>
  <c r="Q753" i="25"/>
  <c r="Q761" i="25"/>
  <c r="Q769" i="25"/>
  <c r="Q777" i="25"/>
  <c r="Q785" i="25"/>
  <c r="Q793" i="25"/>
  <c r="Q801" i="25"/>
  <c r="Q809" i="25"/>
  <c r="Q817" i="25"/>
  <c r="Q825" i="25"/>
  <c r="Q833" i="25"/>
  <c r="Q841" i="25"/>
  <c r="Q849" i="25"/>
  <c r="Q857" i="25"/>
  <c r="Q865" i="25"/>
  <c r="Q873" i="25"/>
  <c r="Q881" i="25"/>
  <c r="Q889" i="25"/>
  <c r="Q897" i="25"/>
  <c r="Q905" i="25"/>
  <c r="Q913" i="25"/>
  <c r="Q921" i="25"/>
  <c r="Q929" i="25"/>
  <c r="Q937" i="25"/>
  <c r="Q945" i="25"/>
  <c r="Q953" i="25"/>
  <c r="Q961" i="25"/>
  <c r="Q969" i="25"/>
  <c r="Q977" i="25"/>
  <c r="Q985" i="25"/>
  <c r="Q993" i="25"/>
  <c r="Q1001" i="25"/>
  <c r="Q1009" i="25"/>
  <c r="Q1017" i="25"/>
  <c r="Q1025" i="25"/>
  <c r="Q1033" i="25"/>
  <c r="P41" i="25"/>
  <c r="P49" i="25"/>
  <c r="P57" i="25"/>
  <c r="P65" i="25"/>
  <c r="P73" i="25"/>
  <c r="P81" i="25"/>
  <c r="P89" i="25"/>
  <c r="P97" i="25"/>
  <c r="P105" i="25"/>
  <c r="P113" i="25"/>
  <c r="P121" i="25"/>
  <c r="P129" i="25"/>
  <c r="P137" i="25"/>
  <c r="P145" i="25"/>
  <c r="P153" i="25"/>
  <c r="P161" i="25"/>
  <c r="P169" i="25"/>
  <c r="P177" i="25"/>
  <c r="P185" i="25"/>
  <c r="P193" i="25"/>
  <c r="P201" i="25"/>
  <c r="P209" i="25"/>
  <c r="P217" i="25"/>
  <c r="P225" i="25"/>
  <c r="P233" i="25"/>
  <c r="P241" i="25"/>
  <c r="P249" i="25"/>
  <c r="P257" i="25"/>
  <c r="P265" i="25"/>
  <c r="P273" i="25"/>
  <c r="P281" i="25"/>
  <c r="P289" i="25"/>
  <c r="P297" i="25"/>
  <c r="P305" i="25"/>
  <c r="P313" i="25"/>
  <c r="P321" i="25"/>
  <c r="P329" i="25"/>
  <c r="P337" i="25"/>
  <c r="P345" i="25"/>
  <c r="P353" i="25"/>
  <c r="P361" i="25"/>
  <c r="P369" i="25"/>
  <c r="P377" i="25"/>
  <c r="P385" i="25"/>
  <c r="P393" i="25"/>
  <c r="P401" i="25"/>
  <c r="Q722" i="25"/>
  <c r="Q730" i="25"/>
  <c r="Q738" i="25"/>
  <c r="Q746" i="25"/>
  <c r="Q754" i="25"/>
  <c r="Q762" i="25"/>
  <c r="Q770" i="25"/>
  <c r="Q778" i="25"/>
  <c r="Q786" i="25"/>
  <c r="Q794" i="25"/>
  <c r="Q802" i="25"/>
  <c r="Q810" i="25"/>
  <c r="Q818" i="25"/>
  <c r="Q826" i="25"/>
  <c r="Q834" i="25"/>
  <c r="Q842" i="25"/>
  <c r="Q850" i="25"/>
  <c r="Q858" i="25"/>
  <c r="Q866" i="25"/>
  <c r="Q874" i="25"/>
  <c r="Q882" i="25"/>
  <c r="Q890" i="25"/>
  <c r="Q898" i="25"/>
  <c r="Q906" i="25"/>
  <c r="Q914" i="25"/>
  <c r="Q922" i="25"/>
  <c r="Q930" i="25"/>
  <c r="Q938" i="25"/>
  <c r="Q946" i="25"/>
  <c r="Q954" i="25"/>
  <c r="Q962" i="25"/>
  <c r="Q970" i="25"/>
  <c r="Q978" i="25"/>
  <c r="Q986" i="25"/>
  <c r="Q994" i="25"/>
  <c r="Q1002" i="25"/>
  <c r="Q1010" i="25"/>
  <c r="Q1018" i="25"/>
  <c r="Q1026" i="25"/>
  <c r="Q1034" i="25"/>
  <c r="P42" i="25"/>
  <c r="P50" i="25"/>
  <c r="P58" i="25"/>
  <c r="P66" i="25"/>
  <c r="P74" i="25"/>
  <c r="P82" i="25"/>
  <c r="P90" i="25"/>
  <c r="P98" i="25"/>
  <c r="P106" i="25"/>
  <c r="P114" i="25"/>
  <c r="P122" i="25"/>
  <c r="P130" i="25"/>
  <c r="P138" i="25"/>
  <c r="P146" i="25"/>
  <c r="P154" i="25"/>
  <c r="P162" i="25"/>
  <c r="P170" i="25"/>
  <c r="P178" i="25"/>
  <c r="P186" i="25"/>
  <c r="P194" i="25"/>
  <c r="P202" i="25"/>
  <c r="P210" i="25"/>
  <c r="P218" i="25"/>
  <c r="P226" i="25"/>
  <c r="P234" i="25"/>
  <c r="P242" i="25"/>
  <c r="P250" i="25"/>
  <c r="P258" i="25"/>
  <c r="P266" i="25"/>
  <c r="P274" i="25"/>
  <c r="P282" i="25"/>
  <c r="P290" i="25"/>
  <c r="P298" i="25"/>
  <c r="P306" i="25"/>
  <c r="P314" i="25"/>
  <c r="P322" i="25"/>
  <c r="P330" i="25"/>
  <c r="P338" i="25"/>
  <c r="P346" i="25"/>
  <c r="P354" i="25"/>
  <c r="P362" i="25"/>
  <c r="P370" i="25"/>
  <c r="P378" i="25"/>
  <c r="P386" i="25"/>
  <c r="P394" i="25"/>
  <c r="Q723" i="25"/>
  <c r="Q731" i="25"/>
  <c r="Q739" i="25"/>
  <c r="Q747" i="25"/>
  <c r="Q755" i="25"/>
  <c r="Q763" i="25"/>
  <c r="Q771" i="25"/>
  <c r="Q779" i="25"/>
  <c r="Q787" i="25"/>
  <c r="Q795" i="25"/>
  <c r="Q803" i="25"/>
  <c r="Q811" i="25"/>
  <c r="Q819" i="25"/>
  <c r="Q827" i="25"/>
  <c r="Q835" i="25"/>
  <c r="Q843" i="25"/>
  <c r="Q851" i="25"/>
  <c r="Q859" i="25"/>
  <c r="Q867" i="25"/>
  <c r="Q875" i="25"/>
  <c r="Q883" i="25"/>
  <c r="Q891" i="25"/>
  <c r="Q899" i="25"/>
  <c r="Q907" i="25"/>
  <c r="Q915" i="25"/>
  <c r="Q923" i="25"/>
  <c r="Q931" i="25"/>
  <c r="Q939" i="25"/>
  <c r="Q947" i="25"/>
  <c r="Q955" i="25"/>
  <c r="Q963" i="25"/>
  <c r="Q971" i="25"/>
  <c r="Q979" i="25"/>
  <c r="Q987" i="25"/>
  <c r="Q995" i="25"/>
  <c r="Q1003" i="25"/>
  <c r="Q1011" i="25"/>
  <c r="Q1019" i="25"/>
  <c r="Q1027" i="25"/>
  <c r="Q1035" i="25"/>
  <c r="P43" i="25"/>
  <c r="P51" i="25"/>
  <c r="P59" i="25"/>
  <c r="P67" i="25"/>
  <c r="P75" i="25"/>
  <c r="P83" i="25"/>
  <c r="P91" i="25"/>
  <c r="P99" i="25"/>
  <c r="P107" i="25"/>
  <c r="P115" i="25"/>
  <c r="P123" i="25"/>
  <c r="P131" i="25"/>
  <c r="P139" i="25"/>
  <c r="P147" i="25"/>
  <c r="P155" i="25"/>
  <c r="P163" i="25"/>
  <c r="P171" i="25"/>
  <c r="P179" i="25"/>
  <c r="P187" i="25"/>
  <c r="P195" i="25"/>
  <c r="P203" i="25"/>
  <c r="P211" i="25"/>
  <c r="P219" i="25"/>
  <c r="P227" i="25"/>
  <c r="P235" i="25"/>
  <c r="P243" i="25"/>
  <c r="P251" i="25"/>
  <c r="P259" i="25"/>
  <c r="P267" i="25"/>
  <c r="P275" i="25"/>
  <c r="P283" i="25"/>
  <c r="P291" i="25"/>
  <c r="P299" i="25"/>
  <c r="P307" i="25"/>
  <c r="P315" i="25"/>
  <c r="P323" i="25"/>
  <c r="P331" i="25"/>
  <c r="P339" i="25"/>
  <c r="P347" i="25"/>
  <c r="P355" i="25"/>
  <c r="P363" i="25"/>
  <c r="P371" i="25"/>
  <c r="P379" i="25"/>
  <c r="P387" i="25"/>
  <c r="P395" i="25"/>
  <c r="Q724" i="25"/>
  <c r="Q732" i="25"/>
  <c r="Q740" i="25"/>
  <c r="Q748" i="25"/>
  <c r="Q756" i="25"/>
  <c r="Q764" i="25"/>
  <c r="Q772" i="25"/>
  <c r="Q780" i="25"/>
  <c r="Q788" i="25"/>
  <c r="Q796" i="25"/>
  <c r="Q804" i="25"/>
  <c r="Q812" i="25"/>
  <c r="Q820" i="25"/>
  <c r="Q828" i="25"/>
  <c r="Q836" i="25"/>
  <c r="Q844" i="25"/>
  <c r="Q852" i="25"/>
  <c r="Q860" i="25"/>
  <c r="Q868" i="25"/>
  <c r="Q876" i="25"/>
  <c r="Q884" i="25"/>
  <c r="Q892" i="25"/>
  <c r="Q900" i="25"/>
  <c r="Q908" i="25"/>
  <c r="Q916" i="25"/>
  <c r="Q924" i="25"/>
  <c r="Q932" i="25"/>
  <c r="Q940" i="25"/>
  <c r="Q948" i="25"/>
  <c r="Q956" i="25"/>
  <c r="Q964" i="25"/>
  <c r="Q972" i="25"/>
  <c r="Q980" i="25"/>
  <c r="Q988" i="25"/>
  <c r="Q996" i="25"/>
  <c r="Q1004" i="25"/>
  <c r="Q1012" i="25"/>
  <c r="Q1020" i="25"/>
  <c r="Q1028" i="25"/>
  <c r="Q1036" i="25"/>
  <c r="P44" i="25"/>
  <c r="P52" i="25"/>
  <c r="P60" i="25"/>
  <c r="P68" i="25"/>
  <c r="P76" i="25"/>
  <c r="P84" i="25"/>
  <c r="P92" i="25"/>
  <c r="P100" i="25"/>
  <c r="P108" i="25"/>
  <c r="P116" i="25"/>
  <c r="P124" i="25"/>
  <c r="P132" i="25"/>
  <c r="P140" i="25"/>
  <c r="P148" i="25"/>
  <c r="P156" i="25"/>
  <c r="P164" i="25"/>
  <c r="P172" i="25"/>
  <c r="P180" i="25"/>
  <c r="P188" i="25"/>
  <c r="P196" i="25"/>
  <c r="P204" i="25"/>
  <c r="P212" i="25"/>
  <c r="P220" i="25"/>
  <c r="P228" i="25"/>
  <c r="P236" i="25"/>
  <c r="P244" i="25"/>
  <c r="P252" i="25"/>
  <c r="P260" i="25"/>
  <c r="P268" i="25"/>
  <c r="P276" i="25"/>
  <c r="P284" i="25"/>
  <c r="P292" i="25"/>
  <c r="P300" i="25"/>
  <c r="P308" i="25"/>
  <c r="P316" i="25"/>
  <c r="P324" i="25"/>
  <c r="P332" i="25"/>
  <c r="P340" i="25"/>
  <c r="P348" i="25"/>
  <c r="P356" i="25"/>
  <c r="P364" i="25"/>
  <c r="P372" i="25"/>
  <c r="P380" i="25"/>
  <c r="P388" i="25"/>
  <c r="P396" i="25"/>
  <c r="Q725" i="25"/>
  <c r="Q733" i="25"/>
  <c r="Q741" i="25"/>
  <c r="Q749" i="25"/>
  <c r="Q757" i="25"/>
  <c r="Q765" i="25"/>
  <c r="Q773" i="25"/>
  <c r="Q781" i="25"/>
  <c r="Q789" i="25"/>
  <c r="Q797" i="25"/>
  <c r="Q805" i="25"/>
  <c r="Q813" i="25"/>
  <c r="Q821" i="25"/>
  <c r="Q829" i="25"/>
  <c r="Q837" i="25"/>
  <c r="Q845" i="25"/>
  <c r="Q853" i="25"/>
  <c r="Q861" i="25"/>
  <c r="Q869" i="25"/>
  <c r="Q877" i="25"/>
  <c r="Q885" i="25"/>
  <c r="Q893" i="25"/>
  <c r="Q901" i="25"/>
  <c r="Q909" i="25"/>
  <c r="Q917" i="25"/>
  <c r="Q925" i="25"/>
  <c r="Q933" i="25"/>
  <c r="Q941" i="25"/>
  <c r="Q949" i="25"/>
  <c r="Q957" i="25"/>
  <c r="Q965" i="25"/>
  <c r="Q973" i="25"/>
  <c r="Q981" i="25"/>
  <c r="Q989" i="25"/>
  <c r="Q997" i="25"/>
  <c r="Q1005" i="25"/>
  <c r="Q1013" i="25"/>
  <c r="Q1021" i="25"/>
  <c r="Q1029" i="25"/>
  <c r="Q1037" i="25"/>
  <c r="P45" i="25"/>
  <c r="P53" i="25"/>
  <c r="P61" i="25"/>
  <c r="P69" i="25"/>
  <c r="P77" i="25"/>
  <c r="P85" i="25"/>
  <c r="P93" i="25"/>
  <c r="P101" i="25"/>
  <c r="P109" i="25"/>
  <c r="P117" i="25"/>
  <c r="P125" i="25"/>
  <c r="P133" i="25"/>
  <c r="P141" i="25"/>
  <c r="P149" i="25"/>
  <c r="P157" i="25"/>
  <c r="P165" i="25"/>
  <c r="P173" i="25"/>
  <c r="P181" i="25"/>
  <c r="P189" i="25"/>
  <c r="P197" i="25"/>
  <c r="P205" i="25"/>
  <c r="P213" i="25"/>
  <c r="P221" i="25"/>
  <c r="P229" i="25"/>
  <c r="P237" i="25"/>
  <c r="P245" i="25"/>
  <c r="P253" i="25"/>
  <c r="P261" i="25"/>
  <c r="P269" i="25"/>
  <c r="P277" i="25"/>
  <c r="P285" i="25"/>
  <c r="P293" i="25"/>
  <c r="P301" i="25"/>
  <c r="P309" i="25"/>
  <c r="P317" i="25"/>
  <c r="P325" i="25"/>
  <c r="P333" i="25"/>
  <c r="P341" i="25"/>
  <c r="P349" i="25"/>
  <c r="P357" i="25"/>
  <c r="P365" i="25"/>
  <c r="P373" i="25"/>
  <c r="P381" i="25"/>
  <c r="P389" i="25"/>
  <c r="P397" i="25"/>
  <c r="Q726" i="25"/>
  <c r="Q734" i="25"/>
  <c r="Q742" i="25"/>
  <c r="Q750" i="25"/>
  <c r="Q758" i="25"/>
  <c r="Q766" i="25"/>
  <c r="Q774" i="25"/>
  <c r="Q782" i="25"/>
  <c r="Q790" i="25"/>
  <c r="Q798" i="25"/>
  <c r="Q806" i="25"/>
  <c r="Q814" i="25"/>
  <c r="Q822" i="25"/>
  <c r="Q830" i="25"/>
  <c r="Q838" i="25"/>
  <c r="Q846" i="25"/>
  <c r="Q854" i="25"/>
  <c r="Q862" i="25"/>
  <c r="Q870" i="25"/>
  <c r="Q878" i="25"/>
  <c r="Q886" i="25"/>
  <c r="Q894" i="25"/>
  <c r="Q902" i="25"/>
  <c r="Q910" i="25"/>
  <c r="Q918" i="25"/>
  <c r="Q926" i="25"/>
  <c r="Q934" i="25"/>
  <c r="Q942" i="25"/>
  <c r="Q950" i="25"/>
  <c r="Q958" i="25"/>
  <c r="Q966" i="25"/>
  <c r="Q974" i="25"/>
  <c r="Q982" i="25"/>
  <c r="Q990" i="25"/>
  <c r="Q998" i="25"/>
  <c r="Q1006" i="25"/>
  <c r="Q1014" i="25"/>
  <c r="Q1022" i="25"/>
  <c r="Q1030" i="25"/>
  <c r="Q1038" i="25"/>
  <c r="P46" i="25"/>
  <c r="P54" i="25"/>
  <c r="P62" i="25"/>
  <c r="P70" i="25"/>
  <c r="P78" i="25"/>
  <c r="P86" i="25"/>
  <c r="P94" i="25"/>
  <c r="P102" i="25"/>
  <c r="P110" i="25"/>
  <c r="P118" i="25"/>
  <c r="P126" i="25"/>
  <c r="P134" i="25"/>
  <c r="P142" i="25"/>
  <c r="P150" i="25"/>
  <c r="P158" i="25"/>
  <c r="P166" i="25"/>
  <c r="P174" i="25"/>
  <c r="P182" i="25"/>
  <c r="P190" i="25"/>
  <c r="P198" i="25"/>
  <c r="P206" i="25"/>
  <c r="P214" i="25"/>
  <c r="P222" i="25"/>
  <c r="P230" i="25"/>
  <c r="P238" i="25"/>
  <c r="P246" i="25"/>
  <c r="P254" i="25"/>
  <c r="P262" i="25"/>
  <c r="P270" i="25"/>
  <c r="P278" i="25"/>
  <c r="P286" i="25"/>
  <c r="P294" i="25"/>
  <c r="P302" i="25"/>
  <c r="P310" i="25"/>
  <c r="P318" i="25"/>
  <c r="P326" i="25"/>
  <c r="P334" i="25"/>
  <c r="P342" i="25"/>
  <c r="P350" i="25"/>
  <c r="P358" i="25"/>
  <c r="P366" i="25"/>
  <c r="P374" i="25"/>
  <c r="P382" i="25"/>
  <c r="P390" i="25"/>
  <c r="P398" i="25"/>
  <c r="Q727" i="25"/>
  <c r="Q735" i="25"/>
  <c r="Q743" i="25"/>
  <c r="Q751" i="25"/>
  <c r="Q759" i="25"/>
  <c r="Q767" i="25"/>
  <c r="Q775" i="25"/>
  <c r="Q783" i="25"/>
  <c r="Q791" i="25"/>
  <c r="Q799" i="25"/>
  <c r="Q807" i="25"/>
  <c r="Q815" i="25"/>
  <c r="Q823" i="25"/>
  <c r="Q831" i="25"/>
  <c r="Q839" i="25"/>
  <c r="Q847" i="25"/>
  <c r="Q855" i="25"/>
  <c r="Q863" i="25"/>
  <c r="Q871" i="25"/>
  <c r="Q879" i="25"/>
  <c r="Q887" i="25"/>
  <c r="Q895" i="25"/>
  <c r="Q903" i="25"/>
  <c r="Q911" i="25"/>
  <c r="Q919" i="25"/>
  <c r="Q927" i="25"/>
  <c r="Q935" i="25"/>
  <c r="Q943" i="25"/>
  <c r="Q951" i="25"/>
  <c r="Q959" i="25"/>
  <c r="Q967" i="25"/>
  <c r="Q975" i="25"/>
  <c r="Q983" i="25"/>
  <c r="Q991" i="25"/>
  <c r="Q999" i="25"/>
  <c r="Q1007" i="25"/>
  <c r="Q1015" i="25"/>
  <c r="Q1023" i="25"/>
  <c r="Q1031" i="25"/>
  <c r="Q1039" i="25"/>
  <c r="P47" i="25"/>
  <c r="P55" i="25"/>
  <c r="P63" i="25"/>
  <c r="P71" i="25"/>
  <c r="P79" i="25"/>
  <c r="P87" i="25"/>
  <c r="P95" i="25"/>
  <c r="P103" i="25"/>
  <c r="P111" i="25"/>
  <c r="P119" i="25"/>
  <c r="P127" i="25"/>
  <c r="P135" i="25"/>
  <c r="P143" i="25"/>
  <c r="P151" i="25"/>
  <c r="P159" i="25"/>
  <c r="P167" i="25"/>
  <c r="P175" i="25"/>
  <c r="P183" i="25"/>
  <c r="P191" i="25"/>
  <c r="P199" i="25"/>
  <c r="P207" i="25"/>
  <c r="P215" i="25"/>
  <c r="P223" i="25"/>
  <c r="P231" i="25"/>
  <c r="P239" i="25"/>
  <c r="P247" i="25"/>
  <c r="P255" i="25"/>
  <c r="P263" i="25"/>
  <c r="P271" i="25"/>
  <c r="P279" i="25"/>
  <c r="P287" i="25"/>
  <c r="P295" i="25"/>
  <c r="P303" i="25"/>
  <c r="P311" i="25"/>
  <c r="P319" i="25"/>
  <c r="P327" i="25"/>
  <c r="P335" i="25"/>
  <c r="P343" i="25"/>
  <c r="P351" i="25"/>
  <c r="P359" i="25"/>
  <c r="P367" i="25"/>
  <c r="P375" i="25"/>
  <c r="P383" i="25"/>
  <c r="P391" i="25"/>
  <c r="P399" i="25"/>
  <c r="Q728" i="25"/>
  <c r="Q736" i="25"/>
  <c r="Q744" i="25"/>
  <c r="Q752" i="25"/>
  <c r="Q760" i="25"/>
  <c r="Q768" i="25"/>
  <c r="Q776" i="25"/>
  <c r="Q784" i="25"/>
  <c r="Q792" i="25"/>
  <c r="Q800" i="25"/>
  <c r="Q808" i="25"/>
  <c r="Q816" i="25"/>
  <c r="Q824" i="25"/>
  <c r="Q832" i="25"/>
  <c r="Q840" i="25"/>
  <c r="Q848" i="25"/>
  <c r="Q856" i="25"/>
  <c r="Q864" i="25"/>
  <c r="Q872" i="25"/>
  <c r="Q880" i="25"/>
  <c r="Q888" i="25"/>
  <c r="Q896" i="25"/>
  <c r="Q904" i="25"/>
  <c r="Q912" i="25"/>
  <c r="Q920" i="25"/>
  <c r="Q928" i="25"/>
  <c r="Q936" i="25"/>
  <c r="Q944" i="25"/>
  <c r="Q952" i="25"/>
  <c r="Q960" i="25"/>
  <c r="Q968" i="25"/>
  <c r="Q976" i="25"/>
  <c r="Q984" i="25"/>
  <c r="Q992" i="25"/>
  <c r="Q1000" i="25"/>
  <c r="Q1008" i="25"/>
  <c r="Q1016" i="25"/>
  <c r="Q1024" i="25"/>
  <c r="Q1032" i="25"/>
  <c r="P48" i="25"/>
  <c r="P56" i="25"/>
  <c r="P64" i="25"/>
  <c r="P72" i="25"/>
  <c r="P80" i="25"/>
  <c r="P88" i="25"/>
  <c r="P96" i="25"/>
  <c r="P104" i="25"/>
  <c r="P112" i="25"/>
  <c r="P120" i="25"/>
  <c r="P128" i="25"/>
  <c r="P136" i="25"/>
  <c r="P144" i="25"/>
  <c r="P152" i="25"/>
  <c r="P160" i="25"/>
  <c r="P168" i="25"/>
  <c r="P176" i="25"/>
  <c r="P184" i="25"/>
  <c r="P192" i="25"/>
  <c r="P200" i="25"/>
  <c r="P208" i="25"/>
  <c r="P216" i="25"/>
  <c r="P224" i="25"/>
  <c r="P232" i="25"/>
  <c r="P240" i="25"/>
  <c r="P248" i="25"/>
  <c r="P256" i="25"/>
  <c r="P264" i="25"/>
  <c r="P272" i="25"/>
  <c r="P280" i="25"/>
  <c r="P288" i="25"/>
  <c r="P296" i="25"/>
  <c r="P304" i="25"/>
  <c r="P312" i="25"/>
  <c r="P320" i="25"/>
  <c r="P328" i="25"/>
  <c r="P336" i="25"/>
  <c r="P344" i="25"/>
  <c r="P352" i="25"/>
  <c r="P360" i="25"/>
  <c r="P368" i="25"/>
  <c r="P376" i="25"/>
  <c r="P384" i="25"/>
  <c r="P392" i="25"/>
  <c r="P400" i="25"/>
  <c r="P402" i="25"/>
  <c r="P410" i="25"/>
  <c r="P418" i="25"/>
  <c r="P426" i="25"/>
  <c r="P434" i="25"/>
  <c r="P442" i="25"/>
  <c r="P450" i="25"/>
  <c r="P458" i="25"/>
  <c r="P466" i="25"/>
  <c r="P474" i="25"/>
  <c r="P482" i="25"/>
  <c r="P490" i="25"/>
  <c r="P498" i="25"/>
  <c r="P506" i="25"/>
  <c r="P514" i="25"/>
  <c r="P522" i="25"/>
  <c r="P530" i="25"/>
  <c r="P538" i="25"/>
  <c r="P546" i="25"/>
  <c r="P554" i="25"/>
  <c r="P562" i="25"/>
  <c r="P570" i="25"/>
  <c r="P578" i="25"/>
  <c r="P586" i="25"/>
  <c r="P594" i="25"/>
  <c r="P602" i="25"/>
  <c r="P610" i="25"/>
  <c r="P618" i="25"/>
  <c r="P626" i="25"/>
  <c r="P634" i="25"/>
  <c r="P642" i="25"/>
  <c r="P650" i="25"/>
  <c r="P658" i="25"/>
  <c r="P666" i="25"/>
  <c r="P674" i="25"/>
  <c r="P682" i="25"/>
  <c r="P690" i="25"/>
  <c r="P698" i="25"/>
  <c r="P706" i="25"/>
  <c r="P714" i="25"/>
  <c r="P722" i="25"/>
  <c r="P730" i="25"/>
  <c r="P738" i="25"/>
  <c r="P746" i="25"/>
  <c r="P754" i="25"/>
  <c r="P762" i="25"/>
  <c r="P770" i="25"/>
  <c r="P778" i="25"/>
  <c r="P786" i="25"/>
  <c r="P794" i="25"/>
  <c r="P802" i="25"/>
  <c r="P810" i="25"/>
  <c r="P818" i="25"/>
  <c r="P826" i="25"/>
  <c r="P834" i="25"/>
  <c r="P842" i="25"/>
  <c r="P850" i="25"/>
  <c r="P858" i="25"/>
  <c r="P866" i="25"/>
  <c r="P874" i="25"/>
  <c r="P882" i="25"/>
  <c r="P890" i="25"/>
  <c r="P898" i="25"/>
  <c r="P906" i="25"/>
  <c r="P914" i="25"/>
  <c r="P922" i="25"/>
  <c r="P930" i="25"/>
  <c r="P938" i="25"/>
  <c r="P946" i="25"/>
  <c r="P954" i="25"/>
  <c r="P962" i="25"/>
  <c r="P970" i="25"/>
  <c r="P978" i="25"/>
  <c r="P986" i="25"/>
  <c r="P994" i="25"/>
  <c r="P1002" i="25"/>
  <c r="P1010" i="25"/>
  <c r="P1018" i="25"/>
  <c r="P1026" i="25"/>
  <c r="P1034" i="25"/>
  <c r="O42" i="25"/>
  <c r="O50" i="25"/>
  <c r="O58" i="25"/>
  <c r="O66" i="25"/>
  <c r="O74" i="25"/>
  <c r="O82" i="25"/>
  <c r="P403" i="25"/>
  <c r="P411" i="25"/>
  <c r="P419" i="25"/>
  <c r="P427" i="25"/>
  <c r="P435" i="25"/>
  <c r="P443" i="25"/>
  <c r="P451" i="25"/>
  <c r="P459" i="25"/>
  <c r="P467" i="25"/>
  <c r="P475" i="25"/>
  <c r="P483" i="25"/>
  <c r="P491" i="25"/>
  <c r="P499" i="25"/>
  <c r="P507" i="25"/>
  <c r="P515" i="25"/>
  <c r="P523" i="25"/>
  <c r="P531" i="25"/>
  <c r="P539" i="25"/>
  <c r="P547" i="25"/>
  <c r="P555" i="25"/>
  <c r="P563" i="25"/>
  <c r="P571" i="25"/>
  <c r="P579" i="25"/>
  <c r="P587" i="25"/>
  <c r="P595" i="25"/>
  <c r="P603" i="25"/>
  <c r="P611" i="25"/>
  <c r="P619" i="25"/>
  <c r="P627" i="25"/>
  <c r="P635" i="25"/>
  <c r="P643" i="25"/>
  <c r="P651" i="25"/>
  <c r="P659" i="25"/>
  <c r="P667" i="25"/>
  <c r="P675" i="25"/>
  <c r="P683" i="25"/>
  <c r="P691" i="25"/>
  <c r="P699" i="25"/>
  <c r="P707" i="25"/>
  <c r="P715" i="25"/>
  <c r="P723" i="25"/>
  <c r="P731" i="25"/>
  <c r="P739" i="25"/>
  <c r="P747" i="25"/>
  <c r="P755" i="25"/>
  <c r="P763" i="25"/>
  <c r="P771" i="25"/>
  <c r="P779" i="25"/>
  <c r="P787" i="25"/>
  <c r="P795" i="25"/>
  <c r="P803" i="25"/>
  <c r="P811" i="25"/>
  <c r="P819" i="25"/>
  <c r="P827" i="25"/>
  <c r="P835" i="25"/>
  <c r="P843" i="25"/>
  <c r="P851" i="25"/>
  <c r="P859" i="25"/>
  <c r="P867" i="25"/>
  <c r="P875" i="25"/>
  <c r="P883" i="25"/>
  <c r="P891" i="25"/>
  <c r="P899" i="25"/>
  <c r="P907" i="25"/>
  <c r="P915" i="25"/>
  <c r="P923" i="25"/>
  <c r="P931" i="25"/>
  <c r="P939" i="25"/>
  <c r="P947" i="25"/>
  <c r="P955" i="25"/>
  <c r="P963" i="25"/>
  <c r="P971" i="25"/>
  <c r="P979" i="25"/>
  <c r="P987" i="25"/>
  <c r="P995" i="25"/>
  <c r="P1003" i="25"/>
  <c r="P1011" i="25"/>
  <c r="P1019" i="25"/>
  <c r="P1027" i="25"/>
  <c r="P1035" i="25"/>
  <c r="O43" i="25"/>
  <c r="O51" i="25"/>
  <c r="O59" i="25"/>
  <c r="O67" i="25"/>
  <c r="O75" i="25"/>
  <c r="O83" i="25"/>
  <c r="P404" i="25"/>
  <c r="P412" i="25"/>
  <c r="P420" i="25"/>
  <c r="P428" i="25"/>
  <c r="P436" i="25"/>
  <c r="P444" i="25"/>
  <c r="P452" i="25"/>
  <c r="P460" i="25"/>
  <c r="P468" i="25"/>
  <c r="P476" i="25"/>
  <c r="P484" i="25"/>
  <c r="P492" i="25"/>
  <c r="P500" i="25"/>
  <c r="P508" i="25"/>
  <c r="P516" i="25"/>
  <c r="P524" i="25"/>
  <c r="P532" i="25"/>
  <c r="P540" i="25"/>
  <c r="P548" i="25"/>
  <c r="P556" i="25"/>
  <c r="P564" i="25"/>
  <c r="P572" i="25"/>
  <c r="P580" i="25"/>
  <c r="P588" i="25"/>
  <c r="P596" i="25"/>
  <c r="P604" i="25"/>
  <c r="P612" i="25"/>
  <c r="P620" i="25"/>
  <c r="P628" i="25"/>
  <c r="P636" i="25"/>
  <c r="P644" i="25"/>
  <c r="P652" i="25"/>
  <c r="P660" i="25"/>
  <c r="P668" i="25"/>
  <c r="P676" i="25"/>
  <c r="P684" i="25"/>
  <c r="P692" i="25"/>
  <c r="P700" i="25"/>
  <c r="P708" i="25"/>
  <c r="P716" i="25"/>
  <c r="P724" i="25"/>
  <c r="P732" i="25"/>
  <c r="P740" i="25"/>
  <c r="P748" i="25"/>
  <c r="P756" i="25"/>
  <c r="P764" i="25"/>
  <c r="P772" i="25"/>
  <c r="P780" i="25"/>
  <c r="P788" i="25"/>
  <c r="P796" i="25"/>
  <c r="P804" i="25"/>
  <c r="P812" i="25"/>
  <c r="P820" i="25"/>
  <c r="P828" i="25"/>
  <c r="P836" i="25"/>
  <c r="P844" i="25"/>
  <c r="P852" i="25"/>
  <c r="P860" i="25"/>
  <c r="P868" i="25"/>
  <c r="P876" i="25"/>
  <c r="P884" i="25"/>
  <c r="P892" i="25"/>
  <c r="P900" i="25"/>
  <c r="P908" i="25"/>
  <c r="P916" i="25"/>
  <c r="P924" i="25"/>
  <c r="P932" i="25"/>
  <c r="P940" i="25"/>
  <c r="P948" i="25"/>
  <c r="P956" i="25"/>
  <c r="P964" i="25"/>
  <c r="P972" i="25"/>
  <c r="P980" i="25"/>
  <c r="P988" i="25"/>
  <c r="P996" i="25"/>
  <c r="P1004" i="25"/>
  <c r="P1012" i="25"/>
  <c r="P1020" i="25"/>
  <c r="P1028" i="25"/>
  <c r="P1036" i="25"/>
  <c r="O44" i="25"/>
  <c r="O52" i="25"/>
  <c r="O60" i="25"/>
  <c r="O68" i="25"/>
  <c r="O76" i="25"/>
  <c r="P405" i="25"/>
  <c r="P413" i="25"/>
  <c r="P421" i="25"/>
  <c r="P429" i="25"/>
  <c r="P437" i="25"/>
  <c r="P445" i="25"/>
  <c r="P453" i="25"/>
  <c r="P461" i="25"/>
  <c r="P469" i="25"/>
  <c r="P477" i="25"/>
  <c r="P485" i="25"/>
  <c r="P493" i="25"/>
  <c r="P501" i="25"/>
  <c r="P509" i="25"/>
  <c r="P517" i="25"/>
  <c r="P525" i="25"/>
  <c r="P533" i="25"/>
  <c r="P541" i="25"/>
  <c r="P549" i="25"/>
  <c r="P557" i="25"/>
  <c r="P565" i="25"/>
  <c r="P573" i="25"/>
  <c r="P581" i="25"/>
  <c r="P589" i="25"/>
  <c r="P597" i="25"/>
  <c r="P605" i="25"/>
  <c r="P613" i="25"/>
  <c r="P621" i="25"/>
  <c r="P629" i="25"/>
  <c r="P637" i="25"/>
  <c r="P645" i="25"/>
  <c r="P653" i="25"/>
  <c r="P661" i="25"/>
  <c r="P669" i="25"/>
  <c r="P677" i="25"/>
  <c r="P685" i="25"/>
  <c r="P693" i="25"/>
  <c r="P701" i="25"/>
  <c r="P709" i="25"/>
  <c r="P717" i="25"/>
  <c r="P725" i="25"/>
  <c r="P733" i="25"/>
  <c r="P741" i="25"/>
  <c r="P749" i="25"/>
  <c r="P757" i="25"/>
  <c r="P765" i="25"/>
  <c r="P773" i="25"/>
  <c r="P781" i="25"/>
  <c r="P789" i="25"/>
  <c r="P797" i="25"/>
  <c r="P805" i="25"/>
  <c r="P813" i="25"/>
  <c r="P821" i="25"/>
  <c r="P829" i="25"/>
  <c r="P837" i="25"/>
  <c r="P845" i="25"/>
  <c r="P853" i="25"/>
  <c r="P861" i="25"/>
  <c r="P869" i="25"/>
  <c r="P877" i="25"/>
  <c r="P885" i="25"/>
  <c r="P893" i="25"/>
  <c r="P901" i="25"/>
  <c r="P909" i="25"/>
  <c r="P917" i="25"/>
  <c r="P925" i="25"/>
  <c r="P933" i="25"/>
  <c r="P941" i="25"/>
  <c r="P949" i="25"/>
  <c r="P957" i="25"/>
  <c r="P965" i="25"/>
  <c r="P973" i="25"/>
  <c r="P981" i="25"/>
  <c r="P989" i="25"/>
  <c r="P997" i="25"/>
  <c r="P1005" i="25"/>
  <c r="P1013" i="25"/>
  <c r="P1021" i="25"/>
  <c r="P1029" i="25"/>
  <c r="P1037" i="25"/>
  <c r="O45" i="25"/>
  <c r="O53" i="25"/>
  <c r="O61" i="25"/>
  <c r="O69" i="25"/>
  <c r="O77" i="25"/>
  <c r="P406" i="25"/>
  <c r="P414" i="25"/>
  <c r="P422" i="25"/>
  <c r="P430" i="25"/>
  <c r="P438" i="25"/>
  <c r="P446" i="25"/>
  <c r="P454" i="25"/>
  <c r="P462" i="25"/>
  <c r="P470" i="25"/>
  <c r="P478" i="25"/>
  <c r="P486" i="25"/>
  <c r="P494" i="25"/>
  <c r="P502" i="25"/>
  <c r="P510" i="25"/>
  <c r="P518" i="25"/>
  <c r="P526" i="25"/>
  <c r="P534" i="25"/>
  <c r="P542" i="25"/>
  <c r="P550" i="25"/>
  <c r="P558" i="25"/>
  <c r="P566" i="25"/>
  <c r="P574" i="25"/>
  <c r="P582" i="25"/>
  <c r="P590" i="25"/>
  <c r="P598" i="25"/>
  <c r="P606" i="25"/>
  <c r="P614" i="25"/>
  <c r="P622" i="25"/>
  <c r="P630" i="25"/>
  <c r="P638" i="25"/>
  <c r="P646" i="25"/>
  <c r="P654" i="25"/>
  <c r="P662" i="25"/>
  <c r="P670" i="25"/>
  <c r="P678" i="25"/>
  <c r="P686" i="25"/>
  <c r="P694" i="25"/>
  <c r="P702" i="25"/>
  <c r="P710" i="25"/>
  <c r="P718" i="25"/>
  <c r="P726" i="25"/>
  <c r="P734" i="25"/>
  <c r="P742" i="25"/>
  <c r="P750" i="25"/>
  <c r="P758" i="25"/>
  <c r="P766" i="25"/>
  <c r="P774" i="25"/>
  <c r="P782" i="25"/>
  <c r="P790" i="25"/>
  <c r="P798" i="25"/>
  <c r="P806" i="25"/>
  <c r="P814" i="25"/>
  <c r="P822" i="25"/>
  <c r="P830" i="25"/>
  <c r="P838" i="25"/>
  <c r="P846" i="25"/>
  <c r="P854" i="25"/>
  <c r="P862" i="25"/>
  <c r="P870" i="25"/>
  <c r="P878" i="25"/>
  <c r="P886" i="25"/>
  <c r="P894" i="25"/>
  <c r="P902" i="25"/>
  <c r="P910" i="25"/>
  <c r="P918" i="25"/>
  <c r="P926" i="25"/>
  <c r="P934" i="25"/>
  <c r="P942" i="25"/>
  <c r="P950" i="25"/>
  <c r="P958" i="25"/>
  <c r="P966" i="25"/>
  <c r="P974" i="25"/>
  <c r="P982" i="25"/>
  <c r="P990" i="25"/>
  <c r="P998" i="25"/>
  <c r="P1006" i="25"/>
  <c r="P1014" i="25"/>
  <c r="P1022" i="25"/>
  <c r="P1030" i="25"/>
  <c r="P1038" i="25"/>
  <c r="O46" i="25"/>
  <c r="O54" i="25"/>
  <c r="O62" i="25"/>
  <c r="O70" i="25"/>
  <c r="O78" i="25"/>
  <c r="P407" i="25"/>
  <c r="P415" i="25"/>
  <c r="P423" i="25"/>
  <c r="P431" i="25"/>
  <c r="P439" i="25"/>
  <c r="P447" i="25"/>
  <c r="P455" i="25"/>
  <c r="P463" i="25"/>
  <c r="P471" i="25"/>
  <c r="P479" i="25"/>
  <c r="P487" i="25"/>
  <c r="P495" i="25"/>
  <c r="P503" i="25"/>
  <c r="P511" i="25"/>
  <c r="P519" i="25"/>
  <c r="P527" i="25"/>
  <c r="P535" i="25"/>
  <c r="P543" i="25"/>
  <c r="P551" i="25"/>
  <c r="P559" i="25"/>
  <c r="P567" i="25"/>
  <c r="P575" i="25"/>
  <c r="P583" i="25"/>
  <c r="P591" i="25"/>
  <c r="P599" i="25"/>
  <c r="P607" i="25"/>
  <c r="P615" i="25"/>
  <c r="P623" i="25"/>
  <c r="P631" i="25"/>
  <c r="P639" i="25"/>
  <c r="P647" i="25"/>
  <c r="P655" i="25"/>
  <c r="P663" i="25"/>
  <c r="P671" i="25"/>
  <c r="P679" i="25"/>
  <c r="P687" i="25"/>
  <c r="P695" i="25"/>
  <c r="P703" i="25"/>
  <c r="P711" i="25"/>
  <c r="P719" i="25"/>
  <c r="P727" i="25"/>
  <c r="P735" i="25"/>
  <c r="P743" i="25"/>
  <c r="P751" i="25"/>
  <c r="P759" i="25"/>
  <c r="P767" i="25"/>
  <c r="P775" i="25"/>
  <c r="P783" i="25"/>
  <c r="P791" i="25"/>
  <c r="P799" i="25"/>
  <c r="P807" i="25"/>
  <c r="P815" i="25"/>
  <c r="P823" i="25"/>
  <c r="P831" i="25"/>
  <c r="P839" i="25"/>
  <c r="P847" i="25"/>
  <c r="P855" i="25"/>
  <c r="P863" i="25"/>
  <c r="P871" i="25"/>
  <c r="P879" i="25"/>
  <c r="P887" i="25"/>
  <c r="P895" i="25"/>
  <c r="P903" i="25"/>
  <c r="P911" i="25"/>
  <c r="P919" i="25"/>
  <c r="P927" i="25"/>
  <c r="P935" i="25"/>
  <c r="P943" i="25"/>
  <c r="P951" i="25"/>
  <c r="P959" i="25"/>
  <c r="P967" i="25"/>
  <c r="P975" i="25"/>
  <c r="P983" i="25"/>
  <c r="P991" i="25"/>
  <c r="P999" i="25"/>
  <c r="P1007" i="25"/>
  <c r="P1015" i="25"/>
  <c r="P1023" i="25"/>
  <c r="P1031" i="25"/>
  <c r="P1039" i="25"/>
  <c r="O47" i="25"/>
  <c r="O55" i="25"/>
  <c r="O63" i="25"/>
  <c r="O71" i="25"/>
  <c r="O79" i="25"/>
  <c r="P408" i="25"/>
  <c r="P416" i="25"/>
  <c r="P424" i="25"/>
  <c r="P432" i="25"/>
  <c r="P440" i="25"/>
  <c r="P448" i="25"/>
  <c r="P456" i="25"/>
  <c r="P464" i="25"/>
  <c r="P472" i="25"/>
  <c r="P480" i="25"/>
  <c r="P488" i="25"/>
  <c r="P496" i="25"/>
  <c r="P504" i="25"/>
  <c r="P512" i="25"/>
  <c r="P520" i="25"/>
  <c r="P528" i="25"/>
  <c r="P536" i="25"/>
  <c r="P544" i="25"/>
  <c r="P552" i="25"/>
  <c r="P560" i="25"/>
  <c r="P568" i="25"/>
  <c r="P576" i="25"/>
  <c r="P584" i="25"/>
  <c r="P592" i="25"/>
  <c r="P600" i="25"/>
  <c r="P608" i="25"/>
  <c r="P616" i="25"/>
  <c r="P624" i="25"/>
  <c r="P632" i="25"/>
  <c r="P640" i="25"/>
  <c r="P648" i="25"/>
  <c r="P656" i="25"/>
  <c r="P664" i="25"/>
  <c r="P672" i="25"/>
  <c r="P680" i="25"/>
  <c r="P688" i="25"/>
  <c r="P696" i="25"/>
  <c r="P704" i="25"/>
  <c r="P712" i="25"/>
  <c r="P720" i="25"/>
  <c r="P728" i="25"/>
  <c r="P736" i="25"/>
  <c r="P744" i="25"/>
  <c r="P752" i="25"/>
  <c r="P760" i="25"/>
  <c r="P768" i="25"/>
  <c r="P776" i="25"/>
  <c r="P784" i="25"/>
  <c r="P792" i="25"/>
  <c r="P800" i="25"/>
  <c r="P808" i="25"/>
  <c r="P816" i="25"/>
  <c r="P824" i="25"/>
  <c r="P832" i="25"/>
  <c r="P840" i="25"/>
  <c r="P848" i="25"/>
  <c r="P856" i="25"/>
  <c r="P864" i="25"/>
  <c r="P872" i="25"/>
  <c r="P880" i="25"/>
  <c r="P888" i="25"/>
  <c r="P896" i="25"/>
  <c r="P904" i="25"/>
  <c r="P912" i="25"/>
  <c r="P920" i="25"/>
  <c r="P928" i="25"/>
  <c r="P936" i="25"/>
  <c r="P944" i="25"/>
  <c r="P952" i="25"/>
  <c r="P960" i="25"/>
  <c r="P968" i="25"/>
  <c r="P976" i="25"/>
  <c r="P984" i="25"/>
  <c r="P992" i="25"/>
  <c r="P1000" i="25"/>
  <c r="P1008" i="25"/>
  <c r="P1016" i="25"/>
  <c r="P1024" i="25"/>
  <c r="P1032" i="25"/>
  <c r="O48" i="25"/>
  <c r="O56" i="25"/>
  <c r="O64" i="25"/>
  <c r="O72" i="25"/>
  <c r="O80" i="25"/>
  <c r="P409" i="25"/>
  <c r="P417" i="25"/>
  <c r="P425" i="25"/>
  <c r="P433" i="25"/>
  <c r="P441" i="25"/>
  <c r="P449" i="25"/>
  <c r="P457" i="25"/>
  <c r="P465" i="25"/>
  <c r="P473" i="25"/>
  <c r="P481" i="25"/>
  <c r="P489" i="25"/>
  <c r="P497" i="25"/>
  <c r="P505" i="25"/>
  <c r="P513" i="25"/>
  <c r="P521" i="25"/>
  <c r="P529" i="25"/>
  <c r="P537" i="25"/>
  <c r="P545" i="25"/>
  <c r="P553" i="25"/>
  <c r="P561" i="25"/>
  <c r="P569" i="25"/>
  <c r="P577" i="25"/>
  <c r="P585" i="25"/>
  <c r="P593" i="25"/>
  <c r="P601" i="25"/>
  <c r="P609" i="25"/>
  <c r="P617" i="25"/>
  <c r="P625" i="25"/>
  <c r="P633" i="25"/>
  <c r="P641" i="25"/>
  <c r="P649" i="25"/>
  <c r="P657" i="25"/>
  <c r="P665" i="25"/>
  <c r="P673" i="25"/>
  <c r="P681" i="25"/>
  <c r="P689" i="25"/>
  <c r="P697" i="25"/>
  <c r="P705" i="25"/>
  <c r="P713" i="25"/>
  <c r="P721" i="25"/>
  <c r="P729" i="25"/>
  <c r="P737" i="25"/>
  <c r="P745" i="25"/>
  <c r="P753" i="25"/>
  <c r="P761" i="25"/>
  <c r="P769" i="25"/>
  <c r="P777" i="25"/>
  <c r="P785" i="25"/>
  <c r="P793" i="25"/>
  <c r="P801" i="25"/>
  <c r="P809" i="25"/>
  <c r="P817" i="25"/>
  <c r="P825" i="25"/>
  <c r="P833" i="25"/>
  <c r="P841" i="25"/>
  <c r="P849" i="25"/>
  <c r="P857" i="25"/>
  <c r="P865" i="25"/>
  <c r="P873" i="25"/>
  <c r="P881" i="25"/>
  <c r="P889" i="25"/>
  <c r="P897" i="25"/>
  <c r="P905" i="25"/>
  <c r="P913" i="25"/>
  <c r="P921" i="25"/>
  <c r="P929" i="25"/>
  <c r="P937" i="25"/>
  <c r="P945" i="25"/>
  <c r="P953" i="25"/>
  <c r="P961" i="25"/>
  <c r="P969" i="25"/>
  <c r="P977" i="25"/>
  <c r="P985" i="25"/>
  <c r="P993" i="25"/>
  <c r="P1001" i="25"/>
  <c r="P1009" i="25"/>
  <c r="P1017" i="25"/>
  <c r="P1025" i="25"/>
  <c r="P1033" i="25"/>
  <c r="O41" i="25"/>
  <c r="O49" i="25"/>
  <c r="O57" i="25"/>
  <c r="O65" i="25"/>
  <c r="O73" i="25"/>
  <c r="O81" i="25"/>
  <c r="O84" i="25"/>
  <c r="O92" i="25"/>
  <c r="O100" i="25"/>
  <c r="O108" i="25"/>
  <c r="O116" i="25"/>
  <c r="O124" i="25"/>
  <c r="O132" i="25"/>
  <c r="O140" i="25"/>
  <c r="O148" i="25"/>
  <c r="O156" i="25"/>
  <c r="O164" i="25"/>
  <c r="O172" i="25"/>
  <c r="O180" i="25"/>
  <c r="O188" i="25"/>
  <c r="O196" i="25"/>
  <c r="O204" i="25"/>
  <c r="O212" i="25"/>
  <c r="O220" i="25"/>
  <c r="O228" i="25"/>
  <c r="O236" i="25"/>
  <c r="O244" i="25"/>
  <c r="O252" i="25"/>
  <c r="O260" i="25"/>
  <c r="O268" i="25"/>
  <c r="O276" i="25"/>
  <c r="O284" i="25"/>
  <c r="O292" i="25"/>
  <c r="O300" i="25"/>
  <c r="O308" i="25"/>
  <c r="O316" i="25"/>
  <c r="O324" i="25"/>
  <c r="O332" i="25"/>
  <c r="O340" i="25"/>
  <c r="O348" i="25"/>
  <c r="O356" i="25"/>
  <c r="O364" i="25"/>
  <c r="O372" i="25"/>
  <c r="O380" i="25"/>
  <c r="O388" i="25"/>
  <c r="O396" i="25"/>
  <c r="O404" i="25"/>
  <c r="O412" i="25"/>
  <c r="O420" i="25"/>
  <c r="O428" i="25"/>
  <c r="O436" i="25"/>
  <c r="O444" i="25"/>
  <c r="O452" i="25"/>
  <c r="O460" i="25"/>
  <c r="O468" i="25"/>
  <c r="O476" i="25"/>
  <c r="O484" i="25"/>
  <c r="O492" i="25"/>
  <c r="O500" i="25"/>
  <c r="O508" i="25"/>
  <c r="O516" i="25"/>
  <c r="O524" i="25"/>
  <c r="O532" i="25"/>
  <c r="O540" i="25"/>
  <c r="O548" i="25"/>
  <c r="O556" i="25"/>
  <c r="O564" i="25"/>
  <c r="O572" i="25"/>
  <c r="O580" i="25"/>
  <c r="O588" i="25"/>
  <c r="O596" i="25"/>
  <c r="O604" i="25"/>
  <c r="O612" i="25"/>
  <c r="O620" i="25"/>
  <c r="O628" i="25"/>
  <c r="O636" i="25"/>
  <c r="O644" i="25"/>
  <c r="O652" i="25"/>
  <c r="O660" i="25"/>
  <c r="O668" i="25"/>
  <c r="O676" i="25"/>
  <c r="O684" i="25"/>
  <c r="O692" i="25"/>
  <c r="O700" i="25"/>
  <c r="O708" i="25"/>
  <c r="O716" i="25"/>
  <c r="O724" i="25"/>
  <c r="O732" i="25"/>
  <c r="O85" i="25"/>
  <c r="O93" i="25"/>
  <c r="O101" i="25"/>
  <c r="O109" i="25"/>
  <c r="O117" i="25"/>
  <c r="O125" i="25"/>
  <c r="O133" i="25"/>
  <c r="O141" i="25"/>
  <c r="O149" i="25"/>
  <c r="O157" i="25"/>
  <c r="O165" i="25"/>
  <c r="O173" i="25"/>
  <c r="O181" i="25"/>
  <c r="O189" i="25"/>
  <c r="O197" i="25"/>
  <c r="O205" i="25"/>
  <c r="O213" i="25"/>
  <c r="O221" i="25"/>
  <c r="O229" i="25"/>
  <c r="O237" i="25"/>
  <c r="O245" i="25"/>
  <c r="O253" i="25"/>
  <c r="O261" i="25"/>
  <c r="O269" i="25"/>
  <c r="O277" i="25"/>
  <c r="O285" i="25"/>
  <c r="O293" i="25"/>
  <c r="O301" i="25"/>
  <c r="O309" i="25"/>
  <c r="O317" i="25"/>
  <c r="O325" i="25"/>
  <c r="O333" i="25"/>
  <c r="O341" i="25"/>
  <c r="O349" i="25"/>
  <c r="O357" i="25"/>
  <c r="O365" i="25"/>
  <c r="O373" i="25"/>
  <c r="O381" i="25"/>
  <c r="O389" i="25"/>
  <c r="O397" i="25"/>
  <c r="O405" i="25"/>
  <c r="O413" i="25"/>
  <c r="O421" i="25"/>
  <c r="O429" i="25"/>
  <c r="O437" i="25"/>
  <c r="O445" i="25"/>
  <c r="O453" i="25"/>
  <c r="O461" i="25"/>
  <c r="O469" i="25"/>
  <c r="O477" i="25"/>
  <c r="O485" i="25"/>
  <c r="O493" i="25"/>
  <c r="O501" i="25"/>
  <c r="O509" i="25"/>
  <c r="O517" i="25"/>
  <c r="O525" i="25"/>
  <c r="O533" i="25"/>
  <c r="O541" i="25"/>
  <c r="O549" i="25"/>
  <c r="O557" i="25"/>
  <c r="O565" i="25"/>
  <c r="O573" i="25"/>
  <c r="O581" i="25"/>
  <c r="O589" i="25"/>
  <c r="O597" i="25"/>
  <c r="O605" i="25"/>
  <c r="O613" i="25"/>
  <c r="O621" i="25"/>
  <c r="O629" i="25"/>
  <c r="O637" i="25"/>
  <c r="O645" i="25"/>
  <c r="O653" i="25"/>
  <c r="O661" i="25"/>
  <c r="O669" i="25"/>
  <c r="O677" i="25"/>
  <c r="O685" i="25"/>
  <c r="O693" i="25"/>
  <c r="O701" i="25"/>
  <c r="O709" i="25"/>
  <c r="O717" i="25"/>
  <c r="O725" i="25"/>
  <c r="O733" i="25"/>
  <c r="O741" i="25"/>
  <c r="O749" i="25"/>
  <c r="O757" i="25"/>
  <c r="O765" i="25"/>
  <c r="O86" i="25"/>
  <c r="O94" i="25"/>
  <c r="O102" i="25"/>
  <c r="O110" i="25"/>
  <c r="O118" i="25"/>
  <c r="O126" i="25"/>
  <c r="O134" i="25"/>
  <c r="O142" i="25"/>
  <c r="O150" i="25"/>
  <c r="O158" i="25"/>
  <c r="O166" i="25"/>
  <c r="O174" i="25"/>
  <c r="O182" i="25"/>
  <c r="O190" i="25"/>
  <c r="O198" i="25"/>
  <c r="O206" i="25"/>
  <c r="O214" i="25"/>
  <c r="O222" i="25"/>
  <c r="O230" i="25"/>
  <c r="O238" i="25"/>
  <c r="O246" i="25"/>
  <c r="O254" i="25"/>
  <c r="O262" i="25"/>
  <c r="O270" i="25"/>
  <c r="O278" i="25"/>
  <c r="O286" i="25"/>
  <c r="O294" i="25"/>
  <c r="O302" i="25"/>
  <c r="O310" i="25"/>
  <c r="O318" i="25"/>
  <c r="O326" i="25"/>
  <c r="O334" i="25"/>
  <c r="O342" i="25"/>
  <c r="O350" i="25"/>
  <c r="O358" i="25"/>
  <c r="O366" i="25"/>
  <c r="O374" i="25"/>
  <c r="O382" i="25"/>
  <c r="O390" i="25"/>
  <c r="O398" i="25"/>
  <c r="O406" i="25"/>
  <c r="O414" i="25"/>
  <c r="O422" i="25"/>
  <c r="O430" i="25"/>
  <c r="O438" i="25"/>
  <c r="O446" i="25"/>
  <c r="O454" i="25"/>
  <c r="O462" i="25"/>
  <c r="O470" i="25"/>
  <c r="O478" i="25"/>
  <c r="O486" i="25"/>
  <c r="O494" i="25"/>
  <c r="O502" i="25"/>
  <c r="O510" i="25"/>
  <c r="O518" i="25"/>
  <c r="O526" i="25"/>
  <c r="O534" i="25"/>
  <c r="O542" i="25"/>
  <c r="O550" i="25"/>
  <c r="O558" i="25"/>
  <c r="O566" i="25"/>
  <c r="O574" i="25"/>
  <c r="O582" i="25"/>
  <c r="O590" i="25"/>
  <c r="O598" i="25"/>
  <c r="O606" i="25"/>
  <c r="O614" i="25"/>
  <c r="O622" i="25"/>
  <c r="O630" i="25"/>
  <c r="O638" i="25"/>
  <c r="O646" i="25"/>
  <c r="O654" i="25"/>
  <c r="O662" i="25"/>
  <c r="O670" i="25"/>
  <c r="O678" i="25"/>
  <c r="O686" i="25"/>
  <c r="O694" i="25"/>
  <c r="O702" i="25"/>
  <c r="O710" i="25"/>
  <c r="O718" i="25"/>
  <c r="O726" i="25"/>
  <c r="O87" i="25"/>
  <c r="O95" i="25"/>
  <c r="O103" i="25"/>
  <c r="O111" i="25"/>
  <c r="O119" i="25"/>
  <c r="O127" i="25"/>
  <c r="O135" i="25"/>
  <c r="O143" i="25"/>
  <c r="O151" i="25"/>
  <c r="O159" i="25"/>
  <c r="O167" i="25"/>
  <c r="O175" i="25"/>
  <c r="O183" i="25"/>
  <c r="O191" i="25"/>
  <c r="O199" i="25"/>
  <c r="O207" i="25"/>
  <c r="O215" i="25"/>
  <c r="O223" i="25"/>
  <c r="O231" i="25"/>
  <c r="O239" i="25"/>
  <c r="O247" i="25"/>
  <c r="O255" i="25"/>
  <c r="O263" i="25"/>
  <c r="O271" i="25"/>
  <c r="O279" i="25"/>
  <c r="O287" i="25"/>
  <c r="O295" i="25"/>
  <c r="O303" i="25"/>
  <c r="O311" i="25"/>
  <c r="O319" i="25"/>
  <c r="O327" i="25"/>
  <c r="O335" i="25"/>
  <c r="O343" i="25"/>
  <c r="O351" i="25"/>
  <c r="O359" i="25"/>
  <c r="O367" i="25"/>
  <c r="O375" i="25"/>
  <c r="O383" i="25"/>
  <c r="O391" i="25"/>
  <c r="O399" i="25"/>
  <c r="O407" i="25"/>
  <c r="O415" i="25"/>
  <c r="O423" i="25"/>
  <c r="O431" i="25"/>
  <c r="O439" i="25"/>
  <c r="O447" i="25"/>
  <c r="O455" i="25"/>
  <c r="O463" i="25"/>
  <c r="O471" i="25"/>
  <c r="O479" i="25"/>
  <c r="O487" i="25"/>
  <c r="O495" i="25"/>
  <c r="O503" i="25"/>
  <c r="O511" i="25"/>
  <c r="O519" i="25"/>
  <c r="O527" i="25"/>
  <c r="O535" i="25"/>
  <c r="O543" i="25"/>
  <c r="O551" i="25"/>
  <c r="O559" i="25"/>
  <c r="O567" i="25"/>
  <c r="O575" i="25"/>
  <c r="O583" i="25"/>
  <c r="O591" i="25"/>
  <c r="O599" i="25"/>
  <c r="O607" i="25"/>
  <c r="O615" i="25"/>
  <c r="O623" i="25"/>
  <c r="O631" i="25"/>
  <c r="O639" i="25"/>
  <c r="O647" i="25"/>
  <c r="O655" i="25"/>
  <c r="O663" i="25"/>
  <c r="O671" i="25"/>
  <c r="O679" i="25"/>
  <c r="O687" i="25"/>
  <c r="O695" i="25"/>
  <c r="O703" i="25"/>
  <c r="O711" i="25"/>
  <c r="O719" i="25"/>
  <c r="O727" i="25"/>
  <c r="O88" i="25"/>
  <c r="O96" i="25"/>
  <c r="O104" i="25"/>
  <c r="O112" i="25"/>
  <c r="O120" i="25"/>
  <c r="O128" i="25"/>
  <c r="O136" i="25"/>
  <c r="O144" i="25"/>
  <c r="O152" i="25"/>
  <c r="O160" i="25"/>
  <c r="O168" i="25"/>
  <c r="O176" i="25"/>
  <c r="O184" i="25"/>
  <c r="O192" i="25"/>
  <c r="O200" i="25"/>
  <c r="O208" i="25"/>
  <c r="O216" i="25"/>
  <c r="O224" i="25"/>
  <c r="O232" i="25"/>
  <c r="O240" i="25"/>
  <c r="O248" i="25"/>
  <c r="O256" i="25"/>
  <c r="O264" i="25"/>
  <c r="O272" i="25"/>
  <c r="O280" i="25"/>
  <c r="O288" i="25"/>
  <c r="O296" i="25"/>
  <c r="O304" i="25"/>
  <c r="O312" i="25"/>
  <c r="O320" i="25"/>
  <c r="O328" i="25"/>
  <c r="O336" i="25"/>
  <c r="O344" i="25"/>
  <c r="O352" i="25"/>
  <c r="O360" i="25"/>
  <c r="O368" i="25"/>
  <c r="O376" i="25"/>
  <c r="O384" i="25"/>
  <c r="O392" i="25"/>
  <c r="O400" i="25"/>
  <c r="O408" i="25"/>
  <c r="O416" i="25"/>
  <c r="O424" i="25"/>
  <c r="O432" i="25"/>
  <c r="O440" i="25"/>
  <c r="O448" i="25"/>
  <c r="O456" i="25"/>
  <c r="O464" i="25"/>
  <c r="O472" i="25"/>
  <c r="O480" i="25"/>
  <c r="O488" i="25"/>
  <c r="O496" i="25"/>
  <c r="O504" i="25"/>
  <c r="O512" i="25"/>
  <c r="O520" i="25"/>
  <c r="O528" i="25"/>
  <c r="O536" i="25"/>
  <c r="O544" i="25"/>
  <c r="O552" i="25"/>
  <c r="O560" i="25"/>
  <c r="O568" i="25"/>
  <c r="O576" i="25"/>
  <c r="O584" i="25"/>
  <c r="O592" i="25"/>
  <c r="O600" i="25"/>
  <c r="O608" i="25"/>
  <c r="O616" i="25"/>
  <c r="O624" i="25"/>
  <c r="O632" i="25"/>
  <c r="O640" i="25"/>
  <c r="O648" i="25"/>
  <c r="O656" i="25"/>
  <c r="O664" i="25"/>
  <c r="O672" i="25"/>
  <c r="O680" i="25"/>
  <c r="O688" i="25"/>
  <c r="O696" i="25"/>
  <c r="O704" i="25"/>
  <c r="O712" i="25"/>
  <c r="O720" i="25"/>
  <c r="O728" i="25"/>
  <c r="O736" i="25"/>
  <c r="O744" i="25"/>
  <c r="O752" i="25"/>
  <c r="O760" i="25"/>
  <c r="O89" i="25"/>
  <c r="O97" i="25"/>
  <c r="O105" i="25"/>
  <c r="O113" i="25"/>
  <c r="O121" i="25"/>
  <c r="O129" i="25"/>
  <c r="O137" i="25"/>
  <c r="O145" i="25"/>
  <c r="O153" i="25"/>
  <c r="O161" i="25"/>
  <c r="O169" i="25"/>
  <c r="O177" i="25"/>
  <c r="O185" i="25"/>
  <c r="O193" i="25"/>
  <c r="O201" i="25"/>
  <c r="O209" i="25"/>
  <c r="O217" i="25"/>
  <c r="O225" i="25"/>
  <c r="O233" i="25"/>
  <c r="O241" i="25"/>
  <c r="O249" i="25"/>
  <c r="O257" i="25"/>
  <c r="O265" i="25"/>
  <c r="O273" i="25"/>
  <c r="O281" i="25"/>
  <c r="O289" i="25"/>
  <c r="O297" i="25"/>
  <c r="O305" i="25"/>
  <c r="O313" i="25"/>
  <c r="O321" i="25"/>
  <c r="O329" i="25"/>
  <c r="O337" i="25"/>
  <c r="O345" i="25"/>
  <c r="O353" i="25"/>
  <c r="O361" i="25"/>
  <c r="O369" i="25"/>
  <c r="O377" i="25"/>
  <c r="O385" i="25"/>
  <c r="O393" i="25"/>
  <c r="O401" i="25"/>
  <c r="O409" i="25"/>
  <c r="O417" i="25"/>
  <c r="O425" i="25"/>
  <c r="O433" i="25"/>
  <c r="O441" i="25"/>
  <c r="O449" i="25"/>
  <c r="O457" i="25"/>
  <c r="O465" i="25"/>
  <c r="O473" i="25"/>
  <c r="O481" i="25"/>
  <c r="O489" i="25"/>
  <c r="O497" i="25"/>
  <c r="O505" i="25"/>
  <c r="O513" i="25"/>
  <c r="O521" i="25"/>
  <c r="O529" i="25"/>
  <c r="O537" i="25"/>
  <c r="O545" i="25"/>
  <c r="O553" i="25"/>
  <c r="O561" i="25"/>
  <c r="O569" i="25"/>
  <c r="O577" i="25"/>
  <c r="O585" i="25"/>
  <c r="O593" i="25"/>
  <c r="O601" i="25"/>
  <c r="O609" i="25"/>
  <c r="O617" i="25"/>
  <c r="O625" i="25"/>
  <c r="O633" i="25"/>
  <c r="O641" i="25"/>
  <c r="O649" i="25"/>
  <c r="O657" i="25"/>
  <c r="O665" i="25"/>
  <c r="O673" i="25"/>
  <c r="O681" i="25"/>
  <c r="O689" i="25"/>
  <c r="O697" i="25"/>
  <c r="O705" i="25"/>
  <c r="O713" i="25"/>
  <c r="O721" i="25"/>
  <c r="O729" i="25"/>
  <c r="O90" i="25"/>
  <c r="O98" i="25"/>
  <c r="O106" i="25"/>
  <c r="O114" i="25"/>
  <c r="O122" i="25"/>
  <c r="O130" i="25"/>
  <c r="O138" i="25"/>
  <c r="O146" i="25"/>
  <c r="O154" i="25"/>
  <c r="O162" i="25"/>
  <c r="O170" i="25"/>
  <c r="O178" i="25"/>
  <c r="O186" i="25"/>
  <c r="O194" i="25"/>
  <c r="O202" i="25"/>
  <c r="O210" i="25"/>
  <c r="O218" i="25"/>
  <c r="O226" i="25"/>
  <c r="O234" i="25"/>
  <c r="O242" i="25"/>
  <c r="O250" i="25"/>
  <c r="O258" i="25"/>
  <c r="O266" i="25"/>
  <c r="O274" i="25"/>
  <c r="O282" i="25"/>
  <c r="O290" i="25"/>
  <c r="O298" i="25"/>
  <c r="O306" i="25"/>
  <c r="O314" i="25"/>
  <c r="O322" i="25"/>
  <c r="O330" i="25"/>
  <c r="O338" i="25"/>
  <c r="O346" i="25"/>
  <c r="O354" i="25"/>
  <c r="O362" i="25"/>
  <c r="O370" i="25"/>
  <c r="O378" i="25"/>
  <c r="O386" i="25"/>
  <c r="O394" i="25"/>
  <c r="O402" i="25"/>
  <c r="O410" i="25"/>
  <c r="O418" i="25"/>
  <c r="O426" i="25"/>
  <c r="O434" i="25"/>
  <c r="O442" i="25"/>
  <c r="O450" i="25"/>
  <c r="O458" i="25"/>
  <c r="O466" i="25"/>
  <c r="O474" i="25"/>
  <c r="O482" i="25"/>
  <c r="O490" i="25"/>
  <c r="O498" i="25"/>
  <c r="O506" i="25"/>
  <c r="O514" i="25"/>
  <c r="O522" i="25"/>
  <c r="O530" i="25"/>
  <c r="O538" i="25"/>
  <c r="O546" i="25"/>
  <c r="O554" i="25"/>
  <c r="O562" i="25"/>
  <c r="O570" i="25"/>
  <c r="O578" i="25"/>
  <c r="O586" i="25"/>
  <c r="O594" i="25"/>
  <c r="O602" i="25"/>
  <c r="O610" i="25"/>
  <c r="O618" i="25"/>
  <c r="O626" i="25"/>
  <c r="O634" i="25"/>
  <c r="O642" i="25"/>
  <c r="O650" i="25"/>
  <c r="O658" i="25"/>
  <c r="O666" i="25"/>
  <c r="O674" i="25"/>
  <c r="O682" i="25"/>
  <c r="O690" i="25"/>
  <c r="O698" i="25"/>
  <c r="O706" i="25"/>
  <c r="O714" i="25"/>
  <c r="O722" i="25"/>
  <c r="O730" i="25"/>
  <c r="O91" i="25"/>
  <c r="O99" i="25"/>
  <c r="O107" i="25"/>
  <c r="O115" i="25"/>
  <c r="O123" i="25"/>
  <c r="O131" i="25"/>
  <c r="O139" i="25"/>
  <c r="O147" i="25"/>
  <c r="O155" i="25"/>
  <c r="O163" i="25"/>
  <c r="O171" i="25"/>
  <c r="O179" i="25"/>
  <c r="O187" i="25"/>
  <c r="O195" i="25"/>
  <c r="O203" i="25"/>
  <c r="O211" i="25"/>
  <c r="O219" i="25"/>
  <c r="O227" i="25"/>
  <c r="O235" i="25"/>
  <c r="O243" i="25"/>
  <c r="O251" i="25"/>
  <c r="O259" i="25"/>
  <c r="O267" i="25"/>
  <c r="O275" i="25"/>
  <c r="O283" i="25"/>
  <c r="O291" i="25"/>
  <c r="O299" i="25"/>
  <c r="O307" i="25"/>
  <c r="O315" i="25"/>
  <c r="O323" i="25"/>
  <c r="O331" i="25"/>
  <c r="O339" i="25"/>
  <c r="O347" i="25"/>
  <c r="O355" i="25"/>
  <c r="O363" i="25"/>
  <c r="O371" i="25"/>
  <c r="O379" i="25"/>
  <c r="O387" i="25"/>
  <c r="O395" i="25"/>
  <c r="O403" i="25"/>
  <c r="O411" i="25"/>
  <c r="O419" i="25"/>
  <c r="O427" i="25"/>
  <c r="O435" i="25"/>
  <c r="O443" i="25"/>
  <c r="O451" i="25"/>
  <c r="O459" i="25"/>
  <c r="O467" i="25"/>
  <c r="O475" i="25"/>
  <c r="O483" i="25"/>
  <c r="O491" i="25"/>
  <c r="O499" i="25"/>
  <c r="O507" i="25"/>
  <c r="O515" i="25"/>
  <c r="O523" i="25"/>
  <c r="O531" i="25"/>
  <c r="O539" i="25"/>
  <c r="O547" i="25"/>
  <c r="O555" i="25"/>
  <c r="O563" i="25"/>
  <c r="O571" i="25"/>
  <c r="O579" i="25"/>
  <c r="O587" i="25"/>
  <c r="O595" i="25"/>
  <c r="O603" i="25"/>
  <c r="O611" i="25"/>
  <c r="O619" i="25"/>
  <c r="O627" i="25"/>
  <c r="O635" i="25"/>
  <c r="O643" i="25"/>
  <c r="O651" i="25"/>
  <c r="O659" i="25"/>
  <c r="O667" i="25"/>
  <c r="O675" i="25"/>
  <c r="O683" i="25"/>
  <c r="O691" i="25"/>
  <c r="O699" i="25"/>
  <c r="O707" i="25"/>
  <c r="O715" i="25"/>
  <c r="O723" i="25"/>
  <c r="O731" i="25"/>
  <c r="O734" i="25"/>
  <c r="O745" i="25"/>
  <c r="O755" i="25"/>
  <c r="O766" i="25"/>
  <c r="O774" i="25"/>
  <c r="O782" i="25"/>
  <c r="O790" i="25"/>
  <c r="O798" i="25"/>
  <c r="O806" i="25"/>
  <c r="O814" i="25"/>
  <c r="O822" i="25"/>
  <c r="O830" i="25"/>
  <c r="O838" i="25"/>
  <c r="O846" i="25"/>
  <c r="O854" i="25"/>
  <c r="O862" i="25"/>
  <c r="O870" i="25"/>
  <c r="O878" i="25"/>
  <c r="O886" i="25"/>
  <c r="O894" i="25"/>
  <c r="O902" i="25"/>
  <c r="O910" i="25"/>
  <c r="O918" i="25"/>
  <c r="O926" i="25"/>
  <c r="O934" i="25"/>
  <c r="O942" i="25"/>
  <c r="O950" i="25"/>
  <c r="O958" i="25"/>
  <c r="O966" i="25"/>
  <c r="O974" i="25"/>
  <c r="O982" i="25"/>
  <c r="O990" i="25"/>
  <c r="O998" i="25"/>
  <c r="O1006" i="25"/>
  <c r="O1014" i="25"/>
  <c r="O1022" i="25"/>
  <c r="O1030" i="25"/>
  <c r="O1038" i="25"/>
  <c r="N46" i="25"/>
  <c r="N54" i="25"/>
  <c r="N62" i="25"/>
  <c r="N70" i="25"/>
  <c r="N78" i="25"/>
  <c r="N86" i="25"/>
  <c r="N94" i="25"/>
  <c r="N102" i="25"/>
  <c r="N110" i="25"/>
  <c r="N118" i="25"/>
  <c r="N126" i="25"/>
  <c r="N134" i="25"/>
  <c r="N142" i="25"/>
  <c r="N150" i="25"/>
  <c r="N158" i="25"/>
  <c r="N166" i="25"/>
  <c r="N174" i="25"/>
  <c r="N182" i="25"/>
  <c r="N190" i="25"/>
  <c r="N198" i="25"/>
  <c r="N206" i="25"/>
  <c r="N214" i="25"/>
  <c r="N222" i="25"/>
  <c r="N230" i="25"/>
  <c r="N238" i="25"/>
  <c r="N246" i="25"/>
  <c r="N254" i="25"/>
  <c r="N262" i="25"/>
  <c r="N270" i="25"/>
  <c r="N278" i="25"/>
  <c r="N286" i="25"/>
  <c r="N294" i="25"/>
  <c r="N302" i="25"/>
  <c r="N310" i="25"/>
  <c r="N318" i="25"/>
  <c r="N326" i="25"/>
  <c r="N334" i="25"/>
  <c r="N342" i="25"/>
  <c r="N350" i="25"/>
  <c r="N358" i="25"/>
  <c r="N366" i="25"/>
  <c r="N374" i="25"/>
  <c r="N382" i="25"/>
  <c r="N390" i="25"/>
  <c r="N398" i="25"/>
  <c r="N406" i="25"/>
  <c r="N414" i="25"/>
  <c r="N422" i="25"/>
  <c r="O735" i="25"/>
  <c r="O746" i="25"/>
  <c r="O756" i="25"/>
  <c r="O767" i="25"/>
  <c r="O775" i="25"/>
  <c r="O783" i="25"/>
  <c r="O791" i="25"/>
  <c r="O799" i="25"/>
  <c r="O807" i="25"/>
  <c r="O815" i="25"/>
  <c r="O823" i="25"/>
  <c r="O831" i="25"/>
  <c r="O839" i="25"/>
  <c r="O847" i="25"/>
  <c r="O855" i="25"/>
  <c r="O863" i="25"/>
  <c r="O871" i="25"/>
  <c r="O879" i="25"/>
  <c r="O887" i="25"/>
  <c r="O895" i="25"/>
  <c r="O903" i="25"/>
  <c r="O911" i="25"/>
  <c r="O919" i="25"/>
  <c r="O927" i="25"/>
  <c r="O935" i="25"/>
  <c r="O943" i="25"/>
  <c r="O951" i="25"/>
  <c r="O959" i="25"/>
  <c r="O967" i="25"/>
  <c r="O975" i="25"/>
  <c r="O983" i="25"/>
  <c r="O991" i="25"/>
  <c r="O999" i="25"/>
  <c r="O1007" i="25"/>
  <c r="O1015" i="25"/>
  <c r="O1023" i="25"/>
  <c r="O1031" i="25"/>
  <c r="O1039" i="25"/>
  <c r="N47" i="25"/>
  <c r="N55" i="25"/>
  <c r="N63" i="25"/>
  <c r="N71" i="25"/>
  <c r="N79" i="25"/>
  <c r="N87" i="25"/>
  <c r="N95" i="25"/>
  <c r="N103" i="25"/>
  <c r="N111" i="25"/>
  <c r="N119" i="25"/>
  <c r="N127" i="25"/>
  <c r="N135" i="25"/>
  <c r="N143" i="25"/>
  <c r="N151" i="25"/>
  <c r="N159" i="25"/>
  <c r="N167" i="25"/>
  <c r="N175" i="25"/>
  <c r="N183" i="25"/>
  <c r="N191" i="25"/>
  <c r="N199" i="25"/>
  <c r="N207" i="25"/>
  <c r="N215" i="25"/>
  <c r="N223" i="25"/>
  <c r="N231" i="25"/>
  <c r="N239" i="25"/>
  <c r="N247" i="25"/>
  <c r="N255" i="25"/>
  <c r="N263" i="25"/>
  <c r="N271" i="25"/>
  <c r="N279" i="25"/>
  <c r="N287" i="25"/>
  <c r="N295" i="25"/>
  <c r="N303" i="25"/>
  <c r="N311" i="25"/>
  <c r="N319" i="25"/>
  <c r="N327" i="25"/>
  <c r="N335" i="25"/>
  <c r="N343" i="25"/>
  <c r="N351" i="25"/>
  <c r="N359" i="25"/>
  <c r="N367" i="25"/>
  <c r="N375" i="25"/>
  <c r="N383" i="25"/>
  <c r="N391" i="25"/>
  <c r="N399" i="25"/>
  <c r="N407" i="25"/>
  <c r="N415" i="25"/>
  <c r="N423" i="25"/>
  <c r="O737" i="25"/>
  <c r="O747" i="25"/>
  <c r="O758" i="25"/>
  <c r="O768" i="25"/>
  <c r="O776" i="25"/>
  <c r="O784" i="25"/>
  <c r="O792" i="25"/>
  <c r="O800" i="25"/>
  <c r="O808" i="25"/>
  <c r="O816" i="25"/>
  <c r="O824" i="25"/>
  <c r="O832" i="25"/>
  <c r="O840" i="25"/>
  <c r="O848" i="25"/>
  <c r="O856" i="25"/>
  <c r="O864" i="25"/>
  <c r="O872" i="25"/>
  <c r="O880" i="25"/>
  <c r="O888" i="25"/>
  <c r="O896" i="25"/>
  <c r="O904" i="25"/>
  <c r="O912" i="25"/>
  <c r="O920" i="25"/>
  <c r="O928" i="25"/>
  <c r="O936" i="25"/>
  <c r="O944" i="25"/>
  <c r="O952" i="25"/>
  <c r="O960" i="25"/>
  <c r="O968" i="25"/>
  <c r="O976" i="25"/>
  <c r="O984" i="25"/>
  <c r="O992" i="25"/>
  <c r="O1000" i="25"/>
  <c r="O1008" i="25"/>
  <c r="O1016" i="25"/>
  <c r="O1024" i="25"/>
  <c r="O1032" i="25"/>
  <c r="N48" i="25"/>
  <c r="N56" i="25"/>
  <c r="N64" i="25"/>
  <c r="N72" i="25"/>
  <c r="N80" i="25"/>
  <c r="N88" i="25"/>
  <c r="N96" i="25"/>
  <c r="N104" i="25"/>
  <c r="N112" i="25"/>
  <c r="N120" i="25"/>
  <c r="N128" i="25"/>
  <c r="N136" i="25"/>
  <c r="N144" i="25"/>
  <c r="N152" i="25"/>
  <c r="N160" i="25"/>
  <c r="N168" i="25"/>
  <c r="N176" i="25"/>
  <c r="N184" i="25"/>
  <c r="N192" i="25"/>
  <c r="N200" i="25"/>
  <c r="N208" i="25"/>
  <c r="N216" i="25"/>
  <c r="N224" i="25"/>
  <c r="N232" i="25"/>
  <c r="N240" i="25"/>
  <c r="N248" i="25"/>
  <c r="N256" i="25"/>
  <c r="N264" i="25"/>
  <c r="N272" i="25"/>
  <c r="N280" i="25"/>
  <c r="N288" i="25"/>
  <c r="N296" i="25"/>
  <c r="N304" i="25"/>
  <c r="N312" i="25"/>
  <c r="N320" i="25"/>
  <c r="N328" i="25"/>
  <c r="N336" i="25"/>
  <c r="N344" i="25"/>
  <c r="N352" i="25"/>
  <c r="N360" i="25"/>
  <c r="N368" i="25"/>
  <c r="N376" i="25"/>
  <c r="N384" i="25"/>
  <c r="N392" i="25"/>
  <c r="N400" i="25"/>
  <c r="N408" i="25"/>
  <c r="N416" i="25"/>
  <c r="N424" i="25"/>
  <c r="O738" i="25"/>
  <c r="O748" i="25"/>
  <c r="O759" i="25"/>
  <c r="O769" i="25"/>
  <c r="O777" i="25"/>
  <c r="O785" i="25"/>
  <c r="O793" i="25"/>
  <c r="O801" i="25"/>
  <c r="O809" i="25"/>
  <c r="O817" i="25"/>
  <c r="O825" i="25"/>
  <c r="O833" i="25"/>
  <c r="O841" i="25"/>
  <c r="O849" i="25"/>
  <c r="O857" i="25"/>
  <c r="O865" i="25"/>
  <c r="O873" i="25"/>
  <c r="O881" i="25"/>
  <c r="O889" i="25"/>
  <c r="O897" i="25"/>
  <c r="O905" i="25"/>
  <c r="O913" i="25"/>
  <c r="O921" i="25"/>
  <c r="O929" i="25"/>
  <c r="O937" i="25"/>
  <c r="O945" i="25"/>
  <c r="O953" i="25"/>
  <c r="O961" i="25"/>
  <c r="O969" i="25"/>
  <c r="O977" i="25"/>
  <c r="O985" i="25"/>
  <c r="O993" i="25"/>
  <c r="O1001" i="25"/>
  <c r="O1009" i="25"/>
  <c r="O1017" i="25"/>
  <c r="O1025" i="25"/>
  <c r="O1033" i="25"/>
  <c r="N41" i="25"/>
  <c r="N49" i="25"/>
  <c r="N57" i="25"/>
  <c r="N65" i="25"/>
  <c r="N73" i="25"/>
  <c r="N81" i="25"/>
  <c r="N89" i="25"/>
  <c r="N97" i="25"/>
  <c r="N105" i="25"/>
  <c r="N113" i="25"/>
  <c r="N121" i="25"/>
  <c r="N129" i="25"/>
  <c r="N137" i="25"/>
  <c r="N145" i="25"/>
  <c r="N153" i="25"/>
  <c r="N161" i="25"/>
  <c r="N169" i="25"/>
  <c r="N177" i="25"/>
  <c r="N185" i="25"/>
  <c r="N193" i="25"/>
  <c r="N201" i="25"/>
  <c r="N209" i="25"/>
  <c r="N217" i="25"/>
  <c r="N225" i="25"/>
  <c r="N233" i="25"/>
  <c r="N241" i="25"/>
  <c r="N249" i="25"/>
  <c r="N257" i="25"/>
  <c r="N265" i="25"/>
  <c r="N273" i="25"/>
  <c r="N281" i="25"/>
  <c r="N289" i="25"/>
  <c r="N297" i="25"/>
  <c r="N305" i="25"/>
  <c r="N313" i="25"/>
  <c r="N321" i="25"/>
  <c r="N329" i="25"/>
  <c r="N337" i="25"/>
  <c r="N345" i="25"/>
  <c r="N353" i="25"/>
  <c r="N361" i="25"/>
  <c r="N369" i="25"/>
  <c r="N377" i="25"/>
  <c r="N385" i="25"/>
  <c r="N393" i="25"/>
  <c r="N401" i="25"/>
  <c r="N409" i="25"/>
  <c r="N417" i="25"/>
  <c r="O739" i="25"/>
  <c r="O750" i="25"/>
  <c r="O761" i="25"/>
  <c r="O770" i="25"/>
  <c r="O778" i="25"/>
  <c r="O786" i="25"/>
  <c r="O794" i="25"/>
  <c r="O802" i="25"/>
  <c r="O810" i="25"/>
  <c r="O818" i="25"/>
  <c r="O826" i="25"/>
  <c r="O834" i="25"/>
  <c r="O842" i="25"/>
  <c r="O850" i="25"/>
  <c r="O858" i="25"/>
  <c r="O866" i="25"/>
  <c r="O874" i="25"/>
  <c r="O882" i="25"/>
  <c r="O890" i="25"/>
  <c r="O898" i="25"/>
  <c r="O906" i="25"/>
  <c r="O914" i="25"/>
  <c r="O922" i="25"/>
  <c r="O930" i="25"/>
  <c r="O938" i="25"/>
  <c r="O946" i="25"/>
  <c r="O954" i="25"/>
  <c r="O962" i="25"/>
  <c r="O970" i="25"/>
  <c r="O978" i="25"/>
  <c r="O986" i="25"/>
  <c r="O994" i="25"/>
  <c r="O1002" i="25"/>
  <c r="O1010" i="25"/>
  <c r="O1018" i="25"/>
  <c r="O1026" i="25"/>
  <c r="O1034" i="25"/>
  <c r="N42" i="25"/>
  <c r="N50" i="25"/>
  <c r="N58" i="25"/>
  <c r="N66" i="25"/>
  <c r="N74" i="25"/>
  <c r="N82" i="25"/>
  <c r="N90" i="25"/>
  <c r="N98" i="25"/>
  <c r="N106" i="25"/>
  <c r="N114" i="25"/>
  <c r="N122" i="25"/>
  <c r="N130" i="25"/>
  <c r="N138" i="25"/>
  <c r="N146" i="25"/>
  <c r="N154" i="25"/>
  <c r="N162" i="25"/>
  <c r="N170" i="25"/>
  <c r="N178" i="25"/>
  <c r="N186" i="25"/>
  <c r="N194" i="25"/>
  <c r="N202" i="25"/>
  <c r="N210" i="25"/>
  <c r="N218" i="25"/>
  <c r="N226" i="25"/>
  <c r="N234" i="25"/>
  <c r="N242" i="25"/>
  <c r="N250" i="25"/>
  <c r="N258" i="25"/>
  <c r="N266" i="25"/>
  <c r="N274" i="25"/>
  <c r="N282" i="25"/>
  <c r="N290" i="25"/>
  <c r="N298" i="25"/>
  <c r="N306" i="25"/>
  <c r="N314" i="25"/>
  <c r="N322" i="25"/>
  <c r="N330" i="25"/>
  <c r="N338" i="25"/>
  <c r="N346" i="25"/>
  <c r="N354" i="25"/>
  <c r="N362" i="25"/>
  <c r="N370" i="25"/>
  <c r="N378" i="25"/>
  <c r="N386" i="25"/>
  <c r="N394" i="25"/>
  <c r="N402" i="25"/>
  <c r="N410" i="25"/>
  <c r="N418" i="25"/>
  <c r="O740" i="25"/>
  <c r="O751" i="25"/>
  <c r="O762" i="25"/>
  <c r="O771" i="25"/>
  <c r="O779" i="25"/>
  <c r="O787" i="25"/>
  <c r="O795" i="25"/>
  <c r="O803" i="25"/>
  <c r="O811" i="25"/>
  <c r="O819" i="25"/>
  <c r="O827" i="25"/>
  <c r="O835" i="25"/>
  <c r="O843" i="25"/>
  <c r="O851" i="25"/>
  <c r="O859" i="25"/>
  <c r="O867" i="25"/>
  <c r="O875" i="25"/>
  <c r="O883" i="25"/>
  <c r="O891" i="25"/>
  <c r="O899" i="25"/>
  <c r="O907" i="25"/>
  <c r="O915" i="25"/>
  <c r="O923" i="25"/>
  <c r="O931" i="25"/>
  <c r="O939" i="25"/>
  <c r="O947" i="25"/>
  <c r="O955" i="25"/>
  <c r="O963" i="25"/>
  <c r="O971" i="25"/>
  <c r="O979" i="25"/>
  <c r="O987" i="25"/>
  <c r="O995" i="25"/>
  <c r="O1003" i="25"/>
  <c r="O1011" i="25"/>
  <c r="O1019" i="25"/>
  <c r="O1027" i="25"/>
  <c r="O1035" i="25"/>
  <c r="N43" i="25"/>
  <c r="N51" i="25"/>
  <c r="N59" i="25"/>
  <c r="N67" i="25"/>
  <c r="N75" i="25"/>
  <c r="N83" i="25"/>
  <c r="N91" i="25"/>
  <c r="N99" i="25"/>
  <c r="N107" i="25"/>
  <c r="N115" i="25"/>
  <c r="N123" i="25"/>
  <c r="N131" i="25"/>
  <c r="N139" i="25"/>
  <c r="N147" i="25"/>
  <c r="N155" i="25"/>
  <c r="N163" i="25"/>
  <c r="N171" i="25"/>
  <c r="N179" i="25"/>
  <c r="N187" i="25"/>
  <c r="N195" i="25"/>
  <c r="N203" i="25"/>
  <c r="N211" i="25"/>
  <c r="N219" i="25"/>
  <c r="N227" i="25"/>
  <c r="N235" i="25"/>
  <c r="N243" i="25"/>
  <c r="N251" i="25"/>
  <c r="N259" i="25"/>
  <c r="N267" i="25"/>
  <c r="N275" i="25"/>
  <c r="N283" i="25"/>
  <c r="N291" i="25"/>
  <c r="N299" i="25"/>
  <c r="N307" i="25"/>
  <c r="N315" i="25"/>
  <c r="N323" i="25"/>
  <c r="N331" i="25"/>
  <c r="N339" i="25"/>
  <c r="N347" i="25"/>
  <c r="N355" i="25"/>
  <c r="N363" i="25"/>
  <c r="N371" i="25"/>
  <c r="N379" i="25"/>
  <c r="N387" i="25"/>
  <c r="N395" i="25"/>
  <c r="N403" i="25"/>
  <c r="N411" i="25"/>
  <c r="N419" i="25"/>
  <c r="O742" i="25"/>
  <c r="O753" i="25"/>
  <c r="O763" i="25"/>
  <c r="O772" i="25"/>
  <c r="O780" i="25"/>
  <c r="O788" i="25"/>
  <c r="O796" i="25"/>
  <c r="O804" i="25"/>
  <c r="O812" i="25"/>
  <c r="O820" i="25"/>
  <c r="O828" i="25"/>
  <c r="O836" i="25"/>
  <c r="O844" i="25"/>
  <c r="O852" i="25"/>
  <c r="O860" i="25"/>
  <c r="O868" i="25"/>
  <c r="O876" i="25"/>
  <c r="O884" i="25"/>
  <c r="O892" i="25"/>
  <c r="O900" i="25"/>
  <c r="O908" i="25"/>
  <c r="O916" i="25"/>
  <c r="O924" i="25"/>
  <c r="O932" i="25"/>
  <c r="O940" i="25"/>
  <c r="O948" i="25"/>
  <c r="O956" i="25"/>
  <c r="O964" i="25"/>
  <c r="O972" i="25"/>
  <c r="O980" i="25"/>
  <c r="O988" i="25"/>
  <c r="O996" i="25"/>
  <c r="O1004" i="25"/>
  <c r="O1012" i="25"/>
  <c r="O1020" i="25"/>
  <c r="O1028" i="25"/>
  <c r="O1036" i="25"/>
  <c r="N44" i="25"/>
  <c r="N52" i="25"/>
  <c r="N60" i="25"/>
  <c r="N68" i="25"/>
  <c r="N76" i="25"/>
  <c r="N84" i="25"/>
  <c r="N92" i="25"/>
  <c r="N100" i="25"/>
  <c r="N108" i="25"/>
  <c r="N116" i="25"/>
  <c r="N124" i="25"/>
  <c r="N132" i="25"/>
  <c r="N140" i="25"/>
  <c r="N148" i="25"/>
  <c r="N156" i="25"/>
  <c r="N164" i="25"/>
  <c r="N172" i="25"/>
  <c r="N180" i="25"/>
  <c r="N188" i="25"/>
  <c r="N196" i="25"/>
  <c r="N204" i="25"/>
  <c r="N212" i="25"/>
  <c r="N220" i="25"/>
  <c r="N228" i="25"/>
  <c r="N236" i="25"/>
  <c r="N244" i="25"/>
  <c r="N252" i="25"/>
  <c r="N260" i="25"/>
  <c r="N268" i="25"/>
  <c r="N276" i="25"/>
  <c r="N284" i="25"/>
  <c r="N292" i="25"/>
  <c r="N300" i="25"/>
  <c r="N308" i="25"/>
  <c r="N316" i="25"/>
  <c r="N324" i="25"/>
  <c r="N332" i="25"/>
  <c r="N340" i="25"/>
  <c r="N348" i="25"/>
  <c r="N356" i="25"/>
  <c r="N364" i="25"/>
  <c r="N372" i="25"/>
  <c r="N380" i="25"/>
  <c r="N388" i="25"/>
  <c r="N396" i="25"/>
  <c r="N404" i="25"/>
  <c r="N412" i="25"/>
  <c r="N420" i="25"/>
  <c r="O743" i="25"/>
  <c r="O754" i="25"/>
  <c r="O764" i="25"/>
  <c r="O773" i="25"/>
  <c r="O781" i="25"/>
  <c r="O789" i="25"/>
  <c r="O797" i="25"/>
  <c r="O805" i="25"/>
  <c r="O813" i="25"/>
  <c r="O821" i="25"/>
  <c r="O829" i="25"/>
  <c r="O837" i="25"/>
  <c r="O845" i="25"/>
  <c r="O853" i="25"/>
  <c r="O861" i="25"/>
  <c r="O869" i="25"/>
  <c r="O877" i="25"/>
  <c r="O885" i="25"/>
  <c r="O893" i="25"/>
  <c r="O901" i="25"/>
  <c r="O909" i="25"/>
  <c r="O917" i="25"/>
  <c r="O925" i="25"/>
  <c r="O933" i="25"/>
  <c r="O941" i="25"/>
  <c r="O949" i="25"/>
  <c r="O957" i="25"/>
  <c r="O965" i="25"/>
  <c r="O973" i="25"/>
  <c r="O981" i="25"/>
  <c r="O989" i="25"/>
  <c r="O997" i="25"/>
  <c r="O1005" i="25"/>
  <c r="O1013" i="25"/>
  <c r="O1021" i="25"/>
  <c r="O1029" i="25"/>
  <c r="O1037" i="25"/>
  <c r="N45" i="25"/>
  <c r="N53" i="25"/>
  <c r="N61" i="25"/>
  <c r="N69" i="25"/>
  <c r="N77" i="25"/>
  <c r="N85" i="25"/>
  <c r="N93" i="25"/>
  <c r="N101" i="25"/>
  <c r="N109" i="25"/>
  <c r="N117" i="25"/>
  <c r="N125" i="25"/>
  <c r="N133" i="25"/>
  <c r="N141" i="25"/>
  <c r="N149" i="25"/>
  <c r="N157" i="25"/>
  <c r="N165" i="25"/>
  <c r="N173" i="25"/>
  <c r="N181" i="25"/>
  <c r="N189" i="25"/>
  <c r="N197" i="25"/>
  <c r="N205" i="25"/>
  <c r="N213" i="25"/>
  <c r="N221" i="25"/>
  <c r="N229" i="25"/>
  <c r="N237" i="25"/>
  <c r="N245" i="25"/>
  <c r="N253" i="25"/>
  <c r="N261" i="25"/>
  <c r="N269" i="25"/>
  <c r="N277" i="25"/>
  <c r="N285" i="25"/>
  <c r="N293" i="25"/>
  <c r="N301" i="25"/>
  <c r="N309" i="25"/>
  <c r="N317" i="25"/>
  <c r="N325" i="25"/>
  <c r="N333" i="25"/>
  <c r="N341" i="25"/>
  <c r="N349" i="25"/>
  <c r="N357" i="25"/>
  <c r="N365" i="25"/>
  <c r="N373" i="25"/>
  <c r="N381" i="25"/>
  <c r="N389" i="25"/>
  <c r="N397" i="25"/>
  <c r="N405" i="25"/>
  <c r="N413" i="25"/>
  <c r="N421" i="25"/>
  <c r="N425" i="25"/>
  <c r="N433" i="25"/>
  <c r="N441" i="25"/>
  <c r="N449" i="25"/>
  <c r="N457" i="25"/>
  <c r="N465" i="25"/>
  <c r="N473" i="25"/>
  <c r="N481" i="25"/>
  <c r="N489" i="25"/>
  <c r="N497" i="25"/>
  <c r="N505" i="25"/>
  <c r="N513" i="25"/>
  <c r="N521" i="25"/>
  <c r="N529" i="25"/>
  <c r="N537" i="25"/>
  <c r="N545" i="25"/>
  <c r="N553" i="25"/>
  <c r="N561" i="25"/>
  <c r="N569" i="25"/>
  <c r="N577" i="25"/>
  <c r="N585" i="25"/>
  <c r="N593" i="25"/>
  <c r="N601" i="25"/>
  <c r="N609" i="25"/>
  <c r="N617" i="25"/>
  <c r="N625" i="25"/>
  <c r="N633" i="25"/>
  <c r="N641" i="25"/>
  <c r="N649" i="25"/>
  <c r="N657" i="25"/>
  <c r="N665" i="25"/>
  <c r="N673" i="25"/>
  <c r="N681" i="25"/>
  <c r="N689" i="25"/>
  <c r="N697" i="25"/>
  <c r="N705" i="25"/>
  <c r="N713" i="25"/>
  <c r="N721" i="25"/>
  <c r="N729" i="25"/>
  <c r="N737" i="25"/>
  <c r="N745" i="25"/>
  <c r="N753" i="25"/>
  <c r="N761" i="25"/>
  <c r="N769" i="25"/>
  <c r="N777" i="25"/>
  <c r="N785" i="25"/>
  <c r="N793" i="25"/>
  <c r="N801" i="25"/>
  <c r="N809" i="25"/>
  <c r="N817" i="25"/>
  <c r="N825" i="25"/>
  <c r="N833" i="25"/>
  <c r="N841" i="25"/>
  <c r="N849" i="25"/>
  <c r="N857" i="25"/>
  <c r="N865" i="25"/>
  <c r="N873" i="25"/>
  <c r="N881" i="25"/>
  <c r="N889" i="25"/>
  <c r="N897" i="25"/>
  <c r="N905" i="25"/>
  <c r="N913" i="25"/>
  <c r="N921" i="25"/>
  <c r="N929" i="25"/>
  <c r="N937" i="25"/>
  <c r="N945" i="25"/>
  <c r="N953" i="25"/>
  <c r="N961" i="25"/>
  <c r="N969" i="25"/>
  <c r="N977" i="25"/>
  <c r="N985" i="25"/>
  <c r="N993" i="25"/>
  <c r="N1001" i="25"/>
  <c r="N1009" i="25"/>
  <c r="N1017" i="25"/>
  <c r="N1025" i="25"/>
  <c r="N1033" i="25"/>
  <c r="M41" i="25"/>
  <c r="M49" i="25"/>
  <c r="M57" i="25"/>
  <c r="M65" i="25"/>
  <c r="M73" i="25"/>
  <c r="M81" i="25"/>
  <c r="M89" i="25"/>
  <c r="M97" i="25"/>
  <c r="M105" i="25"/>
  <c r="N426" i="25"/>
  <c r="N434" i="25"/>
  <c r="N442" i="25"/>
  <c r="N450" i="25"/>
  <c r="N458" i="25"/>
  <c r="N466" i="25"/>
  <c r="N474" i="25"/>
  <c r="N482" i="25"/>
  <c r="N490" i="25"/>
  <c r="N498" i="25"/>
  <c r="N506" i="25"/>
  <c r="N514" i="25"/>
  <c r="N522" i="25"/>
  <c r="N530" i="25"/>
  <c r="N538" i="25"/>
  <c r="N546" i="25"/>
  <c r="N554" i="25"/>
  <c r="N562" i="25"/>
  <c r="N570" i="25"/>
  <c r="N578" i="25"/>
  <c r="N586" i="25"/>
  <c r="N594" i="25"/>
  <c r="N602" i="25"/>
  <c r="N610" i="25"/>
  <c r="N618" i="25"/>
  <c r="N626" i="25"/>
  <c r="N634" i="25"/>
  <c r="N642" i="25"/>
  <c r="N650" i="25"/>
  <c r="N658" i="25"/>
  <c r="N666" i="25"/>
  <c r="N674" i="25"/>
  <c r="N682" i="25"/>
  <c r="N690" i="25"/>
  <c r="N698" i="25"/>
  <c r="N706" i="25"/>
  <c r="N714" i="25"/>
  <c r="N722" i="25"/>
  <c r="N730" i="25"/>
  <c r="N738" i="25"/>
  <c r="N746" i="25"/>
  <c r="N754" i="25"/>
  <c r="N762" i="25"/>
  <c r="N770" i="25"/>
  <c r="N778" i="25"/>
  <c r="N786" i="25"/>
  <c r="N794" i="25"/>
  <c r="N802" i="25"/>
  <c r="N810" i="25"/>
  <c r="N818" i="25"/>
  <c r="N826" i="25"/>
  <c r="N834" i="25"/>
  <c r="N842" i="25"/>
  <c r="N850" i="25"/>
  <c r="N858" i="25"/>
  <c r="N866" i="25"/>
  <c r="N874" i="25"/>
  <c r="N882" i="25"/>
  <c r="N890" i="25"/>
  <c r="N898" i="25"/>
  <c r="N906" i="25"/>
  <c r="N914" i="25"/>
  <c r="N922" i="25"/>
  <c r="N930" i="25"/>
  <c r="N938" i="25"/>
  <c r="N946" i="25"/>
  <c r="N954" i="25"/>
  <c r="N962" i="25"/>
  <c r="N970" i="25"/>
  <c r="N978" i="25"/>
  <c r="N986" i="25"/>
  <c r="N994" i="25"/>
  <c r="N1002" i="25"/>
  <c r="N1010" i="25"/>
  <c r="N1018" i="25"/>
  <c r="N1026" i="25"/>
  <c r="N1034" i="25"/>
  <c r="M42" i="25"/>
  <c r="M50" i="25"/>
  <c r="M58" i="25"/>
  <c r="M66" i="25"/>
  <c r="M74" i="25"/>
  <c r="M82" i="25"/>
  <c r="M90" i="25"/>
  <c r="M98" i="25"/>
  <c r="M106" i="25"/>
  <c r="N427" i="25"/>
  <c r="N435" i="25"/>
  <c r="N443" i="25"/>
  <c r="N451" i="25"/>
  <c r="N459" i="25"/>
  <c r="N467" i="25"/>
  <c r="N475" i="25"/>
  <c r="N483" i="25"/>
  <c r="N491" i="25"/>
  <c r="N499" i="25"/>
  <c r="N507" i="25"/>
  <c r="N515" i="25"/>
  <c r="N523" i="25"/>
  <c r="N531" i="25"/>
  <c r="N539" i="25"/>
  <c r="N547" i="25"/>
  <c r="N555" i="25"/>
  <c r="N563" i="25"/>
  <c r="N571" i="25"/>
  <c r="N579" i="25"/>
  <c r="N587" i="25"/>
  <c r="N595" i="25"/>
  <c r="N603" i="25"/>
  <c r="N611" i="25"/>
  <c r="N619" i="25"/>
  <c r="N627" i="25"/>
  <c r="N635" i="25"/>
  <c r="N643" i="25"/>
  <c r="N651" i="25"/>
  <c r="N659" i="25"/>
  <c r="N667" i="25"/>
  <c r="N675" i="25"/>
  <c r="N683" i="25"/>
  <c r="N691" i="25"/>
  <c r="N699" i="25"/>
  <c r="N707" i="25"/>
  <c r="N715" i="25"/>
  <c r="N723" i="25"/>
  <c r="N731" i="25"/>
  <c r="N739" i="25"/>
  <c r="N747" i="25"/>
  <c r="N755" i="25"/>
  <c r="N763" i="25"/>
  <c r="N771" i="25"/>
  <c r="N779" i="25"/>
  <c r="N787" i="25"/>
  <c r="N795" i="25"/>
  <c r="N803" i="25"/>
  <c r="N811" i="25"/>
  <c r="N819" i="25"/>
  <c r="N827" i="25"/>
  <c r="N835" i="25"/>
  <c r="N843" i="25"/>
  <c r="N851" i="25"/>
  <c r="N859" i="25"/>
  <c r="N867" i="25"/>
  <c r="N875" i="25"/>
  <c r="N883" i="25"/>
  <c r="N891" i="25"/>
  <c r="N899" i="25"/>
  <c r="N907" i="25"/>
  <c r="N915" i="25"/>
  <c r="N923" i="25"/>
  <c r="N931" i="25"/>
  <c r="N939" i="25"/>
  <c r="N947" i="25"/>
  <c r="N955" i="25"/>
  <c r="N963" i="25"/>
  <c r="N971" i="25"/>
  <c r="N979" i="25"/>
  <c r="N987" i="25"/>
  <c r="N995" i="25"/>
  <c r="N1003" i="25"/>
  <c r="N1011" i="25"/>
  <c r="N1019" i="25"/>
  <c r="N1027" i="25"/>
  <c r="N1035" i="25"/>
  <c r="M43" i="25"/>
  <c r="M51" i="25"/>
  <c r="M59" i="25"/>
  <c r="M67" i="25"/>
  <c r="M75" i="25"/>
  <c r="M83" i="25"/>
  <c r="M91" i="25"/>
  <c r="M99" i="25"/>
  <c r="M107" i="25"/>
  <c r="N428" i="25"/>
  <c r="N436" i="25"/>
  <c r="N444" i="25"/>
  <c r="N452" i="25"/>
  <c r="N460" i="25"/>
  <c r="N468" i="25"/>
  <c r="N476" i="25"/>
  <c r="N484" i="25"/>
  <c r="N492" i="25"/>
  <c r="N500" i="25"/>
  <c r="N508" i="25"/>
  <c r="N516" i="25"/>
  <c r="N524" i="25"/>
  <c r="N532" i="25"/>
  <c r="N540" i="25"/>
  <c r="N548" i="25"/>
  <c r="N556" i="25"/>
  <c r="N564" i="25"/>
  <c r="N572" i="25"/>
  <c r="N580" i="25"/>
  <c r="N588" i="25"/>
  <c r="N596" i="25"/>
  <c r="N604" i="25"/>
  <c r="N612" i="25"/>
  <c r="N620" i="25"/>
  <c r="N628" i="25"/>
  <c r="N636" i="25"/>
  <c r="N644" i="25"/>
  <c r="N652" i="25"/>
  <c r="N660" i="25"/>
  <c r="N668" i="25"/>
  <c r="N676" i="25"/>
  <c r="N684" i="25"/>
  <c r="N692" i="25"/>
  <c r="N700" i="25"/>
  <c r="N708" i="25"/>
  <c r="N716" i="25"/>
  <c r="N724" i="25"/>
  <c r="N732" i="25"/>
  <c r="N740" i="25"/>
  <c r="N748" i="25"/>
  <c r="N756" i="25"/>
  <c r="N764" i="25"/>
  <c r="N772" i="25"/>
  <c r="N780" i="25"/>
  <c r="N788" i="25"/>
  <c r="N796" i="25"/>
  <c r="N804" i="25"/>
  <c r="N812" i="25"/>
  <c r="N820" i="25"/>
  <c r="N828" i="25"/>
  <c r="N836" i="25"/>
  <c r="N844" i="25"/>
  <c r="N852" i="25"/>
  <c r="N860" i="25"/>
  <c r="N868" i="25"/>
  <c r="N876" i="25"/>
  <c r="N884" i="25"/>
  <c r="N892" i="25"/>
  <c r="N900" i="25"/>
  <c r="N908" i="25"/>
  <c r="N916" i="25"/>
  <c r="N924" i="25"/>
  <c r="N932" i="25"/>
  <c r="N940" i="25"/>
  <c r="N948" i="25"/>
  <c r="N956" i="25"/>
  <c r="N964" i="25"/>
  <c r="N972" i="25"/>
  <c r="N980" i="25"/>
  <c r="N988" i="25"/>
  <c r="N996" i="25"/>
  <c r="N1004" i="25"/>
  <c r="N1012" i="25"/>
  <c r="N1020" i="25"/>
  <c r="N1028" i="25"/>
  <c r="N1036" i="25"/>
  <c r="M44" i="25"/>
  <c r="M52" i="25"/>
  <c r="M60" i="25"/>
  <c r="M68" i="25"/>
  <c r="M76" i="25"/>
  <c r="M84" i="25"/>
  <c r="M92" i="25"/>
  <c r="M100" i="25"/>
  <c r="M108" i="25"/>
  <c r="N429" i="25"/>
  <c r="N437" i="25"/>
  <c r="N445" i="25"/>
  <c r="N453" i="25"/>
  <c r="N461" i="25"/>
  <c r="N469" i="25"/>
  <c r="N477" i="25"/>
  <c r="N485" i="25"/>
  <c r="N493" i="25"/>
  <c r="N501" i="25"/>
  <c r="N509" i="25"/>
  <c r="N517" i="25"/>
  <c r="N525" i="25"/>
  <c r="N533" i="25"/>
  <c r="N541" i="25"/>
  <c r="N549" i="25"/>
  <c r="N557" i="25"/>
  <c r="N565" i="25"/>
  <c r="N573" i="25"/>
  <c r="N581" i="25"/>
  <c r="N589" i="25"/>
  <c r="N597" i="25"/>
  <c r="N605" i="25"/>
  <c r="N613" i="25"/>
  <c r="N621" i="25"/>
  <c r="N629" i="25"/>
  <c r="N637" i="25"/>
  <c r="N645" i="25"/>
  <c r="N653" i="25"/>
  <c r="N661" i="25"/>
  <c r="N669" i="25"/>
  <c r="N677" i="25"/>
  <c r="N685" i="25"/>
  <c r="N693" i="25"/>
  <c r="N701" i="25"/>
  <c r="N709" i="25"/>
  <c r="N717" i="25"/>
  <c r="N725" i="25"/>
  <c r="N733" i="25"/>
  <c r="N741" i="25"/>
  <c r="N749" i="25"/>
  <c r="N757" i="25"/>
  <c r="N765" i="25"/>
  <c r="N773" i="25"/>
  <c r="N781" i="25"/>
  <c r="N789" i="25"/>
  <c r="N797" i="25"/>
  <c r="N805" i="25"/>
  <c r="N813" i="25"/>
  <c r="N821" i="25"/>
  <c r="N829" i="25"/>
  <c r="N837" i="25"/>
  <c r="N845" i="25"/>
  <c r="N853" i="25"/>
  <c r="N861" i="25"/>
  <c r="N869" i="25"/>
  <c r="N877" i="25"/>
  <c r="N885" i="25"/>
  <c r="N893" i="25"/>
  <c r="N901" i="25"/>
  <c r="N909" i="25"/>
  <c r="N917" i="25"/>
  <c r="N925" i="25"/>
  <c r="N933" i="25"/>
  <c r="N941" i="25"/>
  <c r="N949" i="25"/>
  <c r="N957" i="25"/>
  <c r="N965" i="25"/>
  <c r="N973" i="25"/>
  <c r="N981" i="25"/>
  <c r="N989" i="25"/>
  <c r="N997" i="25"/>
  <c r="N1005" i="25"/>
  <c r="N1013" i="25"/>
  <c r="N1021" i="25"/>
  <c r="N1029" i="25"/>
  <c r="N1037" i="25"/>
  <c r="M45" i="25"/>
  <c r="M53" i="25"/>
  <c r="M61" i="25"/>
  <c r="M69" i="25"/>
  <c r="M77" i="25"/>
  <c r="M85" i="25"/>
  <c r="M93" i="25"/>
  <c r="M101" i="25"/>
  <c r="M109" i="25"/>
  <c r="N430" i="25"/>
  <c r="N438" i="25"/>
  <c r="N446" i="25"/>
  <c r="N454" i="25"/>
  <c r="N462" i="25"/>
  <c r="N470" i="25"/>
  <c r="N478" i="25"/>
  <c r="N486" i="25"/>
  <c r="N494" i="25"/>
  <c r="N502" i="25"/>
  <c r="N510" i="25"/>
  <c r="N518" i="25"/>
  <c r="N526" i="25"/>
  <c r="N534" i="25"/>
  <c r="N542" i="25"/>
  <c r="N550" i="25"/>
  <c r="N558" i="25"/>
  <c r="N566" i="25"/>
  <c r="N574" i="25"/>
  <c r="N582" i="25"/>
  <c r="N590" i="25"/>
  <c r="N598" i="25"/>
  <c r="N606" i="25"/>
  <c r="N614" i="25"/>
  <c r="N622" i="25"/>
  <c r="N630" i="25"/>
  <c r="N638" i="25"/>
  <c r="N646" i="25"/>
  <c r="N654" i="25"/>
  <c r="N662" i="25"/>
  <c r="N670" i="25"/>
  <c r="N678" i="25"/>
  <c r="N686" i="25"/>
  <c r="N694" i="25"/>
  <c r="N702" i="25"/>
  <c r="N710" i="25"/>
  <c r="N718" i="25"/>
  <c r="N726" i="25"/>
  <c r="N734" i="25"/>
  <c r="N742" i="25"/>
  <c r="N750" i="25"/>
  <c r="N758" i="25"/>
  <c r="N766" i="25"/>
  <c r="N774" i="25"/>
  <c r="N782" i="25"/>
  <c r="N790" i="25"/>
  <c r="N798" i="25"/>
  <c r="N806" i="25"/>
  <c r="N814" i="25"/>
  <c r="N822" i="25"/>
  <c r="N830" i="25"/>
  <c r="N838" i="25"/>
  <c r="N846" i="25"/>
  <c r="N854" i="25"/>
  <c r="N862" i="25"/>
  <c r="N870" i="25"/>
  <c r="N878" i="25"/>
  <c r="N886" i="25"/>
  <c r="N894" i="25"/>
  <c r="N902" i="25"/>
  <c r="N910" i="25"/>
  <c r="N918" i="25"/>
  <c r="N926" i="25"/>
  <c r="N934" i="25"/>
  <c r="N942" i="25"/>
  <c r="N950" i="25"/>
  <c r="N958" i="25"/>
  <c r="N966" i="25"/>
  <c r="N974" i="25"/>
  <c r="N982" i="25"/>
  <c r="N990" i="25"/>
  <c r="N998" i="25"/>
  <c r="N1006" i="25"/>
  <c r="N1014" i="25"/>
  <c r="N1022" i="25"/>
  <c r="N1030" i="25"/>
  <c r="N1038" i="25"/>
  <c r="M46" i="25"/>
  <c r="M54" i="25"/>
  <c r="M62" i="25"/>
  <c r="M70" i="25"/>
  <c r="M78" i="25"/>
  <c r="M86" i="25"/>
  <c r="M94" i="25"/>
  <c r="M102" i="25"/>
  <c r="N431" i="25"/>
  <c r="N439" i="25"/>
  <c r="N447" i="25"/>
  <c r="N455" i="25"/>
  <c r="N463" i="25"/>
  <c r="N471" i="25"/>
  <c r="N479" i="25"/>
  <c r="N487" i="25"/>
  <c r="N495" i="25"/>
  <c r="N503" i="25"/>
  <c r="N511" i="25"/>
  <c r="N519" i="25"/>
  <c r="N527" i="25"/>
  <c r="N535" i="25"/>
  <c r="N543" i="25"/>
  <c r="N551" i="25"/>
  <c r="N559" i="25"/>
  <c r="N567" i="25"/>
  <c r="N575" i="25"/>
  <c r="N583" i="25"/>
  <c r="N591" i="25"/>
  <c r="N599" i="25"/>
  <c r="N607" i="25"/>
  <c r="N615" i="25"/>
  <c r="N623" i="25"/>
  <c r="N631" i="25"/>
  <c r="N639" i="25"/>
  <c r="N647" i="25"/>
  <c r="N655" i="25"/>
  <c r="N663" i="25"/>
  <c r="N671" i="25"/>
  <c r="N679" i="25"/>
  <c r="N687" i="25"/>
  <c r="N695" i="25"/>
  <c r="N703" i="25"/>
  <c r="N711" i="25"/>
  <c r="N719" i="25"/>
  <c r="N727" i="25"/>
  <c r="N735" i="25"/>
  <c r="N743" i="25"/>
  <c r="N751" i="25"/>
  <c r="N759" i="25"/>
  <c r="N767" i="25"/>
  <c r="N775" i="25"/>
  <c r="N783" i="25"/>
  <c r="N791" i="25"/>
  <c r="N799" i="25"/>
  <c r="N807" i="25"/>
  <c r="N815" i="25"/>
  <c r="N823" i="25"/>
  <c r="N831" i="25"/>
  <c r="N839" i="25"/>
  <c r="N847" i="25"/>
  <c r="N855" i="25"/>
  <c r="N863" i="25"/>
  <c r="N871" i="25"/>
  <c r="N879" i="25"/>
  <c r="N887" i="25"/>
  <c r="N895" i="25"/>
  <c r="N903" i="25"/>
  <c r="N911" i="25"/>
  <c r="N919" i="25"/>
  <c r="N927" i="25"/>
  <c r="N935" i="25"/>
  <c r="N943" i="25"/>
  <c r="N951" i="25"/>
  <c r="N959" i="25"/>
  <c r="N967" i="25"/>
  <c r="N975" i="25"/>
  <c r="N983" i="25"/>
  <c r="N991" i="25"/>
  <c r="N999" i="25"/>
  <c r="N1007" i="25"/>
  <c r="N1015" i="25"/>
  <c r="N1023" i="25"/>
  <c r="N1031" i="25"/>
  <c r="N1039" i="25"/>
  <c r="M47" i="25"/>
  <c r="M55" i="25"/>
  <c r="M63" i="25"/>
  <c r="M71" i="25"/>
  <c r="M79" i="25"/>
  <c r="M87" i="25"/>
  <c r="M95" i="25"/>
  <c r="M103" i="25"/>
  <c r="N432" i="25"/>
  <c r="N440" i="25"/>
  <c r="N448" i="25"/>
  <c r="N456" i="25"/>
  <c r="N464" i="25"/>
  <c r="N472" i="25"/>
  <c r="N480" i="25"/>
  <c r="N488" i="25"/>
  <c r="N496" i="25"/>
  <c r="N504" i="25"/>
  <c r="N512" i="25"/>
  <c r="N520" i="25"/>
  <c r="N528" i="25"/>
  <c r="N536" i="25"/>
  <c r="N544" i="25"/>
  <c r="N552" i="25"/>
  <c r="N560" i="25"/>
  <c r="N568" i="25"/>
  <c r="N576" i="25"/>
  <c r="N584" i="25"/>
  <c r="N592" i="25"/>
  <c r="N600" i="25"/>
  <c r="N608" i="25"/>
  <c r="N616" i="25"/>
  <c r="N624" i="25"/>
  <c r="N632" i="25"/>
  <c r="N640" i="25"/>
  <c r="N648" i="25"/>
  <c r="N656" i="25"/>
  <c r="N664" i="25"/>
  <c r="N672" i="25"/>
  <c r="N680" i="25"/>
  <c r="N688" i="25"/>
  <c r="N696" i="25"/>
  <c r="N704" i="25"/>
  <c r="N712" i="25"/>
  <c r="N720" i="25"/>
  <c r="N728" i="25"/>
  <c r="N736" i="25"/>
  <c r="N744" i="25"/>
  <c r="N752" i="25"/>
  <c r="N760" i="25"/>
  <c r="N768" i="25"/>
  <c r="N776" i="25"/>
  <c r="N784" i="25"/>
  <c r="N792" i="25"/>
  <c r="N800" i="25"/>
  <c r="N808" i="25"/>
  <c r="N816" i="25"/>
  <c r="N824" i="25"/>
  <c r="N832" i="25"/>
  <c r="N840" i="25"/>
  <c r="N848" i="25"/>
  <c r="N856" i="25"/>
  <c r="N864" i="25"/>
  <c r="N872" i="25"/>
  <c r="N880" i="25"/>
  <c r="N888" i="25"/>
  <c r="N896" i="25"/>
  <c r="N904" i="25"/>
  <c r="N912" i="25"/>
  <c r="N920" i="25"/>
  <c r="N928" i="25"/>
  <c r="N936" i="25"/>
  <c r="N944" i="25"/>
  <c r="N952" i="25"/>
  <c r="N960" i="25"/>
  <c r="N968" i="25"/>
  <c r="N976" i="25"/>
  <c r="N984" i="25"/>
  <c r="N992" i="25"/>
  <c r="N1000" i="25"/>
  <c r="N1008" i="25"/>
  <c r="N1016" i="25"/>
  <c r="N1024" i="25"/>
  <c r="N1032" i="25"/>
  <c r="M48" i="25"/>
  <c r="M56" i="25"/>
  <c r="M64" i="25"/>
  <c r="M72" i="25"/>
  <c r="M80" i="25"/>
  <c r="M88" i="25"/>
  <c r="M96" i="25"/>
  <c r="M104" i="25"/>
  <c r="M110" i="25"/>
  <c r="M118" i="25"/>
  <c r="M126" i="25"/>
  <c r="M134" i="25"/>
  <c r="M142" i="25"/>
  <c r="M150" i="25"/>
  <c r="M158" i="25"/>
  <c r="M166" i="25"/>
  <c r="M174" i="25"/>
  <c r="M182" i="25"/>
  <c r="M190" i="25"/>
  <c r="M198" i="25"/>
  <c r="M206" i="25"/>
  <c r="M214" i="25"/>
  <c r="M222" i="25"/>
  <c r="M230" i="25"/>
  <c r="M238" i="25"/>
  <c r="M246" i="25"/>
  <c r="M254" i="25"/>
  <c r="M262" i="25"/>
  <c r="M270" i="25"/>
  <c r="M278" i="25"/>
  <c r="M286" i="25"/>
  <c r="M294" i="25"/>
  <c r="M302" i="25"/>
  <c r="M310" i="25"/>
  <c r="M318" i="25"/>
  <c r="M326" i="25"/>
  <c r="M334" i="25"/>
  <c r="M342" i="25"/>
  <c r="M350" i="25"/>
  <c r="M358" i="25"/>
  <c r="M366" i="25"/>
  <c r="M374" i="25"/>
  <c r="M382" i="25"/>
  <c r="M390" i="25"/>
  <c r="M398" i="25"/>
  <c r="M406" i="25"/>
  <c r="M414" i="25"/>
  <c r="M422" i="25"/>
  <c r="M430" i="25"/>
  <c r="M438" i="25"/>
  <c r="M446" i="25"/>
  <c r="M454" i="25"/>
  <c r="M462" i="25"/>
  <c r="M470" i="25"/>
  <c r="M478" i="25"/>
  <c r="M486" i="25"/>
  <c r="M494" i="25"/>
  <c r="M502" i="25"/>
  <c r="M510" i="25"/>
  <c r="M518" i="25"/>
  <c r="M526" i="25"/>
  <c r="M534" i="25"/>
  <c r="M542" i="25"/>
  <c r="M550" i="25"/>
  <c r="M558" i="25"/>
  <c r="M566" i="25"/>
  <c r="M574" i="25"/>
  <c r="M582" i="25"/>
  <c r="M590" i="25"/>
  <c r="M598" i="25"/>
  <c r="M606" i="25"/>
  <c r="M614" i="25"/>
  <c r="M622" i="25"/>
  <c r="M630" i="25"/>
  <c r="M638" i="25"/>
  <c r="M646" i="25"/>
  <c r="M654" i="25"/>
  <c r="M662" i="25"/>
  <c r="M670" i="25"/>
  <c r="M678" i="25"/>
  <c r="M686" i="25"/>
  <c r="M694" i="25"/>
  <c r="M702" i="25"/>
  <c r="M710" i="25"/>
  <c r="M718" i="25"/>
  <c r="M726" i="25"/>
  <c r="M111" i="25"/>
  <c r="M119" i="25"/>
  <c r="M127" i="25"/>
  <c r="M135" i="25"/>
  <c r="M143" i="25"/>
  <c r="M151" i="25"/>
  <c r="M159" i="25"/>
  <c r="M167" i="25"/>
  <c r="M175" i="25"/>
  <c r="M183" i="25"/>
  <c r="M191" i="25"/>
  <c r="M199" i="25"/>
  <c r="M207" i="25"/>
  <c r="M215" i="25"/>
  <c r="M223" i="25"/>
  <c r="M231" i="25"/>
  <c r="M239" i="25"/>
  <c r="M247" i="25"/>
  <c r="M255" i="25"/>
  <c r="M263" i="25"/>
  <c r="M271" i="25"/>
  <c r="M279" i="25"/>
  <c r="M287" i="25"/>
  <c r="M295" i="25"/>
  <c r="M303" i="25"/>
  <c r="M311" i="25"/>
  <c r="M319" i="25"/>
  <c r="M327" i="25"/>
  <c r="M335" i="25"/>
  <c r="M343" i="25"/>
  <c r="M351" i="25"/>
  <c r="M359" i="25"/>
  <c r="M367" i="25"/>
  <c r="M375" i="25"/>
  <c r="M383" i="25"/>
  <c r="M391" i="25"/>
  <c r="M399" i="25"/>
  <c r="M407" i="25"/>
  <c r="M415" i="25"/>
  <c r="M423" i="25"/>
  <c r="M431" i="25"/>
  <c r="M439" i="25"/>
  <c r="M447" i="25"/>
  <c r="M455" i="25"/>
  <c r="M463" i="25"/>
  <c r="M471" i="25"/>
  <c r="M479" i="25"/>
  <c r="M487" i="25"/>
  <c r="M495" i="25"/>
  <c r="M503" i="25"/>
  <c r="M511" i="25"/>
  <c r="M519" i="25"/>
  <c r="M527" i="25"/>
  <c r="M535" i="25"/>
  <c r="M543" i="25"/>
  <c r="M551" i="25"/>
  <c r="M559" i="25"/>
  <c r="M567" i="25"/>
  <c r="M575" i="25"/>
  <c r="M583" i="25"/>
  <c r="M591" i="25"/>
  <c r="M599" i="25"/>
  <c r="M607" i="25"/>
  <c r="M615" i="25"/>
  <c r="M623" i="25"/>
  <c r="M631" i="25"/>
  <c r="M639" i="25"/>
  <c r="M647" i="25"/>
  <c r="M655" i="25"/>
  <c r="M663" i="25"/>
  <c r="M671" i="25"/>
  <c r="M679" i="25"/>
  <c r="M687" i="25"/>
  <c r="M695" i="25"/>
  <c r="M703" i="25"/>
  <c r="M711" i="25"/>
  <c r="M719" i="25"/>
  <c r="M727" i="25"/>
  <c r="M112" i="25"/>
  <c r="M120" i="25"/>
  <c r="M128" i="25"/>
  <c r="M136" i="25"/>
  <c r="M144" i="25"/>
  <c r="M152" i="25"/>
  <c r="M160" i="25"/>
  <c r="M168" i="25"/>
  <c r="M176" i="25"/>
  <c r="M184" i="25"/>
  <c r="M192" i="25"/>
  <c r="M200" i="25"/>
  <c r="M208" i="25"/>
  <c r="M216" i="25"/>
  <c r="M224" i="25"/>
  <c r="M232" i="25"/>
  <c r="M240" i="25"/>
  <c r="M248" i="25"/>
  <c r="M256" i="25"/>
  <c r="M264" i="25"/>
  <c r="M272" i="25"/>
  <c r="M280" i="25"/>
  <c r="M288" i="25"/>
  <c r="M296" i="25"/>
  <c r="M304" i="25"/>
  <c r="M312" i="25"/>
  <c r="M320" i="25"/>
  <c r="M328" i="25"/>
  <c r="M336" i="25"/>
  <c r="M344" i="25"/>
  <c r="M352" i="25"/>
  <c r="M360" i="25"/>
  <c r="M368" i="25"/>
  <c r="M376" i="25"/>
  <c r="M384" i="25"/>
  <c r="M392" i="25"/>
  <c r="M400" i="25"/>
  <c r="M408" i="25"/>
  <c r="M416" i="25"/>
  <c r="M424" i="25"/>
  <c r="M432" i="25"/>
  <c r="M440" i="25"/>
  <c r="M448" i="25"/>
  <c r="M456" i="25"/>
  <c r="M464" i="25"/>
  <c r="M472" i="25"/>
  <c r="M480" i="25"/>
  <c r="M488" i="25"/>
  <c r="M496" i="25"/>
  <c r="M504" i="25"/>
  <c r="M512" i="25"/>
  <c r="M520" i="25"/>
  <c r="M528" i="25"/>
  <c r="M536" i="25"/>
  <c r="M544" i="25"/>
  <c r="M552" i="25"/>
  <c r="M560" i="25"/>
  <c r="M568" i="25"/>
  <c r="M576" i="25"/>
  <c r="M584" i="25"/>
  <c r="M592" i="25"/>
  <c r="M600" i="25"/>
  <c r="M608" i="25"/>
  <c r="M616" i="25"/>
  <c r="M624" i="25"/>
  <c r="M632" i="25"/>
  <c r="M640" i="25"/>
  <c r="M648" i="25"/>
  <c r="M656" i="25"/>
  <c r="M664" i="25"/>
  <c r="M672" i="25"/>
  <c r="M680" i="25"/>
  <c r="M688" i="25"/>
  <c r="M696" i="25"/>
  <c r="M704" i="25"/>
  <c r="M712" i="25"/>
  <c r="M720" i="25"/>
  <c r="M728" i="25"/>
  <c r="M113" i="25"/>
  <c r="M121" i="25"/>
  <c r="M129" i="25"/>
  <c r="M137" i="25"/>
  <c r="M145" i="25"/>
  <c r="M153" i="25"/>
  <c r="M161" i="25"/>
  <c r="M169" i="25"/>
  <c r="M177" i="25"/>
  <c r="M185" i="25"/>
  <c r="M193" i="25"/>
  <c r="M201" i="25"/>
  <c r="M209" i="25"/>
  <c r="M217" i="25"/>
  <c r="M225" i="25"/>
  <c r="M233" i="25"/>
  <c r="M241" i="25"/>
  <c r="M249" i="25"/>
  <c r="M257" i="25"/>
  <c r="M265" i="25"/>
  <c r="M273" i="25"/>
  <c r="M281" i="25"/>
  <c r="M289" i="25"/>
  <c r="M297" i="25"/>
  <c r="M305" i="25"/>
  <c r="M313" i="25"/>
  <c r="M321" i="25"/>
  <c r="M329" i="25"/>
  <c r="M337" i="25"/>
  <c r="M345" i="25"/>
  <c r="M353" i="25"/>
  <c r="M361" i="25"/>
  <c r="M369" i="25"/>
  <c r="M377" i="25"/>
  <c r="M385" i="25"/>
  <c r="M393" i="25"/>
  <c r="M401" i="25"/>
  <c r="M409" i="25"/>
  <c r="M417" i="25"/>
  <c r="M425" i="25"/>
  <c r="M433" i="25"/>
  <c r="M441" i="25"/>
  <c r="M449" i="25"/>
  <c r="M457" i="25"/>
  <c r="M465" i="25"/>
  <c r="M473" i="25"/>
  <c r="M481" i="25"/>
  <c r="M489" i="25"/>
  <c r="M497" i="25"/>
  <c r="M505" i="25"/>
  <c r="M513" i="25"/>
  <c r="M521" i="25"/>
  <c r="M529" i="25"/>
  <c r="M537" i="25"/>
  <c r="M545" i="25"/>
  <c r="M553" i="25"/>
  <c r="M561" i="25"/>
  <c r="M569" i="25"/>
  <c r="M577" i="25"/>
  <c r="M585" i="25"/>
  <c r="M593" i="25"/>
  <c r="M601" i="25"/>
  <c r="M609" i="25"/>
  <c r="M617" i="25"/>
  <c r="M625" i="25"/>
  <c r="M633" i="25"/>
  <c r="M641" i="25"/>
  <c r="M649" i="25"/>
  <c r="M657" i="25"/>
  <c r="M665" i="25"/>
  <c r="M673" i="25"/>
  <c r="M681" i="25"/>
  <c r="M689" i="25"/>
  <c r="M697" i="25"/>
  <c r="M705" i="25"/>
  <c r="M713" i="25"/>
  <c r="M721" i="25"/>
  <c r="M729" i="25"/>
  <c r="M114" i="25"/>
  <c r="M122" i="25"/>
  <c r="M130" i="25"/>
  <c r="M138" i="25"/>
  <c r="M146" i="25"/>
  <c r="M154" i="25"/>
  <c r="M162" i="25"/>
  <c r="M170" i="25"/>
  <c r="M178" i="25"/>
  <c r="M186" i="25"/>
  <c r="M194" i="25"/>
  <c r="M202" i="25"/>
  <c r="M210" i="25"/>
  <c r="M218" i="25"/>
  <c r="M226" i="25"/>
  <c r="M234" i="25"/>
  <c r="M242" i="25"/>
  <c r="M250" i="25"/>
  <c r="M258" i="25"/>
  <c r="M266" i="25"/>
  <c r="M274" i="25"/>
  <c r="M282" i="25"/>
  <c r="M290" i="25"/>
  <c r="M298" i="25"/>
  <c r="M306" i="25"/>
  <c r="M314" i="25"/>
  <c r="M322" i="25"/>
  <c r="M330" i="25"/>
  <c r="M338" i="25"/>
  <c r="M346" i="25"/>
  <c r="M354" i="25"/>
  <c r="M362" i="25"/>
  <c r="M370" i="25"/>
  <c r="M378" i="25"/>
  <c r="M386" i="25"/>
  <c r="M394" i="25"/>
  <c r="M402" i="25"/>
  <c r="M410" i="25"/>
  <c r="M418" i="25"/>
  <c r="M426" i="25"/>
  <c r="M434" i="25"/>
  <c r="M442" i="25"/>
  <c r="M450" i="25"/>
  <c r="M458" i="25"/>
  <c r="M466" i="25"/>
  <c r="M474" i="25"/>
  <c r="M482" i="25"/>
  <c r="M490" i="25"/>
  <c r="M498" i="25"/>
  <c r="M506" i="25"/>
  <c r="M514" i="25"/>
  <c r="M522" i="25"/>
  <c r="M530" i="25"/>
  <c r="M538" i="25"/>
  <c r="M546" i="25"/>
  <c r="M554" i="25"/>
  <c r="M562" i="25"/>
  <c r="M570" i="25"/>
  <c r="M578" i="25"/>
  <c r="M586" i="25"/>
  <c r="M594" i="25"/>
  <c r="M602" i="25"/>
  <c r="M610" i="25"/>
  <c r="M618" i="25"/>
  <c r="M626" i="25"/>
  <c r="M634" i="25"/>
  <c r="M642" i="25"/>
  <c r="M650" i="25"/>
  <c r="M658" i="25"/>
  <c r="M666" i="25"/>
  <c r="M674" i="25"/>
  <c r="M682" i="25"/>
  <c r="M690" i="25"/>
  <c r="M698" i="25"/>
  <c r="M706" i="25"/>
  <c r="M714" i="25"/>
  <c r="M722" i="25"/>
  <c r="M730" i="25"/>
  <c r="M115" i="25"/>
  <c r="M123" i="25"/>
  <c r="M131" i="25"/>
  <c r="M139" i="25"/>
  <c r="M147" i="25"/>
  <c r="M155" i="25"/>
  <c r="M163" i="25"/>
  <c r="M171" i="25"/>
  <c r="M179" i="25"/>
  <c r="M187" i="25"/>
  <c r="M195" i="25"/>
  <c r="M203" i="25"/>
  <c r="M211" i="25"/>
  <c r="M219" i="25"/>
  <c r="M227" i="25"/>
  <c r="M235" i="25"/>
  <c r="M243" i="25"/>
  <c r="M251" i="25"/>
  <c r="M259" i="25"/>
  <c r="M267" i="25"/>
  <c r="M275" i="25"/>
  <c r="M283" i="25"/>
  <c r="M291" i="25"/>
  <c r="M299" i="25"/>
  <c r="M307" i="25"/>
  <c r="M315" i="25"/>
  <c r="M323" i="25"/>
  <c r="M331" i="25"/>
  <c r="M339" i="25"/>
  <c r="M347" i="25"/>
  <c r="M355" i="25"/>
  <c r="M363" i="25"/>
  <c r="M371" i="25"/>
  <c r="M379" i="25"/>
  <c r="M387" i="25"/>
  <c r="M395" i="25"/>
  <c r="M403" i="25"/>
  <c r="M411" i="25"/>
  <c r="M419" i="25"/>
  <c r="M427" i="25"/>
  <c r="M435" i="25"/>
  <c r="M443" i="25"/>
  <c r="M451" i="25"/>
  <c r="M459" i="25"/>
  <c r="M467" i="25"/>
  <c r="M475" i="25"/>
  <c r="M483" i="25"/>
  <c r="M491" i="25"/>
  <c r="M499" i="25"/>
  <c r="M507" i="25"/>
  <c r="M515" i="25"/>
  <c r="M523" i="25"/>
  <c r="M531" i="25"/>
  <c r="M539" i="25"/>
  <c r="M547" i="25"/>
  <c r="M555" i="25"/>
  <c r="M563" i="25"/>
  <c r="M571" i="25"/>
  <c r="M579" i="25"/>
  <c r="M587" i="25"/>
  <c r="M595" i="25"/>
  <c r="M603" i="25"/>
  <c r="M611" i="25"/>
  <c r="M619" i="25"/>
  <c r="M627" i="25"/>
  <c r="M635" i="25"/>
  <c r="M643" i="25"/>
  <c r="M651" i="25"/>
  <c r="M659" i="25"/>
  <c r="M667" i="25"/>
  <c r="M675" i="25"/>
  <c r="M683" i="25"/>
  <c r="M691" i="25"/>
  <c r="M699" i="25"/>
  <c r="M707" i="25"/>
  <c r="M715" i="25"/>
  <c r="M723" i="25"/>
  <c r="M731" i="25"/>
  <c r="M739" i="25"/>
  <c r="M747" i="25"/>
  <c r="M755" i="25"/>
  <c r="M763" i="25"/>
  <c r="M771" i="25"/>
  <c r="M779" i="25"/>
  <c r="M787" i="25"/>
  <c r="M795" i="25"/>
  <c r="M116" i="25"/>
  <c r="M124" i="25"/>
  <c r="M132" i="25"/>
  <c r="M140" i="25"/>
  <c r="M148" i="25"/>
  <c r="M156" i="25"/>
  <c r="M164" i="25"/>
  <c r="M172" i="25"/>
  <c r="M180" i="25"/>
  <c r="M188" i="25"/>
  <c r="M196" i="25"/>
  <c r="M204" i="25"/>
  <c r="M212" i="25"/>
  <c r="M220" i="25"/>
  <c r="M228" i="25"/>
  <c r="M236" i="25"/>
  <c r="M244" i="25"/>
  <c r="M252" i="25"/>
  <c r="M260" i="25"/>
  <c r="M268" i="25"/>
  <c r="M276" i="25"/>
  <c r="M284" i="25"/>
  <c r="M292" i="25"/>
  <c r="M300" i="25"/>
  <c r="M308" i="25"/>
  <c r="M316" i="25"/>
  <c r="M324" i="25"/>
  <c r="M332" i="25"/>
  <c r="M340" i="25"/>
  <c r="M348" i="25"/>
  <c r="M356" i="25"/>
  <c r="M364" i="25"/>
  <c r="M372" i="25"/>
  <c r="M380" i="25"/>
  <c r="M388" i="25"/>
  <c r="M396" i="25"/>
  <c r="M404" i="25"/>
  <c r="M412" i="25"/>
  <c r="M420" i="25"/>
  <c r="M428" i="25"/>
  <c r="M436" i="25"/>
  <c r="M444" i="25"/>
  <c r="M452" i="25"/>
  <c r="M460" i="25"/>
  <c r="M468" i="25"/>
  <c r="M476" i="25"/>
  <c r="M484" i="25"/>
  <c r="M492" i="25"/>
  <c r="M500" i="25"/>
  <c r="M508" i="25"/>
  <c r="M516" i="25"/>
  <c r="M524" i="25"/>
  <c r="M532" i="25"/>
  <c r="M540" i="25"/>
  <c r="M548" i="25"/>
  <c r="M556" i="25"/>
  <c r="M564" i="25"/>
  <c r="M572" i="25"/>
  <c r="M580" i="25"/>
  <c r="M588" i="25"/>
  <c r="M596" i="25"/>
  <c r="M604" i="25"/>
  <c r="M612" i="25"/>
  <c r="M620" i="25"/>
  <c r="M628" i="25"/>
  <c r="M636" i="25"/>
  <c r="M644" i="25"/>
  <c r="M652" i="25"/>
  <c r="M660" i="25"/>
  <c r="M668" i="25"/>
  <c r="M676" i="25"/>
  <c r="M684" i="25"/>
  <c r="M692" i="25"/>
  <c r="M700" i="25"/>
  <c r="M708" i="25"/>
  <c r="M716" i="25"/>
  <c r="M724" i="25"/>
  <c r="M117" i="25"/>
  <c r="M125" i="25"/>
  <c r="M133" i="25"/>
  <c r="M141" i="25"/>
  <c r="M149" i="25"/>
  <c r="M157" i="25"/>
  <c r="M165" i="25"/>
  <c r="M173" i="25"/>
  <c r="M181" i="25"/>
  <c r="M189" i="25"/>
  <c r="M197" i="25"/>
  <c r="M205" i="25"/>
  <c r="M213" i="25"/>
  <c r="M221" i="25"/>
  <c r="M229" i="25"/>
  <c r="M237" i="25"/>
  <c r="M245" i="25"/>
  <c r="M253" i="25"/>
  <c r="M261" i="25"/>
  <c r="M269" i="25"/>
  <c r="M277" i="25"/>
  <c r="M285" i="25"/>
  <c r="M293" i="25"/>
  <c r="M301" i="25"/>
  <c r="M309" i="25"/>
  <c r="M317" i="25"/>
  <c r="M325" i="25"/>
  <c r="M333" i="25"/>
  <c r="M341" i="25"/>
  <c r="M349" i="25"/>
  <c r="M357" i="25"/>
  <c r="M365" i="25"/>
  <c r="M373" i="25"/>
  <c r="M381" i="25"/>
  <c r="M389" i="25"/>
  <c r="M397" i="25"/>
  <c r="M405" i="25"/>
  <c r="M413" i="25"/>
  <c r="M421" i="25"/>
  <c r="M429" i="25"/>
  <c r="M437" i="25"/>
  <c r="M445" i="25"/>
  <c r="M453" i="25"/>
  <c r="M461" i="25"/>
  <c r="M469" i="25"/>
  <c r="M477" i="25"/>
  <c r="M485" i="25"/>
  <c r="M493" i="25"/>
  <c r="M501" i="25"/>
  <c r="M509" i="25"/>
  <c r="M517" i="25"/>
  <c r="M525" i="25"/>
  <c r="M533" i="25"/>
  <c r="M541" i="25"/>
  <c r="M549" i="25"/>
  <c r="M557" i="25"/>
  <c r="M565" i="25"/>
  <c r="M573" i="25"/>
  <c r="M581" i="25"/>
  <c r="M589" i="25"/>
  <c r="M597" i="25"/>
  <c r="M605" i="25"/>
  <c r="M613" i="25"/>
  <c r="M621" i="25"/>
  <c r="M629" i="25"/>
  <c r="M637" i="25"/>
  <c r="M645" i="25"/>
  <c r="M653" i="25"/>
  <c r="M661" i="25"/>
  <c r="M669" i="25"/>
  <c r="M677" i="25"/>
  <c r="M685" i="25"/>
  <c r="M693" i="25"/>
  <c r="M701" i="25"/>
  <c r="M709" i="25"/>
  <c r="M717" i="25"/>
  <c r="M725" i="25"/>
  <c r="M733" i="25"/>
  <c r="M741" i="25"/>
  <c r="M749" i="25"/>
  <c r="M757" i="25"/>
  <c r="M765" i="25"/>
  <c r="M773" i="25"/>
  <c r="M781" i="25"/>
  <c r="M789" i="25"/>
  <c r="M732" i="25"/>
  <c r="M743" i="25"/>
  <c r="M753" i="25"/>
  <c r="M764" i="25"/>
  <c r="M775" i="25"/>
  <c r="M785" i="25"/>
  <c r="M796" i="25"/>
  <c r="M804" i="25"/>
  <c r="M812" i="25"/>
  <c r="M820" i="25"/>
  <c r="M828" i="25"/>
  <c r="M836" i="25"/>
  <c r="M844" i="25"/>
  <c r="M852" i="25"/>
  <c r="M860" i="25"/>
  <c r="M868" i="25"/>
  <c r="M876" i="25"/>
  <c r="M884" i="25"/>
  <c r="M892" i="25"/>
  <c r="M900" i="25"/>
  <c r="M908" i="25"/>
  <c r="M916" i="25"/>
  <c r="M924" i="25"/>
  <c r="M932" i="25"/>
  <c r="M940" i="25"/>
  <c r="M948" i="25"/>
  <c r="M956" i="25"/>
  <c r="M964" i="25"/>
  <c r="M972" i="25"/>
  <c r="M980" i="25"/>
  <c r="M988" i="25"/>
  <c r="M996" i="25"/>
  <c r="M1004" i="25"/>
  <c r="M1012" i="25"/>
  <c r="M1020" i="25"/>
  <c r="M1028" i="25"/>
  <c r="M1036" i="25"/>
  <c r="L44" i="25"/>
  <c r="L52" i="25"/>
  <c r="L60" i="25"/>
  <c r="L68" i="25"/>
  <c r="L76" i="25"/>
  <c r="L84" i="25"/>
  <c r="L92" i="25"/>
  <c r="L100" i="25"/>
  <c r="L108" i="25"/>
  <c r="L116" i="25"/>
  <c r="L124" i="25"/>
  <c r="L132" i="25"/>
  <c r="L140" i="25"/>
  <c r="L148" i="25"/>
  <c r="L156" i="25"/>
  <c r="L164" i="25"/>
  <c r="L172" i="25"/>
  <c r="L180" i="25"/>
  <c r="L188" i="25"/>
  <c r="L196" i="25"/>
  <c r="L204" i="25"/>
  <c r="L212" i="25"/>
  <c r="L220" i="25"/>
  <c r="L228" i="25"/>
  <c r="L236" i="25"/>
  <c r="L244" i="25"/>
  <c r="L252" i="25"/>
  <c r="L260" i="25"/>
  <c r="L268" i="25"/>
  <c r="L276" i="25"/>
  <c r="L284" i="25"/>
  <c r="L292" i="25"/>
  <c r="L300" i="25"/>
  <c r="L308" i="25"/>
  <c r="L316" i="25"/>
  <c r="L324" i="25"/>
  <c r="L332" i="25"/>
  <c r="L340" i="25"/>
  <c r="L348" i="25"/>
  <c r="L356" i="25"/>
  <c r="L364" i="25"/>
  <c r="L372" i="25"/>
  <c r="L380" i="25"/>
  <c r="L388" i="25"/>
  <c r="L396" i="25"/>
  <c r="L404" i="25"/>
  <c r="L412" i="25"/>
  <c r="L420" i="25"/>
  <c r="L428" i="25"/>
  <c r="M734" i="25"/>
  <c r="M744" i="25"/>
  <c r="M754" i="25"/>
  <c r="M766" i="25"/>
  <c r="M776" i="25"/>
  <c r="M786" i="25"/>
  <c r="M797" i="25"/>
  <c r="M805" i="25"/>
  <c r="M813" i="25"/>
  <c r="M821" i="25"/>
  <c r="M829" i="25"/>
  <c r="M837" i="25"/>
  <c r="M845" i="25"/>
  <c r="M853" i="25"/>
  <c r="M861" i="25"/>
  <c r="M869" i="25"/>
  <c r="M877" i="25"/>
  <c r="M885" i="25"/>
  <c r="M893" i="25"/>
  <c r="M901" i="25"/>
  <c r="M909" i="25"/>
  <c r="M917" i="25"/>
  <c r="M925" i="25"/>
  <c r="M933" i="25"/>
  <c r="M941" i="25"/>
  <c r="M949" i="25"/>
  <c r="M957" i="25"/>
  <c r="M965" i="25"/>
  <c r="M973" i="25"/>
  <c r="M981" i="25"/>
  <c r="M989" i="25"/>
  <c r="M997" i="25"/>
  <c r="M1005" i="25"/>
  <c r="M1013" i="25"/>
  <c r="M1021" i="25"/>
  <c r="M1029" i="25"/>
  <c r="M1037" i="25"/>
  <c r="L45" i="25"/>
  <c r="L53" i="25"/>
  <c r="L61" i="25"/>
  <c r="L69" i="25"/>
  <c r="L77" i="25"/>
  <c r="L85" i="25"/>
  <c r="L93" i="25"/>
  <c r="L101" i="25"/>
  <c r="L109" i="25"/>
  <c r="L117" i="25"/>
  <c r="L125" i="25"/>
  <c r="L133" i="25"/>
  <c r="L141" i="25"/>
  <c r="L149" i="25"/>
  <c r="L157" i="25"/>
  <c r="L165" i="25"/>
  <c r="L173" i="25"/>
  <c r="L181" i="25"/>
  <c r="L189" i="25"/>
  <c r="L197" i="25"/>
  <c r="L205" i="25"/>
  <c r="L213" i="25"/>
  <c r="L221" i="25"/>
  <c r="L229" i="25"/>
  <c r="L237" i="25"/>
  <c r="L245" i="25"/>
  <c r="L253" i="25"/>
  <c r="L261" i="25"/>
  <c r="L269" i="25"/>
  <c r="L277" i="25"/>
  <c r="L285" i="25"/>
  <c r="L293" i="25"/>
  <c r="L301" i="25"/>
  <c r="L309" i="25"/>
  <c r="L317" i="25"/>
  <c r="L325" i="25"/>
  <c r="L333" i="25"/>
  <c r="L341" i="25"/>
  <c r="L349" i="25"/>
  <c r="L357" i="25"/>
  <c r="L365" i="25"/>
  <c r="L373" i="25"/>
  <c r="L381" i="25"/>
  <c r="L389" i="25"/>
  <c r="L397" i="25"/>
  <c r="L405" i="25"/>
  <c r="L413" i="25"/>
  <c r="L421" i="25"/>
  <c r="L429" i="25"/>
  <c r="M735" i="25"/>
  <c r="M745" i="25"/>
  <c r="M756" i="25"/>
  <c r="M767" i="25"/>
  <c r="M777" i="25"/>
  <c r="M788" i="25"/>
  <c r="M798" i="25"/>
  <c r="M806" i="25"/>
  <c r="M814" i="25"/>
  <c r="M822" i="25"/>
  <c r="M830" i="25"/>
  <c r="M838" i="25"/>
  <c r="M846" i="25"/>
  <c r="M854" i="25"/>
  <c r="M862" i="25"/>
  <c r="M870" i="25"/>
  <c r="M878" i="25"/>
  <c r="M886" i="25"/>
  <c r="M894" i="25"/>
  <c r="M902" i="25"/>
  <c r="M910" i="25"/>
  <c r="M918" i="25"/>
  <c r="M926" i="25"/>
  <c r="M934" i="25"/>
  <c r="M942" i="25"/>
  <c r="M950" i="25"/>
  <c r="M958" i="25"/>
  <c r="M966" i="25"/>
  <c r="M974" i="25"/>
  <c r="M982" i="25"/>
  <c r="M990" i="25"/>
  <c r="M998" i="25"/>
  <c r="M1006" i="25"/>
  <c r="M1014" i="25"/>
  <c r="M1022" i="25"/>
  <c r="M1030" i="25"/>
  <c r="M1038" i="25"/>
  <c r="L46" i="25"/>
  <c r="L54" i="25"/>
  <c r="L62" i="25"/>
  <c r="L70" i="25"/>
  <c r="L78" i="25"/>
  <c r="L86" i="25"/>
  <c r="L94" i="25"/>
  <c r="L102" i="25"/>
  <c r="L110" i="25"/>
  <c r="L118" i="25"/>
  <c r="L126" i="25"/>
  <c r="L134" i="25"/>
  <c r="L142" i="25"/>
  <c r="L150" i="25"/>
  <c r="L158" i="25"/>
  <c r="L166" i="25"/>
  <c r="L174" i="25"/>
  <c r="L182" i="25"/>
  <c r="L190" i="25"/>
  <c r="L198" i="25"/>
  <c r="L206" i="25"/>
  <c r="L214" i="25"/>
  <c r="L222" i="25"/>
  <c r="L230" i="25"/>
  <c r="L238" i="25"/>
  <c r="L246" i="25"/>
  <c r="L254" i="25"/>
  <c r="L262" i="25"/>
  <c r="L270" i="25"/>
  <c r="L278" i="25"/>
  <c r="L286" i="25"/>
  <c r="L294" i="25"/>
  <c r="L302" i="25"/>
  <c r="L310" i="25"/>
  <c r="L318" i="25"/>
  <c r="L326" i="25"/>
  <c r="L334" i="25"/>
  <c r="L342" i="25"/>
  <c r="L350" i="25"/>
  <c r="L358" i="25"/>
  <c r="L366" i="25"/>
  <c r="L374" i="25"/>
  <c r="L382" i="25"/>
  <c r="L390" i="25"/>
  <c r="L398" i="25"/>
  <c r="L406" i="25"/>
  <c r="L414" i="25"/>
  <c r="L422" i="25"/>
  <c r="L430" i="25"/>
  <c r="M736" i="25"/>
  <c r="M746" i="25"/>
  <c r="M758" i="25"/>
  <c r="M768" i="25"/>
  <c r="M778" i="25"/>
  <c r="M790" i="25"/>
  <c r="M799" i="25"/>
  <c r="M807" i="25"/>
  <c r="M815" i="25"/>
  <c r="M823" i="25"/>
  <c r="M831" i="25"/>
  <c r="M839" i="25"/>
  <c r="M847" i="25"/>
  <c r="M855" i="25"/>
  <c r="M863" i="25"/>
  <c r="M871" i="25"/>
  <c r="M879" i="25"/>
  <c r="M887" i="25"/>
  <c r="M895" i="25"/>
  <c r="M903" i="25"/>
  <c r="M911" i="25"/>
  <c r="M919" i="25"/>
  <c r="M927" i="25"/>
  <c r="M935" i="25"/>
  <c r="M943" i="25"/>
  <c r="M951" i="25"/>
  <c r="M959" i="25"/>
  <c r="M967" i="25"/>
  <c r="M975" i="25"/>
  <c r="M983" i="25"/>
  <c r="M991" i="25"/>
  <c r="M999" i="25"/>
  <c r="M1007" i="25"/>
  <c r="M1015" i="25"/>
  <c r="M1023" i="25"/>
  <c r="M1031" i="25"/>
  <c r="M1039" i="25"/>
  <c r="L47" i="25"/>
  <c r="L55" i="25"/>
  <c r="L63" i="25"/>
  <c r="L71" i="25"/>
  <c r="L79" i="25"/>
  <c r="L87" i="25"/>
  <c r="L95" i="25"/>
  <c r="L103" i="25"/>
  <c r="L111" i="25"/>
  <c r="L119" i="25"/>
  <c r="L127" i="25"/>
  <c r="L135" i="25"/>
  <c r="L143" i="25"/>
  <c r="L151" i="25"/>
  <c r="L159" i="25"/>
  <c r="L167" i="25"/>
  <c r="L175" i="25"/>
  <c r="L183" i="25"/>
  <c r="L191" i="25"/>
  <c r="L199" i="25"/>
  <c r="L207" i="25"/>
  <c r="L215" i="25"/>
  <c r="L223" i="25"/>
  <c r="L231" i="25"/>
  <c r="L239" i="25"/>
  <c r="L247" i="25"/>
  <c r="L255" i="25"/>
  <c r="L263" i="25"/>
  <c r="L271" i="25"/>
  <c r="L279" i="25"/>
  <c r="L287" i="25"/>
  <c r="L295" i="25"/>
  <c r="L303" i="25"/>
  <c r="L311" i="25"/>
  <c r="L319" i="25"/>
  <c r="L327" i="25"/>
  <c r="L335" i="25"/>
  <c r="L343" i="25"/>
  <c r="L351" i="25"/>
  <c r="L359" i="25"/>
  <c r="L367" i="25"/>
  <c r="L375" i="25"/>
  <c r="L383" i="25"/>
  <c r="L391" i="25"/>
  <c r="L399" i="25"/>
  <c r="L407" i="25"/>
  <c r="L415" i="25"/>
  <c r="L423" i="25"/>
  <c r="L431" i="25"/>
  <c r="M737" i="25"/>
  <c r="M748" i="25"/>
  <c r="M759" i="25"/>
  <c r="M769" i="25"/>
  <c r="M780" i="25"/>
  <c r="M791" i="25"/>
  <c r="M800" i="25"/>
  <c r="M808" i="25"/>
  <c r="M816" i="25"/>
  <c r="M824" i="25"/>
  <c r="M832" i="25"/>
  <c r="M840" i="25"/>
  <c r="M848" i="25"/>
  <c r="M856" i="25"/>
  <c r="M864" i="25"/>
  <c r="M872" i="25"/>
  <c r="M880" i="25"/>
  <c r="M888" i="25"/>
  <c r="M896" i="25"/>
  <c r="M904" i="25"/>
  <c r="M912" i="25"/>
  <c r="M920" i="25"/>
  <c r="M928" i="25"/>
  <c r="M936" i="25"/>
  <c r="M944" i="25"/>
  <c r="M952" i="25"/>
  <c r="M960" i="25"/>
  <c r="M968" i="25"/>
  <c r="M976" i="25"/>
  <c r="M984" i="25"/>
  <c r="M992" i="25"/>
  <c r="M1000" i="25"/>
  <c r="M1008" i="25"/>
  <c r="M1016" i="25"/>
  <c r="M1024" i="25"/>
  <c r="M1032" i="25"/>
  <c r="L48" i="25"/>
  <c r="L56" i="25"/>
  <c r="L64" i="25"/>
  <c r="L72" i="25"/>
  <c r="L80" i="25"/>
  <c r="L88" i="25"/>
  <c r="L96" i="25"/>
  <c r="L104" i="25"/>
  <c r="L112" i="25"/>
  <c r="L120" i="25"/>
  <c r="L128" i="25"/>
  <c r="L136" i="25"/>
  <c r="L144" i="25"/>
  <c r="L152" i="25"/>
  <c r="L160" i="25"/>
  <c r="L168" i="25"/>
  <c r="L176" i="25"/>
  <c r="L184" i="25"/>
  <c r="L192" i="25"/>
  <c r="L200" i="25"/>
  <c r="L208" i="25"/>
  <c r="L216" i="25"/>
  <c r="L224" i="25"/>
  <c r="L232" i="25"/>
  <c r="L240" i="25"/>
  <c r="L248" i="25"/>
  <c r="L256" i="25"/>
  <c r="L264" i="25"/>
  <c r="L272" i="25"/>
  <c r="L280" i="25"/>
  <c r="L288" i="25"/>
  <c r="L296" i="25"/>
  <c r="L304" i="25"/>
  <c r="L312" i="25"/>
  <c r="L320" i="25"/>
  <c r="L328" i="25"/>
  <c r="L336" i="25"/>
  <c r="L344" i="25"/>
  <c r="L352" i="25"/>
  <c r="L360" i="25"/>
  <c r="L368" i="25"/>
  <c r="L376" i="25"/>
  <c r="L384" i="25"/>
  <c r="L392" i="25"/>
  <c r="L400" i="25"/>
  <c r="L408" i="25"/>
  <c r="L416" i="25"/>
  <c r="L424" i="25"/>
  <c r="L432" i="25"/>
  <c r="M738" i="25"/>
  <c r="M750" i="25"/>
  <c r="M760" i="25"/>
  <c r="M770" i="25"/>
  <c r="M782" i="25"/>
  <c r="M792" i="25"/>
  <c r="M801" i="25"/>
  <c r="M809" i="25"/>
  <c r="M817" i="25"/>
  <c r="M825" i="25"/>
  <c r="M833" i="25"/>
  <c r="M841" i="25"/>
  <c r="M849" i="25"/>
  <c r="M857" i="25"/>
  <c r="M865" i="25"/>
  <c r="M873" i="25"/>
  <c r="M881" i="25"/>
  <c r="M889" i="25"/>
  <c r="M897" i="25"/>
  <c r="M905" i="25"/>
  <c r="M913" i="25"/>
  <c r="M921" i="25"/>
  <c r="M929" i="25"/>
  <c r="M937" i="25"/>
  <c r="M945" i="25"/>
  <c r="M953" i="25"/>
  <c r="M961" i="25"/>
  <c r="M969" i="25"/>
  <c r="M977" i="25"/>
  <c r="M985" i="25"/>
  <c r="M993" i="25"/>
  <c r="M1001" i="25"/>
  <c r="M1009" i="25"/>
  <c r="M1017" i="25"/>
  <c r="M1025" i="25"/>
  <c r="M1033" i="25"/>
  <c r="L41" i="25"/>
  <c r="L49" i="25"/>
  <c r="L57" i="25"/>
  <c r="L65" i="25"/>
  <c r="L73" i="25"/>
  <c r="L81" i="25"/>
  <c r="L89" i="25"/>
  <c r="L97" i="25"/>
  <c r="L105" i="25"/>
  <c r="L113" i="25"/>
  <c r="L121" i="25"/>
  <c r="L129" i="25"/>
  <c r="L137" i="25"/>
  <c r="L145" i="25"/>
  <c r="L153" i="25"/>
  <c r="L161" i="25"/>
  <c r="L169" i="25"/>
  <c r="L177" i="25"/>
  <c r="L185" i="25"/>
  <c r="L193" i="25"/>
  <c r="L201" i="25"/>
  <c r="L209" i="25"/>
  <c r="L217" i="25"/>
  <c r="L225" i="25"/>
  <c r="L233" i="25"/>
  <c r="L241" i="25"/>
  <c r="L249" i="25"/>
  <c r="L257" i="25"/>
  <c r="L265" i="25"/>
  <c r="L273" i="25"/>
  <c r="L281" i="25"/>
  <c r="L289" i="25"/>
  <c r="L297" i="25"/>
  <c r="L305" i="25"/>
  <c r="L313" i="25"/>
  <c r="L321" i="25"/>
  <c r="L329" i="25"/>
  <c r="L337" i="25"/>
  <c r="L345" i="25"/>
  <c r="L353" i="25"/>
  <c r="L361" i="25"/>
  <c r="L369" i="25"/>
  <c r="L377" i="25"/>
  <c r="L385" i="25"/>
  <c r="L393" i="25"/>
  <c r="L401" i="25"/>
  <c r="L409" i="25"/>
  <c r="L417" i="25"/>
  <c r="L425" i="25"/>
  <c r="L433" i="25"/>
  <c r="M740" i="25"/>
  <c r="M751" i="25"/>
  <c r="M761" i="25"/>
  <c r="M772" i="25"/>
  <c r="M783" i="25"/>
  <c r="M793" i="25"/>
  <c r="M802" i="25"/>
  <c r="M810" i="25"/>
  <c r="M818" i="25"/>
  <c r="M826" i="25"/>
  <c r="M834" i="25"/>
  <c r="M842" i="25"/>
  <c r="M850" i="25"/>
  <c r="M858" i="25"/>
  <c r="M866" i="25"/>
  <c r="M874" i="25"/>
  <c r="M882" i="25"/>
  <c r="M890" i="25"/>
  <c r="M898" i="25"/>
  <c r="M906" i="25"/>
  <c r="M914" i="25"/>
  <c r="M922" i="25"/>
  <c r="M930" i="25"/>
  <c r="M938" i="25"/>
  <c r="M946" i="25"/>
  <c r="M954" i="25"/>
  <c r="M962" i="25"/>
  <c r="M970" i="25"/>
  <c r="M978" i="25"/>
  <c r="M986" i="25"/>
  <c r="M994" i="25"/>
  <c r="M1002" i="25"/>
  <c r="M1010" i="25"/>
  <c r="M1018" i="25"/>
  <c r="M1026" i="25"/>
  <c r="M1034" i="25"/>
  <c r="L42" i="25"/>
  <c r="L50" i="25"/>
  <c r="L58" i="25"/>
  <c r="L66" i="25"/>
  <c r="L74" i="25"/>
  <c r="L82" i="25"/>
  <c r="L90" i="25"/>
  <c r="L98" i="25"/>
  <c r="L106" i="25"/>
  <c r="L114" i="25"/>
  <c r="L122" i="25"/>
  <c r="L130" i="25"/>
  <c r="L138" i="25"/>
  <c r="L146" i="25"/>
  <c r="L154" i="25"/>
  <c r="L162" i="25"/>
  <c r="L170" i="25"/>
  <c r="L178" i="25"/>
  <c r="L186" i="25"/>
  <c r="L194" i="25"/>
  <c r="L202" i="25"/>
  <c r="L210" i="25"/>
  <c r="L218" i="25"/>
  <c r="L226" i="25"/>
  <c r="L234" i="25"/>
  <c r="L242" i="25"/>
  <c r="L250" i="25"/>
  <c r="L258" i="25"/>
  <c r="L266" i="25"/>
  <c r="L274" i="25"/>
  <c r="L282" i="25"/>
  <c r="L290" i="25"/>
  <c r="L298" i="25"/>
  <c r="L306" i="25"/>
  <c r="L314" i="25"/>
  <c r="L322" i="25"/>
  <c r="L330" i="25"/>
  <c r="L338" i="25"/>
  <c r="L346" i="25"/>
  <c r="L354" i="25"/>
  <c r="L362" i="25"/>
  <c r="L370" i="25"/>
  <c r="L378" i="25"/>
  <c r="L386" i="25"/>
  <c r="L394" i="25"/>
  <c r="L402" i="25"/>
  <c r="L410" i="25"/>
  <c r="L418" i="25"/>
  <c r="L426" i="25"/>
  <c r="M742" i="25"/>
  <c r="M752" i="25"/>
  <c r="M762" i="25"/>
  <c r="M774" i="25"/>
  <c r="M784" i="25"/>
  <c r="M794" i="25"/>
  <c r="M803" i="25"/>
  <c r="M811" i="25"/>
  <c r="M819" i="25"/>
  <c r="M827" i="25"/>
  <c r="M835" i="25"/>
  <c r="M843" i="25"/>
  <c r="M851" i="25"/>
  <c r="M859" i="25"/>
  <c r="M867" i="25"/>
  <c r="M875" i="25"/>
  <c r="M883" i="25"/>
  <c r="M891" i="25"/>
  <c r="M899" i="25"/>
  <c r="M907" i="25"/>
  <c r="M915" i="25"/>
  <c r="M923" i="25"/>
  <c r="M931" i="25"/>
  <c r="M939" i="25"/>
  <c r="M947" i="25"/>
  <c r="M955" i="25"/>
  <c r="M963" i="25"/>
  <c r="M971" i="25"/>
  <c r="M979" i="25"/>
  <c r="M987" i="25"/>
  <c r="M995" i="25"/>
  <c r="M1003" i="25"/>
  <c r="M1011" i="25"/>
  <c r="M1019" i="25"/>
  <c r="M1027" i="25"/>
  <c r="M1035" i="25"/>
  <c r="L43" i="25"/>
  <c r="L51" i="25"/>
  <c r="L59" i="25"/>
  <c r="L67" i="25"/>
  <c r="L75" i="25"/>
  <c r="L83" i="25"/>
  <c r="L91" i="25"/>
  <c r="L99" i="25"/>
  <c r="L107" i="25"/>
  <c r="L115" i="25"/>
  <c r="L123" i="25"/>
  <c r="L131" i="25"/>
  <c r="L139" i="25"/>
  <c r="L147" i="25"/>
  <c r="L155" i="25"/>
  <c r="L163" i="25"/>
  <c r="L171" i="25"/>
  <c r="L179" i="25"/>
  <c r="L187" i="25"/>
  <c r="L195" i="25"/>
  <c r="L203" i="25"/>
  <c r="L211" i="25"/>
  <c r="L219" i="25"/>
  <c r="L227" i="25"/>
  <c r="L235" i="25"/>
  <c r="L243" i="25"/>
  <c r="L251" i="25"/>
  <c r="L259" i="25"/>
  <c r="L267" i="25"/>
  <c r="L275" i="25"/>
  <c r="L283" i="25"/>
  <c r="L291" i="25"/>
  <c r="L299" i="25"/>
  <c r="L307" i="25"/>
  <c r="L315" i="25"/>
  <c r="L323" i="25"/>
  <c r="L331" i="25"/>
  <c r="L339" i="25"/>
  <c r="L347" i="25"/>
  <c r="L355" i="25"/>
  <c r="L363" i="25"/>
  <c r="L371" i="25"/>
  <c r="L379" i="25"/>
  <c r="L387" i="25"/>
  <c r="L395" i="25"/>
  <c r="L403" i="25"/>
  <c r="L411" i="25"/>
  <c r="L419" i="25"/>
  <c r="L427" i="25"/>
  <c r="L435" i="25"/>
  <c r="L434" i="25"/>
  <c r="L443" i="25"/>
  <c r="L451" i="25"/>
  <c r="L459" i="25"/>
  <c r="L467" i="25"/>
  <c r="L475" i="25"/>
  <c r="L483" i="25"/>
  <c r="L491" i="25"/>
  <c r="L499" i="25"/>
  <c r="L507" i="25"/>
  <c r="L515" i="25"/>
  <c r="L523" i="25"/>
  <c r="L531" i="25"/>
  <c r="L539" i="25"/>
  <c r="L547" i="25"/>
  <c r="L555" i="25"/>
  <c r="L563" i="25"/>
  <c r="L571" i="25"/>
  <c r="L579" i="25"/>
  <c r="L587" i="25"/>
  <c r="L595" i="25"/>
  <c r="L603" i="25"/>
  <c r="L611" i="25"/>
  <c r="L619" i="25"/>
  <c r="L627" i="25"/>
  <c r="L635" i="25"/>
  <c r="L643" i="25"/>
  <c r="L651" i="25"/>
  <c r="L659" i="25"/>
  <c r="L667" i="25"/>
  <c r="L675" i="25"/>
  <c r="L683" i="25"/>
  <c r="L691" i="25"/>
  <c r="L699" i="25"/>
  <c r="L707" i="25"/>
  <c r="L715" i="25"/>
  <c r="L723" i="25"/>
  <c r="L731" i="25"/>
  <c r="L739" i="25"/>
  <c r="L747" i="25"/>
  <c r="L755" i="25"/>
  <c r="L763" i="25"/>
  <c r="L771" i="25"/>
  <c r="L779" i="25"/>
  <c r="L787" i="25"/>
  <c r="L795" i="25"/>
  <c r="L803" i="25"/>
  <c r="L811" i="25"/>
  <c r="L819" i="25"/>
  <c r="L827" i="25"/>
  <c r="L835" i="25"/>
  <c r="L843" i="25"/>
  <c r="L851" i="25"/>
  <c r="L859" i="25"/>
  <c r="L867" i="25"/>
  <c r="L875" i="25"/>
  <c r="L883" i="25"/>
  <c r="L891" i="25"/>
  <c r="L899" i="25"/>
  <c r="L907" i="25"/>
  <c r="L915" i="25"/>
  <c r="L923" i="25"/>
  <c r="L931" i="25"/>
  <c r="L939" i="25"/>
  <c r="L947" i="25"/>
  <c r="L955" i="25"/>
  <c r="L963" i="25"/>
  <c r="L971" i="25"/>
  <c r="L979" i="25"/>
  <c r="L987" i="25"/>
  <c r="L995" i="25"/>
  <c r="L1003" i="25"/>
  <c r="L1011" i="25"/>
  <c r="L1019" i="25"/>
  <c r="L1027" i="25"/>
  <c r="L1035" i="25"/>
  <c r="L436" i="25"/>
  <c r="L444" i="25"/>
  <c r="L452" i="25"/>
  <c r="L460" i="25"/>
  <c r="L468" i="25"/>
  <c r="L476" i="25"/>
  <c r="L484" i="25"/>
  <c r="L492" i="25"/>
  <c r="L500" i="25"/>
  <c r="L508" i="25"/>
  <c r="L516" i="25"/>
  <c r="L524" i="25"/>
  <c r="L532" i="25"/>
  <c r="L540" i="25"/>
  <c r="L548" i="25"/>
  <c r="L556" i="25"/>
  <c r="L564" i="25"/>
  <c r="L572" i="25"/>
  <c r="L580" i="25"/>
  <c r="L588" i="25"/>
  <c r="L596" i="25"/>
  <c r="L604" i="25"/>
  <c r="L612" i="25"/>
  <c r="L620" i="25"/>
  <c r="L628" i="25"/>
  <c r="L636" i="25"/>
  <c r="L644" i="25"/>
  <c r="L652" i="25"/>
  <c r="L660" i="25"/>
  <c r="L668" i="25"/>
  <c r="L676" i="25"/>
  <c r="L684" i="25"/>
  <c r="L692" i="25"/>
  <c r="L700" i="25"/>
  <c r="L708" i="25"/>
  <c r="L716" i="25"/>
  <c r="L724" i="25"/>
  <c r="L732" i="25"/>
  <c r="L740" i="25"/>
  <c r="L748" i="25"/>
  <c r="L756" i="25"/>
  <c r="L764" i="25"/>
  <c r="L772" i="25"/>
  <c r="L780" i="25"/>
  <c r="L788" i="25"/>
  <c r="L796" i="25"/>
  <c r="L804" i="25"/>
  <c r="L812" i="25"/>
  <c r="L820" i="25"/>
  <c r="L828" i="25"/>
  <c r="L836" i="25"/>
  <c r="L844" i="25"/>
  <c r="L852" i="25"/>
  <c r="L860" i="25"/>
  <c r="L868" i="25"/>
  <c r="L876" i="25"/>
  <c r="L884" i="25"/>
  <c r="L892" i="25"/>
  <c r="L900" i="25"/>
  <c r="L908" i="25"/>
  <c r="L916" i="25"/>
  <c r="L924" i="25"/>
  <c r="L932" i="25"/>
  <c r="L940" i="25"/>
  <c r="L948" i="25"/>
  <c r="L956" i="25"/>
  <c r="L964" i="25"/>
  <c r="L972" i="25"/>
  <c r="L980" i="25"/>
  <c r="L988" i="25"/>
  <c r="L996" i="25"/>
  <c r="L1004" i="25"/>
  <c r="L1012" i="25"/>
  <c r="L1020" i="25"/>
  <c r="L1028" i="25"/>
  <c r="L1036" i="25"/>
  <c r="L437" i="25"/>
  <c r="L445" i="25"/>
  <c r="L453" i="25"/>
  <c r="L461" i="25"/>
  <c r="L469" i="25"/>
  <c r="L477" i="25"/>
  <c r="L485" i="25"/>
  <c r="L493" i="25"/>
  <c r="L501" i="25"/>
  <c r="L509" i="25"/>
  <c r="L517" i="25"/>
  <c r="L525" i="25"/>
  <c r="L533" i="25"/>
  <c r="L541" i="25"/>
  <c r="L549" i="25"/>
  <c r="L557" i="25"/>
  <c r="L565" i="25"/>
  <c r="L573" i="25"/>
  <c r="L581" i="25"/>
  <c r="L589" i="25"/>
  <c r="L597" i="25"/>
  <c r="L605" i="25"/>
  <c r="L613" i="25"/>
  <c r="L621" i="25"/>
  <c r="L629" i="25"/>
  <c r="L637" i="25"/>
  <c r="L645" i="25"/>
  <c r="L653" i="25"/>
  <c r="L661" i="25"/>
  <c r="L669" i="25"/>
  <c r="L677" i="25"/>
  <c r="L685" i="25"/>
  <c r="L693" i="25"/>
  <c r="L701" i="25"/>
  <c r="L709" i="25"/>
  <c r="L717" i="25"/>
  <c r="L725" i="25"/>
  <c r="L733" i="25"/>
  <c r="L741" i="25"/>
  <c r="L749" i="25"/>
  <c r="L757" i="25"/>
  <c r="L765" i="25"/>
  <c r="L773" i="25"/>
  <c r="L781" i="25"/>
  <c r="L789" i="25"/>
  <c r="L797" i="25"/>
  <c r="L805" i="25"/>
  <c r="L813" i="25"/>
  <c r="L821" i="25"/>
  <c r="L829" i="25"/>
  <c r="L837" i="25"/>
  <c r="L845" i="25"/>
  <c r="L853" i="25"/>
  <c r="L861" i="25"/>
  <c r="L869" i="25"/>
  <c r="L877" i="25"/>
  <c r="L885" i="25"/>
  <c r="L893" i="25"/>
  <c r="L901" i="25"/>
  <c r="L909" i="25"/>
  <c r="L917" i="25"/>
  <c r="L925" i="25"/>
  <c r="L933" i="25"/>
  <c r="L941" i="25"/>
  <c r="L949" i="25"/>
  <c r="L957" i="25"/>
  <c r="L965" i="25"/>
  <c r="L973" i="25"/>
  <c r="L981" i="25"/>
  <c r="L989" i="25"/>
  <c r="L997" i="25"/>
  <c r="L1005" i="25"/>
  <c r="L1013" i="25"/>
  <c r="L1021" i="25"/>
  <c r="L1029" i="25"/>
  <c r="L1037" i="25"/>
  <c r="L438" i="25"/>
  <c r="L446" i="25"/>
  <c r="L454" i="25"/>
  <c r="L462" i="25"/>
  <c r="L470" i="25"/>
  <c r="L478" i="25"/>
  <c r="L486" i="25"/>
  <c r="L494" i="25"/>
  <c r="L502" i="25"/>
  <c r="L510" i="25"/>
  <c r="L518" i="25"/>
  <c r="L526" i="25"/>
  <c r="L534" i="25"/>
  <c r="L542" i="25"/>
  <c r="L550" i="25"/>
  <c r="L558" i="25"/>
  <c r="L566" i="25"/>
  <c r="L574" i="25"/>
  <c r="L582" i="25"/>
  <c r="L590" i="25"/>
  <c r="L598" i="25"/>
  <c r="L606" i="25"/>
  <c r="L614" i="25"/>
  <c r="L622" i="25"/>
  <c r="L630" i="25"/>
  <c r="L638" i="25"/>
  <c r="L646" i="25"/>
  <c r="L654" i="25"/>
  <c r="L662" i="25"/>
  <c r="L670" i="25"/>
  <c r="L678" i="25"/>
  <c r="L686" i="25"/>
  <c r="L694" i="25"/>
  <c r="L702" i="25"/>
  <c r="L710" i="25"/>
  <c r="L718" i="25"/>
  <c r="L726" i="25"/>
  <c r="L734" i="25"/>
  <c r="L742" i="25"/>
  <c r="L750" i="25"/>
  <c r="L758" i="25"/>
  <c r="L766" i="25"/>
  <c r="L774" i="25"/>
  <c r="L782" i="25"/>
  <c r="L790" i="25"/>
  <c r="L798" i="25"/>
  <c r="L806" i="25"/>
  <c r="L814" i="25"/>
  <c r="L822" i="25"/>
  <c r="L830" i="25"/>
  <c r="L838" i="25"/>
  <c r="L846" i="25"/>
  <c r="L854" i="25"/>
  <c r="L862" i="25"/>
  <c r="L870" i="25"/>
  <c r="L878" i="25"/>
  <c r="L886" i="25"/>
  <c r="L894" i="25"/>
  <c r="L902" i="25"/>
  <c r="L910" i="25"/>
  <c r="L918" i="25"/>
  <c r="L926" i="25"/>
  <c r="L934" i="25"/>
  <c r="L942" i="25"/>
  <c r="L950" i="25"/>
  <c r="L958" i="25"/>
  <c r="L966" i="25"/>
  <c r="L974" i="25"/>
  <c r="L982" i="25"/>
  <c r="L990" i="25"/>
  <c r="L998" i="25"/>
  <c r="L1006" i="25"/>
  <c r="L1014" i="25"/>
  <c r="L1022" i="25"/>
  <c r="L1030" i="25"/>
  <c r="L1038" i="25"/>
  <c r="L439" i="25"/>
  <c r="L447" i="25"/>
  <c r="L455" i="25"/>
  <c r="L463" i="25"/>
  <c r="L471" i="25"/>
  <c r="L479" i="25"/>
  <c r="L487" i="25"/>
  <c r="L495" i="25"/>
  <c r="L503" i="25"/>
  <c r="L511" i="25"/>
  <c r="L519" i="25"/>
  <c r="L527" i="25"/>
  <c r="L535" i="25"/>
  <c r="L543" i="25"/>
  <c r="L551" i="25"/>
  <c r="L559" i="25"/>
  <c r="L567" i="25"/>
  <c r="L575" i="25"/>
  <c r="L583" i="25"/>
  <c r="L591" i="25"/>
  <c r="L599" i="25"/>
  <c r="L607" i="25"/>
  <c r="L615" i="25"/>
  <c r="L623" i="25"/>
  <c r="L631" i="25"/>
  <c r="L639" i="25"/>
  <c r="L647" i="25"/>
  <c r="L655" i="25"/>
  <c r="L663" i="25"/>
  <c r="L671" i="25"/>
  <c r="L679" i="25"/>
  <c r="L687" i="25"/>
  <c r="L695" i="25"/>
  <c r="L703" i="25"/>
  <c r="L711" i="25"/>
  <c r="L719" i="25"/>
  <c r="L727" i="25"/>
  <c r="L735" i="25"/>
  <c r="L743" i="25"/>
  <c r="L751" i="25"/>
  <c r="L759" i="25"/>
  <c r="L767" i="25"/>
  <c r="L775" i="25"/>
  <c r="L783" i="25"/>
  <c r="L791" i="25"/>
  <c r="L799" i="25"/>
  <c r="L807" i="25"/>
  <c r="L815" i="25"/>
  <c r="L823" i="25"/>
  <c r="L831" i="25"/>
  <c r="L839" i="25"/>
  <c r="L847" i="25"/>
  <c r="L855" i="25"/>
  <c r="L863" i="25"/>
  <c r="L871" i="25"/>
  <c r="L879" i="25"/>
  <c r="L887" i="25"/>
  <c r="L895" i="25"/>
  <c r="L903" i="25"/>
  <c r="L911" i="25"/>
  <c r="L919" i="25"/>
  <c r="L927" i="25"/>
  <c r="L935" i="25"/>
  <c r="L943" i="25"/>
  <c r="L951" i="25"/>
  <c r="L959" i="25"/>
  <c r="L967" i="25"/>
  <c r="L975" i="25"/>
  <c r="L983" i="25"/>
  <c r="L991" i="25"/>
  <c r="L999" i="25"/>
  <c r="L1007" i="25"/>
  <c r="L1015" i="25"/>
  <c r="L1023" i="25"/>
  <c r="L1031" i="25"/>
  <c r="L1039" i="25"/>
  <c r="L440" i="25"/>
  <c r="L448" i="25"/>
  <c r="L456" i="25"/>
  <c r="L464" i="25"/>
  <c r="L472" i="25"/>
  <c r="L480" i="25"/>
  <c r="L488" i="25"/>
  <c r="L496" i="25"/>
  <c r="L504" i="25"/>
  <c r="L512" i="25"/>
  <c r="L520" i="25"/>
  <c r="L528" i="25"/>
  <c r="L536" i="25"/>
  <c r="L544" i="25"/>
  <c r="L552" i="25"/>
  <c r="L560" i="25"/>
  <c r="L568" i="25"/>
  <c r="L576" i="25"/>
  <c r="L584" i="25"/>
  <c r="L592" i="25"/>
  <c r="L600" i="25"/>
  <c r="L608" i="25"/>
  <c r="L616" i="25"/>
  <c r="L624" i="25"/>
  <c r="L632" i="25"/>
  <c r="L640" i="25"/>
  <c r="L648" i="25"/>
  <c r="L656" i="25"/>
  <c r="L664" i="25"/>
  <c r="L672" i="25"/>
  <c r="L680" i="25"/>
  <c r="L688" i="25"/>
  <c r="L696" i="25"/>
  <c r="L704" i="25"/>
  <c r="L712" i="25"/>
  <c r="L720" i="25"/>
  <c r="L728" i="25"/>
  <c r="L736" i="25"/>
  <c r="L744" i="25"/>
  <c r="L752" i="25"/>
  <c r="L760" i="25"/>
  <c r="L768" i="25"/>
  <c r="L776" i="25"/>
  <c r="L784" i="25"/>
  <c r="L792" i="25"/>
  <c r="L800" i="25"/>
  <c r="L808" i="25"/>
  <c r="L816" i="25"/>
  <c r="L824" i="25"/>
  <c r="L832" i="25"/>
  <c r="L840" i="25"/>
  <c r="L848" i="25"/>
  <c r="L856" i="25"/>
  <c r="L864" i="25"/>
  <c r="L872" i="25"/>
  <c r="L880" i="25"/>
  <c r="L888" i="25"/>
  <c r="L896" i="25"/>
  <c r="L904" i="25"/>
  <c r="L912" i="25"/>
  <c r="L920" i="25"/>
  <c r="L928" i="25"/>
  <c r="L936" i="25"/>
  <c r="L944" i="25"/>
  <c r="L952" i="25"/>
  <c r="L960" i="25"/>
  <c r="L968" i="25"/>
  <c r="L976" i="25"/>
  <c r="L984" i="25"/>
  <c r="L992" i="25"/>
  <c r="L1000" i="25"/>
  <c r="L1008" i="25"/>
  <c r="L1016" i="25"/>
  <c r="L1024" i="25"/>
  <c r="L1032" i="25"/>
  <c r="L441" i="25"/>
  <c r="L449" i="25"/>
  <c r="L457" i="25"/>
  <c r="L465" i="25"/>
  <c r="L473" i="25"/>
  <c r="L481" i="25"/>
  <c r="L489" i="25"/>
  <c r="L497" i="25"/>
  <c r="L505" i="25"/>
  <c r="L513" i="25"/>
  <c r="L521" i="25"/>
  <c r="L529" i="25"/>
  <c r="L537" i="25"/>
  <c r="L545" i="25"/>
  <c r="L553" i="25"/>
  <c r="L561" i="25"/>
  <c r="L569" i="25"/>
  <c r="L577" i="25"/>
  <c r="L585" i="25"/>
  <c r="L593" i="25"/>
  <c r="L601" i="25"/>
  <c r="L609" i="25"/>
  <c r="L617" i="25"/>
  <c r="L625" i="25"/>
  <c r="L633" i="25"/>
  <c r="L641" i="25"/>
  <c r="L649" i="25"/>
  <c r="L657" i="25"/>
  <c r="L665" i="25"/>
  <c r="L673" i="25"/>
  <c r="L681" i="25"/>
  <c r="L689" i="25"/>
  <c r="L697" i="25"/>
  <c r="L705" i="25"/>
  <c r="L713" i="25"/>
  <c r="L721" i="25"/>
  <c r="L729" i="25"/>
  <c r="L737" i="25"/>
  <c r="L745" i="25"/>
  <c r="L753" i="25"/>
  <c r="L761" i="25"/>
  <c r="L769" i="25"/>
  <c r="L777" i="25"/>
  <c r="L785" i="25"/>
  <c r="L793" i="25"/>
  <c r="L801" i="25"/>
  <c r="L809" i="25"/>
  <c r="L817" i="25"/>
  <c r="L825" i="25"/>
  <c r="L833" i="25"/>
  <c r="L841" i="25"/>
  <c r="L849" i="25"/>
  <c r="L857" i="25"/>
  <c r="L865" i="25"/>
  <c r="L873" i="25"/>
  <c r="L881" i="25"/>
  <c r="L889" i="25"/>
  <c r="L897" i="25"/>
  <c r="L905" i="25"/>
  <c r="L913" i="25"/>
  <c r="L921" i="25"/>
  <c r="L929" i="25"/>
  <c r="L937" i="25"/>
  <c r="L945" i="25"/>
  <c r="L953" i="25"/>
  <c r="L961" i="25"/>
  <c r="L969" i="25"/>
  <c r="L977" i="25"/>
  <c r="L985" i="25"/>
  <c r="L993" i="25"/>
  <c r="L1001" i="25"/>
  <c r="L1009" i="25"/>
  <c r="L1017" i="25"/>
  <c r="L1025" i="25"/>
  <c r="L1033" i="25"/>
  <c r="L442" i="25"/>
  <c r="L450" i="25"/>
  <c r="L458" i="25"/>
  <c r="L466" i="25"/>
  <c r="L474" i="25"/>
  <c r="L482" i="25"/>
  <c r="L490" i="25"/>
  <c r="L498" i="25"/>
  <c r="L506" i="25"/>
  <c r="L514" i="25"/>
  <c r="L522" i="25"/>
  <c r="L530" i="25"/>
  <c r="L538" i="25"/>
  <c r="L546" i="25"/>
  <c r="L554" i="25"/>
  <c r="L562" i="25"/>
  <c r="L570" i="25"/>
  <c r="L578" i="25"/>
  <c r="L586" i="25"/>
  <c r="L594" i="25"/>
  <c r="L602" i="25"/>
  <c r="L610" i="25"/>
  <c r="L618" i="25"/>
  <c r="L626" i="25"/>
  <c r="L634" i="25"/>
  <c r="L642" i="25"/>
  <c r="L650" i="25"/>
  <c r="L658" i="25"/>
  <c r="L666" i="25"/>
  <c r="L674" i="25"/>
  <c r="L682" i="25"/>
  <c r="L690" i="25"/>
  <c r="L698" i="25"/>
  <c r="L706" i="25"/>
  <c r="L714" i="25"/>
  <c r="L722" i="25"/>
  <c r="L730" i="25"/>
  <c r="L738" i="25"/>
  <c r="L746" i="25"/>
  <c r="L754" i="25"/>
  <c r="L762" i="25"/>
  <c r="L770" i="25"/>
  <c r="L778" i="25"/>
  <c r="L786" i="25"/>
  <c r="L794" i="25"/>
  <c r="L802" i="25"/>
  <c r="L810" i="25"/>
  <c r="L818" i="25"/>
  <c r="L826" i="25"/>
  <c r="L834" i="25"/>
  <c r="L842" i="25"/>
  <c r="L850" i="25"/>
  <c r="L858" i="25"/>
  <c r="L866" i="25"/>
  <c r="L874" i="25"/>
  <c r="L882" i="25"/>
  <c r="L890" i="25"/>
  <c r="L898" i="25"/>
  <c r="L906" i="25"/>
  <c r="L914" i="25"/>
  <c r="L922" i="25"/>
  <c r="L930" i="25"/>
  <c r="L938" i="25"/>
  <c r="L946" i="25"/>
  <c r="L954" i="25"/>
  <c r="L962" i="25"/>
  <c r="L970" i="25"/>
  <c r="L978" i="25"/>
  <c r="L986" i="25"/>
  <c r="L994" i="25"/>
  <c r="L1002" i="25"/>
  <c r="L1010" i="25"/>
  <c r="L1018" i="25"/>
  <c r="L1026" i="25"/>
  <c r="L1034" i="25"/>
  <c r="U41" i="25"/>
  <c r="U49" i="25"/>
  <c r="U57" i="25"/>
  <c r="U65" i="25"/>
  <c r="U73" i="25"/>
  <c r="U81" i="25"/>
  <c r="U89" i="25"/>
  <c r="U97" i="25"/>
  <c r="U105" i="25"/>
  <c r="U113" i="25"/>
  <c r="U121" i="25"/>
  <c r="U129" i="25"/>
  <c r="U137" i="25"/>
  <c r="U145" i="25"/>
  <c r="U153" i="25"/>
  <c r="U161" i="25"/>
  <c r="U169" i="25"/>
  <c r="U177" i="25"/>
  <c r="U185" i="25"/>
  <c r="U193" i="25"/>
  <c r="U201" i="25"/>
  <c r="U209" i="25"/>
  <c r="U217" i="25"/>
  <c r="U225" i="25"/>
  <c r="U233" i="25"/>
  <c r="U241" i="25"/>
  <c r="U249" i="25"/>
  <c r="U257" i="25"/>
  <c r="U265" i="25"/>
  <c r="U273" i="25"/>
  <c r="U281" i="25"/>
  <c r="U289" i="25"/>
  <c r="U297" i="25"/>
  <c r="U305" i="25"/>
  <c r="U313" i="25"/>
  <c r="U321" i="25"/>
  <c r="U329" i="25"/>
  <c r="U337" i="25"/>
  <c r="U345" i="25"/>
  <c r="U353" i="25"/>
  <c r="U361" i="25"/>
  <c r="U369" i="25"/>
  <c r="U377" i="25"/>
  <c r="U385" i="25"/>
  <c r="U393" i="25"/>
  <c r="U401" i="25"/>
  <c r="U409" i="25"/>
  <c r="U417" i="25"/>
  <c r="U425" i="25"/>
  <c r="U433" i="25"/>
  <c r="U441" i="25"/>
  <c r="U449" i="25"/>
  <c r="U457" i="25"/>
  <c r="U465" i="25"/>
  <c r="U473" i="25"/>
  <c r="U481" i="25"/>
  <c r="U489" i="25"/>
  <c r="U497" i="25"/>
  <c r="U505" i="25"/>
  <c r="U513" i="25"/>
  <c r="U521" i="25"/>
  <c r="U529" i="25"/>
  <c r="U537" i="25"/>
  <c r="U545" i="25"/>
  <c r="U553" i="25"/>
  <c r="U561" i="25"/>
  <c r="U569" i="25"/>
  <c r="U577" i="25"/>
  <c r="U585" i="25"/>
  <c r="U593" i="25"/>
  <c r="U601" i="25"/>
  <c r="U609" i="25"/>
  <c r="U617" i="25"/>
  <c r="U625" i="25"/>
  <c r="U633" i="25"/>
  <c r="U641" i="25"/>
  <c r="U649" i="25"/>
  <c r="U657" i="25"/>
  <c r="U665" i="25"/>
  <c r="U673" i="25"/>
  <c r="U681" i="25"/>
  <c r="U689" i="25"/>
  <c r="U697" i="25"/>
  <c r="U705" i="25"/>
  <c r="U713" i="25"/>
  <c r="U721" i="25"/>
  <c r="U729" i="25"/>
  <c r="U737" i="25"/>
  <c r="U745" i="25"/>
  <c r="U753" i="25"/>
  <c r="U761" i="25"/>
  <c r="U769" i="25"/>
  <c r="U777" i="25"/>
  <c r="U785" i="25"/>
  <c r="U793" i="25"/>
  <c r="U801" i="25"/>
  <c r="U809" i="25"/>
  <c r="U817" i="25"/>
  <c r="U825" i="25"/>
  <c r="U833" i="25"/>
  <c r="U841" i="25"/>
  <c r="U849" i="25"/>
  <c r="U857" i="25"/>
  <c r="U865" i="25"/>
  <c r="U873" i="25"/>
  <c r="U881" i="25"/>
  <c r="U889" i="25"/>
  <c r="U897" i="25"/>
  <c r="U905" i="25"/>
  <c r="U913" i="25"/>
  <c r="U921" i="25"/>
  <c r="U929" i="25"/>
  <c r="U937" i="25"/>
  <c r="U945" i="25"/>
  <c r="U953" i="25"/>
  <c r="U961" i="25"/>
  <c r="U969" i="25"/>
  <c r="U977" i="25"/>
  <c r="U985" i="25"/>
  <c r="U993" i="25"/>
  <c r="U1001" i="25"/>
  <c r="U1009" i="25"/>
  <c r="U1017" i="25"/>
  <c r="U1025" i="25"/>
  <c r="U1033" i="25"/>
  <c r="T41" i="25"/>
  <c r="T49" i="25"/>
  <c r="T57" i="25"/>
  <c r="T65" i="25"/>
  <c r="T73" i="25"/>
  <c r="T81" i="25"/>
  <c r="T89" i="25"/>
  <c r="T97" i="25"/>
  <c r="T105" i="25"/>
  <c r="T113" i="25"/>
  <c r="T121" i="25"/>
  <c r="T129" i="25"/>
  <c r="T137" i="25"/>
  <c r="T145" i="25"/>
  <c r="T153" i="25"/>
  <c r="T161" i="25"/>
  <c r="T169" i="25"/>
  <c r="T177" i="25"/>
  <c r="T185" i="25"/>
  <c r="T193" i="25"/>
  <c r="T201" i="25"/>
  <c r="T209" i="25"/>
  <c r="T217" i="25"/>
  <c r="T225" i="25"/>
  <c r="T233" i="25"/>
  <c r="T241" i="25"/>
  <c r="T249" i="25"/>
  <c r="T257" i="25"/>
  <c r="T265" i="25"/>
  <c r="T273" i="25"/>
  <c r="T281" i="25"/>
  <c r="T289" i="25"/>
  <c r="T297" i="25"/>
  <c r="T305" i="25"/>
  <c r="T313" i="25"/>
  <c r="T321" i="25"/>
  <c r="T329" i="25"/>
  <c r="T337" i="25"/>
  <c r="T345" i="25"/>
  <c r="T353" i="25"/>
  <c r="T361" i="25"/>
  <c r="T369" i="25"/>
  <c r="T377" i="25"/>
  <c r="T385" i="25"/>
  <c r="T393" i="25"/>
  <c r="U42" i="25"/>
  <c r="U50" i="25"/>
  <c r="U58" i="25"/>
  <c r="U66" i="25"/>
  <c r="U74" i="25"/>
  <c r="U82" i="25"/>
  <c r="U90" i="25"/>
  <c r="U98" i="25"/>
  <c r="U106" i="25"/>
  <c r="U114" i="25"/>
  <c r="U122" i="25"/>
  <c r="U130" i="25"/>
  <c r="U138" i="25"/>
  <c r="U146" i="25"/>
  <c r="U154" i="25"/>
  <c r="U162" i="25"/>
  <c r="U170" i="25"/>
  <c r="U178" i="25"/>
  <c r="U186" i="25"/>
  <c r="U194" i="25"/>
  <c r="U202" i="25"/>
  <c r="U210" i="25"/>
  <c r="U218" i="25"/>
  <c r="U226" i="25"/>
  <c r="U234" i="25"/>
  <c r="U242" i="25"/>
  <c r="U250" i="25"/>
  <c r="U258" i="25"/>
  <c r="U266" i="25"/>
  <c r="U274" i="25"/>
  <c r="U282" i="25"/>
  <c r="U290" i="25"/>
  <c r="U298" i="25"/>
  <c r="U306" i="25"/>
  <c r="U314" i="25"/>
  <c r="U322" i="25"/>
  <c r="U330" i="25"/>
  <c r="U338" i="25"/>
  <c r="U346" i="25"/>
  <c r="U354" i="25"/>
  <c r="U362" i="25"/>
  <c r="U370" i="25"/>
  <c r="U378" i="25"/>
  <c r="U386" i="25"/>
  <c r="U394" i="25"/>
  <c r="U402" i="25"/>
  <c r="U410" i="25"/>
  <c r="U418" i="25"/>
  <c r="U426" i="25"/>
  <c r="U434" i="25"/>
  <c r="U442" i="25"/>
  <c r="U450" i="25"/>
  <c r="U458" i="25"/>
  <c r="U466" i="25"/>
  <c r="U474" i="25"/>
  <c r="U482" i="25"/>
  <c r="U490" i="25"/>
  <c r="U498" i="25"/>
  <c r="U506" i="25"/>
  <c r="U514" i="25"/>
  <c r="U522" i="25"/>
  <c r="U530" i="25"/>
  <c r="U538" i="25"/>
  <c r="U546" i="25"/>
  <c r="U554" i="25"/>
  <c r="U562" i="25"/>
  <c r="U570" i="25"/>
  <c r="U578" i="25"/>
  <c r="U586" i="25"/>
  <c r="U594" i="25"/>
  <c r="U602" i="25"/>
  <c r="U610" i="25"/>
  <c r="U618" i="25"/>
  <c r="U626" i="25"/>
  <c r="U634" i="25"/>
  <c r="U642" i="25"/>
  <c r="U650" i="25"/>
  <c r="U658" i="25"/>
  <c r="U666" i="25"/>
  <c r="U674" i="25"/>
  <c r="U682" i="25"/>
  <c r="U690" i="25"/>
  <c r="U698" i="25"/>
  <c r="U706" i="25"/>
  <c r="U714" i="25"/>
  <c r="U722" i="25"/>
  <c r="U730" i="25"/>
  <c r="U738" i="25"/>
  <c r="U746" i="25"/>
  <c r="U754" i="25"/>
  <c r="U762" i="25"/>
  <c r="U770" i="25"/>
  <c r="U778" i="25"/>
  <c r="U786" i="25"/>
  <c r="U794" i="25"/>
  <c r="U802" i="25"/>
  <c r="U810" i="25"/>
  <c r="U818" i="25"/>
  <c r="U826" i="25"/>
  <c r="U834" i="25"/>
  <c r="U842" i="25"/>
  <c r="U850" i="25"/>
  <c r="U858" i="25"/>
  <c r="U866" i="25"/>
  <c r="U874" i="25"/>
  <c r="U882" i="25"/>
  <c r="U890" i="25"/>
  <c r="U898" i="25"/>
  <c r="U906" i="25"/>
  <c r="U914" i="25"/>
  <c r="U922" i="25"/>
  <c r="U930" i="25"/>
  <c r="U938" i="25"/>
  <c r="U946" i="25"/>
  <c r="U954" i="25"/>
  <c r="U962" i="25"/>
  <c r="U970" i="25"/>
  <c r="U978" i="25"/>
  <c r="U986" i="25"/>
  <c r="U994" i="25"/>
  <c r="U1002" i="25"/>
  <c r="U1010" i="25"/>
  <c r="U1018" i="25"/>
  <c r="U1026" i="25"/>
  <c r="U1034" i="25"/>
  <c r="T42" i="25"/>
  <c r="T50" i="25"/>
  <c r="T58" i="25"/>
  <c r="T66" i="25"/>
  <c r="T74" i="25"/>
  <c r="T82" i="25"/>
  <c r="T90" i="25"/>
  <c r="T98" i="25"/>
  <c r="T106" i="25"/>
  <c r="T114" i="25"/>
  <c r="T122" i="25"/>
  <c r="T130" i="25"/>
  <c r="T138" i="25"/>
  <c r="T146" i="25"/>
  <c r="T154" i="25"/>
  <c r="T162" i="25"/>
  <c r="T170" i="25"/>
  <c r="T178" i="25"/>
  <c r="T186" i="25"/>
  <c r="T194" i="25"/>
  <c r="T202" i="25"/>
  <c r="T210" i="25"/>
  <c r="T218" i="25"/>
  <c r="T226" i="25"/>
  <c r="T234" i="25"/>
  <c r="T242" i="25"/>
  <c r="T250" i="25"/>
  <c r="T258" i="25"/>
  <c r="T266" i="25"/>
  <c r="T274" i="25"/>
  <c r="T282" i="25"/>
  <c r="T290" i="25"/>
  <c r="T298" i="25"/>
  <c r="T306" i="25"/>
  <c r="T314" i="25"/>
  <c r="T322" i="25"/>
  <c r="T330" i="25"/>
  <c r="T338" i="25"/>
  <c r="T346" i="25"/>
  <c r="T354" i="25"/>
  <c r="T362" i="25"/>
  <c r="T370" i="25"/>
  <c r="T378" i="25"/>
  <c r="T386" i="25"/>
  <c r="T394" i="25"/>
  <c r="U43" i="25"/>
  <c r="U51" i="25"/>
  <c r="U59" i="25"/>
  <c r="U67" i="25"/>
  <c r="U75" i="25"/>
  <c r="U83" i="25"/>
  <c r="U91" i="25"/>
  <c r="U99" i="25"/>
  <c r="U107" i="25"/>
  <c r="U115" i="25"/>
  <c r="U123" i="25"/>
  <c r="U131" i="25"/>
  <c r="U139" i="25"/>
  <c r="U147" i="25"/>
  <c r="U155" i="25"/>
  <c r="U163" i="25"/>
  <c r="U171" i="25"/>
  <c r="U179" i="25"/>
  <c r="U187" i="25"/>
  <c r="U195" i="25"/>
  <c r="U203" i="25"/>
  <c r="U211" i="25"/>
  <c r="U219" i="25"/>
  <c r="U227" i="25"/>
  <c r="U235" i="25"/>
  <c r="U243" i="25"/>
  <c r="U251" i="25"/>
  <c r="U259" i="25"/>
  <c r="U267" i="25"/>
  <c r="U275" i="25"/>
  <c r="U283" i="25"/>
  <c r="U291" i="25"/>
  <c r="U299" i="25"/>
  <c r="U307" i="25"/>
  <c r="U315" i="25"/>
  <c r="U323" i="25"/>
  <c r="U331" i="25"/>
  <c r="U339" i="25"/>
  <c r="U347" i="25"/>
  <c r="U355" i="25"/>
  <c r="U363" i="25"/>
  <c r="U371" i="25"/>
  <c r="U379" i="25"/>
  <c r="U387" i="25"/>
  <c r="U395" i="25"/>
  <c r="U403" i="25"/>
  <c r="U411" i="25"/>
  <c r="U419" i="25"/>
  <c r="U427" i="25"/>
  <c r="U435" i="25"/>
  <c r="U443" i="25"/>
  <c r="U451" i="25"/>
  <c r="U459" i="25"/>
  <c r="U467" i="25"/>
  <c r="U475" i="25"/>
  <c r="U483" i="25"/>
  <c r="U491" i="25"/>
  <c r="U499" i="25"/>
  <c r="U507" i="25"/>
  <c r="U515" i="25"/>
  <c r="U523" i="25"/>
  <c r="U531" i="25"/>
  <c r="U539" i="25"/>
  <c r="U547" i="25"/>
  <c r="U555" i="25"/>
  <c r="U563" i="25"/>
  <c r="U571" i="25"/>
  <c r="U579" i="25"/>
  <c r="U587" i="25"/>
  <c r="U595" i="25"/>
  <c r="U603" i="25"/>
  <c r="U611" i="25"/>
  <c r="U619" i="25"/>
  <c r="U627" i="25"/>
  <c r="U635" i="25"/>
  <c r="U643" i="25"/>
  <c r="U651" i="25"/>
  <c r="U659" i="25"/>
  <c r="U667" i="25"/>
  <c r="U675" i="25"/>
  <c r="U683" i="25"/>
  <c r="U691" i="25"/>
  <c r="U699" i="25"/>
  <c r="U707" i="25"/>
  <c r="U715" i="25"/>
  <c r="U723" i="25"/>
  <c r="U731" i="25"/>
  <c r="U739" i="25"/>
  <c r="U747" i="25"/>
  <c r="U755" i="25"/>
  <c r="U763" i="25"/>
  <c r="U771" i="25"/>
  <c r="U779" i="25"/>
  <c r="U787" i="25"/>
  <c r="U795" i="25"/>
  <c r="U803" i="25"/>
  <c r="U811" i="25"/>
  <c r="U819" i="25"/>
  <c r="U827" i="25"/>
  <c r="U835" i="25"/>
  <c r="U843" i="25"/>
  <c r="U851" i="25"/>
  <c r="U859" i="25"/>
  <c r="U867" i="25"/>
  <c r="U875" i="25"/>
  <c r="U883" i="25"/>
  <c r="U891" i="25"/>
  <c r="U899" i="25"/>
  <c r="U907" i="25"/>
  <c r="U915" i="25"/>
  <c r="U923" i="25"/>
  <c r="U931" i="25"/>
  <c r="U939" i="25"/>
  <c r="U947" i="25"/>
  <c r="U955" i="25"/>
  <c r="U963" i="25"/>
  <c r="U971" i="25"/>
  <c r="U979" i="25"/>
  <c r="U987" i="25"/>
  <c r="U995" i="25"/>
  <c r="U1003" i="25"/>
  <c r="U1011" i="25"/>
  <c r="U1019" i="25"/>
  <c r="U1027" i="25"/>
  <c r="U1035" i="25"/>
  <c r="T43" i="25"/>
  <c r="T51" i="25"/>
  <c r="T59" i="25"/>
  <c r="T67" i="25"/>
  <c r="T75" i="25"/>
  <c r="T83" i="25"/>
  <c r="T91" i="25"/>
  <c r="T99" i="25"/>
  <c r="T107" i="25"/>
  <c r="T115" i="25"/>
  <c r="T123" i="25"/>
  <c r="T131" i="25"/>
  <c r="T139" i="25"/>
  <c r="T147" i="25"/>
  <c r="T155" i="25"/>
  <c r="T163" i="25"/>
  <c r="T171" i="25"/>
  <c r="T179" i="25"/>
  <c r="T187" i="25"/>
  <c r="T195" i="25"/>
  <c r="T203" i="25"/>
  <c r="T211" i="25"/>
  <c r="T219" i="25"/>
  <c r="T227" i="25"/>
  <c r="T235" i="25"/>
  <c r="T243" i="25"/>
  <c r="T251" i="25"/>
  <c r="T259" i="25"/>
  <c r="T267" i="25"/>
  <c r="T275" i="25"/>
  <c r="T283" i="25"/>
  <c r="T291" i="25"/>
  <c r="T299" i="25"/>
  <c r="T307" i="25"/>
  <c r="T315" i="25"/>
  <c r="T323" i="25"/>
  <c r="T331" i="25"/>
  <c r="T339" i="25"/>
  <c r="T347" i="25"/>
  <c r="T355" i="25"/>
  <c r="T363" i="25"/>
  <c r="T371" i="25"/>
  <c r="T379" i="25"/>
  <c r="T387" i="25"/>
  <c r="T395" i="25"/>
  <c r="U44" i="25"/>
  <c r="U52" i="25"/>
  <c r="U60" i="25"/>
  <c r="U68" i="25"/>
  <c r="U76" i="25"/>
  <c r="U84" i="25"/>
  <c r="U92" i="25"/>
  <c r="U100" i="25"/>
  <c r="U108" i="25"/>
  <c r="U116" i="25"/>
  <c r="U124" i="25"/>
  <c r="U132" i="25"/>
  <c r="U140" i="25"/>
  <c r="U148" i="25"/>
  <c r="U156" i="25"/>
  <c r="U164" i="25"/>
  <c r="U172" i="25"/>
  <c r="U180" i="25"/>
  <c r="U188" i="25"/>
  <c r="U196" i="25"/>
  <c r="U204" i="25"/>
  <c r="U212" i="25"/>
  <c r="U220" i="25"/>
  <c r="U228" i="25"/>
  <c r="U236" i="25"/>
  <c r="U244" i="25"/>
  <c r="U252" i="25"/>
  <c r="U260" i="25"/>
  <c r="U268" i="25"/>
  <c r="U276" i="25"/>
  <c r="U284" i="25"/>
  <c r="U292" i="25"/>
  <c r="U300" i="25"/>
  <c r="U308" i="25"/>
  <c r="U316" i="25"/>
  <c r="U324" i="25"/>
  <c r="U332" i="25"/>
  <c r="U340" i="25"/>
  <c r="U348" i="25"/>
  <c r="U356" i="25"/>
  <c r="U364" i="25"/>
  <c r="U372" i="25"/>
  <c r="U380" i="25"/>
  <c r="U388" i="25"/>
  <c r="U396" i="25"/>
  <c r="U404" i="25"/>
  <c r="U412" i="25"/>
  <c r="U420" i="25"/>
  <c r="U428" i="25"/>
  <c r="U436" i="25"/>
  <c r="U444" i="25"/>
  <c r="U452" i="25"/>
  <c r="U460" i="25"/>
  <c r="U468" i="25"/>
  <c r="U476" i="25"/>
  <c r="U484" i="25"/>
  <c r="U492" i="25"/>
  <c r="U500" i="25"/>
  <c r="U508" i="25"/>
  <c r="U516" i="25"/>
  <c r="U524" i="25"/>
  <c r="U532" i="25"/>
  <c r="U540" i="25"/>
  <c r="U548" i="25"/>
  <c r="U556" i="25"/>
  <c r="U564" i="25"/>
  <c r="U572" i="25"/>
  <c r="U580" i="25"/>
  <c r="U588" i="25"/>
  <c r="U596" i="25"/>
  <c r="U604" i="25"/>
  <c r="U612" i="25"/>
  <c r="U620" i="25"/>
  <c r="U628" i="25"/>
  <c r="U636" i="25"/>
  <c r="U644" i="25"/>
  <c r="U652" i="25"/>
  <c r="U660" i="25"/>
  <c r="U668" i="25"/>
  <c r="U676" i="25"/>
  <c r="U684" i="25"/>
  <c r="U692" i="25"/>
  <c r="U700" i="25"/>
  <c r="U708" i="25"/>
  <c r="U716" i="25"/>
  <c r="U724" i="25"/>
  <c r="U732" i="25"/>
  <c r="U740" i="25"/>
  <c r="U748" i="25"/>
  <c r="U756" i="25"/>
  <c r="U764" i="25"/>
  <c r="U772" i="25"/>
  <c r="U780" i="25"/>
  <c r="U788" i="25"/>
  <c r="U796" i="25"/>
  <c r="U804" i="25"/>
  <c r="U812" i="25"/>
  <c r="U820" i="25"/>
  <c r="U828" i="25"/>
  <c r="U836" i="25"/>
  <c r="U844" i="25"/>
  <c r="U852" i="25"/>
  <c r="U860" i="25"/>
  <c r="U868" i="25"/>
  <c r="U876" i="25"/>
  <c r="U884" i="25"/>
  <c r="U892" i="25"/>
  <c r="U900" i="25"/>
  <c r="U908" i="25"/>
  <c r="U916" i="25"/>
  <c r="U924" i="25"/>
  <c r="U932" i="25"/>
  <c r="U940" i="25"/>
  <c r="U948" i="25"/>
  <c r="U956" i="25"/>
  <c r="U964" i="25"/>
  <c r="U972" i="25"/>
  <c r="U980" i="25"/>
  <c r="U988" i="25"/>
  <c r="U996" i="25"/>
  <c r="U1004" i="25"/>
  <c r="U1012" i="25"/>
  <c r="U1020" i="25"/>
  <c r="U1028" i="25"/>
  <c r="U1036" i="25"/>
  <c r="T44" i="25"/>
  <c r="T52" i="25"/>
  <c r="T60" i="25"/>
  <c r="T68" i="25"/>
  <c r="T76" i="25"/>
  <c r="T84" i="25"/>
  <c r="T92" i="25"/>
  <c r="T100" i="25"/>
  <c r="T108" i="25"/>
  <c r="T116" i="25"/>
  <c r="T124" i="25"/>
  <c r="T132" i="25"/>
  <c r="T140" i="25"/>
  <c r="T148" i="25"/>
  <c r="T156" i="25"/>
  <c r="T164" i="25"/>
  <c r="T172" i="25"/>
  <c r="T180" i="25"/>
  <c r="T188" i="25"/>
  <c r="T196" i="25"/>
  <c r="T204" i="25"/>
  <c r="T212" i="25"/>
  <c r="T220" i="25"/>
  <c r="T228" i="25"/>
  <c r="T236" i="25"/>
  <c r="T244" i="25"/>
  <c r="T252" i="25"/>
  <c r="T260" i="25"/>
  <c r="T268" i="25"/>
  <c r="T276" i="25"/>
  <c r="T284" i="25"/>
  <c r="T292" i="25"/>
  <c r="T300" i="25"/>
  <c r="T308" i="25"/>
  <c r="T316" i="25"/>
  <c r="T324" i="25"/>
  <c r="T332" i="25"/>
  <c r="T340" i="25"/>
  <c r="T348" i="25"/>
  <c r="T356" i="25"/>
  <c r="T364" i="25"/>
  <c r="T372" i="25"/>
  <c r="T380" i="25"/>
  <c r="T388" i="25"/>
  <c r="T396" i="25"/>
  <c r="U45" i="25"/>
  <c r="U53" i="25"/>
  <c r="U61" i="25"/>
  <c r="U69" i="25"/>
  <c r="U77" i="25"/>
  <c r="U85" i="25"/>
  <c r="U93" i="25"/>
  <c r="U101" i="25"/>
  <c r="U109" i="25"/>
  <c r="U117" i="25"/>
  <c r="U125" i="25"/>
  <c r="U133" i="25"/>
  <c r="U141" i="25"/>
  <c r="U149" i="25"/>
  <c r="U157" i="25"/>
  <c r="U165" i="25"/>
  <c r="U173" i="25"/>
  <c r="U181" i="25"/>
  <c r="U189" i="25"/>
  <c r="U197" i="25"/>
  <c r="U205" i="25"/>
  <c r="U213" i="25"/>
  <c r="U221" i="25"/>
  <c r="U229" i="25"/>
  <c r="U237" i="25"/>
  <c r="U245" i="25"/>
  <c r="U253" i="25"/>
  <c r="U261" i="25"/>
  <c r="U269" i="25"/>
  <c r="U277" i="25"/>
  <c r="U285" i="25"/>
  <c r="U293" i="25"/>
  <c r="U301" i="25"/>
  <c r="U309" i="25"/>
  <c r="U317" i="25"/>
  <c r="U325" i="25"/>
  <c r="U333" i="25"/>
  <c r="U341" i="25"/>
  <c r="U349" i="25"/>
  <c r="U357" i="25"/>
  <c r="U365" i="25"/>
  <c r="U373" i="25"/>
  <c r="U381" i="25"/>
  <c r="U389" i="25"/>
  <c r="U397" i="25"/>
  <c r="U405" i="25"/>
  <c r="U413" i="25"/>
  <c r="U421" i="25"/>
  <c r="U429" i="25"/>
  <c r="U437" i="25"/>
  <c r="U445" i="25"/>
  <c r="U453" i="25"/>
  <c r="U461" i="25"/>
  <c r="U469" i="25"/>
  <c r="U477" i="25"/>
  <c r="U485" i="25"/>
  <c r="U493" i="25"/>
  <c r="U501" i="25"/>
  <c r="U509" i="25"/>
  <c r="U517" i="25"/>
  <c r="U525" i="25"/>
  <c r="U533" i="25"/>
  <c r="U541" i="25"/>
  <c r="U549" i="25"/>
  <c r="U557" i="25"/>
  <c r="U565" i="25"/>
  <c r="U573" i="25"/>
  <c r="U581" i="25"/>
  <c r="U589" i="25"/>
  <c r="U597" i="25"/>
  <c r="U605" i="25"/>
  <c r="U613" i="25"/>
  <c r="U621" i="25"/>
  <c r="U629" i="25"/>
  <c r="U637" i="25"/>
  <c r="U645" i="25"/>
  <c r="U653" i="25"/>
  <c r="U661" i="25"/>
  <c r="U669" i="25"/>
  <c r="U677" i="25"/>
  <c r="U685" i="25"/>
  <c r="U693" i="25"/>
  <c r="U701" i="25"/>
  <c r="U709" i="25"/>
  <c r="U717" i="25"/>
  <c r="U725" i="25"/>
  <c r="U733" i="25"/>
  <c r="U741" i="25"/>
  <c r="U749" i="25"/>
  <c r="U757" i="25"/>
  <c r="U765" i="25"/>
  <c r="U773" i="25"/>
  <c r="U781" i="25"/>
  <c r="U789" i="25"/>
  <c r="U797" i="25"/>
  <c r="U805" i="25"/>
  <c r="U813" i="25"/>
  <c r="U821" i="25"/>
  <c r="U829" i="25"/>
  <c r="U837" i="25"/>
  <c r="U845" i="25"/>
  <c r="U853" i="25"/>
  <c r="U861" i="25"/>
  <c r="U869" i="25"/>
  <c r="U877" i="25"/>
  <c r="U885" i="25"/>
  <c r="U893" i="25"/>
  <c r="U901" i="25"/>
  <c r="U909" i="25"/>
  <c r="U917" i="25"/>
  <c r="U925" i="25"/>
  <c r="U933" i="25"/>
  <c r="U941" i="25"/>
  <c r="U949" i="25"/>
  <c r="U957" i="25"/>
  <c r="U965" i="25"/>
  <c r="U973" i="25"/>
  <c r="U981" i="25"/>
  <c r="U989" i="25"/>
  <c r="U997" i="25"/>
  <c r="U1005" i="25"/>
  <c r="U1013" i="25"/>
  <c r="U1021" i="25"/>
  <c r="U1029" i="25"/>
  <c r="U1037" i="25"/>
  <c r="T45" i="25"/>
  <c r="T53" i="25"/>
  <c r="T61" i="25"/>
  <c r="T69" i="25"/>
  <c r="T77" i="25"/>
  <c r="T85" i="25"/>
  <c r="T93" i="25"/>
  <c r="T101" i="25"/>
  <c r="T109" i="25"/>
  <c r="T117" i="25"/>
  <c r="T125" i="25"/>
  <c r="T133" i="25"/>
  <c r="T141" i="25"/>
  <c r="T149" i="25"/>
  <c r="T157" i="25"/>
  <c r="T165" i="25"/>
  <c r="T173" i="25"/>
  <c r="T181" i="25"/>
  <c r="T189" i="25"/>
  <c r="T197" i="25"/>
  <c r="T205" i="25"/>
  <c r="T213" i="25"/>
  <c r="T221" i="25"/>
  <c r="T229" i="25"/>
  <c r="T237" i="25"/>
  <c r="T245" i="25"/>
  <c r="T253" i="25"/>
  <c r="T261" i="25"/>
  <c r="T269" i="25"/>
  <c r="T277" i="25"/>
  <c r="T285" i="25"/>
  <c r="T293" i="25"/>
  <c r="T301" i="25"/>
  <c r="T309" i="25"/>
  <c r="T317" i="25"/>
  <c r="T325" i="25"/>
  <c r="T333" i="25"/>
  <c r="T341" i="25"/>
  <c r="T349" i="25"/>
  <c r="T357" i="25"/>
  <c r="T365" i="25"/>
  <c r="T373" i="25"/>
  <c r="T381" i="25"/>
  <c r="T389" i="25"/>
  <c r="T397" i="25"/>
  <c r="U46" i="25"/>
  <c r="U54" i="25"/>
  <c r="U62" i="25"/>
  <c r="U70" i="25"/>
  <c r="U78" i="25"/>
  <c r="U86" i="25"/>
  <c r="U94" i="25"/>
  <c r="U102" i="25"/>
  <c r="U110" i="25"/>
  <c r="U118" i="25"/>
  <c r="U126" i="25"/>
  <c r="U134" i="25"/>
  <c r="U142" i="25"/>
  <c r="U150" i="25"/>
  <c r="U158" i="25"/>
  <c r="U166" i="25"/>
  <c r="U174" i="25"/>
  <c r="U182" i="25"/>
  <c r="U190" i="25"/>
  <c r="U198" i="25"/>
  <c r="U206" i="25"/>
  <c r="U214" i="25"/>
  <c r="U222" i="25"/>
  <c r="U230" i="25"/>
  <c r="U238" i="25"/>
  <c r="U246" i="25"/>
  <c r="U254" i="25"/>
  <c r="U262" i="25"/>
  <c r="U270" i="25"/>
  <c r="U278" i="25"/>
  <c r="U286" i="25"/>
  <c r="U294" i="25"/>
  <c r="U302" i="25"/>
  <c r="U310" i="25"/>
  <c r="U318" i="25"/>
  <c r="U326" i="25"/>
  <c r="U334" i="25"/>
  <c r="U342" i="25"/>
  <c r="U350" i="25"/>
  <c r="U358" i="25"/>
  <c r="U366" i="25"/>
  <c r="U374" i="25"/>
  <c r="U382" i="25"/>
  <c r="U390" i="25"/>
  <c r="U398" i="25"/>
  <c r="U406" i="25"/>
  <c r="U414" i="25"/>
  <c r="U422" i="25"/>
  <c r="U430" i="25"/>
  <c r="U438" i="25"/>
  <c r="U446" i="25"/>
  <c r="U454" i="25"/>
  <c r="U462" i="25"/>
  <c r="U470" i="25"/>
  <c r="U478" i="25"/>
  <c r="U486" i="25"/>
  <c r="U494" i="25"/>
  <c r="U502" i="25"/>
  <c r="U510" i="25"/>
  <c r="U518" i="25"/>
  <c r="U526" i="25"/>
  <c r="U534" i="25"/>
  <c r="U542" i="25"/>
  <c r="U550" i="25"/>
  <c r="U558" i="25"/>
  <c r="U566" i="25"/>
  <c r="U574" i="25"/>
  <c r="U582" i="25"/>
  <c r="U590" i="25"/>
  <c r="U598" i="25"/>
  <c r="U606" i="25"/>
  <c r="U614" i="25"/>
  <c r="U622" i="25"/>
  <c r="U630" i="25"/>
  <c r="U638" i="25"/>
  <c r="U646" i="25"/>
  <c r="U654" i="25"/>
  <c r="U662" i="25"/>
  <c r="U670" i="25"/>
  <c r="U678" i="25"/>
  <c r="U686" i="25"/>
  <c r="U694" i="25"/>
  <c r="U702" i="25"/>
  <c r="U710" i="25"/>
  <c r="U718" i="25"/>
  <c r="U726" i="25"/>
  <c r="U734" i="25"/>
  <c r="U742" i="25"/>
  <c r="U750" i="25"/>
  <c r="U758" i="25"/>
  <c r="U766" i="25"/>
  <c r="U774" i="25"/>
  <c r="U782" i="25"/>
  <c r="U790" i="25"/>
  <c r="U798" i="25"/>
  <c r="U806" i="25"/>
  <c r="U814" i="25"/>
  <c r="U822" i="25"/>
  <c r="U830" i="25"/>
  <c r="U838" i="25"/>
  <c r="U846" i="25"/>
  <c r="U854" i="25"/>
  <c r="U862" i="25"/>
  <c r="U870" i="25"/>
  <c r="U878" i="25"/>
  <c r="U886" i="25"/>
  <c r="U894" i="25"/>
  <c r="U902" i="25"/>
  <c r="U910" i="25"/>
  <c r="U918" i="25"/>
  <c r="U926" i="25"/>
  <c r="U934" i="25"/>
  <c r="U942" i="25"/>
  <c r="U950" i="25"/>
  <c r="U958" i="25"/>
  <c r="U966" i="25"/>
  <c r="U974" i="25"/>
  <c r="U982" i="25"/>
  <c r="U990" i="25"/>
  <c r="U998" i="25"/>
  <c r="U1006" i="25"/>
  <c r="U1014" i="25"/>
  <c r="U1022" i="25"/>
  <c r="U1030" i="25"/>
  <c r="U1038" i="25"/>
  <c r="T46" i="25"/>
  <c r="T54" i="25"/>
  <c r="T62" i="25"/>
  <c r="T70" i="25"/>
  <c r="T78" i="25"/>
  <c r="T86" i="25"/>
  <c r="T94" i="25"/>
  <c r="T102" i="25"/>
  <c r="T110" i="25"/>
  <c r="T118" i="25"/>
  <c r="T126" i="25"/>
  <c r="T134" i="25"/>
  <c r="T142" i="25"/>
  <c r="T150" i="25"/>
  <c r="T158" i="25"/>
  <c r="T166" i="25"/>
  <c r="T174" i="25"/>
  <c r="T182" i="25"/>
  <c r="T190" i="25"/>
  <c r="T198" i="25"/>
  <c r="T206" i="25"/>
  <c r="T214" i="25"/>
  <c r="T222" i="25"/>
  <c r="T230" i="25"/>
  <c r="T238" i="25"/>
  <c r="T246" i="25"/>
  <c r="T254" i="25"/>
  <c r="T262" i="25"/>
  <c r="T270" i="25"/>
  <c r="T278" i="25"/>
  <c r="T286" i="25"/>
  <c r="T294" i="25"/>
  <c r="T302" i="25"/>
  <c r="T310" i="25"/>
  <c r="T318" i="25"/>
  <c r="T326" i="25"/>
  <c r="T334" i="25"/>
  <c r="T342" i="25"/>
  <c r="T350" i="25"/>
  <c r="T358" i="25"/>
  <c r="T366" i="25"/>
  <c r="T374" i="25"/>
  <c r="T382" i="25"/>
  <c r="T390" i="25"/>
  <c r="T398" i="25"/>
  <c r="U47" i="25"/>
  <c r="U55" i="25"/>
  <c r="U63" i="25"/>
  <c r="U71" i="25"/>
  <c r="U79" i="25"/>
  <c r="U87" i="25"/>
  <c r="U95" i="25"/>
  <c r="U103" i="25"/>
  <c r="U111" i="25"/>
  <c r="U119" i="25"/>
  <c r="U127" i="25"/>
  <c r="U135" i="25"/>
  <c r="U143" i="25"/>
  <c r="U151" i="25"/>
  <c r="U159" i="25"/>
  <c r="U167" i="25"/>
  <c r="U175" i="25"/>
  <c r="U183" i="25"/>
  <c r="U191" i="25"/>
  <c r="U199" i="25"/>
  <c r="U207" i="25"/>
  <c r="U215" i="25"/>
  <c r="U223" i="25"/>
  <c r="U231" i="25"/>
  <c r="U239" i="25"/>
  <c r="U247" i="25"/>
  <c r="U255" i="25"/>
  <c r="U263" i="25"/>
  <c r="U271" i="25"/>
  <c r="U279" i="25"/>
  <c r="U287" i="25"/>
  <c r="U295" i="25"/>
  <c r="U303" i="25"/>
  <c r="U311" i="25"/>
  <c r="U319" i="25"/>
  <c r="U327" i="25"/>
  <c r="U335" i="25"/>
  <c r="U343" i="25"/>
  <c r="U351" i="25"/>
  <c r="U359" i="25"/>
  <c r="U367" i="25"/>
  <c r="U375" i="25"/>
  <c r="U383" i="25"/>
  <c r="U391" i="25"/>
  <c r="U399" i="25"/>
  <c r="U407" i="25"/>
  <c r="U415" i="25"/>
  <c r="U423" i="25"/>
  <c r="U431" i="25"/>
  <c r="U439" i="25"/>
  <c r="U447" i="25"/>
  <c r="U455" i="25"/>
  <c r="U463" i="25"/>
  <c r="U471" i="25"/>
  <c r="U479" i="25"/>
  <c r="U487" i="25"/>
  <c r="U495" i="25"/>
  <c r="U503" i="25"/>
  <c r="U511" i="25"/>
  <c r="U519" i="25"/>
  <c r="U527" i="25"/>
  <c r="U535" i="25"/>
  <c r="U543" i="25"/>
  <c r="U551" i="25"/>
  <c r="U559" i="25"/>
  <c r="U567" i="25"/>
  <c r="U575" i="25"/>
  <c r="U583" i="25"/>
  <c r="U591" i="25"/>
  <c r="U599" i="25"/>
  <c r="U607" i="25"/>
  <c r="U615" i="25"/>
  <c r="U623" i="25"/>
  <c r="U631" i="25"/>
  <c r="U639" i="25"/>
  <c r="U647" i="25"/>
  <c r="U655" i="25"/>
  <c r="U663" i="25"/>
  <c r="U671" i="25"/>
  <c r="U679" i="25"/>
  <c r="U687" i="25"/>
  <c r="U695" i="25"/>
  <c r="U703" i="25"/>
  <c r="U711" i="25"/>
  <c r="U719" i="25"/>
  <c r="U727" i="25"/>
  <c r="U735" i="25"/>
  <c r="U743" i="25"/>
  <c r="U751" i="25"/>
  <c r="U759" i="25"/>
  <c r="U767" i="25"/>
  <c r="U775" i="25"/>
  <c r="U783" i="25"/>
  <c r="U791" i="25"/>
  <c r="U799" i="25"/>
  <c r="U807" i="25"/>
  <c r="U815" i="25"/>
  <c r="U823" i="25"/>
  <c r="U831" i="25"/>
  <c r="U839" i="25"/>
  <c r="U847" i="25"/>
  <c r="U855" i="25"/>
  <c r="U863" i="25"/>
  <c r="U871" i="25"/>
  <c r="U879" i="25"/>
  <c r="U887" i="25"/>
  <c r="U895" i="25"/>
  <c r="U903" i="25"/>
  <c r="U911" i="25"/>
  <c r="U919" i="25"/>
  <c r="U927" i="25"/>
  <c r="U935" i="25"/>
  <c r="U943" i="25"/>
  <c r="U951" i="25"/>
  <c r="U959" i="25"/>
  <c r="U967" i="25"/>
  <c r="U975" i="25"/>
  <c r="U983" i="25"/>
  <c r="U991" i="25"/>
  <c r="U999" i="25"/>
  <c r="U1007" i="25"/>
  <c r="U1015" i="25"/>
  <c r="U1023" i="25"/>
  <c r="U1031" i="25"/>
  <c r="U1039" i="25"/>
  <c r="T47" i="25"/>
  <c r="T55" i="25"/>
  <c r="T63" i="25"/>
  <c r="T71" i="25"/>
  <c r="T79" i="25"/>
  <c r="T87" i="25"/>
  <c r="T95" i="25"/>
  <c r="T103" i="25"/>
  <c r="T111" i="25"/>
  <c r="T119" i="25"/>
  <c r="T127" i="25"/>
  <c r="T135" i="25"/>
  <c r="T143" i="25"/>
  <c r="T151" i="25"/>
  <c r="T159" i="25"/>
  <c r="T167" i="25"/>
  <c r="T175" i="25"/>
  <c r="T183" i="25"/>
  <c r="T191" i="25"/>
  <c r="T199" i="25"/>
  <c r="T207" i="25"/>
  <c r="T215" i="25"/>
  <c r="T223" i="25"/>
  <c r="T231" i="25"/>
  <c r="T239" i="25"/>
  <c r="T247" i="25"/>
  <c r="T255" i="25"/>
  <c r="T263" i="25"/>
  <c r="T271" i="25"/>
  <c r="T279" i="25"/>
  <c r="T287" i="25"/>
  <c r="T295" i="25"/>
  <c r="T303" i="25"/>
  <c r="T311" i="25"/>
  <c r="T319" i="25"/>
  <c r="T327" i="25"/>
  <c r="T335" i="25"/>
  <c r="T343" i="25"/>
  <c r="T351" i="25"/>
  <c r="T359" i="25"/>
  <c r="T367" i="25"/>
  <c r="T375" i="25"/>
  <c r="T383" i="25"/>
  <c r="T391" i="25"/>
  <c r="T399" i="25"/>
  <c r="U48" i="25"/>
  <c r="U56" i="25"/>
  <c r="U64" i="25"/>
  <c r="U72" i="25"/>
  <c r="U80" i="25"/>
  <c r="U88" i="25"/>
  <c r="U96" i="25"/>
  <c r="U104" i="25"/>
  <c r="U112" i="25"/>
  <c r="U120" i="25"/>
  <c r="U128" i="25"/>
  <c r="U136" i="25"/>
  <c r="U144" i="25"/>
  <c r="U152" i="25"/>
  <c r="U160" i="25"/>
  <c r="U168" i="25"/>
  <c r="U176" i="25"/>
  <c r="U184" i="25"/>
  <c r="U192" i="25"/>
  <c r="U200" i="25"/>
  <c r="U208" i="25"/>
  <c r="U216" i="25"/>
  <c r="U224" i="25"/>
  <c r="U232" i="25"/>
  <c r="U240" i="25"/>
  <c r="U248" i="25"/>
  <c r="U256" i="25"/>
  <c r="U264" i="25"/>
  <c r="U272" i="25"/>
  <c r="U280" i="25"/>
  <c r="U288" i="25"/>
  <c r="U296" i="25"/>
  <c r="U304" i="25"/>
  <c r="U312" i="25"/>
  <c r="U320" i="25"/>
  <c r="U328" i="25"/>
  <c r="U336" i="25"/>
  <c r="U344" i="25"/>
  <c r="U352" i="25"/>
  <c r="U360" i="25"/>
  <c r="U368" i="25"/>
  <c r="U376" i="25"/>
  <c r="U384" i="25"/>
  <c r="U392" i="25"/>
  <c r="U400" i="25"/>
  <c r="U408" i="25"/>
  <c r="U416" i="25"/>
  <c r="U424" i="25"/>
  <c r="U432" i="25"/>
  <c r="U440" i="25"/>
  <c r="U448" i="25"/>
  <c r="U456" i="25"/>
  <c r="U464" i="25"/>
  <c r="U472" i="25"/>
  <c r="U480" i="25"/>
  <c r="U488" i="25"/>
  <c r="U496" i="25"/>
  <c r="U504" i="25"/>
  <c r="U512" i="25"/>
  <c r="U520" i="25"/>
  <c r="U528" i="25"/>
  <c r="U536" i="25"/>
  <c r="U544" i="25"/>
  <c r="U552" i="25"/>
  <c r="U560" i="25"/>
  <c r="U568" i="25"/>
  <c r="U576" i="25"/>
  <c r="U584" i="25"/>
  <c r="U592" i="25"/>
  <c r="U600" i="25"/>
  <c r="U608" i="25"/>
  <c r="U616" i="25"/>
  <c r="U624" i="25"/>
  <c r="U632" i="25"/>
  <c r="U640" i="25"/>
  <c r="U648" i="25"/>
  <c r="U656" i="25"/>
  <c r="U664" i="25"/>
  <c r="U672" i="25"/>
  <c r="U680" i="25"/>
  <c r="U688" i="25"/>
  <c r="U696" i="25"/>
  <c r="U704" i="25"/>
  <c r="U712" i="25"/>
  <c r="U720" i="25"/>
  <c r="U728" i="25"/>
  <c r="U736" i="25"/>
  <c r="U744" i="25"/>
  <c r="U752" i="25"/>
  <c r="U760" i="25"/>
  <c r="U768" i="25"/>
  <c r="U776" i="25"/>
  <c r="U784" i="25"/>
  <c r="U792" i="25"/>
  <c r="U800" i="25"/>
  <c r="U808" i="25"/>
  <c r="U816" i="25"/>
  <c r="U824" i="25"/>
  <c r="U832" i="25"/>
  <c r="U840" i="25"/>
  <c r="U848" i="25"/>
  <c r="U856" i="25"/>
  <c r="U864" i="25"/>
  <c r="U872" i="25"/>
  <c r="U880" i="25"/>
  <c r="U888" i="25"/>
  <c r="U896" i="25"/>
  <c r="U904" i="25"/>
  <c r="U912" i="25"/>
  <c r="U920" i="25"/>
  <c r="U928" i="25"/>
  <c r="U936" i="25"/>
  <c r="U944" i="25"/>
  <c r="U952" i="25"/>
  <c r="U960" i="25"/>
  <c r="U968" i="25"/>
  <c r="U976" i="25"/>
  <c r="U984" i="25"/>
  <c r="U992" i="25"/>
  <c r="U1000" i="25"/>
  <c r="U1008" i="25"/>
  <c r="U1016" i="25"/>
  <c r="U1024" i="25"/>
  <c r="U1032" i="25"/>
  <c r="T48" i="25"/>
  <c r="T56" i="25"/>
  <c r="T64" i="25"/>
  <c r="T72" i="25"/>
  <c r="T80" i="25"/>
  <c r="T88" i="25"/>
  <c r="T96" i="25"/>
  <c r="T104" i="25"/>
  <c r="T112" i="25"/>
  <c r="T120" i="25"/>
  <c r="T128" i="25"/>
  <c r="T136" i="25"/>
  <c r="T144" i="25"/>
  <c r="T152" i="25"/>
  <c r="T160" i="25"/>
  <c r="T168" i="25"/>
  <c r="T176" i="25"/>
  <c r="T184" i="25"/>
  <c r="T192" i="25"/>
  <c r="T200" i="25"/>
  <c r="T208" i="25"/>
  <c r="T216" i="25"/>
  <c r="T224" i="25"/>
  <c r="T232" i="25"/>
  <c r="T240" i="25"/>
  <c r="T248" i="25"/>
  <c r="T256" i="25"/>
  <c r="T264" i="25"/>
  <c r="T272" i="25"/>
  <c r="T280" i="25"/>
  <c r="T288" i="25"/>
  <c r="T296" i="25"/>
  <c r="T304" i="25"/>
  <c r="T312" i="25"/>
  <c r="T320" i="25"/>
  <c r="T328" i="25"/>
  <c r="T336" i="25"/>
  <c r="T344" i="25"/>
  <c r="T352" i="25"/>
  <c r="T360" i="25"/>
  <c r="T368" i="25"/>
  <c r="T376" i="25"/>
  <c r="T384" i="25"/>
  <c r="T392" i="25"/>
  <c r="T400" i="25"/>
  <c r="T401" i="25"/>
  <c r="T409" i="25"/>
  <c r="T417" i="25"/>
  <c r="T425" i="25"/>
  <c r="T433" i="25"/>
  <c r="T441" i="25"/>
  <c r="T449" i="25"/>
  <c r="T457" i="25"/>
  <c r="T465" i="25"/>
  <c r="T473" i="25"/>
  <c r="T481" i="25"/>
  <c r="T489" i="25"/>
  <c r="T497" i="25"/>
  <c r="T505" i="25"/>
  <c r="T513" i="25"/>
  <c r="T521" i="25"/>
  <c r="T529" i="25"/>
  <c r="T537" i="25"/>
  <c r="T545" i="25"/>
  <c r="T553" i="25"/>
  <c r="T561" i="25"/>
  <c r="T569" i="25"/>
  <c r="T577" i="25"/>
  <c r="T585" i="25"/>
  <c r="T593" i="25"/>
  <c r="T601" i="25"/>
  <c r="T609" i="25"/>
  <c r="T617" i="25"/>
  <c r="T625" i="25"/>
  <c r="T633" i="25"/>
  <c r="T641" i="25"/>
  <c r="T649" i="25"/>
  <c r="T657" i="25"/>
  <c r="T665" i="25"/>
  <c r="T673" i="25"/>
  <c r="T681" i="25"/>
  <c r="T689" i="25"/>
  <c r="T697" i="25"/>
  <c r="T705" i="25"/>
  <c r="T713" i="25"/>
  <c r="T721" i="25"/>
  <c r="T729" i="25"/>
  <c r="T737" i="25"/>
  <c r="T745" i="25"/>
  <c r="T753" i="25"/>
  <c r="T761" i="25"/>
  <c r="T769" i="25"/>
  <c r="T777" i="25"/>
  <c r="T785" i="25"/>
  <c r="T793" i="25"/>
  <c r="T801" i="25"/>
  <c r="T809" i="25"/>
  <c r="T817" i="25"/>
  <c r="T825" i="25"/>
  <c r="T833" i="25"/>
  <c r="T841" i="25"/>
  <c r="T849" i="25"/>
  <c r="T857" i="25"/>
  <c r="T865" i="25"/>
  <c r="T873" i="25"/>
  <c r="T881" i="25"/>
  <c r="T889" i="25"/>
  <c r="T897" i="25"/>
  <c r="T905" i="25"/>
  <c r="T913" i="25"/>
  <c r="T921" i="25"/>
  <c r="T929" i="25"/>
  <c r="T937" i="25"/>
  <c r="T945" i="25"/>
  <c r="T953" i="25"/>
  <c r="T961" i="25"/>
  <c r="T969" i="25"/>
  <c r="T977" i="25"/>
  <c r="T985" i="25"/>
  <c r="T993" i="25"/>
  <c r="T1001" i="25"/>
  <c r="T1009" i="25"/>
  <c r="T1017" i="25"/>
  <c r="T1025" i="25"/>
  <c r="T1033" i="25"/>
  <c r="S41" i="25"/>
  <c r="S49" i="25"/>
  <c r="S57" i="25"/>
  <c r="S65" i="25"/>
  <c r="S73" i="25"/>
  <c r="S81" i="25"/>
  <c r="S89" i="25"/>
  <c r="S97" i="25"/>
  <c r="S105" i="25"/>
  <c r="S113" i="25"/>
  <c r="S121" i="25"/>
  <c r="S129" i="25"/>
  <c r="S137" i="25"/>
  <c r="S145" i="25"/>
  <c r="S153" i="25"/>
  <c r="S161" i="25"/>
  <c r="S169" i="25"/>
  <c r="S177" i="25"/>
  <c r="S185" i="25"/>
  <c r="S193" i="25"/>
  <c r="S201" i="25"/>
  <c r="S209" i="25"/>
  <c r="S217" i="25"/>
  <c r="S225" i="25"/>
  <c r="S233" i="25"/>
  <c r="S241" i="25"/>
  <c r="S249" i="25"/>
  <c r="S257" i="25"/>
  <c r="S265" i="25"/>
  <c r="S273" i="25"/>
  <c r="S281" i="25"/>
  <c r="S289" i="25"/>
  <c r="S297" i="25"/>
  <c r="S305" i="25"/>
  <c r="S313" i="25"/>
  <c r="S321" i="25"/>
  <c r="S329" i="25"/>
  <c r="S337" i="25"/>
  <c r="S345" i="25"/>
  <c r="S353" i="25"/>
  <c r="S361" i="25"/>
  <c r="S369" i="25"/>
  <c r="S377" i="25"/>
  <c r="S385" i="25"/>
  <c r="S393" i="25"/>
  <c r="S401" i="25"/>
  <c r="S409" i="25"/>
  <c r="S417" i="25"/>
  <c r="S425" i="25"/>
  <c r="S433" i="25"/>
  <c r="S441" i="25"/>
  <c r="S449" i="25"/>
  <c r="S457" i="25"/>
  <c r="S465" i="25"/>
  <c r="S473" i="25"/>
  <c r="S481" i="25"/>
  <c r="S489" i="25"/>
  <c r="S497" i="25"/>
  <c r="S505" i="25"/>
  <c r="S513" i="25"/>
  <c r="S521" i="25"/>
  <c r="S529" i="25"/>
  <c r="S537" i="25"/>
  <c r="S545" i="25"/>
  <c r="S553" i="25"/>
  <c r="S561" i="25"/>
  <c r="S569" i="25"/>
  <c r="S577" i="25"/>
  <c r="S585" i="25"/>
  <c r="S593" i="25"/>
  <c r="S601" i="25"/>
  <c r="S609" i="25"/>
  <c r="S617" i="25"/>
  <c r="S625" i="25"/>
  <c r="S633" i="25"/>
  <c r="S641" i="25"/>
  <c r="S649" i="25"/>
  <c r="S657" i="25"/>
  <c r="T402" i="25"/>
  <c r="T410" i="25"/>
  <c r="T418" i="25"/>
  <c r="T426" i="25"/>
  <c r="T434" i="25"/>
  <c r="T442" i="25"/>
  <c r="T450" i="25"/>
  <c r="T458" i="25"/>
  <c r="T466" i="25"/>
  <c r="T474" i="25"/>
  <c r="T482" i="25"/>
  <c r="T490" i="25"/>
  <c r="T498" i="25"/>
  <c r="T506" i="25"/>
  <c r="T514" i="25"/>
  <c r="T522" i="25"/>
  <c r="T530" i="25"/>
  <c r="T538" i="25"/>
  <c r="T546" i="25"/>
  <c r="T554" i="25"/>
  <c r="T562" i="25"/>
  <c r="T570" i="25"/>
  <c r="T578" i="25"/>
  <c r="T586" i="25"/>
  <c r="T594" i="25"/>
  <c r="T602" i="25"/>
  <c r="T610" i="25"/>
  <c r="T618" i="25"/>
  <c r="T626" i="25"/>
  <c r="T634" i="25"/>
  <c r="T642" i="25"/>
  <c r="T650" i="25"/>
  <c r="T658" i="25"/>
  <c r="T666" i="25"/>
  <c r="T674" i="25"/>
  <c r="T682" i="25"/>
  <c r="T690" i="25"/>
  <c r="T698" i="25"/>
  <c r="T706" i="25"/>
  <c r="T714" i="25"/>
  <c r="T722" i="25"/>
  <c r="T730" i="25"/>
  <c r="T738" i="25"/>
  <c r="T746" i="25"/>
  <c r="T754" i="25"/>
  <c r="T762" i="25"/>
  <c r="T770" i="25"/>
  <c r="T778" i="25"/>
  <c r="T786" i="25"/>
  <c r="T794" i="25"/>
  <c r="T802" i="25"/>
  <c r="T810" i="25"/>
  <c r="T818" i="25"/>
  <c r="T826" i="25"/>
  <c r="T834" i="25"/>
  <c r="T842" i="25"/>
  <c r="T850" i="25"/>
  <c r="T858" i="25"/>
  <c r="T866" i="25"/>
  <c r="T874" i="25"/>
  <c r="T882" i="25"/>
  <c r="T890" i="25"/>
  <c r="T898" i="25"/>
  <c r="T906" i="25"/>
  <c r="T914" i="25"/>
  <c r="T922" i="25"/>
  <c r="T930" i="25"/>
  <c r="T938" i="25"/>
  <c r="T946" i="25"/>
  <c r="T954" i="25"/>
  <c r="T962" i="25"/>
  <c r="T970" i="25"/>
  <c r="T978" i="25"/>
  <c r="T986" i="25"/>
  <c r="T994" i="25"/>
  <c r="T1002" i="25"/>
  <c r="T1010" i="25"/>
  <c r="T1018" i="25"/>
  <c r="T1026" i="25"/>
  <c r="T1034" i="25"/>
  <c r="S42" i="25"/>
  <c r="S50" i="25"/>
  <c r="S58" i="25"/>
  <c r="S66" i="25"/>
  <c r="S74" i="25"/>
  <c r="S82" i="25"/>
  <c r="S90" i="25"/>
  <c r="S98" i="25"/>
  <c r="S106" i="25"/>
  <c r="S114" i="25"/>
  <c r="S122" i="25"/>
  <c r="S130" i="25"/>
  <c r="S138" i="25"/>
  <c r="S146" i="25"/>
  <c r="S154" i="25"/>
  <c r="S162" i="25"/>
  <c r="S170" i="25"/>
  <c r="S178" i="25"/>
  <c r="S186" i="25"/>
  <c r="S194" i="25"/>
  <c r="S202" i="25"/>
  <c r="S210" i="25"/>
  <c r="S218" i="25"/>
  <c r="S226" i="25"/>
  <c r="S234" i="25"/>
  <c r="S242" i="25"/>
  <c r="S250" i="25"/>
  <c r="S258" i="25"/>
  <c r="S266" i="25"/>
  <c r="S274" i="25"/>
  <c r="S282" i="25"/>
  <c r="S290" i="25"/>
  <c r="S298" i="25"/>
  <c r="S306" i="25"/>
  <c r="S314" i="25"/>
  <c r="S322" i="25"/>
  <c r="S330" i="25"/>
  <c r="S338" i="25"/>
  <c r="S346" i="25"/>
  <c r="S354" i="25"/>
  <c r="S362" i="25"/>
  <c r="S370" i="25"/>
  <c r="S378" i="25"/>
  <c r="S386" i="25"/>
  <c r="S394" i="25"/>
  <c r="S402" i="25"/>
  <c r="S410" i="25"/>
  <c r="S418" i="25"/>
  <c r="S426" i="25"/>
  <c r="S434" i="25"/>
  <c r="S442" i="25"/>
  <c r="S450" i="25"/>
  <c r="S458" i="25"/>
  <c r="S466" i="25"/>
  <c r="S474" i="25"/>
  <c r="S482" i="25"/>
  <c r="S490" i="25"/>
  <c r="S498" i="25"/>
  <c r="S506" i="25"/>
  <c r="S514" i="25"/>
  <c r="S522" i="25"/>
  <c r="S530" i="25"/>
  <c r="S538" i="25"/>
  <c r="S546" i="25"/>
  <c r="S554" i="25"/>
  <c r="S562" i="25"/>
  <c r="S570" i="25"/>
  <c r="S578" i="25"/>
  <c r="S586" i="25"/>
  <c r="S594" i="25"/>
  <c r="S602" i="25"/>
  <c r="S610" i="25"/>
  <c r="S618" i="25"/>
  <c r="S626" i="25"/>
  <c r="S634" i="25"/>
  <c r="S642" i="25"/>
  <c r="S650" i="25"/>
  <c r="T403" i="25"/>
  <c r="T411" i="25"/>
  <c r="T419" i="25"/>
  <c r="T427" i="25"/>
  <c r="T435" i="25"/>
  <c r="T443" i="25"/>
  <c r="T451" i="25"/>
  <c r="T459" i="25"/>
  <c r="T467" i="25"/>
  <c r="T475" i="25"/>
  <c r="T483" i="25"/>
  <c r="T491" i="25"/>
  <c r="T499" i="25"/>
  <c r="T507" i="25"/>
  <c r="T515" i="25"/>
  <c r="T523" i="25"/>
  <c r="T531" i="25"/>
  <c r="T539" i="25"/>
  <c r="T547" i="25"/>
  <c r="T555" i="25"/>
  <c r="T563" i="25"/>
  <c r="T571" i="25"/>
  <c r="T579" i="25"/>
  <c r="T587" i="25"/>
  <c r="T595" i="25"/>
  <c r="T603" i="25"/>
  <c r="T611" i="25"/>
  <c r="T619" i="25"/>
  <c r="T627" i="25"/>
  <c r="T635" i="25"/>
  <c r="T643" i="25"/>
  <c r="T651" i="25"/>
  <c r="T659" i="25"/>
  <c r="T667" i="25"/>
  <c r="T675" i="25"/>
  <c r="T683" i="25"/>
  <c r="T691" i="25"/>
  <c r="T699" i="25"/>
  <c r="T707" i="25"/>
  <c r="T715" i="25"/>
  <c r="T723" i="25"/>
  <c r="T731" i="25"/>
  <c r="T739" i="25"/>
  <c r="T747" i="25"/>
  <c r="T755" i="25"/>
  <c r="T763" i="25"/>
  <c r="T771" i="25"/>
  <c r="T779" i="25"/>
  <c r="T787" i="25"/>
  <c r="T795" i="25"/>
  <c r="T803" i="25"/>
  <c r="T811" i="25"/>
  <c r="T819" i="25"/>
  <c r="T827" i="25"/>
  <c r="T835" i="25"/>
  <c r="T843" i="25"/>
  <c r="T851" i="25"/>
  <c r="T859" i="25"/>
  <c r="T867" i="25"/>
  <c r="T875" i="25"/>
  <c r="T883" i="25"/>
  <c r="T891" i="25"/>
  <c r="T899" i="25"/>
  <c r="T907" i="25"/>
  <c r="T915" i="25"/>
  <c r="T923" i="25"/>
  <c r="T931" i="25"/>
  <c r="T939" i="25"/>
  <c r="T947" i="25"/>
  <c r="T955" i="25"/>
  <c r="T963" i="25"/>
  <c r="T971" i="25"/>
  <c r="T979" i="25"/>
  <c r="T987" i="25"/>
  <c r="T995" i="25"/>
  <c r="T1003" i="25"/>
  <c r="T1011" i="25"/>
  <c r="T1019" i="25"/>
  <c r="T1027" i="25"/>
  <c r="T1035" i="25"/>
  <c r="S43" i="25"/>
  <c r="S51" i="25"/>
  <c r="S59" i="25"/>
  <c r="S67" i="25"/>
  <c r="S75" i="25"/>
  <c r="S83" i="25"/>
  <c r="S91" i="25"/>
  <c r="S99" i="25"/>
  <c r="S107" i="25"/>
  <c r="S115" i="25"/>
  <c r="S123" i="25"/>
  <c r="S131" i="25"/>
  <c r="S139" i="25"/>
  <c r="S147" i="25"/>
  <c r="S155" i="25"/>
  <c r="S163" i="25"/>
  <c r="S171" i="25"/>
  <c r="S179" i="25"/>
  <c r="S187" i="25"/>
  <c r="S195" i="25"/>
  <c r="S203" i="25"/>
  <c r="S211" i="25"/>
  <c r="S219" i="25"/>
  <c r="S227" i="25"/>
  <c r="S235" i="25"/>
  <c r="S243" i="25"/>
  <c r="S251" i="25"/>
  <c r="S259" i="25"/>
  <c r="S267" i="25"/>
  <c r="S275" i="25"/>
  <c r="S283" i="25"/>
  <c r="S291" i="25"/>
  <c r="S299" i="25"/>
  <c r="S307" i="25"/>
  <c r="S315" i="25"/>
  <c r="S323" i="25"/>
  <c r="S331" i="25"/>
  <c r="S339" i="25"/>
  <c r="S347" i="25"/>
  <c r="S355" i="25"/>
  <c r="S363" i="25"/>
  <c r="S371" i="25"/>
  <c r="S379" i="25"/>
  <c r="S387" i="25"/>
  <c r="S395" i="25"/>
  <c r="S403" i="25"/>
  <c r="S411" i="25"/>
  <c r="S419" i="25"/>
  <c r="S427" i="25"/>
  <c r="S435" i="25"/>
  <c r="S443" i="25"/>
  <c r="S451" i="25"/>
  <c r="S459" i="25"/>
  <c r="S467" i="25"/>
  <c r="S475" i="25"/>
  <c r="S483" i="25"/>
  <c r="S491" i="25"/>
  <c r="S499" i="25"/>
  <c r="S507" i="25"/>
  <c r="S515" i="25"/>
  <c r="S523" i="25"/>
  <c r="S531" i="25"/>
  <c r="S539" i="25"/>
  <c r="S547" i="25"/>
  <c r="S555" i="25"/>
  <c r="S563" i="25"/>
  <c r="S571" i="25"/>
  <c r="S579" i="25"/>
  <c r="S587" i="25"/>
  <c r="S595" i="25"/>
  <c r="S603" i="25"/>
  <c r="S611" i="25"/>
  <c r="S619" i="25"/>
  <c r="S627" i="25"/>
  <c r="S635" i="25"/>
  <c r="S643" i="25"/>
  <c r="S651" i="25"/>
  <c r="T404" i="25"/>
  <c r="T412" i="25"/>
  <c r="T420" i="25"/>
  <c r="T428" i="25"/>
  <c r="T436" i="25"/>
  <c r="T444" i="25"/>
  <c r="T452" i="25"/>
  <c r="T460" i="25"/>
  <c r="T468" i="25"/>
  <c r="T476" i="25"/>
  <c r="T484" i="25"/>
  <c r="T492" i="25"/>
  <c r="T500" i="25"/>
  <c r="T508" i="25"/>
  <c r="T516" i="25"/>
  <c r="T524" i="25"/>
  <c r="T532" i="25"/>
  <c r="T540" i="25"/>
  <c r="T548" i="25"/>
  <c r="T556" i="25"/>
  <c r="T564" i="25"/>
  <c r="T572" i="25"/>
  <c r="T580" i="25"/>
  <c r="T588" i="25"/>
  <c r="T596" i="25"/>
  <c r="T604" i="25"/>
  <c r="T612" i="25"/>
  <c r="T620" i="25"/>
  <c r="T628" i="25"/>
  <c r="T636" i="25"/>
  <c r="T644" i="25"/>
  <c r="T652" i="25"/>
  <c r="T660" i="25"/>
  <c r="T668" i="25"/>
  <c r="T676" i="25"/>
  <c r="T684" i="25"/>
  <c r="T692" i="25"/>
  <c r="T700" i="25"/>
  <c r="T708" i="25"/>
  <c r="T716" i="25"/>
  <c r="T724" i="25"/>
  <c r="T732" i="25"/>
  <c r="T740" i="25"/>
  <c r="T748" i="25"/>
  <c r="T756" i="25"/>
  <c r="T764" i="25"/>
  <c r="T772" i="25"/>
  <c r="T780" i="25"/>
  <c r="T788" i="25"/>
  <c r="T796" i="25"/>
  <c r="T804" i="25"/>
  <c r="T812" i="25"/>
  <c r="T820" i="25"/>
  <c r="T828" i="25"/>
  <c r="T836" i="25"/>
  <c r="T844" i="25"/>
  <c r="T852" i="25"/>
  <c r="T860" i="25"/>
  <c r="T868" i="25"/>
  <c r="T876" i="25"/>
  <c r="T884" i="25"/>
  <c r="T892" i="25"/>
  <c r="T900" i="25"/>
  <c r="T908" i="25"/>
  <c r="T916" i="25"/>
  <c r="T924" i="25"/>
  <c r="T932" i="25"/>
  <c r="T940" i="25"/>
  <c r="T948" i="25"/>
  <c r="T956" i="25"/>
  <c r="T964" i="25"/>
  <c r="T972" i="25"/>
  <c r="T980" i="25"/>
  <c r="T988" i="25"/>
  <c r="T996" i="25"/>
  <c r="T1004" i="25"/>
  <c r="T1012" i="25"/>
  <c r="T1020" i="25"/>
  <c r="T1028" i="25"/>
  <c r="T1036" i="25"/>
  <c r="S44" i="25"/>
  <c r="S52" i="25"/>
  <c r="S60" i="25"/>
  <c r="S68" i="25"/>
  <c r="S76" i="25"/>
  <c r="S84" i="25"/>
  <c r="S92" i="25"/>
  <c r="S100" i="25"/>
  <c r="S108" i="25"/>
  <c r="S116" i="25"/>
  <c r="S124" i="25"/>
  <c r="S132" i="25"/>
  <c r="S140" i="25"/>
  <c r="S148" i="25"/>
  <c r="S156" i="25"/>
  <c r="S164" i="25"/>
  <c r="S172" i="25"/>
  <c r="S180" i="25"/>
  <c r="S188" i="25"/>
  <c r="S196" i="25"/>
  <c r="S204" i="25"/>
  <c r="S212" i="25"/>
  <c r="S220" i="25"/>
  <c r="S228" i="25"/>
  <c r="S236" i="25"/>
  <c r="S244" i="25"/>
  <c r="S252" i="25"/>
  <c r="S260" i="25"/>
  <c r="S268" i="25"/>
  <c r="S276" i="25"/>
  <c r="S284" i="25"/>
  <c r="S292" i="25"/>
  <c r="S300" i="25"/>
  <c r="S308" i="25"/>
  <c r="S316" i="25"/>
  <c r="S324" i="25"/>
  <c r="S332" i="25"/>
  <c r="S340" i="25"/>
  <c r="S348" i="25"/>
  <c r="S356" i="25"/>
  <c r="S364" i="25"/>
  <c r="S372" i="25"/>
  <c r="S380" i="25"/>
  <c r="S388" i="25"/>
  <c r="S396" i="25"/>
  <c r="S404" i="25"/>
  <c r="S412" i="25"/>
  <c r="S420" i="25"/>
  <c r="S428" i="25"/>
  <c r="S436" i="25"/>
  <c r="S444" i="25"/>
  <c r="S452" i="25"/>
  <c r="S460" i="25"/>
  <c r="S468" i="25"/>
  <c r="S476" i="25"/>
  <c r="S484" i="25"/>
  <c r="S492" i="25"/>
  <c r="S500" i="25"/>
  <c r="S508" i="25"/>
  <c r="S516" i="25"/>
  <c r="S524" i="25"/>
  <c r="S532" i="25"/>
  <c r="S540" i="25"/>
  <c r="S548" i="25"/>
  <c r="S556" i="25"/>
  <c r="S564" i="25"/>
  <c r="S572" i="25"/>
  <c r="S580" i="25"/>
  <c r="S588" i="25"/>
  <c r="S596" i="25"/>
  <c r="S604" i="25"/>
  <c r="S612" i="25"/>
  <c r="S620" i="25"/>
  <c r="S628" i="25"/>
  <c r="S636" i="25"/>
  <c r="S644" i="25"/>
  <c r="S652" i="25"/>
  <c r="S660" i="25"/>
  <c r="S668" i="25"/>
  <c r="S676" i="25"/>
  <c r="S684" i="25"/>
  <c r="S692" i="25"/>
  <c r="S700" i="25"/>
  <c r="S708" i="25"/>
  <c r="S716" i="25"/>
  <c r="S724" i="25"/>
  <c r="S732" i="25"/>
  <c r="S740" i="25"/>
  <c r="S748" i="25"/>
  <c r="S756" i="25"/>
  <c r="T405" i="25"/>
  <c r="T413" i="25"/>
  <c r="T421" i="25"/>
  <c r="T429" i="25"/>
  <c r="T437" i="25"/>
  <c r="T445" i="25"/>
  <c r="T453" i="25"/>
  <c r="T461" i="25"/>
  <c r="T469" i="25"/>
  <c r="T477" i="25"/>
  <c r="T485" i="25"/>
  <c r="T493" i="25"/>
  <c r="T501" i="25"/>
  <c r="T509" i="25"/>
  <c r="T517" i="25"/>
  <c r="T525" i="25"/>
  <c r="T533" i="25"/>
  <c r="T541" i="25"/>
  <c r="T549" i="25"/>
  <c r="T557" i="25"/>
  <c r="T565" i="25"/>
  <c r="T573" i="25"/>
  <c r="T581" i="25"/>
  <c r="T589" i="25"/>
  <c r="T597" i="25"/>
  <c r="T605" i="25"/>
  <c r="T613" i="25"/>
  <c r="T621" i="25"/>
  <c r="T629" i="25"/>
  <c r="T637" i="25"/>
  <c r="T645" i="25"/>
  <c r="T653" i="25"/>
  <c r="T661" i="25"/>
  <c r="T669" i="25"/>
  <c r="T677" i="25"/>
  <c r="T685" i="25"/>
  <c r="T693" i="25"/>
  <c r="T701" i="25"/>
  <c r="T709" i="25"/>
  <c r="T717" i="25"/>
  <c r="T725" i="25"/>
  <c r="T733" i="25"/>
  <c r="T741" i="25"/>
  <c r="T749" i="25"/>
  <c r="T757" i="25"/>
  <c r="T765" i="25"/>
  <c r="T773" i="25"/>
  <c r="T781" i="25"/>
  <c r="T789" i="25"/>
  <c r="T797" i="25"/>
  <c r="T805" i="25"/>
  <c r="T813" i="25"/>
  <c r="T821" i="25"/>
  <c r="T829" i="25"/>
  <c r="T837" i="25"/>
  <c r="T845" i="25"/>
  <c r="T853" i="25"/>
  <c r="T861" i="25"/>
  <c r="T869" i="25"/>
  <c r="T877" i="25"/>
  <c r="T885" i="25"/>
  <c r="T893" i="25"/>
  <c r="T901" i="25"/>
  <c r="T909" i="25"/>
  <c r="T917" i="25"/>
  <c r="T925" i="25"/>
  <c r="T933" i="25"/>
  <c r="T941" i="25"/>
  <c r="T949" i="25"/>
  <c r="T957" i="25"/>
  <c r="T965" i="25"/>
  <c r="T973" i="25"/>
  <c r="T981" i="25"/>
  <c r="T989" i="25"/>
  <c r="T997" i="25"/>
  <c r="T1005" i="25"/>
  <c r="T1013" i="25"/>
  <c r="T1021" i="25"/>
  <c r="T1029" i="25"/>
  <c r="T1037" i="25"/>
  <c r="S45" i="25"/>
  <c r="S53" i="25"/>
  <c r="S61" i="25"/>
  <c r="S69" i="25"/>
  <c r="S77" i="25"/>
  <c r="S85" i="25"/>
  <c r="S93" i="25"/>
  <c r="S101" i="25"/>
  <c r="S109" i="25"/>
  <c r="S117" i="25"/>
  <c r="S125" i="25"/>
  <c r="S133" i="25"/>
  <c r="S141" i="25"/>
  <c r="S149" i="25"/>
  <c r="S157" i="25"/>
  <c r="S165" i="25"/>
  <c r="S173" i="25"/>
  <c r="S181" i="25"/>
  <c r="S189" i="25"/>
  <c r="S197" i="25"/>
  <c r="S205" i="25"/>
  <c r="S213" i="25"/>
  <c r="S221" i="25"/>
  <c r="S229" i="25"/>
  <c r="S237" i="25"/>
  <c r="S245" i="25"/>
  <c r="S253" i="25"/>
  <c r="S261" i="25"/>
  <c r="S269" i="25"/>
  <c r="S277" i="25"/>
  <c r="S285" i="25"/>
  <c r="S293" i="25"/>
  <c r="S301" i="25"/>
  <c r="S309" i="25"/>
  <c r="S317" i="25"/>
  <c r="S325" i="25"/>
  <c r="S333" i="25"/>
  <c r="S341" i="25"/>
  <c r="S349" i="25"/>
  <c r="S357" i="25"/>
  <c r="S365" i="25"/>
  <c r="S373" i="25"/>
  <c r="S381" i="25"/>
  <c r="S389" i="25"/>
  <c r="S397" i="25"/>
  <c r="S405" i="25"/>
  <c r="S413" i="25"/>
  <c r="S421" i="25"/>
  <c r="S429" i="25"/>
  <c r="S437" i="25"/>
  <c r="S445" i="25"/>
  <c r="S453" i="25"/>
  <c r="S461" i="25"/>
  <c r="S469" i="25"/>
  <c r="S477" i="25"/>
  <c r="S485" i="25"/>
  <c r="S493" i="25"/>
  <c r="S501" i="25"/>
  <c r="S509" i="25"/>
  <c r="S517" i="25"/>
  <c r="S525" i="25"/>
  <c r="S533" i="25"/>
  <c r="S541" i="25"/>
  <c r="S549" i="25"/>
  <c r="S557" i="25"/>
  <c r="S565" i="25"/>
  <c r="S573" i="25"/>
  <c r="S581" i="25"/>
  <c r="S589" i="25"/>
  <c r="S597" i="25"/>
  <c r="S605" i="25"/>
  <c r="S613" i="25"/>
  <c r="S621" i="25"/>
  <c r="S629" i="25"/>
  <c r="S637" i="25"/>
  <c r="S645" i="25"/>
  <c r="S653" i="25"/>
  <c r="T406" i="25"/>
  <c r="T414" i="25"/>
  <c r="T422" i="25"/>
  <c r="T430" i="25"/>
  <c r="T438" i="25"/>
  <c r="T446" i="25"/>
  <c r="T454" i="25"/>
  <c r="T462" i="25"/>
  <c r="T470" i="25"/>
  <c r="T478" i="25"/>
  <c r="T486" i="25"/>
  <c r="T494" i="25"/>
  <c r="T502" i="25"/>
  <c r="T510" i="25"/>
  <c r="T518" i="25"/>
  <c r="T526" i="25"/>
  <c r="T534" i="25"/>
  <c r="T542" i="25"/>
  <c r="T550" i="25"/>
  <c r="T558" i="25"/>
  <c r="T566" i="25"/>
  <c r="T574" i="25"/>
  <c r="T582" i="25"/>
  <c r="T590" i="25"/>
  <c r="T598" i="25"/>
  <c r="T606" i="25"/>
  <c r="T614" i="25"/>
  <c r="T622" i="25"/>
  <c r="T630" i="25"/>
  <c r="T638" i="25"/>
  <c r="T646" i="25"/>
  <c r="T654" i="25"/>
  <c r="T662" i="25"/>
  <c r="T670" i="25"/>
  <c r="T678" i="25"/>
  <c r="T686" i="25"/>
  <c r="T694" i="25"/>
  <c r="T702" i="25"/>
  <c r="T710" i="25"/>
  <c r="T718" i="25"/>
  <c r="T726" i="25"/>
  <c r="T734" i="25"/>
  <c r="T742" i="25"/>
  <c r="T750" i="25"/>
  <c r="T758" i="25"/>
  <c r="T766" i="25"/>
  <c r="T774" i="25"/>
  <c r="T782" i="25"/>
  <c r="T790" i="25"/>
  <c r="T798" i="25"/>
  <c r="T806" i="25"/>
  <c r="T814" i="25"/>
  <c r="T822" i="25"/>
  <c r="T830" i="25"/>
  <c r="T838" i="25"/>
  <c r="T846" i="25"/>
  <c r="T854" i="25"/>
  <c r="T862" i="25"/>
  <c r="T870" i="25"/>
  <c r="T878" i="25"/>
  <c r="T886" i="25"/>
  <c r="T894" i="25"/>
  <c r="T902" i="25"/>
  <c r="T910" i="25"/>
  <c r="T918" i="25"/>
  <c r="T926" i="25"/>
  <c r="T934" i="25"/>
  <c r="T942" i="25"/>
  <c r="T950" i="25"/>
  <c r="T958" i="25"/>
  <c r="T966" i="25"/>
  <c r="T974" i="25"/>
  <c r="T982" i="25"/>
  <c r="T990" i="25"/>
  <c r="T998" i="25"/>
  <c r="T1006" i="25"/>
  <c r="T1014" i="25"/>
  <c r="T1022" i="25"/>
  <c r="T1030" i="25"/>
  <c r="T1038" i="25"/>
  <c r="S46" i="25"/>
  <c r="S54" i="25"/>
  <c r="S62" i="25"/>
  <c r="S70" i="25"/>
  <c r="S78" i="25"/>
  <c r="S86" i="25"/>
  <c r="S94" i="25"/>
  <c r="S102" i="25"/>
  <c r="S110" i="25"/>
  <c r="S118" i="25"/>
  <c r="S126" i="25"/>
  <c r="S134" i="25"/>
  <c r="S142" i="25"/>
  <c r="S150" i="25"/>
  <c r="S158" i="25"/>
  <c r="S166" i="25"/>
  <c r="S174" i="25"/>
  <c r="S182" i="25"/>
  <c r="S190" i="25"/>
  <c r="S198" i="25"/>
  <c r="S206" i="25"/>
  <c r="S214" i="25"/>
  <c r="S222" i="25"/>
  <c r="S230" i="25"/>
  <c r="S238" i="25"/>
  <c r="S246" i="25"/>
  <c r="S254" i="25"/>
  <c r="S262" i="25"/>
  <c r="S270" i="25"/>
  <c r="S278" i="25"/>
  <c r="S286" i="25"/>
  <c r="S294" i="25"/>
  <c r="S302" i="25"/>
  <c r="S310" i="25"/>
  <c r="S318" i="25"/>
  <c r="S326" i="25"/>
  <c r="S334" i="25"/>
  <c r="S342" i="25"/>
  <c r="S350" i="25"/>
  <c r="S358" i="25"/>
  <c r="S366" i="25"/>
  <c r="S374" i="25"/>
  <c r="S382" i="25"/>
  <c r="S390" i="25"/>
  <c r="S398" i="25"/>
  <c r="S406" i="25"/>
  <c r="S414" i="25"/>
  <c r="S422" i="25"/>
  <c r="S430" i="25"/>
  <c r="S438" i="25"/>
  <c r="S446" i="25"/>
  <c r="S454" i="25"/>
  <c r="S462" i="25"/>
  <c r="S470" i="25"/>
  <c r="S478" i="25"/>
  <c r="S486" i="25"/>
  <c r="S494" i="25"/>
  <c r="S502" i="25"/>
  <c r="S510" i="25"/>
  <c r="S518" i="25"/>
  <c r="S526" i="25"/>
  <c r="S534" i="25"/>
  <c r="S542" i="25"/>
  <c r="S550" i="25"/>
  <c r="S558" i="25"/>
  <c r="S566" i="25"/>
  <c r="S574" i="25"/>
  <c r="S582" i="25"/>
  <c r="S590" i="25"/>
  <c r="S598" i="25"/>
  <c r="S606" i="25"/>
  <c r="S614" i="25"/>
  <c r="S622" i="25"/>
  <c r="S630" i="25"/>
  <c r="S638" i="25"/>
  <c r="S646" i="25"/>
  <c r="S654" i="25"/>
  <c r="T407" i="25"/>
  <c r="T415" i="25"/>
  <c r="T423" i="25"/>
  <c r="T431" i="25"/>
  <c r="T439" i="25"/>
  <c r="T447" i="25"/>
  <c r="T455" i="25"/>
  <c r="T463" i="25"/>
  <c r="T471" i="25"/>
  <c r="T479" i="25"/>
  <c r="T487" i="25"/>
  <c r="T495" i="25"/>
  <c r="T503" i="25"/>
  <c r="T511" i="25"/>
  <c r="T519" i="25"/>
  <c r="T527" i="25"/>
  <c r="T535" i="25"/>
  <c r="T543" i="25"/>
  <c r="T551" i="25"/>
  <c r="T559" i="25"/>
  <c r="T567" i="25"/>
  <c r="T575" i="25"/>
  <c r="T583" i="25"/>
  <c r="T591" i="25"/>
  <c r="T599" i="25"/>
  <c r="T607" i="25"/>
  <c r="T615" i="25"/>
  <c r="T623" i="25"/>
  <c r="T631" i="25"/>
  <c r="T639" i="25"/>
  <c r="T647" i="25"/>
  <c r="T655" i="25"/>
  <c r="T663" i="25"/>
  <c r="T671" i="25"/>
  <c r="T679" i="25"/>
  <c r="T687" i="25"/>
  <c r="T695" i="25"/>
  <c r="T703" i="25"/>
  <c r="T711" i="25"/>
  <c r="T719" i="25"/>
  <c r="T727" i="25"/>
  <c r="T735" i="25"/>
  <c r="T743" i="25"/>
  <c r="T751" i="25"/>
  <c r="T759" i="25"/>
  <c r="T767" i="25"/>
  <c r="T775" i="25"/>
  <c r="T783" i="25"/>
  <c r="T791" i="25"/>
  <c r="T799" i="25"/>
  <c r="T807" i="25"/>
  <c r="T815" i="25"/>
  <c r="T823" i="25"/>
  <c r="T831" i="25"/>
  <c r="T839" i="25"/>
  <c r="T847" i="25"/>
  <c r="T855" i="25"/>
  <c r="T863" i="25"/>
  <c r="T871" i="25"/>
  <c r="T879" i="25"/>
  <c r="T887" i="25"/>
  <c r="T895" i="25"/>
  <c r="T903" i="25"/>
  <c r="T911" i="25"/>
  <c r="T919" i="25"/>
  <c r="T927" i="25"/>
  <c r="T935" i="25"/>
  <c r="T943" i="25"/>
  <c r="T951" i="25"/>
  <c r="T959" i="25"/>
  <c r="T967" i="25"/>
  <c r="T975" i="25"/>
  <c r="T983" i="25"/>
  <c r="T991" i="25"/>
  <c r="T999" i="25"/>
  <c r="T1007" i="25"/>
  <c r="T1015" i="25"/>
  <c r="T1023" i="25"/>
  <c r="T1031" i="25"/>
  <c r="T1039" i="25"/>
  <c r="S47" i="25"/>
  <c r="S55" i="25"/>
  <c r="S63" i="25"/>
  <c r="S71" i="25"/>
  <c r="S79" i="25"/>
  <c r="S87" i="25"/>
  <c r="S95" i="25"/>
  <c r="S103" i="25"/>
  <c r="S111" i="25"/>
  <c r="S119" i="25"/>
  <c r="S127" i="25"/>
  <c r="S135" i="25"/>
  <c r="S143" i="25"/>
  <c r="S151" i="25"/>
  <c r="S159" i="25"/>
  <c r="S167" i="25"/>
  <c r="S175" i="25"/>
  <c r="S183" i="25"/>
  <c r="S191" i="25"/>
  <c r="S199" i="25"/>
  <c r="S207" i="25"/>
  <c r="S215" i="25"/>
  <c r="S223" i="25"/>
  <c r="S231" i="25"/>
  <c r="S239" i="25"/>
  <c r="S247" i="25"/>
  <c r="S255" i="25"/>
  <c r="S263" i="25"/>
  <c r="S271" i="25"/>
  <c r="S279" i="25"/>
  <c r="S287" i="25"/>
  <c r="S295" i="25"/>
  <c r="S303" i="25"/>
  <c r="S311" i="25"/>
  <c r="S319" i="25"/>
  <c r="S327" i="25"/>
  <c r="S335" i="25"/>
  <c r="S343" i="25"/>
  <c r="S351" i="25"/>
  <c r="S359" i="25"/>
  <c r="S367" i="25"/>
  <c r="S375" i="25"/>
  <c r="S383" i="25"/>
  <c r="S391" i="25"/>
  <c r="S399" i="25"/>
  <c r="S407" i="25"/>
  <c r="S415" i="25"/>
  <c r="S423" i="25"/>
  <c r="S431" i="25"/>
  <c r="S439" i="25"/>
  <c r="S447" i="25"/>
  <c r="S455" i="25"/>
  <c r="S463" i="25"/>
  <c r="S471" i="25"/>
  <c r="S479" i="25"/>
  <c r="S487" i="25"/>
  <c r="S495" i="25"/>
  <c r="S503" i="25"/>
  <c r="S511" i="25"/>
  <c r="S519" i="25"/>
  <c r="S527" i="25"/>
  <c r="S535" i="25"/>
  <c r="S543" i="25"/>
  <c r="S551" i="25"/>
  <c r="S559" i="25"/>
  <c r="S567" i="25"/>
  <c r="S575" i="25"/>
  <c r="S583" i="25"/>
  <c r="S591" i="25"/>
  <c r="S599" i="25"/>
  <c r="S607" i="25"/>
  <c r="S615" i="25"/>
  <c r="S623" i="25"/>
  <c r="S631" i="25"/>
  <c r="S639" i="25"/>
  <c r="S647" i="25"/>
  <c r="S655" i="25"/>
  <c r="T408" i="25"/>
  <c r="T416" i="25"/>
  <c r="T424" i="25"/>
  <c r="T432" i="25"/>
  <c r="T440" i="25"/>
  <c r="T448" i="25"/>
  <c r="T456" i="25"/>
  <c r="T464" i="25"/>
  <c r="T472" i="25"/>
  <c r="T480" i="25"/>
  <c r="T488" i="25"/>
  <c r="T496" i="25"/>
  <c r="T504" i="25"/>
  <c r="T512" i="25"/>
  <c r="T520" i="25"/>
  <c r="T528" i="25"/>
  <c r="T536" i="25"/>
  <c r="T544" i="25"/>
  <c r="T552" i="25"/>
  <c r="T560" i="25"/>
  <c r="T568" i="25"/>
  <c r="T576" i="25"/>
  <c r="T584" i="25"/>
  <c r="T592" i="25"/>
  <c r="T600" i="25"/>
  <c r="T608" i="25"/>
  <c r="T616" i="25"/>
  <c r="T624" i="25"/>
  <c r="T632" i="25"/>
  <c r="T640" i="25"/>
  <c r="T648" i="25"/>
  <c r="T656" i="25"/>
  <c r="T664" i="25"/>
  <c r="T672" i="25"/>
  <c r="T680" i="25"/>
  <c r="T688" i="25"/>
  <c r="T696" i="25"/>
  <c r="T704" i="25"/>
  <c r="T712" i="25"/>
  <c r="T720" i="25"/>
  <c r="T728" i="25"/>
  <c r="T736" i="25"/>
  <c r="T744" i="25"/>
  <c r="T752" i="25"/>
  <c r="T760" i="25"/>
  <c r="T768" i="25"/>
  <c r="T776" i="25"/>
  <c r="T784" i="25"/>
  <c r="T792" i="25"/>
  <c r="T800" i="25"/>
  <c r="T808" i="25"/>
  <c r="T816" i="25"/>
  <c r="T824" i="25"/>
  <c r="T832" i="25"/>
  <c r="T840" i="25"/>
  <c r="T848" i="25"/>
  <c r="T856" i="25"/>
  <c r="T864" i="25"/>
  <c r="T872" i="25"/>
  <c r="T880" i="25"/>
  <c r="T888" i="25"/>
  <c r="T896" i="25"/>
  <c r="T904" i="25"/>
  <c r="T912" i="25"/>
  <c r="T920" i="25"/>
  <c r="T928" i="25"/>
  <c r="T936" i="25"/>
  <c r="T944" i="25"/>
  <c r="T952" i="25"/>
  <c r="T960" i="25"/>
  <c r="T968" i="25"/>
  <c r="T976" i="25"/>
  <c r="T984" i="25"/>
  <c r="T992" i="25"/>
  <c r="T1000" i="25"/>
  <c r="T1008" i="25"/>
  <c r="T1016" i="25"/>
  <c r="T1024" i="25"/>
  <c r="T1032" i="25"/>
  <c r="S48" i="25"/>
  <c r="S56" i="25"/>
  <c r="S64" i="25"/>
  <c r="S72" i="25"/>
  <c r="S80" i="25"/>
  <c r="S88" i="25"/>
  <c r="S96" i="25"/>
  <c r="S104" i="25"/>
  <c r="S112" i="25"/>
  <c r="S120" i="25"/>
  <c r="S128" i="25"/>
  <c r="S136" i="25"/>
  <c r="S144" i="25"/>
  <c r="S152" i="25"/>
  <c r="S160" i="25"/>
  <c r="S168" i="25"/>
  <c r="S176" i="25"/>
  <c r="S184" i="25"/>
  <c r="S192" i="25"/>
  <c r="S200" i="25"/>
  <c r="S208" i="25"/>
  <c r="S216" i="25"/>
  <c r="S224" i="25"/>
  <c r="S232" i="25"/>
  <c r="S240" i="25"/>
  <c r="S248" i="25"/>
  <c r="S256" i="25"/>
  <c r="S264" i="25"/>
  <c r="S272" i="25"/>
  <c r="S280" i="25"/>
  <c r="S288" i="25"/>
  <c r="S296" i="25"/>
  <c r="S304" i="25"/>
  <c r="S312" i="25"/>
  <c r="S320" i="25"/>
  <c r="S328" i="25"/>
  <c r="S336" i="25"/>
  <c r="S344" i="25"/>
  <c r="S352" i="25"/>
  <c r="S360" i="25"/>
  <c r="S368" i="25"/>
  <c r="S376" i="25"/>
  <c r="S384" i="25"/>
  <c r="S392" i="25"/>
  <c r="S400" i="25"/>
  <c r="S408" i="25"/>
  <c r="S416" i="25"/>
  <c r="S424" i="25"/>
  <c r="S432" i="25"/>
  <c r="S440" i="25"/>
  <c r="S448" i="25"/>
  <c r="S456" i="25"/>
  <c r="S464" i="25"/>
  <c r="S472" i="25"/>
  <c r="S480" i="25"/>
  <c r="S488" i="25"/>
  <c r="S496" i="25"/>
  <c r="S504" i="25"/>
  <c r="S512" i="25"/>
  <c r="S520" i="25"/>
  <c r="S528" i="25"/>
  <c r="S536" i="25"/>
  <c r="S544" i="25"/>
  <c r="S552" i="25"/>
  <c r="S560" i="25"/>
  <c r="S568" i="25"/>
  <c r="S576" i="25"/>
  <c r="S584" i="25"/>
  <c r="S592" i="25"/>
  <c r="S600" i="25"/>
  <c r="S608" i="25"/>
  <c r="S616" i="25"/>
  <c r="S624" i="25"/>
  <c r="S632" i="25"/>
  <c r="S640" i="25"/>
  <c r="S648" i="25"/>
  <c r="S656" i="25"/>
  <c r="S664" i="25"/>
  <c r="S672" i="25"/>
  <c r="S680" i="25"/>
  <c r="S688" i="25"/>
  <c r="S696" i="25"/>
  <c r="S704" i="25"/>
  <c r="S712" i="25"/>
  <c r="S720" i="25"/>
  <c r="S728" i="25"/>
  <c r="S736" i="25"/>
  <c r="S744" i="25"/>
  <c r="S752" i="25"/>
  <c r="S760" i="25"/>
  <c r="S658" i="25"/>
  <c r="S669" i="25"/>
  <c r="S679" i="25"/>
  <c r="S690" i="25"/>
  <c r="S701" i="25"/>
  <c r="S711" i="25"/>
  <c r="S722" i="25"/>
  <c r="S733" i="25"/>
  <c r="S743" i="25"/>
  <c r="S754" i="25"/>
  <c r="S764" i="25"/>
  <c r="S772" i="25"/>
  <c r="S780" i="25"/>
  <c r="S788" i="25"/>
  <c r="S796" i="25"/>
  <c r="S804" i="25"/>
  <c r="S812" i="25"/>
  <c r="S820" i="25"/>
  <c r="S828" i="25"/>
  <c r="S836" i="25"/>
  <c r="S844" i="25"/>
  <c r="S852" i="25"/>
  <c r="S860" i="25"/>
  <c r="S868" i="25"/>
  <c r="S876" i="25"/>
  <c r="S884" i="25"/>
  <c r="S892" i="25"/>
  <c r="S900" i="25"/>
  <c r="S908" i="25"/>
  <c r="S916" i="25"/>
  <c r="S924" i="25"/>
  <c r="S932" i="25"/>
  <c r="S940" i="25"/>
  <c r="S948" i="25"/>
  <c r="S956" i="25"/>
  <c r="S964" i="25"/>
  <c r="S972" i="25"/>
  <c r="S980" i="25"/>
  <c r="S988" i="25"/>
  <c r="S996" i="25"/>
  <c r="S1004" i="25"/>
  <c r="S1012" i="25"/>
  <c r="S1020" i="25"/>
  <c r="S1028" i="25"/>
  <c r="S1036" i="25"/>
  <c r="R44" i="25"/>
  <c r="R52" i="25"/>
  <c r="R60" i="25"/>
  <c r="R68" i="25"/>
  <c r="R76" i="25"/>
  <c r="R84" i="25"/>
  <c r="R92" i="25"/>
  <c r="R100" i="25"/>
  <c r="R108" i="25"/>
  <c r="R116" i="25"/>
  <c r="R124" i="25"/>
  <c r="R132" i="25"/>
  <c r="R140" i="25"/>
  <c r="R148" i="25"/>
  <c r="R156" i="25"/>
  <c r="R164" i="25"/>
  <c r="R172" i="25"/>
  <c r="R180" i="25"/>
  <c r="R188" i="25"/>
  <c r="R196" i="25"/>
  <c r="R204" i="25"/>
  <c r="R212" i="25"/>
  <c r="R220" i="25"/>
  <c r="R228" i="25"/>
  <c r="R236" i="25"/>
  <c r="R244" i="25"/>
  <c r="R252" i="25"/>
  <c r="R260" i="25"/>
  <c r="R268" i="25"/>
  <c r="R276" i="25"/>
  <c r="R284" i="25"/>
  <c r="R292" i="25"/>
  <c r="R300" i="25"/>
  <c r="R308" i="25"/>
  <c r="R316" i="25"/>
  <c r="R324" i="25"/>
  <c r="R332" i="25"/>
  <c r="R340" i="25"/>
  <c r="R348" i="25"/>
  <c r="R356" i="25"/>
  <c r="R364" i="25"/>
  <c r="R372" i="25"/>
  <c r="R380" i="25"/>
  <c r="R388" i="25"/>
  <c r="R396" i="25"/>
  <c r="R404" i="25"/>
  <c r="R412" i="25"/>
  <c r="R420" i="25"/>
  <c r="R428" i="25"/>
  <c r="R436" i="25"/>
  <c r="R444" i="25"/>
  <c r="R452" i="25"/>
  <c r="R460" i="25"/>
  <c r="R468" i="25"/>
  <c r="R476" i="25"/>
  <c r="R484" i="25"/>
  <c r="R492" i="25"/>
  <c r="R500" i="25"/>
  <c r="R508" i="25"/>
  <c r="R516" i="25"/>
  <c r="R524" i="25"/>
  <c r="R532" i="25"/>
  <c r="R540" i="25"/>
  <c r="R548" i="25"/>
  <c r="R556" i="25"/>
  <c r="R564" i="25"/>
  <c r="R572" i="25"/>
  <c r="R580" i="25"/>
  <c r="R588" i="25"/>
  <c r="R596" i="25"/>
  <c r="R604" i="25"/>
  <c r="R612" i="25"/>
  <c r="R620" i="25"/>
  <c r="R628" i="25"/>
  <c r="R636" i="25"/>
  <c r="R644" i="25"/>
  <c r="R652" i="25"/>
  <c r="R660" i="25"/>
  <c r="R668" i="25"/>
  <c r="R676" i="25"/>
  <c r="R684" i="25"/>
  <c r="R692" i="25"/>
  <c r="R700" i="25"/>
  <c r="R708" i="25"/>
  <c r="R716" i="25"/>
  <c r="R724" i="25"/>
  <c r="R732" i="25"/>
  <c r="R740" i="25"/>
  <c r="R748" i="25"/>
  <c r="R756" i="25"/>
  <c r="R764" i="25"/>
  <c r="R772" i="25"/>
  <c r="R780" i="25"/>
  <c r="R788" i="25"/>
  <c r="R796" i="25"/>
  <c r="R804" i="25"/>
  <c r="R812" i="25"/>
  <c r="R820" i="25"/>
  <c r="R828" i="25"/>
  <c r="R836" i="25"/>
  <c r="R844" i="25"/>
  <c r="R852" i="25"/>
  <c r="R860" i="25"/>
  <c r="R868" i="25"/>
  <c r="R876" i="25"/>
  <c r="R884" i="25"/>
  <c r="R892" i="25"/>
  <c r="R900" i="25"/>
  <c r="R908" i="25"/>
  <c r="R916" i="25"/>
  <c r="R924" i="25"/>
  <c r="R932" i="25"/>
  <c r="R948" i="25"/>
  <c r="S659" i="25"/>
  <c r="S670" i="25"/>
  <c r="S681" i="25"/>
  <c r="S691" i="25"/>
  <c r="S702" i="25"/>
  <c r="S713" i="25"/>
  <c r="S723" i="25"/>
  <c r="S734" i="25"/>
  <c r="S745" i="25"/>
  <c r="S755" i="25"/>
  <c r="S765" i="25"/>
  <c r="S773" i="25"/>
  <c r="S781" i="25"/>
  <c r="S789" i="25"/>
  <c r="S797" i="25"/>
  <c r="S805" i="25"/>
  <c r="S813" i="25"/>
  <c r="S821" i="25"/>
  <c r="S829" i="25"/>
  <c r="S837" i="25"/>
  <c r="S845" i="25"/>
  <c r="S853" i="25"/>
  <c r="S861" i="25"/>
  <c r="S869" i="25"/>
  <c r="S877" i="25"/>
  <c r="S885" i="25"/>
  <c r="S893" i="25"/>
  <c r="S901" i="25"/>
  <c r="S909" i="25"/>
  <c r="S917" i="25"/>
  <c r="S925" i="25"/>
  <c r="S933" i="25"/>
  <c r="S941" i="25"/>
  <c r="S949" i="25"/>
  <c r="S957" i="25"/>
  <c r="S965" i="25"/>
  <c r="S973" i="25"/>
  <c r="S981" i="25"/>
  <c r="S989" i="25"/>
  <c r="S997" i="25"/>
  <c r="S1005" i="25"/>
  <c r="S1013" i="25"/>
  <c r="S1021" i="25"/>
  <c r="S1029" i="25"/>
  <c r="S1037" i="25"/>
  <c r="R45" i="25"/>
  <c r="R53" i="25"/>
  <c r="R61" i="25"/>
  <c r="R69" i="25"/>
  <c r="R77" i="25"/>
  <c r="R85" i="25"/>
  <c r="R93" i="25"/>
  <c r="R101" i="25"/>
  <c r="R109" i="25"/>
  <c r="R117" i="25"/>
  <c r="R125" i="25"/>
  <c r="R133" i="25"/>
  <c r="R141" i="25"/>
  <c r="R149" i="25"/>
  <c r="R157" i="25"/>
  <c r="R165" i="25"/>
  <c r="R173" i="25"/>
  <c r="R181" i="25"/>
  <c r="R189" i="25"/>
  <c r="R197" i="25"/>
  <c r="R205" i="25"/>
  <c r="R213" i="25"/>
  <c r="R221" i="25"/>
  <c r="R229" i="25"/>
  <c r="R237" i="25"/>
  <c r="R245" i="25"/>
  <c r="R253" i="25"/>
  <c r="R261" i="25"/>
  <c r="R269" i="25"/>
  <c r="R277" i="25"/>
  <c r="R285" i="25"/>
  <c r="R293" i="25"/>
  <c r="R301" i="25"/>
  <c r="R309" i="25"/>
  <c r="R317" i="25"/>
  <c r="R325" i="25"/>
  <c r="R333" i="25"/>
  <c r="R341" i="25"/>
  <c r="R349" i="25"/>
  <c r="R357" i="25"/>
  <c r="R365" i="25"/>
  <c r="R373" i="25"/>
  <c r="R381" i="25"/>
  <c r="R389" i="25"/>
  <c r="R397" i="25"/>
  <c r="R405" i="25"/>
  <c r="R413" i="25"/>
  <c r="R421" i="25"/>
  <c r="R429" i="25"/>
  <c r="R437" i="25"/>
  <c r="R445" i="25"/>
  <c r="R453" i="25"/>
  <c r="R461" i="25"/>
  <c r="R469" i="25"/>
  <c r="R477" i="25"/>
  <c r="R485" i="25"/>
  <c r="R493" i="25"/>
  <c r="R501" i="25"/>
  <c r="R509" i="25"/>
  <c r="R517" i="25"/>
  <c r="R525" i="25"/>
  <c r="R533" i="25"/>
  <c r="R541" i="25"/>
  <c r="R549" i="25"/>
  <c r="R557" i="25"/>
  <c r="R565" i="25"/>
  <c r="R573" i="25"/>
  <c r="R581" i="25"/>
  <c r="R589" i="25"/>
  <c r="R597" i="25"/>
  <c r="R605" i="25"/>
  <c r="R613" i="25"/>
  <c r="R621" i="25"/>
  <c r="R629" i="25"/>
  <c r="R637" i="25"/>
  <c r="R645" i="25"/>
  <c r="R653" i="25"/>
  <c r="R661" i="25"/>
  <c r="R669" i="25"/>
  <c r="V669" i="25" s="1"/>
  <c r="R677" i="25"/>
  <c r="R685" i="25"/>
  <c r="R693" i="25"/>
  <c r="R701" i="25"/>
  <c r="R709" i="25"/>
  <c r="R717" i="25"/>
  <c r="R725" i="25"/>
  <c r="R733" i="25"/>
  <c r="R741" i="25"/>
  <c r="R749" i="25"/>
  <c r="R757" i="25"/>
  <c r="R765" i="25"/>
  <c r="R773" i="25"/>
  <c r="R781" i="25"/>
  <c r="R789" i="25"/>
  <c r="R797" i="25"/>
  <c r="R805" i="25"/>
  <c r="R813" i="25"/>
  <c r="R821" i="25"/>
  <c r="R829" i="25"/>
  <c r="R837" i="25"/>
  <c r="R845" i="25"/>
  <c r="R853" i="25"/>
  <c r="R861" i="25"/>
  <c r="R869" i="25"/>
  <c r="R877" i="25"/>
  <c r="R885" i="25"/>
  <c r="R893" i="25"/>
  <c r="R901" i="25"/>
  <c r="R909" i="25"/>
  <c r="R917" i="25"/>
  <c r="R925" i="25"/>
  <c r="R933" i="25"/>
  <c r="R941" i="25"/>
  <c r="S661" i="25"/>
  <c r="S671" i="25"/>
  <c r="S682" i="25"/>
  <c r="S693" i="25"/>
  <c r="S703" i="25"/>
  <c r="S714" i="25"/>
  <c r="S725" i="25"/>
  <c r="S735" i="25"/>
  <c r="S746" i="25"/>
  <c r="S757" i="25"/>
  <c r="S766" i="25"/>
  <c r="S774" i="25"/>
  <c r="S782" i="25"/>
  <c r="S790" i="25"/>
  <c r="S798" i="25"/>
  <c r="S806" i="25"/>
  <c r="S814" i="25"/>
  <c r="S822" i="25"/>
  <c r="S830" i="25"/>
  <c r="S838" i="25"/>
  <c r="S846" i="25"/>
  <c r="S854" i="25"/>
  <c r="S862" i="25"/>
  <c r="S870" i="25"/>
  <c r="S878" i="25"/>
  <c r="S886" i="25"/>
  <c r="S894" i="25"/>
  <c r="S902" i="25"/>
  <c r="S910" i="25"/>
  <c r="S918" i="25"/>
  <c r="S926" i="25"/>
  <c r="S934" i="25"/>
  <c r="S942" i="25"/>
  <c r="S950" i="25"/>
  <c r="S958" i="25"/>
  <c r="S966" i="25"/>
  <c r="S974" i="25"/>
  <c r="S982" i="25"/>
  <c r="S990" i="25"/>
  <c r="S998" i="25"/>
  <c r="S1006" i="25"/>
  <c r="S1014" i="25"/>
  <c r="S1022" i="25"/>
  <c r="S1030" i="25"/>
  <c r="S1038" i="25"/>
  <c r="R46" i="25"/>
  <c r="R54" i="25"/>
  <c r="R62" i="25"/>
  <c r="V62" i="25" s="1"/>
  <c r="R70" i="25"/>
  <c r="R78" i="25"/>
  <c r="R86" i="25"/>
  <c r="R94" i="25"/>
  <c r="R102" i="25"/>
  <c r="V102" i="25" s="1"/>
  <c r="R110" i="25"/>
  <c r="R118" i="25"/>
  <c r="R126" i="25"/>
  <c r="V126" i="25" s="1"/>
  <c r="R134" i="25"/>
  <c r="R142" i="25"/>
  <c r="R150" i="25"/>
  <c r="R158" i="25"/>
  <c r="R166" i="25"/>
  <c r="V166" i="25" s="1"/>
  <c r="R174" i="25"/>
  <c r="R182" i="25"/>
  <c r="R190" i="25"/>
  <c r="V190" i="25" s="1"/>
  <c r="R198" i="25"/>
  <c r="R206" i="25"/>
  <c r="R214" i="25"/>
  <c r="R222" i="25"/>
  <c r="R230" i="25"/>
  <c r="V230" i="25" s="1"/>
  <c r="R238" i="25"/>
  <c r="R246" i="25"/>
  <c r="R254" i="25"/>
  <c r="V254" i="25" s="1"/>
  <c r="R262" i="25"/>
  <c r="R270" i="25"/>
  <c r="R278" i="25"/>
  <c r="R286" i="25"/>
  <c r="R294" i="25"/>
  <c r="V294" i="25" s="1"/>
  <c r="R302" i="25"/>
  <c r="R310" i="25"/>
  <c r="R318" i="25"/>
  <c r="V318" i="25" s="1"/>
  <c r="R326" i="25"/>
  <c r="R334" i="25"/>
  <c r="R342" i="25"/>
  <c r="R350" i="25"/>
  <c r="R358" i="25"/>
  <c r="V358" i="25" s="1"/>
  <c r="R366" i="25"/>
  <c r="R374" i="25"/>
  <c r="R382" i="25"/>
  <c r="V382" i="25" s="1"/>
  <c r="R390" i="25"/>
  <c r="R398" i="25"/>
  <c r="R406" i="25"/>
  <c r="R414" i="25"/>
  <c r="R422" i="25"/>
  <c r="R430" i="25"/>
  <c r="R438" i="25"/>
  <c r="R446" i="25"/>
  <c r="R454" i="25"/>
  <c r="R462" i="25"/>
  <c r="R470" i="25"/>
  <c r="R478" i="25"/>
  <c r="R486" i="25"/>
  <c r="R494" i="25"/>
  <c r="R502" i="25"/>
  <c r="R510" i="25"/>
  <c r="R518" i="25"/>
  <c r="R526" i="25"/>
  <c r="R534" i="25"/>
  <c r="R542" i="25"/>
  <c r="R550" i="25"/>
  <c r="R558" i="25"/>
  <c r="R566" i="25"/>
  <c r="R574" i="25"/>
  <c r="R582" i="25"/>
  <c r="R590" i="25"/>
  <c r="R598" i="25"/>
  <c r="R606" i="25"/>
  <c r="R614" i="25"/>
  <c r="R622" i="25"/>
  <c r="R630" i="25"/>
  <c r="R638" i="25"/>
  <c r="R646" i="25"/>
  <c r="R654" i="25"/>
  <c r="R662" i="25"/>
  <c r="R670" i="25"/>
  <c r="R678" i="25"/>
  <c r="R686" i="25"/>
  <c r="R694" i="25"/>
  <c r="R702" i="25"/>
  <c r="R710" i="25"/>
  <c r="R718" i="25"/>
  <c r="R726" i="25"/>
  <c r="R734" i="25"/>
  <c r="R742" i="25"/>
  <c r="R750" i="25"/>
  <c r="R758" i="25"/>
  <c r="R766" i="25"/>
  <c r="R774" i="25"/>
  <c r="R782" i="25"/>
  <c r="R790" i="25"/>
  <c r="R798" i="25"/>
  <c r="R806" i="25"/>
  <c r="R814" i="25"/>
  <c r="R822" i="25"/>
  <c r="R830" i="25"/>
  <c r="R838" i="25"/>
  <c r="R846" i="25"/>
  <c r="R854" i="25"/>
  <c r="R862" i="25"/>
  <c r="R870" i="25"/>
  <c r="R878" i="25"/>
  <c r="R886" i="25"/>
  <c r="R894" i="25"/>
  <c r="R902" i="25"/>
  <c r="R910" i="25"/>
  <c r="R918" i="25"/>
  <c r="R926" i="25"/>
  <c r="R934" i="25"/>
  <c r="R942" i="25"/>
  <c r="S662" i="25"/>
  <c r="S673" i="25"/>
  <c r="S683" i="25"/>
  <c r="S694" i="25"/>
  <c r="S705" i="25"/>
  <c r="S715" i="25"/>
  <c r="S726" i="25"/>
  <c r="S737" i="25"/>
  <c r="S747" i="25"/>
  <c r="S758" i="25"/>
  <c r="S767" i="25"/>
  <c r="S775" i="25"/>
  <c r="S783" i="25"/>
  <c r="S791" i="25"/>
  <c r="S799" i="25"/>
  <c r="S807" i="25"/>
  <c r="S815" i="25"/>
  <c r="S823" i="25"/>
  <c r="S831" i="25"/>
  <c r="S839" i="25"/>
  <c r="S847" i="25"/>
  <c r="S855" i="25"/>
  <c r="S863" i="25"/>
  <c r="S871" i="25"/>
  <c r="S879" i="25"/>
  <c r="S887" i="25"/>
  <c r="S895" i="25"/>
  <c r="S903" i="25"/>
  <c r="S911" i="25"/>
  <c r="S919" i="25"/>
  <c r="S927" i="25"/>
  <c r="S935" i="25"/>
  <c r="S943" i="25"/>
  <c r="S951" i="25"/>
  <c r="S959" i="25"/>
  <c r="S967" i="25"/>
  <c r="S975" i="25"/>
  <c r="S983" i="25"/>
  <c r="S991" i="25"/>
  <c r="S999" i="25"/>
  <c r="S1007" i="25"/>
  <c r="S1015" i="25"/>
  <c r="S1023" i="25"/>
  <c r="S1031" i="25"/>
  <c r="S1039" i="25"/>
  <c r="R47" i="25"/>
  <c r="R55" i="25"/>
  <c r="R63" i="25"/>
  <c r="R71" i="25"/>
  <c r="R79" i="25"/>
  <c r="R87" i="25"/>
  <c r="R95" i="25"/>
  <c r="R103" i="25"/>
  <c r="R111" i="25"/>
  <c r="R119" i="25"/>
  <c r="R127" i="25"/>
  <c r="R135" i="25"/>
  <c r="R143" i="25"/>
  <c r="R151" i="25"/>
  <c r="R159" i="25"/>
  <c r="R167" i="25"/>
  <c r="R175" i="25"/>
  <c r="R183" i="25"/>
  <c r="R191" i="25"/>
  <c r="R199" i="25"/>
  <c r="R207" i="25"/>
  <c r="R215" i="25"/>
  <c r="R223" i="25"/>
  <c r="R231" i="25"/>
  <c r="R239" i="25"/>
  <c r="R247" i="25"/>
  <c r="R255" i="25"/>
  <c r="R263" i="25"/>
  <c r="R271" i="25"/>
  <c r="R279" i="25"/>
  <c r="R287" i="25"/>
  <c r="R295" i="25"/>
  <c r="R303" i="25"/>
  <c r="R311" i="25"/>
  <c r="R319" i="25"/>
  <c r="R327" i="25"/>
  <c r="R335" i="25"/>
  <c r="R343" i="25"/>
  <c r="R351" i="25"/>
  <c r="R359" i="25"/>
  <c r="R367" i="25"/>
  <c r="R375" i="25"/>
  <c r="R383" i="25"/>
  <c r="R391" i="25"/>
  <c r="R399" i="25"/>
  <c r="R407" i="25"/>
  <c r="R415" i="25"/>
  <c r="R423" i="25"/>
  <c r="R431" i="25"/>
  <c r="R439" i="25"/>
  <c r="R447" i="25"/>
  <c r="R455" i="25"/>
  <c r="R463" i="25"/>
  <c r="R471" i="25"/>
  <c r="R479" i="25"/>
  <c r="R487" i="25"/>
  <c r="R495" i="25"/>
  <c r="R503" i="25"/>
  <c r="R511" i="25"/>
  <c r="R519" i="25"/>
  <c r="R527" i="25"/>
  <c r="R535" i="25"/>
  <c r="R543" i="25"/>
  <c r="R551" i="25"/>
  <c r="R559" i="25"/>
  <c r="R567" i="25"/>
  <c r="R575" i="25"/>
  <c r="R583" i="25"/>
  <c r="R591" i="25"/>
  <c r="R599" i="25"/>
  <c r="R607" i="25"/>
  <c r="R615" i="25"/>
  <c r="R623" i="25"/>
  <c r="R631" i="25"/>
  <c r="R639" i="25"/>
  <c r="R647" i="25"/>
  <c r="R655" i="25"/>
  <c r="R663" i="25"/>
  <c r="R671" i="25"/>
  <c r="R679" i="25"/>
  <c r="R687" i="25"/>
  <c r="R695" i="25"/>
  <c r="R703" i="25"/>
  <c r="R711" i="25"/>
  <c r="R719" i="25"/>
  <c r="R727" i="25"/>
  <c r="R735" i="25"/>
  <c r="R743" i="25"/>
  <c r="R751" i="25"/>
  <c r="R759" i="25"/>
  <c r="R767" i="25"/>
  <c r="R775" i="25"/>
  <c r="R783" i="25"/>
  <c r="R791" i="25"/>
  <c r="R799" i="25"/>
  <c r="R807" i="25"/>
  <c r="R815" i="25"/>
  <c r="R823" i="25"/>
  <c r="R831" i="25"/>
  <c r="R839" i="25"/>
  <c r="R847" i="25"/>
  <c r="R855" i="25"/>
  <c r="R863" i="25"/>
  <c r="R871" i="25"/>
  <c r="R879" i="25"/>
  <c r="R887" i="25"/>
  <c r="R895" i="25"/>
  <c r="R903" i="25"/>
  <c r="R911" i="25"/>
  <c r="R919" i="25"/>
  <c r="R927" i="25"/>
  <c r="R935" i="25"/>
  <c r="R943" i="25"/>
  <c r="R951" i="25"/>
  <c r="R959" i="25"/>
  <c r="R967" i="25"/>
  <c r="R975" i="25"/>
  <c r="R983" i="25"/>
  <c r="R991" i="25"/>
  <c r="R999" i="25"/>
  <c r="R1007" i="25"/>
  <c r="R1015" i="25"/>
  <c r="R1023" i="25"/>
  <c r="R1031" i="25"/>
  <c r="R1039" i="25"/>
  <c r="R936" i="25"/>
  <c r="S663" i="25"/>
  <c r="S674" i="25"/>
  <c r="S685" i="25"/>
  <c r="S695" i="25"/>
  <c r="S706" i="25"/>
  <c r="S717" i="25"/>
  <c r="S727" i="25"/>
  <c r="S738" i="25"/>
  <c r="S749" i="25"/>
  <c r="S759" i="25"/>
  <c r="S768" i="25"/>
  <c r="S776" i="25"/>
  <c r="S784" i="25"/>
  <c r="S792" i="25"/>
  <c r="S800" i="25"/>
  <c r="S808" i="25"/>
  <c r="S816" i="25"/>
  <c r="S824" i="25"/>
  <c r="S832" i="25"/>
  <c r="S840" i="25"/>
  <c r="S848" i="25"/>
  <c r="S856" i="25"/>
  <c r="S864" i="25"/>
  <c r="S872" i="25"/>
  <c r="S880" i="25"/>
  <c r="S888" i="25"/>
  <c r="S896" i="25"/>
  <c r="S904" i="25"/>
  <c r="S912" i="25"/>
  <c r="S920" i="25"/>
  <c r="S928" i="25"/>
  <c r="S936" i="25"/>
  <c r="S944" i="25"/>
  <c r="S952" i="25"/>
  <c r="S960" i="25"/>
  <c r="S968" i="25"/>
  <c r="S976" i="25"/>
  <c r="S984" i="25"/>
  <c r="S992" i="25"/>
  <c r="S1000" i="25"/>
  <c r="S1008" i="25"/>
  <c r="S1016" i="25"/>
  <c r="S1024" i="25"/>
  <c r="S1032" i="25"/>
  <c r="R48" i="25"/>
  <c r="R56" i="25"/>
  <c r="R64" i="25"/>
  <c r="R72" i="25"/>
  <c r="R80" i="25"/>
  <c r="R88" i="25"/>
  <c r="R96" i="25"/>
  <c r="R104" i="25"/>
  <c r="R112" i="25"/>
  <c r="R120" i="25"/>
  <c r="R128" i="25"/>
  <c r="R136" i="25"/>
  <c r="R144" i="25"/>
  <c r="R152" i="25"/>
  <c r="R160" i="25"/>
  <c r="R168" i="25"/>
  <c r="R176" i="25"/>
  <c r="R184" i="25"/>
  <c r="R192" i="25"/>
  <c r="R200" i="25"/>
  <c r="R208" i="25"/>
  <c r="R216" i="25"/>
  <c r="R224" i="25"/>
  <c r="R232" i="25"/>
  <c r="R240" i="25"/>
  <c r="R248" i="25"/>
  <c r="R256" i="25"/>
  <c r="R264" i="25"/>
  <c r="R272" i="25"/>
  <c r="R280" i="25"/>
  <c r="R288" i="25"/>
  <c r="R296" i="25"/>
  <c r="R304" i="25"/>
  <c r="R312" i="25"/>
  <c r="R320" i="25"/>
  <c r="R328" i="25"/>
  <c r="R336" i="25"/>
  <c r="R344" i="25"/>
  <c r="R352" i="25"/>
  <c r="R360" i="25"/>
  <c r="R368" i="25"/>
  <c r="R376" i="25"/>
  <c r="R384" i="25"/>
  <c r="R392" i="25"/>
  <c r="R400" i="25"/>
  <c r="R408" i="25"/>
  <c r="R416" i="25"/>
  <c r="R424" i="25"/>
  <c r="R432" i="25"/>
  <c r="R440" i="25"/>
  <c r="R448" i="25"/>
  <c r="R456" i="25"/>
  <c r="R464" i="25"/>
  <c r="R472" i="25"/>
  <c r="R480" i="25"/>
  <c r="R488" i="25"/>
  <c r="R496" i="25"/>
  <c r="R504" i="25"/>
  <c r="R512" i="25"/>
  <c r="R520" i="25"/>
  <c r="R528" i="25"/>
  <c r="R536" i="25"/>
  <c r="R544" i="25"/>
  <c r="R552" i="25"/>
  <c r="R560" i="25"/>
  <c r="R568" i="25"/>
  <c r="R576" i="25"/>
  <c r="R584" i="25"/>
  <c r="R592" i="25"/>
  <c r="R600" i="25"/>
  <c r="R608" i="25"/>
  <c r="R616" i="25"/>
  <c r="R624" i="25"/>
  <c r="R632" i="25"/>
  <c r="R640" i="25"/>
  <c r="R648" i="25"/>
  <c r="R656" i="25"/>
  <c r="R664" i="25"/>
  <c r="R672" i="25"/>
  <c r="R680" i="25"/>
  <c r="R688" i="25"/>
  <c r="R696" i="25"/>
  <c r="R704" i="25"/>
  <c r="R712" i="25"/>
  <c r="R720" i="25"/>
  <c r="R728" i="25"/>
  <c r="R736" i="25"/>
  <c r="R744" i="25"/>
  <c r="R752" i="25"/>
  <c r="R760" i="25"/>
  <c r="R768" i="25"/>
  <c r="R776" i="25"/>
  <c r="R784" i="25"/>
  <c r="R792" i="25"/>
  <c r="R800" i="25"/>
  <c r="R808" i="25"/>
  <c r="R816" i="25"/>
  <c r="R824" i="25"/>
  <c r="R832" i="25"/>
  <c r="R840" i="25"/>
  <c r="R848" i="25"/>
  <c r="R856" i="25"/>
  <c r="R864" i="25"/>
  <c r="R872" i="25"/>
  <c r="R880" i="25"/>
  <c r="R888" i="25"/>
  <c r="R896" i="25"/>
  <c r="R904" i="25"/>
  <c r="R912" i="25"/>
  <c r="R920" i="25"/>
  <c r="R928" i="25"/>
  <c r="R944" i="25"/>
  <c r="S665" i="25"/>
  <c r="S675" i="25"/>
  <c r="S686" i="25"/>
  <c r="S697" i="25"/>
  <c r="S707" i="25"/>
  <c r="S718" i="25"/>
  <c r="S729" i="25"/>
  <c r="S739" i="25"/>
  <c r="S750" i="25"/>
  <c r="S761" i="25"/>
  <c r="S769" i="25"/>
  <c r="S777" i="25"/>
  <c r="S785" i="25"/>
  <c r="S793" i="25"/>
  <c r="S801" i="25"/>
  <c r="S809" i="25"/>
  <c r="S817" i="25"/>
  <c r="S825" i="25"/>
  <c r="S833" i="25"/>
  <c r="S841" i="25"/>
  <c r="S849" i="25"/>
  <c r="S857" i="25"/>
  <c r="S865" i="25"/>
  <c r="S873" i="25"/>
  <c r="S881" i="25"/>
  <c r="S889" i="25"/>
  <c r="S897" i="25"/>
  <c r="S905" i="25"/>
  <c r="S913" i="25"/>
  <c r="S921" i="25"/>
  <c r="S929" i="25"/>
  <c r="S937" i="25"/>
  <c r="S945" i="25"/>
  <c r="S953" i="25"/>
  <c r="S961" i="25"/>
  <c r="S969" i="25"/>
  <c r="S977" i="25"/>
  <c r="S985" i="25"/>
  <c r="S993" i="25"/>
  <c r="S1001" i="25"/>
  <c r="S1009" i="25"/>
  <c r="S1017" i="25"/>
  <c r="S1025" i="25"/>
  <c r="S1033" i="25"/>
  <c r="R41" i="25"/>
  <c r="R49" i="25"/>
  <c r="R57" i="25"/>
  <c r="R65" i="25"/>
  <c r="R73" i="25"/>
  <c r="R81" i="25"/>
  <c r="R89" i="25"/>
  <c r="V89" i="25" s="1"/>
  <c r="R97" i="25"/>
  <c r="R105" i="25"/>
  <c r="R113" i="25"/>
  <c r="R121" i="25"/>
  <c r="R129" i="25"/>
  <c r="R137" i="25"/>
  <c r="R145" i="25"/>
  <c r="R153" i="25"/>
  <c r="V153" i="25" s="1"/>
  <c r="R161" i="25"/>
  <c r="R169" i="25"/>
  <c r="R177" i="25"/>
  <c r="R185" i="25"/>
  <c r="R193" i="25"/>
  <c r="R201" i="25"/>
  <c r="R209" i="25"/>
  <c r="R217" i="25"/>
  <c r="V217" i="25" s="1"/>
  <c r="R225" i="25"/>
  <c r="R233" i="25"/>
  <c r="R241" i="25"/>
  <c r="R249" i="25"/>
  <c r="R257" i="25"/>
  <c r="R265" i="25"/>
  <c r="R273" i="25"/>
  <c r="R281" i="25"/>
  <c r="V281" i="25" s="1"/>
  <c r="R289" i="25"/>
  <c r="R297" i="25"/>
  <c r="R305" i="25"/>
  <c r="R313" i="25"/>
  <c r="R321" i="25"/>
  <c r="R329" i="25"/>
  <c r="R337" i="25"/>
  <c r="R345" i="25"/>
  <c r="V345" i="25" s="1"/>
  <c r="R353" i="25"/>
  <c r="R361" i="25"/>
  <c r="R369" i="25"/>
  <c r="R377" i="25"/>
  <c r="R385" i="25"/>
  <c r="R393" i="25"/>
  <c r="R401" i="25"/>
  <c r="R409" i="25"/>
  <c r="V409" i="25" s="1"/>
  <c r="R417" i="25"/>
  <c r="R425" i="25"/>
  <c r="R433" i="25"/>
  <c r="R441" i="25"/>
  <c r="R449" i="25"/>
  <c r="R457" i="25"/>
  <c r="R465" i="25"/>
  <c r="R473" i="25"/>
  <c r="V473" i="25" s="1"/>
  <c r="R481" i="25"/>
  <c r="R489" i="25"/>
  <c r="R497" i="25"/>
  <c r="R505" i="25"/>
  <c r="R513" i="25"/>
  <c r="R521" i="25"/>
  <c r="R529" i="25"/>
  <c r="R537" i="25"/>
  <c r="V537" i="25" s="1"/>
  <c r="R545" i="25"/>
  <c r="R553" i="25"/>
  <c r="R561" i="25"/>
  <c r="R569" i="25"/>
  <c r="R577" i="25"/>
  <c r="R585" i="25"/>
  <c r="R593" i="25"/>
  <c r="R601" i="25"/>
  <c r="V601" i="25" s="1"/>
  <c r="R609" i="25"/>
  <c r="R617" i="25"/>
  <c r="R625" i="25"/>
  <c r="R633" i="25"/>
  <c r="R641" i="25"/>
  <c r="R649" i="25"/>
  <c r="R657" i="25"/>
  <c r="R665" i="25"/>
  <c r="R673" i="25"/>
  <c r="R681" i="25"/>
  <c r="R689" i="25"/>
  <c r="R697" i="25"/>
  <c r="R705" i="25"/>
  <c r="R713" i="25"/>
  <c r="R721" i="25"/>
  <c r="R729" i="25"/>
  <c r="V729" i="25" s="1"/>
  <c r="R737" i="25"/>
  <c r="R745" i="25"/>
  <c r="R753" i="25"/>
  <c r="R761" i="25"/>
  <c r="R769" i="25"/>
  <c r="R777" i="25"/>
  <c r="R785" i="25"/>
  <c r="R793" i="25"/>
  <c r="R801" i="25"/>
  <c r="R809" i="25"/>
  <c r="R817" i="25"/>
  <c r="R825" i="25"/>
  <c r="R833" i="25"/>
  <c r="R841" i="25"/>
  <c r="R849" i="25"/>
  <c r="R857" i="25"/>
  <c r="R865" i="25"/>
  <c r="R873" i="25"/>
  <c r="R881" i="25"/>
  <c r="R889" i="25"/>
  <c r="R897" i="25"/>
  <c r="R905" i="25"/>
  <c r="R913" i="25"/>
  <c r="R921" i="25"/>
  <c r="R929" i="25"/>
  <c r="R937" i="25"/>
  <c r="R945" i="25"/>
  <c r="S666" i="25"/>
  <c r="S677" i="25"/>
  <c r="S687" i="25"/>
  <c r="S698" i="25"/>
  <c r="S709" i="25"/>
  <c r="S719" i="25"/>
  <c r="S730" i="25"/>
  <c r="S741" i="25"/>
  <c r="S751" i="25"/>
  <c r="S762" i="25"/>
  <c r="S770" i="25"/>
  <c r="S778" i="25"/>
  <c r="S786" i="25"/>
  <c r="S794" i="25"/>
  <c r="S802" i="25"/>
  <c r="S810" i="25"/>
  <c r="S818" i="25"/>
  <c r="S826" i="25"/>
  <c r="S834" i="25"/>
  <c r="S842" i="25"/>
  <c r="S850" i="25"/>
  <c r="S858" i="25"/>
  <c r="S866" i="25"/>
  <c r="S874" i="25"/>
  <c r="S882" i="25"/>
  <c r="S890" i="25"/>
  <c r="S898" i="25"/>
  <c r="S906" i="25"/>
  <c r="S914" i="25"/>
  <c r="S922" i="25"/>
  <c r="S930" i="25"/>
  <c r="S938" i="25"/>
  <c r="S946" i="25"/>
  <c r="S954" i="25"/>
  <c r="S962" i="25"/>
  <c r="S970" i="25"/>
  <c r="S978" i="25"/>
  <c r="S986" i="25"/>
  <c r="S994" i="25"/>
  <c r="S1002" i="25"/>
  <c r="S1010" i="25"/>
  <c r="S1018" i="25"/>
  <c r="S1026" i="25"/>
  <c r="S1034" i="25"/>
  <c r="R42" i="25"/>
  <c r="R50" i="25"/>
  <c r="R58" i="25"/>
  <c r="R66" i="25"/>
  <c r="R74" i="25"/>
  <c r="R82" i="25"/>
  <c r="R90" i="25"/>
  <c r="R98" i="25"/>
  <c r="R106" i="25"/>
  <c r="R114" i="25"/>
  <c r="R122" i="25"/>
  <c r="R130" i="25"/>
  <c r="R138" i="25"/>
  <c r="R146" i="25"/>
  <c r="R154" i="25"/>
  <c r="R162" i="25"/>
  <c r="R170" i="25"/>
  <c r="R178" i="25"/>
  <c r="R186" i="25"/>
  <c r="R194" i="25"/>
  <c r="R202" i="25"/>
  <c r="R210" i="25"/>
  <c r="R218" i="25"/>
  <c r="R226" i="25"/>
  <c r="R234" i="25"/>
  <c r="R242" i="25"/>
  <c r="R250" i="25"/>
  <c r="R258" i="25"/>
  <c r="R266" i="25"/>
  <c r="R274" i="25"/>
  <c r="R282" i="25"/>
  <c r="R290" i="25"/>
  <c r="R298" i="25"/>
  <c r="R306" i="25"/>
  <c r="R314" i="25"/>
  <c r="R322" i="25"/>
  <c r="R330" i="25"/>
  <c r="R338" i="25"/>
  <c r="R346" i="25"/>
  <c r="R354" i="25"/>
  <c r="R362" i="25"/>
  <c r="R370" i="25"/>
  <c r="R378" i="25"/>
  <c r="R386" i="25"/>
  <c r="R394" i="25"/>
  <c r="R402" i="25"/>
  <c r="R410" i="25"/>
  <c r="R418" i="25"/>
  <c r="R426" i="25"/>
  <c r="R434" i="25"/>
  <c r="R442" i="25"/>
  <c r="R450" i="25"/>
  <c r="R458" i="25"/>
  <c r="R466" i="25"/>
  <c r="R474" i="25"/>
  <c r="R482" i="25"/>
  <c r="R490" i="25"/>
  <c r="R498" i="25"/>
  <c r="R506" i="25"/>
  <c r="R514" i="25"/>
  <c r="R522" i="25"/>
  <c r="R530" i="25"/>
  <c r="R538" i="25"/>
  <c r="R546" i="25"/>
  <c r="R554" i="25"/>
  <c r="R562" i="25"/>
  <c r="R570" i="25"/>
  <c r="R578" i="25"/>
  <c r="R586" i="25"/>
  <c r="R594" i="25"/>
  <c r="R602" i="25"/>
  <c r="R610" i="25"/>
  <c r="R618" i="25"/>
  <c r="R626" i="25"/>
  <c r="R634" i="25"/>
  <c r="R642" i="25"/>
  <c r="R650" i="25"/>
  <c r="R658" i="25"/>
  <c r="R666" i="25"/>
  <c r="R674" i="25"/>
  <c r="R682" i="25"/>
  <c r="R690" i="25"/>
  <c r="R698" i="25"/>
  <c r="R706" i="25"/>
  <c r="R714" i="25"/>
  <c r="R722" i="25"/>
  <c r="R730" i="25"/>
  <c r="R738" i="25"/>
  <c r="R746" i="25"/>
  <c r="R754" i="25"/>
  <c r="R762" i="25"/>
  <c r="R770" i="25"/>
  <c r="R778" i="25"/>
  <c r="R786" i="25"/>
  <c r="R794" i="25"/>
  <c r="R802" i="25"/>
  <c r="R810" i="25"/>
  <c r="R818" i="25"/>
  <c r="R826" i="25"/>
  <c r="R834" i="25"/>
  <c r="R842" i="25"/>
  <c r="R850" i="25"/>
  <c r="R858" i="25"/>
  <c r="R866" i="25"/>
  <c r="R874" i="25"/>
  <c r="R882" i="25"/>
  <c r="R890" i="25"/>
  <c r="R898" i="25"/>
  <c r="R906" i="25"/>
  <c r="R914" i="25"/>
  <c r="R922" i="25"/>
  <c r="R930" i="25"/>
  <c r="R938" i="25"/>
  <c r="R946" i="25"/>
  <c r="S667" i="25"/>
  <c r="S678" i="25"/>
  <c r="S689" i="25"/>
  <c r="S699" i="25"/>
  <c r="S710" i="25"/>
  <c r="S721" i="25"/>
  <c r="S731" i="25"/>
  <c r="S742" i="25"/>
  <c r="S753" i="25"/>
  <c r="S763" i="25"/>
  <c r="S771" i="25"/>
  <c r="S779" i="25"/>
  <c r="S787" i="25"/>
  <c r="S795" i="25"/>
  <c r="S803" i="25"/>
  <c r="S811" i="25"/>
  <c r="S819" i="25"/>
  <c r="S827" i="25"/>
  <c r="S835" i="25"/>
  <c r="S843" i="25"/>
  <c r="S851" i="25"/>
  <c r="S859" i="25"/>
  <c r="S867" i="25"/>
  <c r="S875" i="25"/>
  <c r="S883" i="25"/>
  <c r="S891" i="25"/>
  <c r="S899" i="25"/>
  <c r="S907" i="25"/>
  <c r="S915" i="25"/>
  <c r="S923" i="25"/>
  <c r="S931" i="25"/>
  <c r="S939" i="25"/>
  <c r="S947" i="25"/>
  <c r="S955" i="25"/>
  <c r="S963" i="25"/>
  <c r="S971" i="25"/>
  <c r="S979" i="25"/>
  <c r="S987" i="25"/>
  <c r="S995" i="25"/>
  <c r="S1003" i="25"/>
  <c r="S1011" i="25"/>
  <c r="S1019" i="25"/>
  <c r="S1027" i="25"/>
  <c r="S1035" i="25"/>
  <c r="R43" i="25"/>
  <c r="R51" i="25"/>
  <c r="R59" i="25"/>
  <c r="V59" i="25" s="1"/>
  <c r="R67" i="25"/>
  <c r="R75" i="25"/>
  <c r="V75" i="25" s="1"/>
  <c r="R83" i="25"/>
  <c r="V83" i="25" s="1"/>
  <c r="R91" i="25"/>
  <c r="R99" i="25"/>
  <c r="R107" i="25"/>
  <c r="R115" i="25"/>
  <c r="R123" i="25"/>
  <c r="V123" i="25" s="1"/>
  <c r="R131" i="25"/>
  <c r="R139" i="25"/>
  <c r="V139" i="25" s="1"/>
  <c r="R147" i="25"/>
  <c r="V147" i="25" s="1"/>
  <c r="R155" i="25"/>
  <c r="R163" i="25"/>
  <c r="R171" i="25"/>
  <c r="R179" i="25"/>
  <c r="R187" i="25"/>
  <c r="V187" i="25" s="1"/>
  <c r="R195" i="25"/>
  <c r="R203" i="25"/>
  <c r="V203" i="25" s="1"/>
  <c r="R211" i="25"/>
  <c r="V211" i="25" s="1"/>
  <c r="R219" i="25"/>
  <c r="R227" i="25"/>
  <c r="R235" i="25"/>
  <c r="R243" i="25"/>
  <c r="R251" i="25"/>
  <c r="V251" i="25" s="1"/>
  <c r="R259" i="25"/>
  <c r="R267" i="25"/>
  <c r="V267" i="25" s="1"/>
  <c r="R275" i="25"/>
  <c r="V275" i="25" s="1"/>
  <c r="R283" i="25"/>
  <c r="R291" i="25"/>
  <c r="R299" i="25"/>
  <c r="R307" i="25"/>
  <c r="R315" i="25"/>
  <c r="V315" i="25" s="1"/>
  <c r="R323" i="25"/>
  <c r="R331" i="25"/>
  <c r="V331" i="25" s="1"/>
  <c r="R339" i="25"/>
  <c r="V339" i="25" s="1"/>
  <c r="R347" i="25"/>
  <c r="R355" i="25"/>
  <c r="R363" i="25"/>
  <c r="R371" i="25"/>
  <c r="R379" i="25"/>
  <c r="V379" i="25" s="1"/>
  <c r="R387" i="25"/>
  <c r="R395" i="25"/>
  <c r="V395" i="25" s="1"/>
  <c r="R403" i="25"/>
  <c r="R411" i="25"/>
  <c r="R419" i="25"/>
  <c r="R427" i="25"/>
  <c r="R435" i="25"/>
  <c r="R443" i="25"/>
  <c r="R451" i="25"/>
  <c r="R459" i="25"/>
  <c r="R467" i="25"/>
  <c r="R475" i="25"/>
  <c r="R483" i="25"/>
  <c r="R491" i="25"/>
  <c r="R499" i="25"/>
  <c r="R507" i="25"/>
  <c r="R515" i="25"/>
  <c r="R523" i="25"/>
  <c r="R531" i="25"/>
  <c r="R539" i="25"/>
  <c r="R547" i="25"/>
  <c r="R555" i="25"/>
  <c r="R563" i="25"/>
  <c r="R571" i="25"/>
  <c r="R579" i="25"/>
  <c r="R587" i="25"/>
  <c r="R595" i="25"/>
  <c r="R603" i="25"/>
  <c r="R611" i="25"/>
  <c r="R619" i="25"/>
  <c r="R627" i="25"/>
  <c r="R635" i="25"/>
  <c r="R643" i="25"/>
  <c r="R651" i="25"/>
  <c r="R659" i="25"/>
  <c r="R667" i="25"/>
  <c r="R675" i="25"/>
  <c r="R683" i="25"/>
  <c r="R691" i="25"/>
  <c r="R699" i="25"/>
  <c r="R707" i="25"/>
  <c r="R715" i="25"/>
  <c r="R723" i="25"/>
  <c r="R731" i="25"/>
  <c r="R739" i="25"/>
  <c r="R747" i="25"/>
  <c r="R755" i="25"/>
  <c r="R763" i="25"/>
  <c r="R771" i="25"/>
  <c r="R779" i="25"/>
  <c r="R787" i="25"/>
  <c r="R795" i="25"/>
  <c r="R803" i="25"/>
  <c r="R811" i="25"/>
  <c r="R819" i="25"/>
  <c r="R827" i="25"/>
  <c r="R835" i="25"/>
  <c r="R843" i="25"/>
  <c r="R851" i="25"/>
  <c r="R859" i="25"/>
  <c r="R867" i="25"/>
  <c r="R875" i="25"/>
  <c r="R883" i="25"/>
  <c r="R891" i="25"/>
  <c r="R899" i="25"/>
  <c r="R907" i="25"/>
  <c r="R915" i="25"/>
  <c r="R923" i="25"/>
  <c r="R931" i="25"/>
  <c r="R939" i="25"/>
  <c r="R947" i="25"/>
  <c r="R955" i="25"/>
  <c r="R963" i="25"/>
  <c r="R971" i="25"/>
  <c r="R979" i="25"/>
  <c r="R987" i="25"/>
  <c r="R995" i="25"/>
  <c r="R1003" i="25"/>
  <c r="R1011" i="25"/>
  <c r="R1019" i="25"/>
  <c r="R1027" i="25"/>
  <c r="R1035" i="25"/>
  <c r="R940" i="25"/>
  <c r="R949" i="25"/>
  <c r="V949" i="25" s="1"/>
  <c r="R960" i="25"/>
  <c r="R970" i="25"/>
  <c r="R981" i="25"/>
  <c r="R992" i="25"/>
  <c r="R1002" i="25"/>
  <c r="R1013" i="25"/>
  <c r="R1024" i="25"/>
  <c r="R1034" i="25"/>
  <c r="R1037" i="25"/>
  <c r="R1038" i="25"/>
  <c r="R978" i="25"/>
  <c r="R1022" i="25"/>
  <c r="R950" i="25"/>
  <c r="R961" i="25"/>
  <c r="R972" i="25"/>
  <c r="R982" i="25"/>
  <c r="R993" i="25"/>
  <c r="R1004" i="25"/>
  <c r="R1014" i="25"/>
  <c r="R1025" i="25"/>
  <c r="V1025" i="25" s="1"/>
  <c r="R1036" i="25"/>
  <c r="R1026" i="25"/>
  <c r="R1018" i="25"/>
  <c r="R1030" i="25"/>
  <c r="R1010" i="25"/>
  <c r="R1012" i="25"/>
  <c r="R952" i="25"/>
  <c r="R962" i="25"/>
  <c r="R973" i="25"/>
  <c r="R984" i="25"/>
  <c r="R994" i="25"/>
  <c r="R1005" i="25"/>
  <c r="R1016" i="25"/>
  <c r="R997" i="25"/>
  <c r="R1009" i="25"/>
  <c r="R1000" i="25"/>
  <c r="R953" i="25"/>
  <c r="R964" i="25"/>
  <c r="R974" i="25"/>
  <c r="R985" i="25"/>
  <c r="R996" i="25"/>
  <c r="R1006" i="25"/>
  <c r="R1017" i="25"/>
  <c r="R1028" i="25"/>
  <c r="V1028" i="25" s="1"/>
  <c r="R1029" i="25"/>
  <c r="R1020" i="25"/>
  <c r="R1021" i="25"/>
  <c r="R1033" i="25"/>
  <c r="R954" i="25"/>
  <c r="R965" i="25"/>
  <c r="R976" i="25"/>
  <c r="R986" i="25"/>
  <c r="R1008" i="25"/>
  <c r="R1032" i="25"/>
  <c r="R956" i="25"/>
  <c r="R966" i="25"/>
  <c r="R977" i="25"/>
  <c r="R988" i="25"/>
  <c r="R998" i="25"/>
  <c r="R990" i="25"/>
  <c r="R957" i="25"/>
  <c r="R968" i="25"/>
  <c r="R989" i="25"/>
  <c r="R958" i="25"/>
  <c r="R969" i="25"/>
  <c r="R980" i="25"/>
  <c r="R1001" i="25"/>
  <c r="G17" i="1"/>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82" i="5"/>
  <c r="O283" i="5"/>
  <c r="O284" i="5"/>
  <c r="O286" i="5"/>
  <c r="V990" i="25" l="1"/>
  <c r="V635" i="25"/>
  <c r="V571" i="25"/>
  <c r="V443" i="25"/>
  <c r="V658" i="25"/>
  <c r="W721" i="25"/>
  <c r="V297" i="25"/>
  <c r="V233" i="25"/>
  <c r="V169" i="25"/>
  <c r="V105" i="25"/>
  <c r="V41" i="25"/>
  <c r="V627" i="25"/>
  <c r="V563" i="25"/>
  <c r="V499" i="25"/>
  <c r="V435" i="25"/>
  <c r="V730" i="25"/>
  <c r="V366" i="25"/>
  <c r="V302" i="25"/>
  <c r="V238" i="25"/>
  <c r="V174" i="25"/>
  <c r="V110" i="25"/>
  <c r="V46" i="25"/>
  <c r="V360" i="25"/>
  <c r="V296" i="25"/>
  <c r="V232" i="25"/>
  <c r="V168" i="25"/>
  <c r="V104" i="25"/>
  <c r="V1022" i="25"/>
  <c r="W709" i="25"/>
  <c r="V399" i="25"/>
  <c r="V335" i="25"/>
  <c r="V271" i="25"/>
  <c r="V207" i="25"/>
  <c r="V143" i="25"/>
  <c r="V79" i="25"/>
  <c r="V361" i="25"/>
  <c r="V507" i="25"/>
  <c r="V997" i="25"/>
  <c r="V154" i="25"/>
  <c r="V816" i="25"/>
  <c r="V716" i="25"/>
  <c r="V140" i="25"/>
  <c r="V410" i="25"/>
  <c r="V880" i="25"/>
  <c r="V652" i="25"/>
  <c r="V332" i="25"/>
  <c r="V204" i="25"/>
  <c r="V355" i="25"/>
  <c r="V291" i="25"/>
  <c r="V227" i="25"/>
  <c r="V163" i="25"/>
  <c r="V99" i="25"/>
  <c r="V597" i="25"/>
  <c r="V533" i="25"/>
  <c r="V469" i="25"/>
  <c r="V405" i="25"/>
  <c r="V346" i="25"/>
  <c r="V460" i="25"/>
  <c r="V76" i="25"/>
  <c r="V1012" i="25"/>
  <c r="V602" i="25"/>
  <c r="V282" i="25"/>
  <c r="V588" i="25"/>
  <c r="V268" i="25"/>
  <c r="V980" i="25"/>
  <c r="V538" i="25"/>
  <c r="V218" i="25"/>
  <c r="V396" i="25"/>
  <c r="V965" i="25"/>
  <c r="V474" i="25"/>
  <c r="V90" i="25"/>
  <c r="V524" i="25"/>
  <c r="V370" i="25"/>
  <c r="V306" i="25"/>
  <c r="V242" i="25"/>
  <c r="V178" i="25"/>
  <c r="V114" i="25"/>
  <c r="V50" i="25"/>
  <c r="V755" i="25"/>
  <c r="V996" i="25"/>
  <c r="V642" i="25"/>
  <c r="V578" i="25"/>
  <c r="V514" i="25"/>
  <c r="V450" i="25"/>
  <c r="V625" i="25"/>
  <c r="V561" i="25"/>
  <c r="V497" i="25"/>
  <c r="V433" i="25"/>
  <c r="V369" i="25"/>
  <c r="V305" i="25"/>
  <c r="V241" i="25"/>
  <c r="V177" i="25"/>
  <c r="V113" i="25"/>
  <c r="V49" i="25"/>
  <c r="V1013" i="25"/>
  <c r="V643" i="25"/>
  <c r="V579" i="25"/>
  <c r="V515" i="25"/>
  <c r="V451" i="25"/>
  <c r="V682" i="25"/>
  <c r="V618" i="25"/>
  <c r="V554" i="25"/>
  <c r="V490" i="25"/>
  <c r="V426" i="25"/>
  <c r="V362" i="25"/>
  <c r="V298" i="25"/>
  <c r="V234" i="25"/>
  <c r="V170" i="25"/>
  <c r="V106" i="25"/>
  <c r="V42" i="25"/>
  <c r="V702" i="25"/>
  <c r="V638" i="25"/>
  <c r="V574" i="25"/>
  <c r="V510" i="25"/>
  <c r="V446" i="25"/>
  <c r="W677" i="25"/>
  <c r="W741" i="25"/>
  <c r="V679" i="25"/>
  <c r="V598" i="25"/>
  <c r="V534" i="25"/>
  <c r="V470" i="25"/>
  <c r="V406" i="25"/>
  <c r="V984" i="25"/>
  <c r="V666" i="25"/>
  <c r="V752" i="25"/>
  <c r="V688" i="25"/>
  <c r="V624" i="25"/>
  <c r="V560" i="25"/>
  <c r="V496" i="25"/>
  <c r="V432" i="25"/>
  <c r="V368" i="25"/>
  <c r="V304" i="25"/>
  <c r="V240" i="25"/>
  <c r="V176" i="25"/>
  <c r="V112" i="25"/>
  <c r="V48" i="25"/>
  <c r="V733" i="25"/>
  <c r="V605" i="25"/>
  <c r="V541" i="25"/>
  <c r="V477" i="25"/>
  <c r="V413" i="25"/>
  <c r="V349" i="25"/>
  <c r="V285" i="25"/>
  <c r="V221" i="25"/>
  <c r="V157" i="25"/>
  <c r="V93" i="25"/>
  <c r="V364" i="25"/>
  <c r="V300" i="25"/>
  <c r="V236" i="25"/>
  <c r="V172" i="25"/>
  <c r="V108" i="25"/>
  <c r="V44" i="25"/>
  <c r="V376" i="25"/>
  <c r="V312" i="25"/>
  <c r="V248" i="25"/>
  <c r="V184" i="25"/>
  <c r="V120" i="25"/>
  <c r="V56" i="25"/>
  <c r="V613" i="25"/>
  <c r="V549" i="25"/>
  <c r="V485" i="25"/>
  <c r="V421" i="25"/>
  <c r="V619" i="25"/>
  <c r="V299" i="25"/>
  <c r="V585" i="25"/>
  <c r="V73" i="25"/>
  <c r="V555" i="25"/>
  <c r="V235" i="25"/>
  <c r="V393" i="25"/>
  <c r="V137" i="25"/>
  <c r="V1010" i="25"/>
  <c r="V993" i="25"/>
  <c r="V960" i="25"/>
  <c r="V614" i="25"/>
  <c r="V550" i="25"/>
  <c r="V486" i="25"/>
  <c r="V422" i="25"/>
  <c r="V427" i="25"/>
  <c r="V107" i="25"/>
  <c r="V521" i="25"/>
  <c r="V329" i="25"/>
  <c r="V1024" i="25"/>
  <c r="V920" i="25"/>
  <c r="V856" i="25"/>
  <c r="V792" i="25"/>
  <c r="V756" i="25"/>
  <c r="V692" i="25"/>
  <c r="V628" i="25"/>
  <c r="V564" i="25"/>
  <c r="V500" i="25"/>
  <c r="V436" i="25"/>
  <c r="V491" i="25"/>
  <c r="V171" i="25"/>
  <c r="V649" i="25"/>
  <c r="V201" i="25"/>
  <c r="V988" i="25"/>
  <c r="V747" i="25"/>
  <c r="V363" i="25"/>
  <c r="V43" i="25"/>
  <c r="W687" i="25"/>
  <c r="V457" i="25"/>
  <c r="V265" i="25"/>
  <c r="V1027" i="25"/>
  <c r="V963" i="25"/>
  <c r="V899" i="25"/>
  <c r="V835" i="25"/>
  <c r="V771" i="25"/>
  <c r="V983" i="25"/>
  <c r="V919" i="25"/>
  <c r="V855" i="25"/>
  <c r="V791" i="25"/>
  <c r="V599" i="25"/>
  <c r="V535" i="25"/>
  <c r="V471" i="25"/>
  <c r="V407" i="25"/>
  <c r="V343" i="25"/>
  <c r="V279" i="25"/>
  <c r="V215" i="25"/>
  <c r="V151" i="25"/>
  <c r="V87" i="25"/>
  <c r="V885" i="25"/>
  <c r="V821" i="25"/>
  <c r="V371" i="25"/>
  <c r="V307" i="25"/>
  <c r="V243" i="25"/>
  <c r="V179" i="25"/>
  <c r="V115" i="25"/>
  <c r="V51" i="25"/>
  <c r="V674" i="25"/>
  <c r="V374" i="25"/>
  <c r="V310" i="25"/>
  <c r="V246" i="25"/>
  <c r="V182" i="25"/>
  <c r="V118" i="25"/>
  <c r="V54" i="25"/>
  <c r="V969" i="25"/>
  <c r="V722" i="25"/>
  <c r="V705" i="25"/>
  <c r="V603" i="25"/>
  <c r="V539" i="25"/>
  <c r="V475" i="25"/>
  <c r="V411" i="25"/>
  <c r="V347" i="25"/>
  <c r="V283" i="25"/>
  <c r="V219" i="25"/>
  <c r="V155" i="25"/>
  <c r="V91" i="25"/>
  <c r="V670" i="25"/>
  <c r="V386" i="25"/>
  <c r="V258" i="25"/>
  <c r="V130" i="25"/>
  <c r="V634" i="25"/>
  <c r="V570" i="25"/>
  <c r="V506" i="25"/>
  <c r="V442" i="25"/>
  <c r="V378" i="25"/>
  <c r="V314" i="25"/>
  <c r="V250" i="25"/>
  <c r="V186" i="25"/>
  <c r="V122" i="25"/>
  <c r="V58" i="25"/>
  <c r="V745" i="25"/>
  <c r="V617" i="25"/>
  <c r="V553" i="25"/>
  <c r="V489" i="25"/>
  <c r="V425" i="25"/>
  <c r="V720" i="25"/>
  <c r="V656" i="25"/>
  <c r="V592" i="25"/>
  <c r="V528" i="25"/>
  <c r="V464" i="25"/>
  <c r="V400" i="25"/>
  <c r="V336" i="25"/>
  <c r="V272" i="25"/>
  <c r="V208" i="25"/>
  <c r="V144" i="25"/>
  <c r="V80" i="25"/>
  <c r="V972" i="25"/>
  <c r="V322" i="25"/>
  <c r="V194" i="25"/>
  <c r="V66" i="25"/>
  <c r="V1036" i="25"/>
  <c r="V387" i="25"/>
  <c r="V323" i="25"/>
  <c r="V259" i="25"/>
  <c r="V195" i="25"/>
  <c r="V131" i="25"/>
  <c r="V67" i="25"/>
  <c r="V353" i="25"/>
  <c r="V289" i="25"/>
  <c r="V225" i="25"/>
  <c r="V161" i="25"/>
  <c r="V97" i="25"/>
  <c r="V998" i="25"/>
  <c r="V1017" i="25"/>
  <c r="V952" i="25"/>
  <c r="V610" i="25"/>
  <c r="V546" i="25"/>
  <c r="V482" i="25"/>
  <c r="V418" i="25"/>
  <c r="V354" i="25"/>
  <c r="V290" i="25"/>
  <c r="V226" i="25"/>
  <c r="V162" i="25"/>
  <c r="V98" i="25"/>
  <c r="V657" i="25"/>
  <c r="V593" i="25"/>
  <c r="V529" i="25"/>
  <c r="V465" i="25"/>
  <c r="V401" i="25"/>
  <c r="V337" i="25"/>
  <c r="V273" i="25"/>
  <c r="V209" i="25"/>
  <c r="V145" i="25"/>
  <c r="V81" i="25"/>
  <c r="V760" i="25"/>
  <c r="V696" i="25"/>
  <c r="V632" i="25"/>
  <c r="V568" i="25"/>
  <c r="V504" i="25"/>
  <c r="V440" i="25"/>
  <c r="W717" i="25"/>
  <c r="V391" i="25"/>
  <c r="V327" i="25"/>
  <c r="V263" i="25"/>
  <c r="V199" i="25"/>
  <c r="V135" i="25"/>
  <c r="V71" i="25"/>
  <c r="V357" i="25"/>
  <c r="V293" i="25"/>
  <c r="V229" i="25"/>
  <c r="V165" i="25"/>
  <c r="V101" i="25"/>
  <c r="V724" i="25"/>
  <c r="V660" i="25"/>
  <c r="V596" i="25"/>
  <c r="V468" i="25"/>
  <c r="V404" i="25"/>
  <c r="V340" i="25"/>
  <c r="V276" i="25"/>
  <c r="V212" i="25"/>
  <c r="V148" i="25"/>
  <c r="V84" i="25"/>
  <c r="V1016" i="25"/>
  <c r="V1037" i="25"/>
  <c r="V739" i="25"/>
  <c r="V675" i="25"/>
  <c r="V611" i="25"/>
  <c r="V547" i="25"/>
  <c r="V483" i="25"/>
  <c r="V419" i="25"/>
  <c r="V631" i="25"/>
  <c r="V567" i="25"/>
  <c r="V503" i="25"/>
  <c r="V439" i="25"/>
  <c r="V958" i="25"/>
  <c r="V966" i="25"/>
  <c r="V1005" i="25"/>
  <c r="V1030" i="25"/>
  <c r="W751" i="25"/>
  <c r="V623" i="25"/>
  <c r="V559" i="25"/>
  <c r="V495" i="25"/>
  <c r="V431" i="25"/>
  <c r="V367" i="25"/>
  <c r="V303" i="25"/>
  <c r="V239" i="25"/>
  <c r="V175" i="25"/>
  <c r="V111" i="25"/>
  <c r="V47" i="25"/>
  <c r="V606" i="25"/>
  <c r="V542" i="25"/>
  <c r="V478" i="25"/>
  <c r="V414" i="25"/>
  <c r="V350" i="25"/>
  <c r="V286" i="25"/>
  <c r="V222" i="25"/>
  <c r="V158" i="25"/>
  <c r="V94" i="25"/>
  <c r="V970" i="25"/>
  <c r="V956" i="25"/>
  <c r="V728" i="25"/>
  <c r="V664" i="25"/>
  <c r="V600" i="25"/>
  <c r="V536" i="25"/>
  <c r="V472" i="25"/>
  <c r="V408" i="25"/>
  <c r="V344" i="25"/>
  <c r="V280" i="25"/>
  <c r="V216" i="25"/>
  <c r="V152" i="25"/>
  <c r="V88" i="25"/>
  <c r="V342" i="25"/>
  <c r="V214" i="25"/>
  <c r="V150" i="25"/>
  <c r="V86" i="25"/>
  <c r="V645" i="25"/>
  <c r="V581" i="25"/>
  <c r="V517" i="25"/>
  <c r="V453" i="25"/>
  <c r="V389" i="25"/>
  <c r="V325" i="25"/>
  <c r="V261" i="25"/>
  <c r="V197" i="25"/>
  <c r="V133" i="25"/>
  <c r="V69" i="25"/>
  <c r="V372" i="25"/>
  <c r="V308" i="25"/>
  <c r="V244" i="25"/>
  <c r="V180" i="25"/>
  <c r="V116" i="25"/>
  <c r="V52" i="25"/>
  <c r="V713" i="25"/>
  <c r="V1020" i="25"/>
  <c r="V964" i="25"/>
  <c r="V671" i="25"/>
  <c r="V953" i="25"/>
  <c r="V973" i="25"/>
  <c r="V902" i="25"/>
  <c r="V838" i="25"/>
  <c r="V774" i="25"/>
  <c r="V1026" i="25"/>
  <c r="V962" i="25"/>
  <c r="V665" i="25"/>
  <c r="V655" i="25"/>
  <c r="V591" i="25"/>
  <c r="V527" i="25"/>
  <c r="V463" i="25"/>
  <c r="W758" i="25"/>
  <c r="V976" i="25"/>
  <c r="V1009" i="25"/>
  <c r="V1014" i="25"/>
  <c r="V1011" i="25"/>
  <c r="V947" i="25"/>
  <c r="V883" i="25"/>
  <c r="V819" i="25"/>
  <c r="V691" i="25"/>
  <c r="V930" i="25"/>
  <c r="V866" i="25"/>
  <c r="V802" i="25"/>
  <c r="V913" i="25"/>
  <c r="V849" i="25"/>
  <c r="V785" i="25"/>
  <c r="V886" i="25"/>
  <c r="V822" i="25"/>
  <c r="V630" i="25"/>
  <c r="V566" i="25"/>
  <c r="V502" i="25"/>
  <c r="V438" i="25"/>
  <c r="V933" i="25"/>
  <c r="V869" i="25"/>
  <c r="V805" i="25"/>
  <c r="V916" i="25"/>
  <c r="V852" i="25"/>
  <c r="V788" i="25"/>
  <c r="V594" i="25"/>
  <c r="V530" i="25"/>
  <c r="V466" i="25"/>
  <c r="V402" i="25"/>
  <c r="V338" i="25"/>
  <c r="V274" i="25"/>
  <c r="V210" i="25"/>
  <c r="V146" i="25"/>
  <c r="V82" i="25"/>
  <c r="V641" i="25"/>
  <c r="V577" i="25"/>
  <c r="V513" i="25"/>
  <c r="V449" i="25"/>
  <c r="V385" i="25"/>
  <c r="V321" i="25"/>
  <c r="V257" i="25"/>
  <c r="V193" i="25"/>
  <c r="V129" i="25"/>
  <c r="V65" i="25"/>
  <c r="V944" i="25"/>
  <c r="V872" i="25"/>
  <c r="V808" i="25"/>
  <c r="V744" i="25"/>
  <c r="V680" i="25"/>
  <c r="V616" i="25"/>
  <c r="V552" i="25"/>
  <c r="V488" i="25"/>
  <c r="V424" i="25"/>
  <c r="V375" i="25"/>
  <c r="V311" i="25"/>
  <c r="V247" i="25"/>
  <c r="V183" i="25"/>
  <c r="V119" i="25"/>
  <c r="V55" i="25"/>
  <c r="V341" i="25"/>
  <c r="V277" i="25"/>
  <c r="V213" i="25"/>
  <c r="V149" i="25"/>
  <c r="V85" i="25"/>
  <c r="V708" i="25"/>
  <c r="V644" i="25"/>
  <c r="V580" i="25"/>
  <c r="V516" i="25"/>
  <c r="V452" i="25"/>
  <c r="V388" i="25"/>
  <c r="V324" i="25"/>
  <c r="V260" i="25"/>
  <c r="V196" i="25"/>
  <c r="V132" i="25"/>
  <c r="V68" i="25"/>
  <c r="V977" i="25"/>
  <c r="V982" i="25"/>
  <c r="V714" i="25"/>
  <c r="V734" i="25"/>
  <c r="V989" i="25"/>
  <c r="V994" i="25"/>
  <c r="V979" i="25"/>
  <c r="V915" i="25"/>
  <c r="V851" i="25"/>
  <c r="V787" i="25"/>
  <c r="V723" i="25"/>
  <c r="V659" i="25"/>
  <c r="V595" i="25"/>
  <c r="V531" i="25"/>
  <c r="V467" i="25"/>
  <c r="V403" i="25"/>
  <c r="V898" i="25"/>
  <c r="V834" i="25"/>
  <c r="V770" i="25"/>
  <c r="V706" i="25"/>
  <c r="V945" i="25"/>
  <c r="V881" i="25"/>
  <c r="V817" i="25"/>
  <c r="W718" i="25"/>
  <c r="V999" i="25"/>
  <c r="V935" i="25"/>
  <c r="V871" i="25"/>
  <c r="V807" i="25"/>
  <c r="V615" i="25"/>
  <c r="V551" i="25"/>
  <c r="V487" i="25"/>
  <c r="V423" i="25"/>
  <c r="V359" i="25"/>
  <c r="V295" i="25"/>
  <c r="V231" i="25"/>
  <c r="V167" i="25"/>
  <c r="V103" i="25"/>
  <c r="V918" i="25"/>
  <c r="V854" i="25"/>
  <c r="V790" i="25"/>
  <c r="V901" i="25"/>
  <c r="V837" i="25"/>
  <c r="V773" i="25"/>
  <c r="V884" i="25"/>
  <c r="V820" i="25"/>
  <c r="V912" i="25"/>
  <c r="V784" i="25"/>
  <c r="V398" i="25"/>
  <c r="V334" i="25"/>
  <c r="V270" i="25"/>
  <c r="V206" i="25"/>
  <c r="V142" i="25"/>
  <c r="V78" i="25"/>
  <c r="V637" i="25"/>
  <c r="V573" i="25"/>
  <c r="V509" i="25"/>
  <c r="V445" i="25"/>
  <c r="V381" i="25"/>
  <c r="V317" i="25"/>
  <c r="V253" i="25"/>
  <c r="V189" i="25"/>
  <c r="V125" i="25"/>
  <c r="V61" i="25"/>
  <c r="V948" i="25"/>
  <c r="V748" i="25"/>
  <c r="V684" i="25"/>
  <c r="V620" i="25"/>
  <c r="V556" i="25"/>
  <c r="V492" i="25"/>
  <c r="V428" i="25"/>
  <c r="V848" i="25"/>
  <c r="V1008" i="25"/>
  <c r="V1029" i="25"/>
  <c r="V950" i="25"/>
  <c r="V707" i="25"/>
  <c r="V712" i="25"/>
  <c r="V648" i="25"/>
  <c r="V584" i="25"/>
  <c r="V520" i="25"/>
  <c r="V456" i="25"/>
  <c r="V392" i="25"/>
  <c r="V328" i="25"/>
  <c r="V264" i="25"/>
  <c r="V200" i="25"/>
  <c r="V136" i="25"/>
  <c r="V72" i="25"/>
  <c r="W936" i="25"/>
  <c r="V629" i="25"/>
  <c r="V565" i="25"/>
  <c r="V501" i="25"/>
  <c r="V437" i="25"/>
  <c r="V373" i="25"/>
  <c r="V309" i="25"/>
  <c r="V245" i="25"/>
  <c r="V181" i="25"/>
  <c r="V117" i="25"/>
  <c r="V53" i="25"/>
  <c r="V356" i="25"/>
  <c r="V292" i="25"/>
  <c r="V228" i="25"/>
  <c r="V164" i="25"/>
  <c r="V100" i="25"/>
  <c r="V882" i="25"/>
  <c r="V690" i="25"/>
  <c r="V498" i="25"/>
  <c r="V801" i="25"/>
  <c r="V609" i="25"/>
  <c r="V417" i="25"/>
  <c r="V840" i="25"/>
  <c r="V582" i="25"/>
  <c r="V986" i="25"/>
  <c r="V1000" i="25"/>
  <c r="V992" i="25"/>
  <c r="V1019" i="25"/>
  <c r="V955" i="25"/>
  <c r="V891" i="25"/>
  <c r="V827" i="25"/>
  <c r="V763" i="25"/>
  <c r="V699" i="25"/>
  <c r="V938" i="25"/>
  <c r="V874" i="25"/>
  <c r="V810" i="25"/>
  <c r="V746" i="25"/>
  <c r="V921" i="25"/>
  <c r="V857" i="25"/>
  <c r="V793" i="25"/>
  <c r="W686" i="25"/>
  <c r="V896" i="25"/>
  <c r="V832" i="25"/>
  <c r="V768" i="25"/>
  <c r="V704" i="25"/>
  <c r="V640" i="25"/>
  <c r="V576" i="25"/>
  <c r="V512" i="25"/>
  <c r="V448" i="25"/>
  <c r="V384" i="25"/>
  <c r="V320" i="25"/>
  <c r="V256" i="25"/>
  <c r="V192" i="25"/>
  <c r="V128" i="25"/>
  <c r="V64" i="25"/>
  <c r="W727" i="25"/>
  <c r="V1039" i="25"/>
  <c r="V975" i="25"/>
  <c r="V911" i="25"/>
  <c r="V847" i="25"/>
  <c r="V783" i="25"/>
  <c r="V894" i="25"/>
  <c r="V830" i="25"/>
  <c r="V766" i="25"/>
  <c r="V941" i="25"/>
  <c r="V877" i="25"/>
  <c r="V813" i="25"/>
  <c r="V621" i="25"/>
  <c r="V557" i="25"/>
  <c r="V493" i="25"/>
  <c r="V429" i="25"/>
  <c r="V365" i="25"/>
  <c r="V301" i="25"/>
  <c r="V237" i="25"/>
  <c r="V173" i="25"/>
  <c r="V109" i="25"/>
  <c r="V45" i="25"/>
  <c r="V924" i="25"/>
  <c r="V860" i="25"/>
  <c r="V796" i="25"/>
  <c r="V732" i="25"/>
  <c r="V668" i="25"/>
  <c r="V604" i="25"/>
  <c r="V540" i="25"/>
  <c r="V476" i="25"/>
  <c r="V412" i="25"/>
  <c r="V348" i="25"/>
  <c r="V284" i="25"/>
  <c r="V220" i="25"/>
  <c r="V156" i="25"/>
  <c r="V92" i="25"/>
  <c r="V957" i="25"/>
  <c r="W742" i="25"/>
  <c r="V818" i="25"/>
  <c r="V626" i="25"/>
  <c r="V434" i="25"/>
  <c r="V865" i="25"/>
  <c r="V481" i="25"/>
  <c r="V776" i="25"/>
  <c r="V454" i="25"/>
  <c r="V1001" i="25"/>
  <c r="V981" i="25"/>
  <c r="V738" i="25"/>
  <c r="V1031" i="25"/>
  <c r="V967" i="25"/>
  <c r="V903" i="25"/>
  <c r="V839" i="25"/>
  <c r="V775" i="25"/>
  <c r="V711" i="25"/>
  <c r="V647" i="25"/>
  <c r="V583" i="25"/>
  <c r="V519" i="25"/>
  <c r="V455" i="25"/>
  <c r="V1006" i="25"/>
  <c r="V1004" i="25"/>
  <c r="V1038" i="25"/>
  <c r="V1003" i="25"/>
  <c r="V939" i="25"/>
  <c r="V683" i="25"/>
  <c r="W710" i="25"/>
  <c r="V922" i="25"/>
  <c r="V858" i="25"/>
  <c r="V794" i="25"/>
  <c r="V905" i="25"/>
  <c r="V841" i="25"/>
  <c r="V777" i="25"/>
  <c r="W750" i="25"/>
  <c r="V1023" i="25"/>
  <c r="V959" i="25"/>
  <c r="V895" i="25"/>
  <c r="V831" i="25"/>
  <c r="V767" i="25"/>
  <c r="V703" i="25"/>
  <c r="V639" i="25"/>
  <c r="V575" i="25"/>
  <c r="V511" i="25"/>
  <c r="V447" i="25"/>
  <c r="V383" i="25"/>
  <c r="V319" i="25"/>
  <c r="V255" i="25"/>
  <c r="V191" i="25"/>
  <c r="V127" i="25"/>
  <c r="V63" i="25"/>
  <c r="V942" i="25"/>
  <c r="V878" i="25"/>
  <c r="V814" i="25"/>
  <c r="V622" i="25"/>
  <c r="V558" i="25"/>
  <c r="V494" i="25"/>
  <c r="V430" i="25"/>
  <c r="V925" i="25"/>
  <c r="V861" i="25"/>
  <c r="V797" i="25"/>
  <c r="V908" i="25"/>
  <c r="V844" i="25"/>
  <c r="V780" i="25"/>
  <c r="V1033" i="25"/>
  <c r="V650" i="25"/>
  <c r="V586" i="25"/>
  <c r="V522" i="25"/>
  <c r="V458" i="25"/>
  <c r="V394" i="25"/>
  <c r="V330" i="25"/>
  <c r="V266" i="25"/>
  <c r="V202" i="25"/>
  <c r="V138" i="25"/>
  <c r="V74" i="25"/>
  <c r="V633" i="25"/>
  <c r="V569" i="25"/>
  <c r="V505" i="25"/>
  <c r="V441" i="25"/>
  <c r="V377" i="25"/>
  <c r="V313" i="25"/>
  <c r="V249" i="25"/>
  <c r="V185" i="25"/>
  <c r="V121" i="25"/>
  <c r="V57" i="25"/>
  <c r="V736" i="25"/>
  <c r="V672" i="25"/>
  <c r="V608" i="25"/>
  <c r="V544" i="25"/>
  <c r="V480" i="25"/>
  <c r="V416" i="25"/>
  <c r="V352" i="25"/>
  <c r="V288" i="25"/>
  <c r="V224" i="25"/>
  <c r="V160" i="25"/>
  <c r="V96" i="25"/>
  <c r="V653" i="25"/>
  <c r="V589" i="25"/>
  <c r="V525" i="25"/>
  <c r="V461" i="25"/>
  <c r="V397" i="25"/>
  <c r="V333" i="25"/>
  <c r="V269" i="25"/>
  <c r="V205" i="25"/>
  <c r="V141" i="25"/>
  <c r="V77" i="25"/>
  <c r="V700" i="25"/>
  <c r="V636" i="25"/>
  <c r="V572" i="25"/>
  <c r="V508" i="25"/>
  <c r="V444" i="25"/>
  <c r="V380" i="25"/>
  <c r="V316" i="25"/>
  <c r="V252" i="25"/>
  <c r="V188" i="25"/>
  <c r="V124" i="25"/>
  <c r="V60" i="25"/>
  <c r="V974" i="25"/>
  <c r="V940" i="25"/>
  <c r="W678" i="25"/>
  <c r="V743" i="25"/>
  <c r="W695" i="25"/>
  <c r="V1021" i="25"/>
  <c r="V1018" i="25"/>
  <c r="V968" i="25"/>
  <c r="V1032" i="25"/>
  <c r="V1035" i="25"/>
  <c r="V971" i="25"/>
  <c r="V907" i="25"/>
  <c r="V843" i="25"/>
  <c r="V779" i="25"/>
  <c r="V715" i="25"/>
  <c r="V651" i="25"/>
  <c r="V587" i="25"/>
  <c r="V523" i="25"/>
  <c r="V459" i="25"/>
  <c r="V890" i="25"/>
  <c r="V826" i="25"/>
  <c r="V762" i="25"/>
  <c r="V937" i="25"/>
  <c r="V873" i="25"/>
  <c r="V809" i="25"/>
  <c r="V681" i="25"/>
  <c r="V991" i="25"/>
  <c r="V927" i="25"/>
  <c r="V863" i="25"/>
  <c r="V799" i="25"/>
  <c r="V607" i="25"/>
  <c r="V543" i="25"/>
  <c r="V479" i="25"/>
  <c r="V415" i="25"/>
  <c r="V351" i="25"/>
  <c r="V287" i="25"/>
  <c r="V223" i="25"/>
  <c r="V159" i="25"/>
  <c r="V95" i="25"/>
  <c r="V910" i="25"/>
  <c r="V846" i="25"/>
  <c r="V782" i="25"/>
  <c r="V654" i="25"/>
  <c r="V590" i="25"/>
  <c r="V526" i="25"/>
  <c r="V462" i="25"/>
  <c r="V893" i="25"/>
  <c r="V829" i="25"/>
  <c r="V765" i="25"/>
  <c r="V701" i="25"/>
  <c r="V876" i="25"/>
  <c r="V812" i="25"/>
  <c r="V946" i="25"/>
  <c r="V754" i="25"/>
  <c r="V562" i="25"/>
  <c r="V929" i="25"/>
  <c r="V737" i="25"/>
  <c r="V904" i="25"/>
  <c r="V646" i="25"/>
  <c r="V518" i="25"/>
  <c r="V390" i="25"/>
  <c r="V326" i="25"/>
  <c r="V262" i="25"/>
  <c r="V198" i="25"/>
  <c r="V134" i="25"/>
  <c r="V70" i="25"/>
  <c r="W661" i="25"/>
  <c r="V932" i="25"/>
  <c r="V868" i="25"/>
  <c r="V804" i="25"/>
  <c r="V740" i="25"/>
  <c r="V676" i="25"/>
  <c r="V612" i="25"/>
  <c r="V548" i="25"/>
  <c r="V484" i="25"/>
  <c r="V420" i="25"/>
  <c r="V954" i="25"/>
  <c r="V875" i="25"/>
  <c r="V811" i="25"/>
  <c r="V545" i="25"/>
  <c r="V532" i="25"/>
  <c r="V278" i="25"/>
  <c r="W759" i="25"/>
  <c r="W725" i="25"/>
  <c r="W1002" i="25"/>
  <c r="V753" i="25"/>
  <c r="V689" i="25"/>
  <c r="W985" i="25"/>
  <c r="W888" i="25"/>
  <c r="W824" i="25"/>
  <c r="V726" i="25"/>
  <c r="V662" i="25"/>
  <c r="W667" i="25"/>
  <c r="W697" i="25"/>
  <c r="V663" i="25"/>
  <c r="V757" i="25"/>
  <c r="V693" i="25"/>
  <c r="W995" i="25"/>
  <c r="W931" i="25"/>
  <c r="W867" i="25"/>
  <c r="W803" i="25"/>
  <c r="W731" i="25"/>
  <c r="W978" i="25"/>
  <c r="W914" i="25"/>
  <c r="W850" i="25"/>
  <c r="W786" i="25"/>
  <c r="W961" i="25"/>
  <c r="W897" i="25"/>
  <c r="W833" i="25"/>
  <c r="W769" i="25"/>
  <c r="W928" i="25"/>
  <c r="W864" i="25"/>
  <c r="W800" i="25"/>
  <c r="V719" i="25"/>
  <c r="W1015" i="25"/>
  <c r="W951" i="25"/>
  <c r="W887" i="25"/>
  <c r="W823" i="25"/>
  <c r="W673" i="25"/>
  <c r="W934" i="25"/>
  <c r="W870" i="25"/>
  <c r="W806" i="25"/>
  <c r="W735" i="25"/>
  <c r="V749" i="25"/>
  <c r="V685" i="25"/>
  <c r="W917" i="25"/>
  <c r="W853" i="25"/>
  <c r="W789" i="25"/>
  <c r="W900" i="25"/>
  <c r="W836" i="25"/>
  <c r="W772" i="25"/>
  <c r="W987" i="25"/>
  <c r="W923" i="25"/>
  <c r="W859" i="25"/>
  <c r="W795" i="25"/>
  <c r="W1034" i="25"/>
  <c r="W906" i="25"/>
  <c r="W842" i="25"/>
  <c r="W778" i="25"/>
  <c r="W698" i="25"/>
  <c r="W889" i="25"/>
  <c r="W825" i="25"/>
  <c r="W761" i="25"/>
  <c r="W1007" i="25"/>
  <c r="W943" i="25"/>
  <c r="W879" i="25"/>
  <c r="W815" i="25"/>
  <c r="V694" i="25"/>
  <c r="W926" i="25"/>
  <c r="W862" i="25"/>
  <c r="W798" i="25"/>
  <c r="W909" i="25"/>
  <c r="W845" i="25"/>
  <c r="W781" i="25"/>
  <c r="W892" i="25"/>
  <c r="W828" i="25"/>
  <c r="W764" i="25"/>
  <c r="W1025" i="25"/>
  <c r="W992" i="25"/>
  <c r="W998" i="25"/>
  <c r="W981" i="25"/>
  <c r="W713" i="25"/>
  <c r="W1028" i="25"/>
  <c r="W964" i="25"/>
  <c r="W690" i="25"/>
  <c r="W728" i="25"/>
  <c r="W664" i="25"/>
  <c r="W600" i="25"/>
  <c r="W536" i="25"/>
  <c r="W472" i="25"/>
  <c r="W408" i="25"/>
  <c r="W344" i="25"/>
  <c r="W280" i="25"/>
  <c r="W216" i="25"/>
  <c r="W152" i="25"/>
  <c r="W88" i="25"/>
  <c r="X1016" i="25"/>
  <c r="X952" i="25"/>
  <c r="X888" i="25"/>
  <c r="X824" i="25"/>
  <c r="X760" i="25"/>
  <c r="X696" i="25"/>
  <c r="X632" i="25"/>
  <c r="X568" i="25"/>
  <c r="X504" i="25"/>
  <c r="X440" i="25"/>
  <c r="W631" i="25"/>
  <c r="W567" i="25"/>
  <c r="W503" i="25"/>
  <c r="W439" i="25"/>
  <c r="W375" i="25"/>
  <c r="W311" i="25"/>
  <c r="W247" i="25"/>
  <c r="W183" i="25"/>
  <c r="W119" i="25"/>
  <c r="W55" i="25"/>
  <c r="X991" i="25"/>
  <c r="X927" i="25"/>
  <c r="X863" i="25"/>
  <c r="X799" i="25"/>
  <c r="X735" i="25"/>
  <c r="X671" i="25"/>
  <c r="X607" i="25"/>
  <c r="X543" i="25"/>
  <c r="X479" i="25"/>
  <c r="X415" i="25"/>
  <c r="W606" i="25"/>
  <c r="W542" i="25"/>
  <c r="W478" i="25"/>
  <c r="W414" i="25"/>
  <c r="W350" i="25"/>
  <c r="W286" i="25"/>
  <c r="W222" i="25"/>
  <c r="W158" i="25"/>
  <c r="W94" i="25"/>
  <c r="X1030" i="25"/>
  <c r="X966" i="25"/>
  <c r="X902" i="25"/>
  <c r="X838" i="25"/>
  <c r="X774" i="25"/>
  <c r="V978" i="25"/>
  <c r="W970" i="25"/>
  <c r="V721" i="25"/>
  <c r="W1017" i="25"/>
  <c r="W953" i="25"/>
  <c r="W675" i="25"/>
  <c r="V888" i="25"/>
  <c r="V824" i="25"/>
  <c r="W984" i="25"/>
  <c r="W920" i="25"/>
  <c r="W856" i="25"/>
  <c r="W792" i="25"/>
  <c r="W747" i="25"/>
  <c r="W662" i="25"/>
  <c r="V758" i="25"/>
  <c r="W990" i="25"/>
  <c r="V741" i="25"/>
  <c r="V677" i="25"/>
  <c r="W1037" i="25"/>
  <c r="W973" i="25"/>
  <c r="W702" i="25"/>
  <c r="W1020" i="25"/>
  <c r="W956" i="25"/>
  <c r="W679" i="25"/>
  <c r="W720" i="25"/>
  <c r="W656" i="25"/>
  <c r="W592" i="25"/>
  <c r="W528" i="25"/>
  <c r="W464" i="25"/>
  <c r="W400" i="25"/>
  <c r="W336" i="25"/>
  <c r="W272" i="25"/>
  <c r="W208" i="25"/>
  <c r="W144" i="25"/>
  <c r="W979" i="25"/>
  <c r="W915" i="25"/>
  <c r="W851" i="25"/>
  <c r="W787" i="25"/>
  <c r="W1026" i="25"/>
  <c r="W962" i="25"/>
  <c r="W898" i="25"/>
  <c r="W834" i="25"/>
  <c r="W770" i="25"/>
  <c r="W1009" i="25"/>
  <c r="W945" i="25"/>
  <c r="W881" i="25"/>
  <c r="W817" i="25"/>
  <c r="W665" i="25"/>
  <c r="W976" i="25"/>
  <c r="W912" i="25"/>
  <c r="W848" i="25"/>
  <c r="W784" i="25"/>
  <c r="W706" i="25"/>
  <c r="W999" i="25"/>
  <c r="W935" i="25"/>
  <c r="W871" i="25"/>
  <c r="W807" i="25"/>
  <c r="W737" i="25"/>
  <c r="V750" i="25"/>
  <c r="V686" i="25"/>
  <c r="W982" i="25"/>
  <c r="W918" i="25"/>
  <c r="W854" i="25"/>
  <c r="W790" i="25"/>
  <c r="W714" i="25"/>
  <c r="W1029" i="25"/>
  <c r="W965" i="25"/>
  <c r="W901" i="25"/>
  <c r="W837" i="25"/>
  <c r="W773" i="25"/>
  <c r="W691" i="25"/>
  <c r="V995" i="25"/>
  <c r="V931" i="25"/>
  <c r="V867" i="25"/>
  <c r="V803" i="25"/>
  <c r="W1035" i="25"/>
  <c r="W971" i="25"/>
  <c r="W907" i="25"/>
  <c r="W843" i="25"/>
  <c r="W779" i="25"/>
  <c r="W699" i="25"/>
  <c r="V914" i="25"/>
  <c r="V850" i="25"/>
  <c r="V786" i="25"/>
  <c r="W1018" i="25"/>
  <c r="W954" i="25"/>
  <c r="W890" i="25"/>
  <c r="W826" i="25"/>
  <c r="W762" i="25"/>
  <c r="V897" i="25"/>
  <c r="V833" i="25"/>
  <c r="V769" i="25"/>
  <c r="W1001" i="25"/>
  <c r="W937" i="25"/>
  <c r="W873" i="25"/>
  <c r="W809" i="25"/>
  <c r="W739" i="25"/>
  <c r="W1032" i="25"/>
  <c r="W968" i="25"/>
  <c r="W904" i="25"/>
  <c r="W840" i="25"/>
  <c r="W776" i="25"/>
  <c r="V1015" i="25"/>
  <c r="V951" i="25"/>
  <c r="V887" i="25"/>
  <c r="V823" i="25"/>
  <c r="V759" i="25"/>
  <c r="V695" i="25"/>
  <c r="W991" i="25"/>
  <c r="W927" i="25"/>
  <c r="W863" i="25"/>
  <c r="W799" i="25"/>
  <c r="W726" i="25"/>
  <c r="V934" i="25"/>
  <c r="V870" i="25"/>
  <c r="V806" i="25"/>
  <c r="V742" i="25"/>
  <c r="V678" i="25"/>
  <c r="W1038" i="25"/>
  <c r="W974" i="25"/>
  <c r="W910" i="25"/>
  <c r="W846" i="25"/>
  <c r="W782" i="25"/>
  <c r="W703" i="25"/>
  <c r="V917" i="25"/>
  <c r="V853" i="25"/>
  <c r="V789" i="25"/>
  <c r="V725" i="25"/>
  <c r="V661" i="25"/>
  <c r="W1021" i="25"/>
  <c r="W957" i="25"/>
  <c r="W893" i="25"/>
  <c r="W829" i="25"/>
  <c r="W765" i="25"/>
  <c r="W681" i="25"/>
  <c r="V900" i="25"/>
  <c r="V836" i="25"/>
  <c r="V772" i="25"/>
  <c r="W1004" i="25"/>
  <c r="V985" i="25"/>
  <c r="V1034" i="25"/>
  <c r="V987" i="25"/>
  <c r="V923" i="25"/>
  <c r="V859" i="25"/>
  <c r="V795" i="25"/>
  <c r="V731" i="25"/>
  <c r="V667" i="25"/>
  <c r="W1027" i="25"/>
  <c r="W963" i="25"/>
  <c r="W899" i="25"/>
  <c r="W835" i="25"/>
  <c r="W771" i="25"/>
  <c r="W689" i="25"/>
  <c r="V906" i="25"/>
  <c r="V842" i="25"/>
  <c r="V778" i="25"/>
  <c r="W1010" i="25"/>
  <c r="W946" i="25"/>
  <c r="W882" i="25"/>
  <c r="W818" i="25"/>
  <c r="W666" i="25"/>
  <c r="V889" i="25"/>
  <c r="V825" i="25"/>
  <c r="V761" i="25"/>
  <c r="V697" i="25"/>
  <c r="W993" i="25"/>
  <c r="W929" i="25"/>
  <c r="W865" i="25"/>
  <c r="W801" i="25"/>
  <c r="W729" i="25"/>
  <c r="V928" i="25"/>
  <c r="V864" i="25"/>
  <c r="V800" i="25"/>
  <c r="W1024" i="25"/>
  <c r="W960" i="25"/>
  <c r="W896" i="25"/>
  <c r="W832" i="25"/>
  <c r="W768" i="25"/>
  <c r="W685" i="25"/>
  <c r="V1007" i="25"/>
  <c r="V943" i="25"/>
  <c r="V879" i="25"/>
  <c r="V815" i="25"/>
  <c r="V751" i="25"/>
  <c r="V687" i="25"/>
  <c r="W983" i="25"/>
  <c r="W919" i="25"/>
  <c r="W855" i="25"/>
  <c r="W791" i="25"/>
  <c r="W715" i="25"/>
  <c r="V926" i="25"/>
  <c r="V862" i="25"/>
  <c r="V798" i="25"/>
  <c r="W1030" i="25"/>
  <c r="W966" i="25"/>
  <c r="W902" i="25"/>
  <c r="W838" i="25"/>
  <c r="W774" i="25"/>
  <c r="W693" i="25"/>
  <c r="W1019" i="25"/>
  <c r="W955" i="25"/>
  <c r="W891" i="25"/>
  <c r="W827" i="25"/>
  <c r="W763" i="25"/>
  <c r="W938" i="25"/>
  <c r="W874" i="25"/>
  <c r="W810" i="25"/>
  <c r="W921" i="25"/>
  <c r="W857" i="25"/>
  <c r="W793" i="25"/>
  <c r="W1016" i="25"/>
  <c r="W952" i="25"/>
  <c r="W674" i="25"/>
  <c r="W1039" i="25"/>
  <c r="W975" i="25"/>
  <c r="W911" i="25"/>
  <c r="W847" i="25"/>
  <c r="W783" i="25"/>
  <c r="W705" i="25"/>
  <c r="W1022" i="25"/>
  <c r="W958" i="25"/>
  <c r="W894" i="25"/>
  <c r="W830" i="25"/>
  <c r="W766" i="25"/>
  <c r="W682" i="25"/>
  <c r="V709" i="25"/>
  <c r="W1005" i="25"/>
  <c r="W941" i="25"/>
  <c r="W877" i="25"/>
  <c r="W813" i="25"/>
  <c r="W745" i="25"/>
  <c r="W659" i="25"/>
  <c r="W988" i="25"/>
  <c r="W924" i="25"/>
  <c r="W860" i="25"/>
  <c r="W796" i="25"/>
  <c r="W722" i="25"/>
  <c r="W752" i="25"/>
  <c r="W688" i="25"/>
  <c r="W624" i="25"/>
  <c r="W560" i="25"/>
  <c r="W496" i="25"/>
  <c r="W432" i="25"/>
  <c r="W368" i="25"/>
  <c r="W304" i="25"/>
  <c r="W240" i="25"/>
  <c r="W176" i="25"/>
  <c r="W112" i="25"/>
  <c r="W48" i="25"/>
  <c r="X976" i="25"/>
  <c r="X912" i="25"/>
  <c r="X848" i="25"/>
  <c r="X784" i="25"/>
  <c r="X720" i="25"/>
  <c r="X656" i="25"/>
  <c r="X592" i="25"/>
  <c r="X528" i="25"/>
  <c r="X464" i="25"/>
  <c r="W655" i="25"/>
  <c r="W591" i="25"/>
  <c r="W527" i="25"/>
  <c r="W463" i="25"/>
  <c r="W399" i="25"/>
  <c r="W335" i="25"/>
  <c r="W271" i="25"/>
  <c r="W207" i="25"/>
  <c r="W143" i="25"/>
  <c r="W79" i="25"/>
  <c r="X1015" i="25"/>
  <c r="X951" i="25"/>
  <c r="X887" i="25"/>
  <c r="X823" i="25"/>
  <c r="X759" i="25"/>
  <c r="X695" i="25"/>
  <c r="X631" i="25"/>
  <c r="X567" i="25"/>
  <c r="X503" i="25"/>
  <c r="V961" i="25"/>
  <c r="W1011" i="25"/>
  <c r="W947" i="25"/>
  <c r="W883" i="25"/>
  <c r="W819" i="25"/>
  <c r="W753" i="25"/>
  <c r="V698" i="25"/>
  <c r="W994" i="25"/>
  <c r="W930" i="25"/>
  <c r="W866" i="25"/>
  <c r="W802" i="25"/>
  <c r="W730" i="25"/>
  <c r="W977" i="25"/>
  <c r="W913" i="25"/>
  <c r="W849" i="25"/>
  <c r="W785" i="25"/>
  <c r="W707" i="25"/>
  <c r="W1008" i="25"/>
  <c r="W944" i="25"/>
  <c r="W880" i="25"/>
  <c r="W816" i="25"/>
  <c r="W749" i="25"/>
  <c r="W663" i="25"/>
  <c r="V735" i="25"/>
  <c r="W1031" i="25"/>
  <c r="W967" i="25"/>
  <c r="W903" i="25"/>
  <c r="W839" i="25"/>
  <c r="W775" i="25"/>
  <c r="W694" i="25"/>
  <c r="V718" i="25"/>
  <c r="W1014" i="25"/>
  <c r="W950" i="25"/>
  <c r="W886" i="25"/>
  <c r="W822" i="25"/>
  <c r="W757" i="25"/>
  <c r="W671" i="25"/>
  <c r="W997" i="25"/>
  <c r="W933" i="25"/>
  <c r="W869" i="25"/>
  <c r="W805" i="25"/>
  <c r="W734" i="25"/>
  <c r="V1002" i="25"/>
  <c r="W1003" i="25"/>
  <c r="W939" i="25"/>
  <c r="W875" i="25"/>
  <c r="W811" i="25"/>
  <c r="W986" i="25"/>
  <c r="W922" i="25"/>
  <c r="W858" i="25"/>
  <c r="W794" i="25"/>
  <c r="W719" i="25"/>
  <c r="V673" i="25"/>
  <c r="W1033" i="25"/>
  <c r="W969" i="25"/>
  <c r="W905" i="25"/>
  <c r="W841" i="25"/>
  <c r="W777" i="25"/>
  <c r="W1000" i="25"/>
  <c r="W872" i="25"/>
  <c r="W808" i="25"/>
  <c r="W738" i="25"/>
  <c r="V936" i="25"/>
  <c r="V727" i="25"/>
  <c r="W1023" i="25"/>
  <c r="W959" i="25"/>
  <c r="W895" i="25"/>
  <c r="W831" i="25"/>
  <c r="W767" i="25"/>
  <c r="W683" i="25"/>
  <c r="V710" i="25"/>
  <c r="W1006" i="25"/>
  <c r="W942" i="25"/>
  <c r="W878" i="25"/>
  <c r="W814" i="25"/>
  <c r="W746" i="25"/>
  <c r="W989" i="25"/>
  <c r="W925" i="25"/>
  <c r="W861" i="25"/>
  <c r="W797" i="25"/>
  <c r="W723" i="25"/>
  <c r="W1036" i="25"/>
  <c r="X710" i="25"/>
  <c r="X646" i="25"/>
  <c r="X582" i="25"/>
  <c r="X518" i="25"/>
  <c r="X454" i="25"/>
  <c r="W645" i="25"/>
  <c r="W581" i="25"/>
  <c r="W517" i="25"/>
  <c r="W453" i="25"/>
  <c r="W389" i="25"/>
  <c r="W325" i="25"/>
  <c r="W261" i="25"/>
  <c r="W197" i="25"/>
  <c r="W133" i="25"/>
  <c r="W69" i="25"/>
  <c r="X1005" i="25"/>
  <c r="X941" i="25"/>
  <c r="X877" i="25"/>
  <c r="X813" i="25"/>
  <c r="X749" i="25"/>
  <c r="X685" i="25"/>
  <c r="X621" i="25"/>
  <c r="X557" i="25"/>
  <c r="X493" i="25"/>
  <c r="X429" i="25"/>
  <c r="W724" i="25"/>
  <c r="W660" i="25"/>
  <c r="W596" i="25"/>
  <c r="W532" i="25"/>
  <c r="W468" i="25"/>
  <c r="W404" i="25"/>
  <c r="W340" i="25"/>
  <c r="W276" i="25"/>
  <c r="W212" i="25"/>
  <c r="W148" i="25"/>
  <c r="W84" i="25"/>
  <c r="X1020" i="25"/>
  <c r="X956" i="25"/>
  <c r="X892" i="25"/>
  <c r="X828" i="25"/>
  <c r="X764" i="25"/>
  <c r="X700" i="25"/>
  <c r="X636" i="25"/>
  <c r="X572" i="25"/>
  <c r="X508" i="25"/>
  <c r="X444" i="25"/>
  <c r="W635" i="25"/>
  <c r="W571" i="25"/>
  <c r="W507" i="25"/>
  <c r="W443" i="25"/>
  <c r="W379" i="25"/>
  <c r="W315" i="25"/>
  <c r="W251" i="25"/>
  <c r="W187" i="25"/>
  <c r="W123" i="25"/>
  <c r="W59" i="25"/>
  <c r="X995" i="25"/>
  <c r="X931" i="25"/>
  <c r="X867" i="25"/>
  <c r="X803" i="25"/>
  <c r="X739" i="25"/>
  <c r="X675" i="25"/>
  <c r="X611" i="25"/>
  <c r="X547" i="25"/>
  <c r="X483" i="25"/>
  <c r="X419" i="25"/>
  <c r="W610" i="25"/>
  <c r="W546" i="25"/>
  <c r="W482" i="25"/>
  <c r="W418" i="25"/>
  <c r="W354" i="25"/>
  <c r="W290" i="25"/>
  <c r="W226" i="25"/>
  <c r="W162" i="25"/>
  <c r="W98" i="25"/>
  <c r="X1034" i="25"/>
  <c r="X970" i="25"/>
  <c r="X906" i="25"/>
  <c r="X842" i="25"/>
  <c r="X778" i="25"/>
  <c r="X714" i="25"/>
  <c r="W80" i="25"/>
  <c r="X1008" i="25"/>
  <c r="X944" i="25"/>
  <c r="X880" i="25"/>
  <c r="X816" i="25"/>
  <c r="X752" i="25"/>
  <c r="X688" i="25"/>
  <c r="X624" i="25"/>
  <c r="X560" i="25"/>
  <c r="X496" i="25"/>
  <c r="X432" i="25"/>
  <c r="W623" i="25"/>
  <c r="W559" i="25"/>
  <c r="W495" i="25"/>
  <c r="W431" i="25"/>
  <c r="W367" i="25"/>
  <c r="W303" i="25"/>
  <c r="W239" i="25"/>
  <c r="W175" i="25"/>
  <c r="W111" i="25"/>
  <c r="W47" i="25"/>
  <c r="X983" i="25"/>
  <c r="X919" i="25"/>
  <c r="X855" i="25"/>
  <c r="X791" i="25"/>
  <c r="X727" i="25"/>
  <c r="X663" i="25"/>
  <c r="X599" i="25"/>
  <c r="X535" i="25"/>
  <c r="X471" i="25"/>
  <c r="X407" i="25"/>
  <c r="W598" i="25"/>
  <c r="W534" i="25"/>
  <c r="W470" i="25"/>
  <c r="W406" i="25"/>
  <c r="W342" i="25"/>
  <c r="W278" i="25"/>
  <c r="W214" i="25"/>
  <c r="W150" i="25"/>
  <c r="W86" i="25"/>
  <c r="X1022" i="25"/>
  <c r="X958" i="25"/>
  <c r="X894" i="25"/>
  <c r="X830" i="25"/>
  <c r="X766" i="25"/>
  <c r="X702" i="25"/>
  <c r="X638" i="25"/>
  <c r="X574" i="25"/>
  <c r="X510" i="25"/>
  <c r="X446" i="25"/>
  <c r="W637" i="25"/>
  <c r="W573" i="25"/>
  <c r="W509" i="25"/>
  <c r="W445" i="25"/>
  <c r="W381" i="25"/>
  <c r="W317" i="25"/>
  <c r="W253" i="25"/>
  <c r="W189" i="25"/>
  <c r="W125" i="25"/>
  <c r="W61" i="25"/>
  <c r="X997" i="25"/>
  <c r="X933" i="25"/>
  <c r="X869" i="25"/>
  <c r="X805" i="25"/>
  <c r="X741" i="25"/>
  <c r="X677" i="25"/>
  <c r="X613" i="25"/>
  <c r="X549" i="25"/>
  <c r="X485" i="25"/>
  <c r="X421" i="25"/>
  <c r="W716" i="25"/>
  <c r="W652" i="25"/>
  <c r="W588" i="25"/>
  <c r="W524" i="25"/>
  <c r="W460" i="25"/>
  <c r="W396" i="25"/>
  <c r="W332" i="25"/>
  <c r="W268" i="25"/>
  <c r="W204" i="25"/>
  <c r="W140" i="25"/>
  <c r="W76" i="25"/>
  <c r="X1012" i="25"/>
  <c r="X948" i="25"/>
  <c r="X884" i="25"/>
  <c r="X820" i="25"/>
  <c r="X756" i="25"/>
  <c r="X692" i="25"/>
  <c r="X628" i="25"/>
  <c r="X564" i="25"/>
  <c r="X500" i="25"/>
  <c r="X436" i="25"/>
  <c r="W627" i="25"/>
  <c r="W563" i="25"/>
  <c r="W499" i="25"/>
  <c r="W435" i="25"/>
  <c r="W371" i="25"/>
  <c r="W307" i="25"/>
  <c r="W243" i="25"/>
  <c r="W179" i="25"/>
  <c r="W115" i="25"/>
  <c r="W51" i="25"/>
  <c r="X987" i="25"/>
  <c r="X923" i="25"/>
  <c r="X859" i="25"/>
  <c r="X795" i="25"/>
  <c r="X731" i="25"/>
  <c r="X667" i="25"/>
  <c r="X603" i="25"/>
  <c r="X539" i="25"/>
  <c r="X475" i="25"/>
  <c r="X411" i="25"/>
  <c r="W602" i="25"/>
  <c r="W538" i="25"/>
  <c r="W474" i="25"/>
  <c r="W410" i="25"/>
  <c r="W346" i="25"/>
  <c r="W282" i="25"/>
  <c r="W218" i="25"/>
  <c r="W154" i="25"/>
  <c r="W90" i="25"/>
  <c r="X1026" i="25"/>
  <c r="X962" i="25"/>
  <c r="X898" i="25"/>
  <c r="X834" i="25"/>
  <c r="X770" i="25"/>
  <c r="X706" i="25"/>
  <c r="X642" i="25"/>
  <c r="X578" i="25"/>
  <c r="X514" i="25"/>
  <c r="X450" i="25"/>
  <c r="W649" i="25"/>
  <c r="W585" i="25"/>
  <c r="W521" i="25"/>
  <c r="W457" i="25"/>
  <c r="W393" i="25"/>
  <c r="W329" i="25"/>
  <c r="W265" i="25"/>
  <c r="W201" i="25"/>
  <c r="W137" i="25"/>
  <c r="W73" i="25"/>
  <c r="X1009" i="25"/>
  <c r="X945" i="25"/>
  <c r="X881" i="25"/>
  <c r="X817" i="25"/>
  <c r="X753" i="25"/>
  <c r="X689" i="25"/>
  <c r="X625" i="25"/>
  <c r="X561" i="25"/>
  <c r="X497" i="25"/>
  <c r="X433" i="25"/>
  <c r="X376" i="25"/>
  <c r="X312" i="25"/>
  <c r="X248" i="25"/>
  <c r="X184" i="25"/>
  <c r="X120" i="25"/>
  <c r="X56" i="25"/>
  <c r="Y984" i="25"/>
  <c r="Y920" i="25"/>
  <c r="Y856" i="25"/>
  <c r="Y792" i="25"/>
  <c r="Y728" i="25"/>
  <c r="Y664" i="25"/>
  <c r="Y600" i="25"/>
  <c r="Y536" i="25"/>
  <c r="Y472" i="25"/>
  <c r="Y408" i="25"/>
  <c r="Y344" i="25"/>
  <c r="Y280" i="25"/>
  <c r="Y216" i="25"/>
  <c r="Y152" i="25"/>
  <c r="W1012" i="25"/>
  <c r="W948" i="25"/>
  <c r="W884" i="25"/>
  <c r="W820" i="25"/>
  <c r="W754" i="25"/>
  <c r="W669" i="25"/>
  <c r="W712" i="25"/>
  <c r="W648" i="25"/>
  <c r="W584" i="25"/>
  <c r="W520" i="25"/>
  <c r="W456" i="25"/>
  <c r="W392" i="25"/>
  <c r="W328" i="25"/>
  <c r="W264" i="25"/>
  <c r="W200" i="25"/>
  <c r="W136" i="25"/>
  <c r="W72" i="25"/>
  <c r="X1000" i="25"/>
  <c r="X936" i="25"/>
  <c r="X872" i="25"/>
  <c r="X808" i="25"/>
  <c r="X744" i="25"/>
  <c r="X680" i="25"/>
  <c r="X616" i="25"/>
  <c r="X552" i="25"/>
  <c r="X488" i="25"/>
  <c r="X424" i="25"/>
  <c r="W615" i="25"/>
  <c r="W551" i="25"/>
  <c r="W487" i="25"/>
  <c r="W423" i="25"/>
  <c r="W359" i="25"/>
  <c r="W295" i="25"/>
  <c r="W231" i="25"/>
  <c r="W167" i="25"/>
  <c r="W103" i="25"/>
  <c r="X1039" i="25"/>
  <c r="X975" i="25"/>
  <c r="X911" i="25"/>
  <c r="X847" i="25"/>
  <c r="X783" i="25"/>
  <c r="X719" i="25"/>
  <c r="X655" i="25"/>
  <c r="X591" i="25"/>
  <c r="X527" i="25"/>
  <c r="X463" i="25"/>
  <c r="W654" i="25"/>
  <c r="W590" i="25"/>
  <c r="W526" i="25"/>
  <c r="W462" i="25"/>
  <c r="W398" i="25"/>
  <c r="W334" i="25"/>
  <c r="W270" i="25"/>
  <c r="W206" i="25"/>
  <c r="W142" i="25"/>
  <c r="W78" i="25"/>
  <c r="X1014" i="25"/>
  <c r="X950" i="25"/>
  <c r="X886" i="25"/>
  <c r="X822" i="25"/>
  <c r="X758" i="25"/>
  <c r="X694" i="25"/>
  <c r="X630" i="25"/>
  <c r="X566" i="25"/>
  <c r="X502" i="25"/>
  <c r="X438" i="25"/>
  <c r="W629" i="25"/>
  <c r="W565" i="25"/>
  <c r="W501" i="25"/>
  <c r="W437" i="25"/>
  <c r="W373" i="25"/>
  <c r="W309" i="25"/>
  <c r="W245" i="25"/>
  <c r="W181" i="25"/>
  <c r="W117" i="25"/>
  <c r="W53" i="25"/>
  <c r="X989" i="25"/>
  <c r="X925" i="25"/>
  <c r="X861" i="25"/>
  <c r="X797" i="25"/>
  <c r="X733" i="25"/>
  <c r="X669" i="25"/>
  <c r="X605" i="25"/>
  <c r="X541" i="25"/>
  <c r="X477" i="25"/>
  <c r="X413" i="25"/>
  <c r="W708" i="25"/>
  <c r="W644" i="25"/>
  <c r="W580" i="25"/>
  <c r="W516" i="25"/>
  <c r="W452" i="25"/>
  <c r="W388" i="25"/>
  <c r="W324" i="25"/>
  <c r="W260" i="25"/>
  <c r="W196" i="25"/>
  <c r="W132" i="25"/>
  <c r="W68" i="25"/>
  <c r="X1004" i="25"/>
  <c r="X940" i="25"/>
  <c r="X876" i="25"/>
  <c r="X812" i="25"/>
  <c r="X748" i="25"/>
  <c r="X684" i="25"/>
  <c r="X620" i="25"/>
  <c r="X556" i="25"/>
  <c r="X492" i="25"/>
  <c r="X428" i="25"/>
  <c r="W619" i="25"/>
  <c r="W555" i="25"/>
  <c r="W491" i="25"/>
  <c r="W427" i="25"/>
  <c r="W363" i="25"/>
  <c r="W299" i="25"/>
  <c r="W235" i="25"/>
  <c r="W171" i="25"/>
  <c r="W107" i="25"/>
  <c r="W43" i="25"/>
  <c r="X979" i="25"/>
  <c r="X915" i="25"/>
  <c r="X851" i="25"/>
  <c r="X787" i="25"/>
  <c r="X723" i="25"/>
  <c r="X659" i="25"/>
  <c r="X595" i="25"/>
  <c r="X531" i="25"/>
  <c r="X467" i="25"/>
  <c r="X403" i="25"/>
  <c r="W594" i="25"/>
  <c r="W530" i="25"/>
  <c r="W466" i="25"/>
  <c r="W402" i="25"/>
  <c r="W338" i="25"/>
  <c r="W274" i="25"/>
  <c r="W210" i="25"/>
  <c r="W146" i="25"/>
  <c r="W82" i="25"/>
  <c r="X1018" i="25"/>
  <c r="X954" i="25"/>
  <c r="X890" i="25"/>
  <c r="X826" i="25"/>
  <c r="X762" i="25"/>
  <c r="X698" i="25"/>
  <c r="X634" i="25"/>
  <c r="X570" i="25"/>
  <c r="X506" i="25"/>
  <c r="X442" i="25"/>
  <c r="W641" i="25"/>
  <c r="W577" i="25"/>
  <c r="W513" i="25"/>
  <c r="W449" i="25"/>
  <c r="W385" i="25"/>
  <c r="W321" i="25"/>
  <c r="W257" i="25"/>
  <c r="W193" i="25"/>
  <c r="W129" i="25"/>
  <c r="W65" i="25"/>
  <c r="X1001" i="25"/>
  <c r="X937" i="25"/>
  <c r="X873" i="25"/>
  <c r="X809" i="25"/>
  <c r="X745" i="25"/>
  <c r="X681" i="25"/>
  <c r="X617" i="25"/>
  <c r="X553" i="25"/>
  <c r="X489" i="25"/>
  <c r="X425" i="25"/>
  <c r="W940" i="25"/>
  <c r="W876" i="25"/>
  <c r="W812" i="25"/>
  <c r="W743" i="25"/>
  <c r="W658" i="25"/>
  <c r="W704" i="25"/>
  <c r="W640" i="25"/>
  <c r="W576" i="25"/>
  <c r="W512" i="25"/>
  <c r="W448" i="25"/>
  <c r="W384" i="25"/>
  <c r="W320" i="25"/>
  <c r="W256" i="25"/>
  <c r="W192" i="25"/>
  <c r="W128" i="25"/>
  <c r="W64" i="25"/>
  <c r="X992" i="25"/>
  <c r="X928" i="25"/>
  <c r="X864" i="25"/>
  <c r="X800" i="25"/>
  <c r="X736" i="25"/>
  <c r="X672" i="25"/>
  <c r="X608" i="25"/>
  <c r="X544" i="25"/>
  <c r="X480" i="25"/>
  <c r="X416" i="25"/>
  <c r="W607" i="25"/>
  <c r="W543" i="25"/>
  <c r="W479" i="25"/>
  <c r="W415" i="25"/>
  <c r="W351" i="25"/>
  <c r="W287" i="25"/>
  <c r="W223" i="25"/>
  <c r="W159" i="25"/>
  <c r="W95" i="25"/>
  <c r="X1031" i="25"/>
  <c r="X967" i="25"/>
  <c r="X903" i="25"/>
  <c r="X839" i="25"/>
  <c r="X775" i="25"/>
  <c r="X711" i="25"/>
  <c r="X647" i="25"/>
  <c r="X583" i="25"/>
  <c r="X519" i="25"/>
  <c r="X455" i="25"/>
  <c r="W646" i="25"/>
  <c r="W582" i="25"/>
  <c r="W518" i="25"/>
  <c r="W454" i="25"/>
  <c r="W390" i="25"/>
  <c r="W326" i="25"/>
  <c r="W262" i="25"/>
  <c r="W198" i="25"/>
  <c r="W134" i="25"/>
  <c r="W70" i="25"/>
  <c r="X1006" i="25"/>
  <c r="X942" i="25"/>
  <c r="X878" i="25"/>
  <c r="X814" i="25"/>
  <c r="X750" i="25"/>
  <c r="X686" i="25"/>
  <c r="X622" i="25"/>
  <c r="X558" i="25"/>
  <c r="X494" i="25"/>
  <c r="X430" i="25"/>
  <c r="W621" i="25"/>
  <c r="W557" i="25"/>
  <c r="W493" i="25"/>
  <c r="W429" i="25"/>
  <c r="W365" i="25"/>
  <c r="W301" i="25"/>
  <c r="W237" i="25"/>
  <c r="W173" i="25"/>
  <c r="W109" i="25"/>
  <c r="W45" i="25"/>
  <c r="X981" i="25"/>
  <c r="X917" i="25"/>
  <c r="X853" i="25"/>
  <c r="X789" i="25"/>
  <c r="X725" i="25"/>
  <c r="X661" i="25"/>
  <c r="X597" i="25"/>
  <c r="X533" i="25"/>
  <c r="X469" i="25"/>
  <c r="X405" i="25"/>
  <c r="W700" i="25"/>
  <c r="W636" i="25"/>
  <c r="W572" i="25"/>
  <c r="W508" i="25"/>
  <c r="W444" i="25"/>
  <c r="W380" i="25"/>
  <c r="W316" i="25"/>
  <c r="W252" i="25"/>
  <c r="W188" i="25"/>
  <c r="W124" i="25"/>
  <c r="W60" i="25"/>
  <c r="X996" i="25"/>
  <c r="X932" i="25"/>
  <c r="X868" i="25"/>
  <c r="X804" i="25"/>
  <c r="X740" i="25"/>
  <c r="X676" i="25"/>
  <c r="X612" i="25"/>
  <c r="X548" i="25"/>
  <c r="X484" i="25"/>
  <c r="X420" i="25"/>
  <c r="W611" i="25"/>
  <c r="W547" i="25"/>
  <c r="W483" i="25"/>
  <c r="W419" i="25"/>
  <c r="W355" i="25"/>
  <c r="W291" i="25"/>
  <c r="W227" i="25"/>
  <c r="W163" i="25"/>
  <c r="W99" i="25"/>
  <c r="X1035" i="25"/>
  <c r="X971" i="25"/>
  <c r="X907" i="25"/>
  <c r="X843" i="25"/>
  <c r="X779" i="25"/>
  <c r="X715" i="25"/>
  <c r="X651" i="25"/>
  <c r="X587" i="25"/>
  <c r="X523" i="25"/>
  <c r="X459" i="25"/>
  <c r="W650" i="25"/>
  <c r="W586" i="25"/>
  <c r="W522" i="25"/>
  <c r="W458" i="25"/>
  <c r="W394" i="25"/>
  <c r="W330" i="25"/>
  <c r="W266" i="25"/>
  <c r="W202" i="25"/>
  <c r="W138" i="25"/>
  <c r="W74" i="25"/>
  <c r="X1010" i="25"/>
  <c r="X946" i="25"/>
  <c r="X882" i="25"/>
  <c r="X818" i="25"/>
  <c r="X754" i="25"/>
  <c r="X690" i="25"/>
  <c r="X626" i="25"/>
  <c r="X562" i="25"/>
  <c r="X498" i="25"/>
  <c r="X434" i="25"/>
  <c r="W633" i="25"/>
  <c r="W569" i="25"/>
  <c r="W505" i="25"/>
  <c r="W441" i="25"/>
  <c r="W377" i="25"/>
  <c r="W313" i="25"/>
  <c r="W249" i="25"/>
  <c r="W185" i="25"/>
  <c r="W121" i="25"/>
  <c r="W57" i="25"/>
  <c r="X993" i="25"/>
  <c r="X929" i="25"/>
  <c r="X865" i="25"/>
  <c r="X801" i="25"/>
  <c r="X737" i="25"/>
  <c r="X673" i="25"/>
  <c r="X609" i="25"/>
  <c r="X545" i="25"/>
  <c r="X481" i="25"/>
  <c r="X417" i="25"/>
  <c r="X360" i="25"/>
  <c r="X296" i="25"/>
  <c r="X232" i="25"/>
  <c r="X168" i="25"/>
  <c r="X104" i="25"/>
  <c r="Y1032" i="25"/>
  <c r="Y968" i="25"/>
  <c r="Y904" i="25"/>
  <c r="Y840" i="25"/>
  <c r="V909" i="25"/>
  <c r="V845" i="25"/>
  <c r="V781" i="25"/>
  <c r="V717" i="25"/>
  <c r="W1013" i="25"/>
  <c r="W949" i="25"/>
  <c r="W885" i="25"/>
  <c r="W821" i="25"/>
  <c r="W755" i="25"/>
  <c r="W670" i="25"/>
  <c r="V892" i="25"/>
  <c r="V828" i="25"/>
  <c r="V764" i="25"/>
  <c r="W996" i="25"/>
  <c r="W932" i="25"/>
  <c r="W868" i="25"/>
  <c r="W804" i="25"/>
  <c r="W733" i="25"/>
  <c r="W760" i="25"/>
  <c r="W696" i="25"/>
  <c r="W632" i="25"/>
  <c r="W568" i="25"/>
  <c r="W504" i="25"/>
  <c r="W440" i="25"/>
  <c r="W376" i="25"/>
  <c r="W312" i="25"/>
  <c r="W248" i="25"/>
  <c r="W184" i="25"/>
  <c r="W120" i="25"/>
  <c r="W56" i="25"/>
  <c r="X984" i="25"/>
  <c r="X920" i="25"/>
  <c r="X856" i="25"/>
  <c r="X792" i="25"/>
  <c r="X728" i="25"/>
  <c r="X664" i="25"/>
  <c r="X600" i="25"/>
  <c r="X536" i="25"/>
  <c r="X472" i="25"/>
  <c r="X408" i="25"/>
  <c r="W599" i="25"/>
  <c r="W535" i="25"/>
  <c r="W471" i="25"/>
  <c r="W407" i="25"/>
  <c r="W343" i="25"/>
  <c r="W279" i="25"/>
  <c r="W215" i="25"/>
  <c r="W151" i="25"/>
  <c r="W87" i="25"/>
  <c r="X1023" i="25"/>
  <c r="X959" i="25"/>
  <c r="X895" i="25"/>
  <c r="X831" i="25"/>
  <c r="X767" i="25"/>
  <c r="X703" i="25"/>
  <c r="X639" i="25"/>
  <c r="X575" i="25"/>
  <c r="X511" i="25"/>
  <c r="X447" i="25"/>
  <c r="W638" i="25"/>
  <c r="W574" i="25"/>
  <c r="W510" i="25"/>
  <c r="W446" i="25"/>
  <c r="W382" i="25"/>
  <c r="W318" i="25"/>
  <c r="W254" i="25"/>
  <c r="W190" i="25"/>
  <c r="W126" i="25"/>
  <c r="W62" i="25"/>
  <c r="X998" i="25"/>
  <c r="X934" i="25"/>
  <c r="X870" i="25"/>
  <c r="X806" i="25"/>
  <c r="X742" i="25"/>
  <c r="X678" i="25"/>
  <c r="X614" i="25"/>
  <c r="X550" i="25"/>
  <c r="X486" i="25"/>
  <c r="X422" i="25"/>
  <c r="W613" i="25"/>
  <c r="W549" i="25"/>
  <c r="W485" i="25"/>
  <c r="W421" i="25"/>
  <c r="W357" i="25"/>
  <c r="W293" i="25"/>
  <c r="W229" i="25"/>
  <c r="W165" i="25"/>
  <c r="W101" i="25"/>
  <c r="X1037" i="25"/>
  <c r="X973" i="25"/>
  <c r="X909" i="25"/>
  <c r="X845" i="25"/>
  <c r="X781" i="25"/>
  <c r="X717" i="25"/>
  <c r="X653" i="25"/>
  <c r="X589" i="25"/>
  <c r="X525" i="25"/>
  <c r="X461" i="25"/>
  <c r="W756" i="25"/>
  <c r="W692" i="25"/>
  <c r="W628" i="25"/>
  <c r="W564" i="25"/>
  <c r="W500" i="25"/>
  <c r="W436" i="25"/>
  <c r="W372" i="25"/>
  <c r="W308" i="25"/>
  <c r="W244" i="25"/>
  <c r="W180" i="25"/>
  <c r="W116" i="25"/>
  <c r="W52" i="25"/>
  <c r="X988" i="25"/>
  <c r="X924" i="25"/>
  <c r="X860" i="25"/>
  <c r="X796" i="25"/>
  <c r="X732" i="25"/>
  <c r="X668" i="25"/>
  <c r="X604" i="25"/>
  <c r="X540" i="25"/>
  <c r="X476" i="25"/>
  <c r="X412" i="25"/>
  <c r="W603" i="25"/>
  <c r="W539" i="25"/>
  <c r="W475" i="25"/>
  <c r="W411" i="25"/>
  <c r="W347" i="25"/>
  <c r="W283" i="25"/>
  <c r="W219" i="25"/>
  <c r="W155" i="25"/>
  <c r="W91" i="25"/>
  <c r="X1027" i="25"/>
  <c r="X963" i="25"/>
  <c r="X899" i="25"/>
  <c r="X835" i="25"/>
  <c r="X771" i="25"/>
  <c r="X707" i="25"/>
  <c r="X643" i="25"/>
  <c r="X579" i="25"/>
  <c r="X515" i="25"/>
  <c r="X451" i="25"/>
  <c r="W642" i="25"/>
  <c r="W578" i="25"/>
  <c r="W514" i="25"/>
  <c r="W450" i="25"/>
  <c r="W386" i="25"/>
  <c r="W322" i="25"/>
  <c r="W258" i="25"/>
  <c r="W194" i="25"/>
  <c r="W130" i="25"/>
  <c r="W66" i="25"/>
  <c r="X1002" i="25"/>
  <c r="X938" i="25"/>
  <c r="X874" i="25"/>
  <c r="X810" i="25"/>
  <c r="X746" i="25"/>
  <c r="X682" i="25"/>
  <c r="X439" i="25"/>
  <c r="W630" i="25"/>
  <c r="W566" i="25"/>
  <c r="W502" i="25"/>
  <c r="W438" i="25"/>
  <c r="W374" i="25"/>
  <c r="W310" i="25"/>
  <c r="W246" i="25"/>
  <c r="W182" i="25"/>
  <c r="W118" i="25"/>
  <c r="W54" i="25"/>
  <c r="X990" i="25"/>
  <c r="X926" i="25"/>
  <c r="X862" i="25"/>
  <c r="X798" i="25"/>
  <c r="X734" i="25"/>
  <c r="X670" i="25"/>
  <c r="X606" i="25"/>
  <c r="X542" i="25"/>
  <c r="X478" i="25"/>
  <c r="X414" i="25"/>
  <c r="W605" i="25"/>
  <c r="W541" i="25"/>
  <c r="W477" i="25"/>
  <c r="W413" i="25"/>
  <c r="W349" i="25"/>
  <c r="W285" i="25"/>
  <c r="W221" i="25"/>
  <c r="W157" i="25"/>
  <c r="W93" i="25"/>
  <c r="X1029" i="25"/>
  <c r="X965" i="25"/>
  <c r="X901" i="25"/>
  <c r="X837" i="25"/>
  <c r="X773" i="25"/>
  <c r="X709" i="25"/>
  <c r="X645" i="25"/>
  <c r="X581" i="25"/>
  <c r="X517" i="25"/>
  <c r="X453" i="25"/>
  <c r="W748" i="25"/>
  <c r="W684" i="25"/>
  <c r="W620" i="25"/>
  <c r="W556" i="25"/>
  <c r="W492" i="25"/>
  <c r="W428" i="25"/>
  <c r="W364" i="25"/>
  <c r="W300" i="25"/>
  <c r="W236" i="25"/>
  <c r="W172" i="25"/>
  <c r="W108" i="25"/>
  <c r="W44" i="25"/>
  <c r="X980" i="25"/>
  <c r="X916" i="25"/>
  <c r="X852" i="25"/>
  <c r="X788" i="25"/>
  <c r="X724" i="25"/>
  <c r="X660" i="25"/>
  <c r="X596" i="25"/>
  <c r="X532" i="25"/>
  <c r="X468" i="25"/>
  <c r="X404" i="25"/>
  <c r="W595" i="25"/>
  <c r="W531" i="25"/>
  <c r="W467" i="25"/>
  <c r="W403" i="25"/>
  <c r="W339" i="25"/>
  <c r="W275" i="25"/>
  <c r="W211" i="25"/>
  <c r="W147" i="25"/>
  <c r="W83" i="25"/>
  <c r="X1019" i="25"/>
  <c r="X955" i="25"/>
  <c r="X891" i="25"/>
  <c r="X827" i="25"/>
  <c r="X763" i="25"/>
  <c r="X699" i="25"/>
  <c r="X635" i="25"/>
  <c r="X571" i="25"/>
  <c r="X507" i="25"/>
  <c r="X443" i="25"/>
  <c r="W634" i="25"/>
  <c r="W570" i="25"/>
  <c r="W506" i="25"/>
  <c r="W442" i="25"/>
  <c r="W378" i="25"/>
  <c r="W314" i="25"/>
  <c r="W250" i="25"/>
  <c r="W186" i="25"/>
  <c r="W122" i="25"/>
  <c r="W58" i="25"/>
  <c r="X994" i="25"/>
  <c r="X930" i="25"/>
  <c r="X866" i="25"/>
  <c r="X802" i="25"/>
  <c r="X738" i="25"/>
  <c r="X674" i="25"/>
  <c r="X610" i="25"/>
  <c r="X546" i="25"/>
  <c r="X482" i="25"/>
  <c r="X418" i="25"/>
  <c r="W617" i="25"/>
  <c r="W553" i="25"/>
  <c r="W489" i="25"/>
  <c r="W425" i="25"/>
  <c r="W361" i="25"/>
  <c r="W297" i="25"/>
  <c r="W233" i="25"/>
  <c r="W169" i="25"/>
  <c r="W105" i="25"/>
  <c r="W41" i="25"/>
  <c r="X977" i="25"/>
  <c r="X913" i="25"/>
  <c r="X849" i="25"/>
  <c r="X785" i="25"/>
  <c r="X721" i="25"/>
  <c r="X657" i="25"/>
  <c r="X593" i="25"/>
  <c r="X529" i="25"/>
  <c r="X465" i="25"/>
  <c r="X401" i="25"/>
  <c r="X344" i="25"/>
  <c r="X280" i="25"/>
  <c r="X216" i="25"/>
  <c r="X152" i="25"/>
  <c r="X88" i="25"/>
  <c r="Y1016" i="25"/>
  <c r="Y952" i="25"/>
  <c r="Y888" i="25"/>
  <c r="Y824" i="25"/>
  <c r="Y760" i="25"/>
  <c r="Y696" i="25"/>
  <c r="Y632" i="25"/>
  <c r="Y568" i="25"/>
  <c r="Y504" i="25"/>
  <c r="Y440" i="25"/>
  <c r="Y376" i="25"/>
  <c r="Y312" i="25"/>
  <c r="Y248" i="25"/>
  <c r="Y184" i="25"/>
  <c r="Y120" i="25"/>
  <c r="Y56" i="25"/>
  <c r="X351" i="25"/>
  <c r="X287" i="25"/>
  <c r="X223" i="25"/>
  <c r="X159" i="25"/>
  <c r="X95" i="25"/>
  <c r="Y1031" i="25"/>
  <c r="Y967" i="25"/>
  <c r="Y903" i="25"/>
  <c r="Y839" i="25"/>
  <c r="Y775" i="25"/>
  <c r="Y711" i="25"/>
  <c r="Y647" i="25"/>
  <c r="Y583" i="25"/>
  <c r="Y519" i="25"/>
  <c r="Y455" i="25"/>
  <c r="Y391" i="25"/>
  <c r="Y327" i="25"/>
  <c r="Y263" i="25"/>
  <c r="Y199" i="25"/>
  <c r="Y135" i="25"/>
  <c r="Y71" i="25"/>
  <c r="X366" i="25"/>
  <c r="X302" i="25"/>
  <c r="X238" i="25"/>
  <c r="X174" i="25"/>
  <c r="X110" i="25"/>
  <c r="X46" i="25"/>
  <c r="Y982" i="25"/>
  <c r="Y918" i="25"/>
  <c r="Y854" i="25"/>
  <c r="Y790" i="25"/>
  <c r="Y726" i="25"/>
  <c r="Y662" i="25"/>
  <c r="Y598" i="25"/>
  <c r="Y534" i="25"/>
  <c r="Y470" i="25"/>
  <c r="W980" i="25"/>
  <c r="W916" i="25"/>
  <c r="W852" i="25"/>
  <c r="W788" i="25"/>
  <c r="W711" i="25"/>
  <c r="W744" i="25"/>
  <c r="W680" i="25"/>
  <c r="W616" i="25"/>
  <c r="W552" i="25"/>
  <c r="W488" i="25"/>
  <c r="W424" i="25"/>
  <c r="W360" i="25"/>
  <c r="W296" i="25"/>
  <c r="W232" i="25"/>
  <c r="W168" i="25"/>
  <c r="W104" i="25"/>
  <c r="X1032" i="25"/>
  <c r="X968" i="25"/>
  <c r="X904" i="25"/>
  <c r="X840" i="25"/>
  <c r="X776" i="25"/>
  <c r="X712" i="25"/>
  <c r="X648" i="25"/>
  <c r="X584" i="25"/>
  <c r="X520" i="25"/>
  <c r="X456" i="25"/>
  <c r="W647" i="25"/>
  <c r="W583" i="25"/>
  <c r="W519" i="25"/>
  <c r="W455" i="25"/>
  <c r="W391" i="25"/>
  <c r="W327" i="25"/>
  <c r="W263" i="25"/>
  <c r="W199" i="25"/>
  <c r="W135" i="25"/>
  <c r="W71" i="25"/>
  <c r="X1007" i="25"/>
  <c r="X943" i="25"/>
  <c r="X879" i="25"/>
  <c r="X815" i="25"/>
  <c r="X751" i="25"/>
  <c r="X687" i="25"/>
  <c r="X623" i="25"/>
  <c r="X559" i="25"/>
  <c r="X495" i="25"/>
  <c r="X431" i="25"/>
  <c r="W622" i="25"/>
  <c r="W558" i="25"/>
  <c r="W494" i="25"/>
  <c r="W430" i="25"/>
  <c r="W366" i="25"/>
  <c r="W302" i="25"/>
  <c r="W238" i="25"/>
  <c r="W174" i="25"/>
  <c r="W110" i="25"/>
  <c r="W46" i="25"/>
  <c r="X982" i="25"/>
  <c r="X918" i="25"/>
  <c r="X854" i="25"/>
  <c r="X790" i="25"/>
  <c r="X726" i="25"/>
  <c r="X662" i="25"/>
  <c r="X598" i="25"/>
  <c r="X534" i="25"/>
  <c r="X470" i="25"/>
  <c r="X406" i="25"/>
  <c r="W597" i="25"/>
  <c r="W533" i="25"/>
  <c r="W469" i="25"/>
  <c r="W405" i="25"/>
  <c r="W341" i="25"/>
  <c r="W277" i="25"/>
  <c r="W213" i="25"/>
  <c r="W149" i="25"/>
  <c r="W85" i="25"/>
  <c r="X1021" i="25"/>
  <c r="X957" i="25"/>
  <c r="X893" i="25"/>
  <c r="X829" i="25"/>
  <c r="X765" i="25"/>
  <c r="X701" i="25"/>
  <c r="X637" i="25"/>
  <c r="X573" i="25"/>
  <c r="X509" i="25"/>
  <c r="X445" i="25"/>
  <c r="W740" i="25"/>
  <c r="W676" i="25"/>
  <c r="W612" i="25"/>
  <c r="W548" i="25"/>
  <c r="W484" i="25"/>
  <c r="W420" i="25"/>
  <c r="W356" i="25"/>
  <c r="W292" i="25"/>
  <c r="W228" i="25"/>
  <c r="W164" i="25"/>
  <c r="W100" i="25"/>
  <c r="X1036" i="25"/>
  <c r="X972" i="25"/>
  <c r="X908" i="25"/>
  <c r="X844" i="25"/>
  <c r="X780" i="25"/>
  <c r="X716" i="25"/>
  <c r="X652" i="25"/>
  <c r="X588" i="25"/>
  <c r="X524" i="25"/>
  <c r="X460" i="25"/>
  <c r="W651" i="25"/>
  <c r="W587" i="25"/>
  <c r="W523" i="25"/>
  <c r="W459" i="25"/>
  <c r="W395" i="25"/>
  <c r="W331" i="25"/>
  <c r="W267" i="25"/>
  <c r="W203" i="25"/>
  <c r="W139" i="25"/>
  <c r="W75" i="25"/>
  <c r="X1011" i="25"/>
  <c r="X947" i="25"/>
  <c r="X883" i="25"/>
  <c r="X819" i="25"/>
  <c r="X755" i="25"/>
  <c r="X691" i="25"/>
  <c r="X627" i="25"/>
  <c r="X563" i="25"/>
  <c r="X499" i="25"/>
  <c r="X435" i="25"/>
  <c r="W626" i="25"/>
  <c r="W562" i="25"/>
  <c r="W498" i="25"/>
  <c r="W434" i="25"/>
  <c r="W370" i="25"/>
  <c r="W306" i="25"/>
  <c r="W242" i="25"/>
  <c r="W178" i="25"/>
  <c r="W114" i="25"/>
  <c r="W50" i="25"/>
  <c r="X986" i="25"/>
  <c r="X922" i="25"/>
  <c r="X858" i="25"/>
  <c r="X794" i="25"/>
  <c r="X730" i="25"/>
  <c r="X666" i="25"/>
  <c r="X602" i="25"/>
  <c r="X538" i="25"/>
  <c r="X474" i="25"/>
  <c r="X410" i="25"/>
  <c r="W609" i="25"/>
  <c r="W545" i="25"/>
  <c r="W481" i="25"/>
  <c r="W417" i="25"/>
  <c r="W353" i="25"/>
  <c r="W289" i="25"/>
  <c r="W225" i="25"/>
  <c r="W161" i="25"/>
  <c r="W97" i="25"/>
  <c r="X1033" i="25"/>
  <c r="X969" i="25"/>
  <c r="X905" i="25"/>
  <c r="X841" i="25"/>
  <c r="X777" i="25"/>
  <c r="X713" i="25"/>
  <c r="X649" i="25"/>
  <c r="X585" i="25"/>
  <c r="X521" i="25"/>
  <c r="X457" i="25"/>
  <c r="W972" i="25"/>
  <c r="W908" i="25"/>
  <c r="W844" i="25"/>
  <c r="W780" i="25"/>
  <c r="W701" i="25"/>
  <c r="W736" i="25"/>
  <c r="W672" i="25"/>
  <c r="W608" i="25"/>
  <c r="W544" i="25"/>
  <c r="W480" i="25"/>
  <c r="W416" i="25"/>
  <c r="W352" i="25"/>
  <c r="W288" i="25"/>
  <c r="W224" i="25"/>
  <c r="W160" i="25"/>
  <c r="W96" i="25"/>
  <c r="X1024" i="25"/>
  <c r="X960" i="25"/>
  <c r="X896" i="25"/>
  <c r="X832" i="25"/>
  <c r="X768" i="25"/>
  <c r="X704" i="25"/>
  <c r="X640" i="25"/>
  <c r="X576" i="25"/>
  <c r="X512" i="25"/>
  <c r="X448" i="25"/>
  <c r="W639" i="25"/>
  <c r="W575" i="25"/>
  <c r="W511" i="25"/>
  <c r="W447" i="25"/>
  <c r="W383" i="25"/>
  <c r="W319" i="25"/>
  <c r="W255" i="25"/>
  <c r="W191" i="25"/>
  <c r="W127" i="25"/>
  <c r="W63" i="25"/>
  <c r="X999" i="25"/>
  <c r="X935" i="25"/>
  <c r="X871" i="25"/>
  <c r="X807" i="25"/>
  <c r="X743" i="25"/>
  <c r="X679" i="25"/>
  <c r="X615" i="25"/>
  <c r="X551" i="25"/>
  <c r="X487" i="25"/>
  <c r="X423" i="25"/>
  <c r="W614" i="25"/>
  <c r="W550" i="25"/>
  <c r="W486" i="25"/>
  <c r="W422" i="25"/>
  <c r="W358" i="25"/>
  <c r="W294" i="25"/>
  <c r="W230" i="25"/>
  <c r="W166" i="25"/>
  <c r="W102" i="25"/>
  <c r="X1038" i="25"/>
  <c r="X974" i="25"/>
  <c r="X910" i="25"/>
  <c r="X846" i="25"/>
  <c r="X782" i="25"/>
  <c r="X718" i="25"/>
  <c r="X654" i="25"/>
  <c r="X590" i="25"/>
  <c r="X526" i="25"/>
  <c r="X462" i="25"/>
  <c r="W653" i="25"/>
  <c r="W589" i="25"/>
  <c r="W525" i="25"/>
  <c r="W461" i="25"/>
  <c r="W397" i="25"/>
  <c r="W333" i="25"/>
  <c r="W269" i="25"/>
  <c r="W205" i="25"/>
  <c r="W141" i="25"/>
  <c r="W77" i="25"/>
  <c r="X1013" i="25"/>
  <c r="X949" i="25"/>
  <c r="X885" i="25"/>
  <c r="X821" i="25"/>
  <c r="X757" i="25"/>
  <c r="X693" i="25"/>
  <c r="X629" i="25"/>
  <c r="X565" i="25"/>
  <c r="X501" i="25"/>
  <c r="X437" i="25"/>
  <c r="W732" i="25"/>
  <c r="W668" i="25"/>
  <c r="W604" i="25"/>
  <c r="W540" i="25"/>
  <c r="W476" i="25"/>
  <c r="W412" i="25"/>
  <c r="W348" i="25"/>
  <c r="W284" i="25"/>
  <c r="W220" i="25"/>
  <c r="W156" i="25"/>
  <c r="W92" i="25"/>
  <c r="X1028" i="25"/>
  <c r="X964" i="25"/>
  <c r="X900" i="25"/>
  <c r="X836" i="25"/>
  <c r="X772" i="25"/>
  <c r="X708" i="25"/>
  <c r="X644" i="25"/>
  <c r="X580" i="25"/>
  <c r="X516" i="25"/>
  <c r="X452" i="25"/>
  <c r="W643" i="25"/>
  <c r="W579" i="25"/>
  <c r="W515" i="25"/>
  <c r="W451" i="25"/>
  <c r="W387" i="25"/>
  <c r="W323" i="25"/>
  <c r="W259" i="25"/>
  <c r="W195" i="25"/>
  <c r="W131" i="25"/>
  <c r="W67" i="25"/>
  <c r="X1003" i="25"/>
  <c r="X939" i="25"/>
  <c r="X875" i="25"/>
  <c r="X811" i="25"/>
  <c r="X747" i="25"/>
  <c r="X683" i="25"/>
  <c r="X619" i="25"/>
  <c r="X555" i="25"/>
  <c r="X491" i="25"/>
  <c r="X427" i="25"/>
  <c r="W618" i="25"/>
  <c r="W554" i="25"/>
  <c r="W490" i="25"/>
  <c r="W426" i="25"/>
  <c r="W362" i="25"/>
  <c r="W298" i="25"/>
  <c r="W234" i="25"/>
  <c r="W170" i="25"/>
  <c r="W106" i="25"/>
  <c r="W42" i="25"/>
  <c r="X978" i="25"/>
  <c r="X914" i="25"/>
  <c r="X850" i="25"/>
  <c r="X786" i="25"/>
  <c r="X722" i="25"/>
  <c r="X658" i="25"/>
  <c r="X594" i="25"/>
  <c r="X530" i="25"/>
  <c r="X466" i="25"/>
  <c r="X402" i="25"/>
  <c r="W601" i="25"/>
  <c r="W537" i="25"/>
  <c r="W473" i="25"/>
  <c r="W409" i="25"/>
  <c r="W345" i="25"/>
  <c r="W281" i="25"/>
  <c r="W217" i="25"/>
  <c r="W153" i="25"/>
  <c r="W89" i="25"/>
  <c r="X1025" i="25"/>
  <c r="X961" i="25"/>
  <c r="X897" i="25"/>
  <c r="X833" i="25"/>
  <c r="X769" i="25"/>
  <c r="X705" i="25"/>
  <c r="X641" i="25"/>
  <c r="X577" i="25"/>
  <c r="X513" i="25"/>
  <c r="X449" i="25"/>
  <c r="X392" i="25"/>
  <c r="X328" i="25"/>
  <c r="X264" i="25"/>
  <c r="X200" i="25"/>
  <c r="X136" i="25"/>
  <c r="X72" i="25"/>
  <c r="Y1000" i="25"/>
  <c r="Y936" i="25"/>
  <c r="Y872" i="25"/>
  <c r="X650" i="25"/>
  <c r="X586" i="25"/>
  <c r="X522" i="25"/>
  <c r="X458" i="25"/>
  <c r="W657" i="25"/>
  <c r="W593" i="25"/>
  <c r="W529" i="25"/>
  <c r="W465" i="25"/>
  <c r="W401" i="25"/>
  <c r="W337" i="25"/>
  <c r="W273" i="25"/>
  <c r="W209" i="25"/>
  <c r="W145" i="25"/>
  <c r="W81" i="25"/>
  <c r="X1017" i="25"/>
  <c r="X953" i="25"/>
  <c r="X889" i="25"/>
  <c r="X825" i="25"/>
  <c r="X761" i="25"/>
  <c r="X697" i="25"/>
  <c r="X633" i="25"/>
  <c r="X569" i="25"/>
  <c r="X505" i="25"/>
  <c r="X441" i="25"/>
  <c r="X384" i="25"/>
  <c r="X320" i="25"/>
  <c r="X256" i="25"/>
  <c r="X192" i="25"/>
  <c r="X128" i="25"/>
  <c r="X64" i="25"/>
  <c r="Y992" i="25"/>
  <c r="Y928" i="25"/>
  <c r="Y864" i="25"/>
  <c r="Y800" i="25"/>
  <c r="Y736" i="25"/>
  <c r="Y672" i="25"/>
  <c r="Y608" i="25"/>
  <c r="Y544" i="25"/>
  <c r="Y480" i="25"/>
  <c r="Y416" i="25"/>
  <c r="Y352" i="25"/>
  <c r="Y288" i="25"/>
  <c r="Y224" i="25"/>
  <c r="Y160" i="25"/>
  <c r="Y96" i="25"/>
  <c r="X391" i="25"/>
  <c r="X327" i="25"/>
  <c r="X263" i="25"/>
  <c r="X199" i="25"/>
  <c r="X135" i="25"/>
  <c r="X71" i="25"/>
  <c r="Y1007" i="25"/>
  <c r="Y943" i="25"/>
  <c r="Y879" i="25"/>
  <c r="Y815" i="25"/>
  <c r="Y751" i="25"/>
  <c r="Y687" i="25"/>
  <c r="Y623" i="25"/>
  <c r="Y559" i="25"/>
  <c r="Y495" i="25"/>
  <c r="Y431" i="25"/>
  <c r="Y367" i="25"/>
  <c r="Y303" i="25"/>
  <c r="Y239" i="25"/>
  <c r="Y175" i="25"/>
  <c r="Y111" i="25"/>
  <c r="Y47" i="25"/>
  <c r="X342" i="25"/>
  <c r="X278" i="25"/>
  <c r="X214" i="25"/>
  <c r="X150" i="25"/>
  <c r="X86" i="25"/>
  <c r="Y1022" i="25"/>
  <c r="Y958" i="25"/>
  <c r="Y894" i="25"/>
  <c r="Y830" i="25"/>
  <c r="Y766" i="25"/>
  <c r="Y702" i="25"/>
  <c r="Y638" i="25"/>
  <c r="Y574" i="25"/>
  <c r="Y510" i="25"/>
  <c r="Y446" i="25"/>
  <c r="Y382" i="25"/>
  <c r="Y318" i="25"/>
  <c r="Y254" i="25"/>
  <c r="Y190" i="25"/>
  <c r="Y126" i="25"/>
  <c r="Y62" i="25"/>
  <c r="X357" i="25"/>
  <c r="X293" i="25"/>
  <c r="X229" i="25"/>
  <c r="X165" i="25"/>
  <c r="X101" i="25"/>
  <c r="Y1037" i="25"/>
  <c r="Y973" i="25"/>
  <c r="Y909" i="25"/>
  <c r="Y845" i="25"/>
  <c r="Y781" i="25"/>
  <c r="Y717" i="25"/>
  <c r="Y653" i="25"/>
  <c r="Y589" i="25"/>
  <c r="Y525" i="25"/>
  <c r="Y461" i="25"/>
  <c r="Y397" i="25"/>
  <c r="Y333" i="25"/>
  <c r="Y269" i="25"/>
  <c r="Y205" i="25"/>
  <c r="Y141" i="25"/>
  <c r="Y77" i="25"/>
  <c r="X372" i="25"/>
  <c r="X308" i="25"/>
  <c r="X244" i="25"/>
  <c r="X180" i="25"/>
  <c r="X116" i="25"/>
  <c r="X52" i="25"/>
  <c r="Y988" i="25"/>
  <c r="Y924" i="25"/>
  <c r="Y860" i="25"/>
  <c r="Y796" i="25"/>
  <c r="Y732" i="25"/>
  <c r="Y668" i="25"/>
  <c r="Y604" i="25"/>
  <c r="Y540" i="25"/>
  <c r="Y476" i="25"/>
  <c r="Y412" i="25"/>
  <c r="Y348" i="25"/>
  <c r="Y284" i="25"/>
  <c r="Y220" i="25"/>
  <c r="Y156" i="25"/>
  <c r="Y92" i="25"/>
  <c r="X387" i="25"/>
  <c r="X323" i="25"/>
  <c r="X259" i="25"/>
  <c r="X195" i="25"/>
  <c r="X131" i="25"/>
  <c r="X67" i="25"/>
  <c r="Y1003" i="25"/>
  <c r="Y939" i="25"/>
  <c r="Y875" i="25"/>
  <c r="Y811" i="25"/>
  <c r="Y747" i="25"/>
  <c r="Y683" i="25"/>
  <c r="Y619" i="25"/>
  <c r="Y555" i="25"/>
  <c r="Y491" i="25"/>
  <c r="Y427" i="25"/>
  <c r="Y363" i="25"/>
  <c r="Y299" i="25"/>
  <c r="Y235" i="25"/>
  <c r="Y171" i="25"/>
  <c r="Y107" i="25"/>
  <c r="Y43" i="25"/>
  <c r="X338" i="25"/>
  <c r="X274" i="25"/>
  <c r="X210" i="25"/>
  <c r="X146" i="25"/>
  <c r="X82" i="25"/>
  <c r="Y1018" i="25"/>
  <c r="Y954" i="25"/>
  <c r="Y890" i="25"/>
  <c r="Y826" i="25"/>
  <c r="Y762" i="25"/>
  <c r="Y698" i="25"/>
  <c r="Y634" i="25"/>
  <c r="Y570" i="25"/>
  <c r="Y506" i="25"/>
  <c r="Y442" i="25"/>
  <c r="Y378" i="25"/>
  <c r="Y314" i="25"/>
  <c r="Y250" i="25"/>
  <c r="Y186" i="25"/>
  <c r="Y122" i="25"/>
  <c r="Y58" i="25"/>
  <c r="X353" i="25"/>
  <c r="X289" i="25"/>
  <c r="X225" i="25"/>
  <c r="X161" i="25"/>
  <c r="X97" i="25"/>
  <c r="Y1033" i="25"/>
  <c r="Y969" i="25"/>
  <c r="Y905" i="25"/>
  <c r="Y841" i="25"/>
  <c r="Y777" i="25"/>
  <c r="Y713" i="25"/>
  <c r="Y649" i="25"/>
  <c r="Y585" i="25"/>
  <c r="Y521" i="25"/>
  <c r="Y457" i="25"/>
  <c r="Y393" i="25"/>
  <c r="Y329" i="25"/>
  <c r="Y265" i="25"/>
  <c r="Y201" i="25"/>
  <c r="Y137" i="25"/>
  <c r="Y73" i="25"/>
  <c r="Y88" i="25"/>
  <c r="X383" i="25"/>
  <c r="X319" i="25"/>
  <c r="X255" i="25"/>
  <c r="X191" i="25"/>
  <c r="X127" i="25"/>
  <c r="X63" i="25"/>
  <c r="Y999" i="25"/>
  <c r="Y935" i="25"/>
  <c r="Y871" i="25"/>
  <c r="Y807" i="25"/>
  <c r="Y743" i="25"/>
  <c r="Y679" i="25"/>
  <c r="Y615" i="25"/>
  <c r="Y551" i="25"/>
  <c r="Y487" i="25"/>
  <c r="Y423" i="25"/>
  <c r="Y359" i="25"/>
  <c r="Y295" i="25"/>
  <c r="Y231" i="25"/>
  <c r="Y167" i="25"/>
  <c r="Y103" i="25"/>
  <c r="X398" i="25"/>
  <c r="X334" i="25"/>
  <c r="X270" i="25"/>
  <c r="X206" i="25"/>
  <c r="X142" i="25"/>
  <c r="X78" i="25"/>
  <c r="Y1014" i="25"/>
  <c r="Y950" i="25"/>
  <c r="Y886" i="25"/>
  <c r="Y822" i="25"/>
  <c r="Y758" i="25"/>
  <c r="Y694" i="25"/>
  <c r="Y630" i="25"/>
  <c r="Y566" i="25"/>
  <c r="Y502" i="25"/>
  <c r="Y438" i="25"/>
  <c r="Y374" i="25"/>
  <c r="Y310" i="25"/>
  <c r="Y246" i="25"/>
  <c r="Y182" i="25"/>
  <c r="Y118" i="25"/>
  <c r="Y54" i="25"/>
  <c r="X349" i="25"/>
  <c r="X285" i="25"/>
  <c r="X221" i="25"/>
  <c r="X157" i="25"/>
  <c r="X93" i="25"/>
  <c r="Y1029" i="25"/>
  <c r="Y965" i="25"/>
  <c r="Y901" i="25"/>
  <c r="Y837" i="25"/>
  <c r="Y773" i="25"/>
  <c r="Y709" i="25"/>
  <c r="Y645" i="25"/>
  <c r="Y581" i="25"/>
  <c r="Y517" i="25"/>
  <c r="Y453" i="25"/>
  <c r="Y389" i="25"/>
  <c r="Y325" i="25"/>
  <c r="Y261" i="25"/>
  <c r="Y197" i="25"/>
  <c r="Y133" i="25"/>
  <c r="Y69" i="25"/>
  <c r="X364" i="25"/>
  <c r="X300" i="25"/>
  <c r="X236" i="25"/>
  <c r="X172" i="25"/>
  <c r="X108" i="25"/>
  <c r="X44" i="25"/>
  <c r="Y980" i="25"/>
  <c r="Y916" i="25"/>
  <c r="Y852" i="25"/>
  <c r="Y788" i="25"/>
  <c r="Y724" i="25"/>
  <c r="Y660" i="25"/>
  <c r="Y596" i="25"/>
  <c r="Y532" i="25"/>
  <c r="Y468" i="25"/>
  <c r="Y404" i="25"/>
  <c r="Y340" i="25"/>
  <c r="Y276" i="25"/>
  <c r="Y212" i="25"/>
  <c r="Y148" i="25"/>
  <c r="Y84" i="25"/>
  <c r="X379" i="25"/>
  <c r="X315" i="25"/>
  <c r="X251" i="25"/>
  <c r="X187" i="25"/>
  <c r="X123" i="25"/>
  <c r="X59" i="25"/>
  <c r="Y995" i="25"/>
  <c r="Y931" i="25"/>
  <c r="Y867" i="25"/>
  <c r="Y803" i="25"/>
  <c r="Y739" i="25"/>
  <c r="Y675" i="25"/>
  <c r="Y611" i="25"/>
  <c r="Y547" i="25"/>
  <c r="Y483" i="25"/>
  <c r="Y419" i="25"/>
  <c r="Y355" i="25"/>
  <c r="Y291" i="25"/>
  <c r="Y227" i="25"/>
  <c r="Y163" i="25"/>
  <c r="Y99" i="25"/>
  <c r="X394" i="25"/>
  <c r="X330" i="25"/>
  <c r="X266" i="25"/>
  <c r="X202" i="25"/>
  <c r="X138" i="25"/>
  <c r="X74" i="25"/>
  <c r="Y1010" i="25"/>
  <c r="Y946" i="25"/>
  <c r="Y882" i="25"/>
  <c r="Y818" i="25"/>
  <c r="Y754" i="25"/>
  <c r="Y690" i="25"/>
  <c r="Y626" i="25"/>
  <c r="Y562" i="25"/>
  <c r="Y498" i="25"/>
  <c r="Y434" i="25"/>
  <c r="Y370" i="25"/>
  <c r="Y306" i="25"/>
  <c r="Y242" i="25"/>
  <c r="Y178" i="25"/>
  <c r="Y114" i="25"/>
  <c r="Y50" i="25"/>
  <c r="X345" i="25"/>
  <c r="X281" i="25"/>
  <c r="X217" i="25"/>
  <c r="X153" i="25"/>
  <c r="X89" i="25"/>
  <c r="Y1025" i="25"/>
  <c r="Y961" i="25"/>
  <c r="Y897" i="25"/>
  <c r="Y833" i="25"/>
  <c r="Y769" i="25"/>
  <c r="Y705" i="25"/>
  <c r="Y641" i="25"/>
  <c r="Y577" i="25"/>
  <c r="Y513" i="25"/>
  <c r="Y449" i="25"/>
  <c r="Y385" i="25"/>
  <c r="Y321" i="25"/>
  <c r="Y257" i="25"/>
  <c r="Y193" i="25"/>
  <c r="Y129" i="25"/>
  <c r="Y65" i="25"/>
  <c r="X368" i="25"/>
  <c r="X304" i="25"/>
  <c r="X240" i="25"/>
  <c r="X176" i="25"/>
  <c r="X112" i="25"/>
  <c r="X48" i="25"/>
  <c r="Y976" i="25"/>
  <c r="Y912" i="25"/>
  <c r="Y848" i="25"/>
  <c r="Y784" i="25"/>
  <c r="Y720" i="25"/>
  <c r="Y656" i="25"/>
  <c r="Y592" i="25"/>
  <c r="Y528" i="25"/>
  <c r="Y464" i="25"/>
  <c r="Y400" i="25"/>
  <c r="Y336" i="25"/>
  <c r="Y272" i="25"/>
  <c r="Y208" i="25"/>
  <c r="Y144" i="25"/>
  <c r="Y80" i="25"/>
  <c r="X375" i="25"/>
  <c r="X311" i="25"/>
  <c r="X247" i="25"/>
  <c r="X183" i="25"/>
  <c r="X119" i="25"/>
  <c r="X55" i="25"/>
  <c r="Y991" i="25"/>
  <c r="Y927" i="25"/>
  <c r="Y863" i="25"/>
  <c r="Y799" i="25"/>
  <c r="Y735" i="25"/>
  <c r="Y671" i="25"/>
  <c r="Y607" i="25"/>
  <c r="Y543" i="25"/>
  <c r="Y479" i="25"/>
  <c r="Y415" i="25"/>
  <c r="Y351" i="25"/>
  <c r="Y287" i="25"/>
  <c r="Y223" i="25"/>
  <c r="Y159" i="25"/>
  <c r="Y95" i="25"/>
  <c r="X390" i="25"/>
  <c r="X326" i="25"/>
  <c r="X262" i="25"/>
  <c r="X198" i="25"/>
  <c r="X134" i="25"/>
  <c r="X70" i="25"/>
  <c r="Y1006" i="25"/>
  <c r="Y942" i="25"/>
  <c r="Y878" i="25"/>
  <c r="Y814" i="25"/>
  <c r="Y750" i="25"/>
  <c r="Y686" i="25"/>
  <c r="Y622" i="25"/>
  <c r="Y558" i="25"/>
  <c r="Y494" i="25"/>
  <c r="Y430" i="25"/>
  <c r="Y366" i="25"/>
  <c r="Y302" i="25"/>
  <c r="Y238" i="25"/>
  <c r="Y174" i="25"/>
  <c r="Y110" i="25"/>
  <c r="Y46" i="25"/>
  <c r="X341" i="25"/>
  <c r="X277" i="25"/>
  <c r="X213" i="25"/>
  <c r="X149" i="25"/>
  <c r="X85" i="25"/>
  <c r="Y1021" i="25"/>
  <c r="Y957" i="25"/>
  <c r="Y893" i="25"/>
  <c r="Y829" i="25"/>
  <c r="Y765" i="25"/>
  <c r="Y701" i="25"/>
  <c r="Y637" i="25"/>
  <c r="Y573" i="25"/>
  <c r="Y509" i="25"/>
  <c r="Y445" i="25"/>
  <c r="Y381" i="25"/>
  <c r="Y317" i="25"/>
  <c r="Y253" i="25"/>
  <c r="Y189" i="25"/>
  <c r="Y125" i="25"/>
  <c r="Y61" i="25"/>
  <c r="X356" i="25"/>
  <c r="X292" i="25"/>
  <c r="X228" i="25"/>
  <c r="X164" i="25"/>
  <c r="X100" i="25"/>
  <c r="Y1036" i="25"/>
  <c r="Y972" i="25"/>
  <c r="Y908" i="25"/>
  <c r="Y844" i="25"/>
  <c r="Y780" i="25"/>
  <c r="Y716" i="25"/>
  <c r="Y652" i="25"/>
  <c r="Y588" i="25"/>
  <c r="Y524" i="25"/>
  <c r="Y460" i="25"/>
  <c r="Y396" i="25"/>
  <c r="Y332" i="25"/>
  <c r="Y268" i="25"/>
  <c r="Y204" i="25"/>
  <c r="Y140" i="25"/>
  <c r="Y76" i="25"/>
  <c r="X371" i="25"/>
  <c r="X307" i="25"/>
  <c r="X243" i="25"/>
  <c r="X179" i="25"/>
  <c r="X115" i="25"/>
  <c r="X51" i="25"/>
  <c r="Y987" i="25"/>
  <c r="Y923" i="25"/>
  <c r="Y859" i="25"/>
  <c r="Y795" i="25"/>
  <c r="Y731" i="25"/>
  <c r="Y667" i="25"/>
  <c r="Y603" i="25"/>
  <c r="Y539" i="25"/>
  <c r="Y475" i="25"/>
  <c r="Y411" i="25"/>
  <c r="Y347" i="25"/>
  <c r="Y283" i="25"/>
  <c r="Y219" i="25"/>
  <c r="Y155" i="25"/>
  <c r="Y91" i="25"/>
  <c r="X386" i="25"/>
  <c r="X322" i="25"/>
  <c r="X258" i="25"/>
  <c r="X194" i="25"/>
  <c r="X130" i="25"/>
  <c r="X66" i="25"/>
  <c r="Y1002" i="25"/>
  <c r="Y938" i="25"/>
  <c r="Y874" i="25"/>
  <c r="Y810" i="25"/>
  <c r="Y746" i="25"/>
  <c r="Y682" i="25"/>
  <c r="Y618" i="25"/>
  <c r="Y554" i="25"/>
  <c r="Y490" i="25"/>
  <c r="Y426" i="25"/>
  <c r="Y362" i="25"/>
  <c r="Y298" i="25"/>
  <c r="Y234" i="25"/>
  <c r="Y170" i="25"/>
  <c r="Y106" i="25"/>
  <c r="Y42" i="25"/>
  <c r="X337" i="25"/>
  <c r="X273" i="25"/>
  <c r="X209" i="25"/>
  <c r="X145" i="25"/>
  <c r="X81" i="25"/>
  <c r="Y1017" i="25"/>
  <c r="Y953" i="25"/>
  <c r="Y889" i="25"/>
  <c r="Y825" i="25"/>
  <c r="Y761" i="25"/>
  <c r="Y697" i="25"/>
  <c r="Y633" i="25"/>
  <c r="Y569" i="25"/>
  <c r="Y505" i="25"/>
  <c r="Y441" i="25"/>
  <c r="Y377" i="25"/>
  <c r="Y313" i="25"/>
  <c r="Y249" i="25"/>
  <c r="Y185" i="25"/>
  <c r="Y121" i="25"/>
  <c r="Y57" i="25"/>
  <c r="Y776" i="25"/>
  <c r="Y712" i="25"/>
  <c r="Y648" i="25"/>
  <c r="Y584" i="25"/>
  <c r="Y520" i="25"/>
  <c r="Y456" i="25"/>
  <c r="Y392" i="25"/>
  <c r="Y328" i="25"/>
  <c r="Y264" i="25"/>
  <c r="Y200" i="25"/>
  <c r="Y136" i="25"/>
  <c r="Y72" i="25"/>
  <c r="X367" i="25"/>
  <c r="X303" i="25"/>
  <c r="X239" i="25"/>
  <c r="X175" i="25"/>
  <c r="X111" i="25"/>
  <c r="X47" i="25"/>
  <c r="Y983" i="25"/>
  <c r="Y919" i="25"/>
  <c r="Y855" i="25"/>
  <c r="Y791" i="25"/>
  <c r="Y727" i="25"/>
  <c r="Y663" i="25"/>
  <c r="Y599" i="25"/>
  <c r="Y535" i="25"/>
  <c r="Y471" i="25"/>
  <c r="Y407" i="25"/>
  <c r="Y343" i="25"/>
  <c r="Y279" i="25"/>
  <c r="Y215" i="25"/>
  <c r="Y151" i="25"/>
  <c r="Y87" i="25"/>
  <c r="X382" i="25"/>
  <c r="X318" i="25"/>
  <c r="X254" i="25"/>
  <c r="X190" i="25"/>
  <c r="X126" i="25"/>
  <c r="X62" i="25"/>
  <c r="Y998" i="25"/>
  <c r="Y934" i="25"/>
  <c r="Y870" i="25"/>
  <c r="Y806" i="25"/>
  <c r="Y742" i="25"/>
  <c r="Y678" i="25"/>
  <c r="Y614" i="25"/>
  <c r="Y550" i="25"/>
  <c r="Y486" i="25"/>
  <c r="Y422" i="25"/>
  <c r="Y358" i="25"/>
  <c r="Y294" i="25"/>
  <c r="Y230" i="25"/>
  <c r="Y166" i="25"/>
  <c r="Y102" i="25"/>
  <c r="X397" i="25"/>
  <c r="X333" i="25"/>
  <c r="X269" i="25"/>
  <c r="X205" i="25"/>
  <c r="X141" i="25"/>
  <c r="X77" i="25"/>
  <c r="Y1013" i="25"/>
  <c r="Y949" i="25"/>
  <c r="Y885" i="25"/>
  <c r="Y821" i="25"/>
  <c r="Y757" i="25"/>
  <c r="Y693" i="25"/>
  <c r="Y629" i="25"/>
  <c r="Y565" i="25"/>
  <c r="Y501" i="25"/>
  <c r="Y437" i="25"/>
  <c r="Y373" i="25"/>
  <c r="Y309" i="25"/>
  <c r="Y245" i="25"/>
  <c r="Y181" i="25"/>
  <c r="Y117" i="25"/>
  <c r="Y53" i="25"/>
  <c r="X348" i="25"/>
  <c r="X284" i="25"/>
  <c r="X220" i="25"/>
  <c r="X156" i="25"/>
  <c r="X92" i="25"/>
  <c r="Y1028" i="25"/>
  <c r="Y964" i="25"/>
  <c r="Y900" i="25"/>
  <c r="Y836" i="25"/>
  <c r="Y772" i="25"/>
  <c r="Y708" i="25"/>
  <c r="Y644" i="25"/>
  <c r="Y580" i="25"/>
  <c r="Y516" i="25"/>
  <c r="Y452" i="25"/>
  <c r="Y388" i="25"/>
  <c r="Y324" i="25"/>
  <c r="Y260" i="25"/>
  <c r="Y196" i="25"/>
  <c r="Y132" i="25"/>
  <c r="Y68" i="25"/>
  <c r="X363" i="25"/>
  <c r="X299" i="25"/>
  <c r="X235" i="25"/>
  <c r="X171" i="25"/>
  <c r="X107" i="25"/>
  <c r="X43" i="25"/>
  <c r="Y979" i="25"/>
  <c r="Y915" i="25"/>
  <c r="Y851" i="25"/>
  <c r="Y787" i="25"/>
  <c r="Y723" i="25"/>
  <c r="Y659" i="25"/>
  <c r="Y595" i="25"/>
  <c r="Y531" i="25"/>
  <c r="Y467" i="25"/>
  <c r="Y403" i="25"/>
  <c r="Y339" i="25"/>
  <c r="Y275" i="25"/>
  <c r="Y211" i="25"/>
  <c r="Y147" i="25"/>
  <c r="Y83" i="25"/>
  <c r="X378" i="25"/>
  <c r="X314" i="25"/>
  <c r="X250" i="25"/>
  <c r="X186" i="25"/>
  <c r="X122" i="25"/>
  <c r="X58" i="25"/>
  <c r="Y994" i="25"/>
  <c r="Y930" i="25"/>
  <c r="Y866" i="25"/>
  <c r="Y802" i="25"/>
  <c r="Y738" i="25"/>
  <c r="Y674" i="25"/>
  <c r="Y610" i="25"/>
  <c r="Y546" i="25"/>
  <c r="Y482" i="25"/>
  <c r="Y418" i="25"/>
  <c r="Y354" i="25"/>
  <c r="Y290" i="25"/>
  <c r="Y226" i="25"/>
  <c r="Y162" i="25"/>
  <c r="Y98" i="25"/>
  <c r="X393" i="25"/>
  <c r="X329" i="25"/>
  <c r="X265" i="25"/>
  <c r="X201" i="25"/>
  <c r="X137" i="25"/>
  <c r="X73" i="25"/>
  <c r="Y1009" i="25"/>
  <c r="Y945" i="25"/>
  <c r="Y881" i="25"/>
  <c r="Y817" i="25"/>
  <c r="Y753" i="25"/>
  <c r="Y689" i="25"/>
  <c r="Y625" i="25"/>
  <c r="Y561" i="25"/>
  <c r="Y497" i="25"/>
  <c r="Y433" i="25"/>
  <c r="Y369" i="25"/>
  <c r="Y305" i="25"/>
  <c r="Y241" i="25"/>
  <c r="Y177" i="25"/>
  <c r="Y113" i="25"/>
  <c r="Y49" i="25"/>
  <c r="X618" i="25"/>
  <c r="X554" i="25"/>
  <c r="X490" i="25"/>
  <c r="X426" i="25"/>
  <c r="W625" i="25"/>
  <c r="W561" i="25"/>
  <c r="W497" i="25"/>
  <c r="W433" i="25"/>
  <c r="W369" i="25"/>
  <c r="W305" i="25"/>
  <c r="W241" i="25"/>
  <c r="W177" i="25"/>
  <c r="W113" i="25"/>
  <c r="W49" i="25"/>
  <c r="X985" i="25"/>
  <c r="X921" i="25"/>
  <c r="X857" i="25"/>
  <c r="X793" i="25"/>
  <c r="X729" i="25"/>
  <c r="X665" i="25"/>
  <c r="X601" i="25"/>
  <c r="X537" i="25"/>
  <c r="X473" i="25"/>
  <c r="X409" i="25"/>
  <c r="X352" i="25"/>
  <c r="X288" i="25"/>
  <c r="X224" i="25"/>
  <c r="X160" i="25"/>
  <c r="X96" i="25"/>
  <c r="Y1024" i="25"/>
  <c r="Y960" i="25"/>
  <c r="Y896" i="25"/>
  <c r="Y832" i="25"/>
  <c r="Y768" i="25"/>
  <c r="Y704" i="25"/>
  <c r="Y640" i="25"/>
  <c r="Y576" i="25"/>
  <c r="Y512" i="25"/>
  <c r="Y448" i="25"/>
  <c r="Y384" i="25"/>
  <c r="Y320" i="25"/>
  <c r="Y256" i="25"/>
  <c r="Y192" i="25"/>
  <c r="Y128" i="25"/>
  <c r="Y64" i="25"/>
  <c r="X359" i="25"/>
  <c r="X295" i="25"/>
  <c r="X231" i="25"/>
  <c r="X167" i="25"/>
  <c r="X103" i="25"/>
  <c r="Y1039" i="25"/>
  <c r="Y975" i="25"/>
  <c r="Y911" i="25"/>
  <c r="Y847" i="25"/>
  <c r="Y783" i="25"/>
  <c r="Y719" i="25"/>
  <c r="Y655" i="25"/>
  <c r="Y591" i="25"/>
  <c r="Y527" i="25"/>
  <c r="Y463" i="25"/>
  <c r="Y399" i="25"/>
  <c r="Y335" i="25"/>
  <c r="Y271" i="25"/>
  <c r="Y207" i="25"/>
  <c r="Y143" i="25"/>
  <c r="Y79" i="25"/>
  <c r="X374" i="25"/>
  <c r="X310" i="25"/>
  <c r="X246" i="25"/>
  <c r="X182" i="25"/>
  <c r="X118" i="25"/>
  <c r="X54" i="25"/>
  <c r="Y990" i="25"/>
  <c r="Y926" i="25"/>
  <c r="Y862" i="25"/>
  <c r="Y798" i="25"/>
  <c r="Y734" i="25"/>
  <c r="Y670" i="25"/>
  <c r="Y606" i="25"/>
  <c r="Y542" i="25"/>
  <c r="Y478" i="25"/>
  <c r="Y414" i="25"/>
  <c r="Y350" i="25"/>
  <c r="Y286" i="25"/>
  <c r="Y222" i="25"/>
  <c r="Y158" i="25"/>
  <c r="Y94" i="25"/>
  <c r="X389" i="25"/>
  <c r="X325" i="25"/>
  <c r="X261" i="25"/>
  <c r="X197" i="25"/>
  <c r="X133" i="25"/>
  <c r="X69" i="25"/>
  <c r="Y1005" i="25"/>
  <c r="Y941" i="25"/>
  <c r="Y877" i="25"/>
  <c r="Y813" i="25"/>
  <c r="Y749" i="25"/>
  <c r="Y685" i="25"/>
  <c r="Y621" i="25"/>
  <c r="Y557" i="25"/>
  <c r="Y493" i="25"/>
  <c r="Y429" i="25"/>
  <c r="Y365" i="25"/>
  <c r="Y301" i="25"/>
  <c r="Y237" i="25"/>
  <c r="Y173" i="25"/>
  <c r="Y109" i="25"/>
  <c r="Y45" i="25"/>
  <c r="X340" i="25"/>
  <c r="X276" i="25"/>
  <c r="X212" i="25"/>
  <c r="X148" i="25"/>
  <c r="X84" i="25"/>
  <c r="Y1020" i="25"/>
  <c r="Y956" i="25"/>
  <c r="Y892" i="25"/>
  <c r="Y828" i="25"/>
  <c r="Y764" i="25"/>
  <c r="Y700" i="25"/>
  <c r="Y636" i="25"/>
  <c r="Y572" i="25"/>
  <c r="Y508" i="25"/>
  <c r="Y444" i="25"/>
  <c r="Y380" i="25"/>
  <c r="Y316" i="25"/>
  <c r="Y252" i="25"/>
  <c r="Y188" i="25"/>
  <c r="Y124" i="25"/>
  <c r="Y60" i="25"/>
  <c r="X355" i="25"/>
  <c r="X291" i="25"/>
  <c r="X227" i="25"/>
  <c r="X163" i="25"/>
  <c r="X99" i="25"/>
  <c r="Y1035" i="25"/>
  <c r="Y971" i="25"/>
  <c r="Y907" i="25"/>
  <c r="Y843" i="25"/>
  <c r="Y779" i="25"/>
  <c r="Y715" i="25"/>
  <c r="Y651" i="25"/>
  <c r="Y587" i="25"/>
  <c r="Y523" i="25"/>
  <c r="Y459" i="25"/>
  <c r="Y395" i="25"/>
  <c r="Y331" i="25"/>
  <c r="Y267" i="25"/>
  <c r="Y203" i="25"/>
  <c r="Y139" i="25"/>
  <c r="Y75" i="25"/>
  <c r="X370" i="25"/>
  <c r="X306" i="25"/>
  <c r="X242" i="25"/>
  <c r="X178" i="25"/>
  <c r="X114" i="25"/>
  <c r="X50" i="25"/>
  <c r="Y986" i="25"/>
  <c r="Y922" i="25"/>
  <c r="Y858" i="25"/>
  <c r="Y794" i="25"/>
  <c r="Y730" i="25"/>
  <c r="Y666" i="25"/>
  <c r="Y602" i="25"/>
  <c r="Y538" i="25"/>
  <c r="Y474" i="25"/>
  <c r="Y410" i="25"/>
  <c r="Y346" i="25"/>
  <c r="Y282" i="25"/>
  <c r="Y218" i="25"/>
  <c r="Y154" i="25"/>
  <c r="Y90" i="25"/>
  <c r="X385" i="25"/>
  <c r="X321" i="25"/>
  <c r="X257" i="25"/>
  <c r="X193" i="25"/>
  <c r="X129" i="25"/>
  <c r="X65" i="25"/>
  <c r="Y1001" i="25"/>
  <c r="Y937" i="25"/>
  <c r="Y873" i="25"/>
  <c r="Y809" i="25"/>
  <c r="Y745" i="25"/>
  <c r="Y681" i="25"/>
  <c r="Y617" i="25"/>
  <c r="Y553" i="25"/>
  <c r="Y489" i="25"/>
  <c r="Y425" i="25"/>
  <c r="Y361" i="25"/>
  <c r="Y297" i="25"/>
  <c r="Y233" i="25"/>
  <c r="Y169" i="25"/>
  <c r="Y105" i="25"/>
  <c r="Y41" i="25"/>
  <c r="Y406" i="25"/>
  <c r="Y342" i="25"/>
  <c r="Y278" i="25"/>
  <c r="Y214" i="25"/>
  <c r="Y150" i="25"/>
  <c r="Y86" i="25"/>
  <c r="X381" i="25"/>
  <c r="X317" i="25"/>
  <c r="X253" i="25"/>
  <c r="X189" i="25"/>
  <c r="X125" i="25"/>
  <c r="X61" i="25"/>
  <c r="Y997" i="25"/>
  <c r="Y933" i="25"/>
  <c r="Y869" i="25"/>
  <c r="Y805" i="25"/>
  <c r="Y741" i="25"/>
  <c r="Y677" i="25"/>
  <c r="Y613" i="25"/>
  <c r="Y549" i="25"/>
  <c r="Y485" i="25"/>
  <c r="Y421" i="25"/>
  <c r="Y357" i="25"/>
  <c r="Y293" i="25"/>
  <c r="Y229" i="25"/>
  <c r="Y165" i="25"/>
  <c r="Y101" i="25"/>
  <c r="X396" i="25"/>
  <c r="X332" i="25"/>
  <c r="X268" i="25"/>
  <c r="X204" i="25"/>
  <c r="X140" i="25"/>
  <c r="X76" i="25"/>
  <c r="Y1012" i="25"/>
  <c r="Y948" i="25"/>
  <c r="Y884" i="25"/>
  <c r="Y820" i="25"/>
  <c r="Y756" i="25"/>
  <c r="Y692" i="25"/>
  <c r="Y628" i="25"/>
  <c r="Y564" i="25"/>
  <c r="Y500" i="25"/>
  <c r="Y436" i="25"/>
  <c r="Y372" i="25"/>
  <c r="Y308" i="25"/>
  <c r="Y244" i="25"/>
  <c r="Y180" i="25"/>
  <c r="Y116" i="25"/>
  <c r="Y52" i="25"/>
  <c r="X347" i="25"/>
  <c r="X283" i="25"/>
  <c r="X219" i="25"/>
  <c r="X155" i="25"/>
  <c r="X91" i="25"/>
  <c r="Y1027" i="25"/>
  <c r="Y963" i="25"/>
  <c r="Y899" i="25"/>
  <c r="Y835" i="25"/>
  <c r="Y771" i="25"/>
  <c r="Y707" i="25"/>
  <c r="Y643" i="25"/>
  <c r="Y579" i="25"/>
  <c r="Y515" i="25"/>
  <c r="Y451" i="25"/>
  <c r="Y387" i="25"/>
  <c r="Y323" i="25"/>
  <c r="Y259" i="25"/>
  <c r="Y195" i="25"/>
  <c r="Y131" i="25"/>
  <c r="Y67" i="25"/>
  <c r="X362" i="25"/>
  <c r="X298" i="25"/>
  <c r="X234" i="25"/>
  <c r="X170" i="25"/>
  <c r="X106" i="25"/>
  <c r="X42" i="25"/>
  <c r="Y978" i="25"/>
  <c r="Y914" i="25"/>
  <c r="Y850" i="25"/>
  <c r="Y786" i="25"/>
  <c r="Y722" i="25"/>
  <c r="Y658" i="25"/>
  <c r="Y594" i="25"/>
  <c r="Y530" i="25"/>
  <c r="Y466" i="25"/>
  <c r="Y402" i="25"/>
  <c r="Y338" i="25"/>
  <c r="Y274" i="25"/>
  <c r="Y210" i="25"/>
  <c r="Y146" i="25"/>
  <c r="Y82" i="25"/>
  <c r="X377" i="25"/>
  <c r="X313" i="25"/>
  <c r="X249" i="25"/>
  <c r="X185" i="25"/>
  <c r="X121" i="25"/>
  <c r="X57" i="25"/>
  <c r="Y993" i="25"/>
  <c r="Y929" i="25"/>
  <c r="Y865" i="25"/>
  <c r="Y801" i="25"/>
  <c r="Y737" i="25"/>
  <c r="Y673" i="25"/>
  <c r="Y609" i="25"/>
  <c r="Y545" i="25"/>
  <c r="Y481" i="25"/>
  <c r="Y417" i="25"/>
  <c r="Y353" i="25"/>
  <c r="Y289" i="25"/>
  <c r="Y225" i="25"/>
  <c r="Y161" i="25"/>
  <c r="Y97" i="25"/>
  <c r="X400" i="25"/>
  <c r="X336" i="25"/>
  <c r="X272" i="25"/>
  <c r="X208" i="25"/>
  <c r="X144" i="25"/>
  <c r="X80" i="25"/>
  <c r="Y1008" i="25"/>
  <c r="Y944" i="25"/>
  <c r="Y880" i="25"/>
  <c r="Y816" i="25"/>
  <c r="Y752" i="25"/>
  <c r="Y688" i="25"/>
  <c r="Y624" i="25"/>
  <c r="Y560" i="25"/>
  <c r="Y496" i="25"/>
  <c r="Y432" i="25"/>
  <c r="Y368" i="25"/>
  <c r="Y304" i="25"/>
  <c r="Y240" i="25"/>
  <c r="Y176" i="25"/>
  <c r="Y112" i="25"/>
  <c r="Y48" i="25"/>
  <c r="X343" i="25"/>
  <c r="X279" i="25"/>
  <c r="X215" i="25"/>
  <c r="X151" i="25"/>
  <c r="X87" i="25"/>
  <c r="Y1023" i="25"/>
  <c r="Y959" i="25"/>
  <c r="Y895" i="25"/>
  <c r="Y831" i="25"/>
  <c r="Y767" i="25"/>
  <c r="Y703" i="25"/>
  <c r="Y639" i="25"/>
  <c r="Y575" i="25"/>
  <c r="Y511" i="25"/>
  <c r="Y447" i="25"/>
  <c r="Y383" i="25"/>
  <c r="Y319" i="25"/>
  <c r="Y255" i="25"/>
  <c r="Y191" i="25"/>
  <c r="Y127" i="25"/>
  <c r="Y63" i="25"/>
  <c r="X358" i="25"/>
  <c r="X294" i="25"/>
  <c r="X230" i="25"/>
  <c r="X166" i="25"/>
  <c r="X102" i="25"/>
  <c r="Y1038" i="25"/>
  <c r="Y974" i="25"/>
  <c r="Y910" i="25"/>
  <c r="Y846" i="25"/>
  <c r="Y782" i="25"/>
  <c r="Y718" i="25"/>
  <c r="Y654" i="25"/>
  <c r="Y590" i="25"/>
  <c r="Y526" i="25"/>
  <c r="Y462" i="25"/>
  <c r="Y398" i="25"/>
  <c r="Y334" i="25"/>
  <c r="Y270" i="25"/>
  <c r="Y206" i="25"/>
  <c r="Y142" i="25"/>
  <c r="Y78" i="25"/>
  <c r="X373" i="25"/>
  <c r="X309" i="25"/>
  <c r="X245" i="25"/>
  <c r="X181" i="25"/>
  <c r="X117" i="25"/>
  <c r="X53" i="25"/>
  <c r="Y989" i="25"/>
  <c r="Y925" i="25"/>
  <c r="Y861" i="25"/>
  <c r="Y797" i="25"/>
  <c r="Y733" i="25"/>
  <c r="Y669" i="25"/>
  <c r="Y605" i="25"/>
  <c r="Y541" i="25"/>
  <c r="Y477" i="25"/>
  <c r="Y413" i="25"/>
  <c r="Y349" i="25"/>
  <c r="Y285" i="25"/>
  <c r="Y221" i="25"/>
  <c r="Y157" i="25"/>
  <c r="Y93" i="25"/>
  <c r="X388" i="25"/>
  <c r="X324" i="25"/>
  <c r="X260" i="25"/>
  <c r="X196" i="25"/>
  <c r="X132" i="25"/>
  <c r="X68" i="25"/>
  <c r="Y1004" i="25"/>
  <c r="Y940" i="25"/>
  <c r="Y876" i="25"/>
  <c r="Y812" i="25"/>
  <c r="Y748" i="25"/>
  <c r="Y684" i="25"/>
  <c r="Y620" i="25"/>
  <c r="Y556" i="25"/>
  <c r="Y492" i="25"/>
  <c r="Y428" i="25"/>
  <c r="Y364" i="25"/>
  <c r="Y300" i="25"/>
  <c r="Y236" i="25"/>
  <c r="Y172" i="25"/>
  <c r="Y108" i="25"/>
  <c r="Y44" i="25"/>
  <c r="X339" i="25"/>
  <c r="X275" i="25"/>
  <c r="X211" i="25"/>
  <c r="X147" i="25"/>
  <c r="X83" i="25"/>
  <c r="Y1019" i="25"/>
  <c r="Y955" i="25"/>
  <c r="Y891" i="25"/>
  <c r="Y827" i="25"/>
  <c r="Y763" i="25"/>
  <c r="Y699" i="25"/>
  <c r="Y635" i="25"/>
  <c r="Y571" i="25"/>
  <c r="Y507" i="25"/>
  <c r="Y443" i="25"/>
  <c r="Y379" i="25"/>
  <c r="Y315" i="25"/>
  <c r="Y251" i="25"/>
  <c r="Y187" i="25"/>
  <c r="Y123" i="25"/>
  <c r="Y59" i="25"/>
  <c r="X354" i="25"/>
  <c r="X290" i="25"/>
  <c r="X226" i="25"/>
  <c r="X162" i="25"/>
  <c r="X98" i="25"/>
  <c r="Y1034" i="25"/>
  <c r="Y970" i="25"/>
  <c r="Y906" i="25"/>
  <c r="Y842" i="25"/>
  <c r="Y778" i="25"/>
  <c r="Y714" i="25"/>
  <c r="Y650" i="25"/>
  <c r="Y586" i="25"/>
  <c r="Y522" i="25"/>
  <c r="Y458" i="25"/>
  <c r="Y394" i="25"/>
  <c r="Y330" i="25"/>
  <c r="Y266" i="25"/>
  <c r="Y202" i="25"/>
  <c r="Y138" i="25"/>
  <c r="Y74" i="25"/>
  <c r="X369" i="25"/>
  <c r="X305" i="25"/>
  <c r="X241" i="25"/>
  <c r="X177" i="25"/>
  <c r="X113" i="25"/>
  <c r="X49" i="25"/>
  <c r="Y985" i="25"/>
  <c r="Y921" i="25"/>
  <c r="Y857" i="25"/>
  <c r="Y793" i="25"/>
  <c r="Y729" i="25"/>
  <c r="Y665" i="25"/>
  <c r="Y601" i="25"/>
  <c r="Y537" i="25"/>
  <c r="Y473" i="25"/>
  <c r="Y409" i="25"/>
  <c r="Y345" i="25"/>
  <c r="Y281" i="25"/>
  <c r="Y217" i="25"/>
  <c r="Y153" i="25"/>
  <c r="Y89" i="25"/>
  <c r="Y808" i="25"/>
  <c r="Y744" i="25"/>
  <c r="Y680" i="25"/>
  <c r="Y616" i="25"/>
  <c r="Y552" i="25"/>
  <c r="Y488" i="25"/>
  <c r="Y424" i="25"/>
  <c r="Y360" i="25"/>
  <c r="Y296" i="25"/>
  <c r="Y232" i="25"/>
  <c r="Y168" i="25"/>
  <c r="Y104" i="25"/>
  <c r="X399" i="25"/>
  <c r="X335" i="25"/>
  <c r="X271" i="25"/>
  <c r="X207" i="25"/>
  <c r="X143" i="25"/>
  <c r="X79" i="25"/>
  <c r="Y1015" i="25"/>
  <c r="Y951" i="25"/>
  <c r="Y887" i="25"/>
  <c r="Y823" i="25"/>
  <c r="Y759" i="25"/>
  <c r="Y695" i="25"/>
  <c r="Y631" i="25"/>
  <c r="Y567" i="25"/>
  <c r="Y503" i="25"/>
  <c r="Y439" i="25"/>
  <c r="Y375" i="25"/>
  <c r="Y311" i="25"/>
  <c r="Y247" i="25"/>
  <c r="Y183" i="25"/>
  <c r="Y119" i="25"/>
  <c r="Y55" i="25"/>
  <c r="X350" i="25"/>
  <c r="X286" i="25"/>
  <c r="X222" i="25"/>
  <c r="X158" i="25"/>
  <c r="X94" i="25"/>
  <c r="Y1030" i="25"/>
  <c r="Y966" i="25"/>
  <c r="Y902" i="25"/>
  <c r="Y838" i="25"/>
  <c r="Y774" i="25"/>
  <c r="Y710" i="25"/>
  <c r="Y646" i="25"/>
  <c r="Y582" i="25"/>
  <c r="Y518" i="25"/>
  <c r="Y454" i="25"/>
  <c r="Y390" i="25"/>
  <c r="Y326" i="25"/>
  <c r="Y262" i="25"/>
  <c r="Y198" i="25"/>
  <c r="Y134" i="25"/>
  <c r="Y70" i="25"/>
  <c r="X365" i="25"/>
  <c r="X301" i="25"/>
  <c r="X237" i="25"/>
  <c r="X173" i="25"/>
  <c r="X109" i="25"/>
  <c r="X45" i="25"/>
  <c r="Y981" i="25"/>
  <c r="Y917" i="25"/>
  <c r="Y853" i="25"/>
  <c r="Y789" i="25"/>
  <c r="Y725" i="25"/>
  <c r="Y661" i="25"/>
  <c r="Y597" i="25"/>
  <c r="Y533" i="25"/>
  <c r="Y469" i="25"/>
  <c r="Y405" i="25"/>
  <c r="Y341" i="25"/>
  <c r="Y277" i="25"/>
  <c r="Y213" i="25"/>
  <c r="Y149" i="25"/>
  <c r="Y85" i="25"/>
  <c r="X380" i="25"/>
  <c r="X316" i="25"/>
  <c r="X252" i="25"/>
  <c r="X188" i="25"/>
  <c r="X124" i="25"/>
  <c r="X60" i="25"/>
  <c r="Y996" i="25"/>
  <c r="Y932" i="25"/>
  <c r="Y868" i="25"/>
  <c r="Y804" i="25"/>
  <c r="Y740" i="25"/>
  <c r="Y676" i="25"/>
  <c r="Y612" i="25"/>
  <c r="Y548" i="25"/>
  <c r="Y484" i="25"/>
  <c r="Y420" i="25"/>
  <c r="Y356" i="25"/>
  <c r="Y292" i="25"/>
  <c r="Y228" i="25"/>
  <c r="Y164" i="25"/>
  <c r="Y100" i="25"/>
  <c r="X395" i="25"/>
  <c r="X331" i="25"/>
  <c r="X267" i="25"/>
  <c r="X203" i="25"/>
  <c r="X139" i="25"/>
  <c r="X75" i="25"/>
  <c r="Y1011" i="25"/>
  <c r="Y947" i="25"/>
  <c r="Y883" i="25"/>
  <c r="Y819" i="25"/>
  <c r="Y755" i="25"/>
  <c r="Y691" i="25"/>
  <c r="Y627" i="25"/>
  <c r="Y563" i="25"/>
  <c r="Y499" i="25"/>
  <c r="Y435" i="25"/>
  <c r="Y371" i="25"/>
  <c r="Y307" i="25"/>
  <c r="Y243" i="25"/>
  <c r="Y179" i="25"/>
  <c r="Y115" i="25"/>
  <c r="Y51" i="25"/>
  <c r="X346" i="25"/>
  <c r="X282" i="25"/>
  <c r="X218" i="25"/>
  <c r="X154" i="25"/>
  <c r="X90" i="25"/>
  <c r="Y1026" i="25"/>
  <c r="Y962" i="25"/>
  <c r="Y898" i="25"/>
  <c r="Y834" i="25"/>
  <c r="Y770" i="25"/>
  <c r="Y706" i="25"/>
  <c r="Y642" i="25"/>
  <c r="Y578" i="25"/>
  <c r="Y514" i="25"/>
  <c r="Y450" i="25"/>
  <c r="Y386" i="25"/>
  <c r="Y322" i="25"/>
  <c r="Y258" i="25"/>
  <c r="Y194" i="25"/>
  <c r="Y130" i="25"/>
  <c r="Y66" i="25"/>
  <c r="X361" i="25"/>
  <c r="X297" i="25"/>
  <c r="X233" i="25"/>
  <c r="X169" i="25"/>
  <c r="X105" i="25"/>
  <c r="X41" i="25"/>
  <c r="Y977" i="25"/>
  <c r="Y913" i="25"/>
  <c r="Y849" i="25"/>
  <c r="Y785" i="25"/>
  <c r="Y721" i="25"/>
  <c r="Y657" i="25"/>
  <c r="Y593" i="25"/>
  <c r="Y529" i="25"/>
  <c r="Y465" i="25"/>
  <c r="Y401" i="25"/>
  <c r="Y337" i="25"/>
  <c r="Y273" i="25"/>
  <c r="Y209" i="25"/>
  <c r="Y145" i="25"/>
  <c r="Y81" i="25"/>
  <c r="Q40" i="25"/>
  <c r="Q35" i="25" s="1"/>
  <c r="P40" i="25"/>
  <c r="P35" i="25" s="1"/>
  <c r="O40" i="25"/>
  <c r="N40" i="25"/>
  <c r="M40" i="25"/>
  <c r="M35" i="25" s="1"/>
  <c r="L40" i="25"/>
  <c r="L35" i="25" s="1"/>
  <c r="U40" i="25"/>
  <c r="T40" i="25"/>
  <c r="S40" i="25"/>
  <c r="R40" i="25"/>
  <c r="V40" i="25" l="1"/>
  <c r="N35" i="25"/>
  <c r="O35" i="25"/>
  <c r="W40" i="25"/>
  <c r="X40" i="25"/>
  <c r="Y40" i="25"/>
  <c r="D15" i="5"/>
  <c r="D9" i="20" l="1"/>
  <c r="F19" i="4" l="1"/>
  <c r="H278" i="5" s="1"/>
  <c r="F18" i="4"/>
  <c r="H277" i="5" s="1"/>
  <c r="F17" i="4"/>
  <c r="H276" i="5" s="1"/>
  <c r="F16" i="4"/>
  <c r="H275" i="5" s="1"/>
  <c r="H10" i="20"/>
  <c r="H216" i="5"/>
  <c r="H224" i="5"/>
  <c r="H232" i="5"/>
  <c r="Z44" i="10"/>
  <c r="H240" i="5" s="1"/>
  <c r="H248" i="5"/>
  <c r="Z60" i="10"/>
  <c r="H256" i="5" s="1"/>
  <c r="Z68" i="10"/>
  <c r="H264" i="5" s="1"/>
  <c r="H217" i="5"/>
  <c r="H225" i="5"/>
  <c r="H233" i="5"/>
  <c r="Z45" i="10"/>
  <c r="H241" i="5" s="1"/>
  <c r="H249" i="5"/>
  <c r="Z61" i="10"/>
  <c r="H257" i="5" s="1"/>
  <c r="Z69" i="10"/>
  <c r="H265" i="5" s="1"/>
  <c r="H218" i="5"/>
  <c r="H226" i="5"/>
  <c r="H234" i="5"/>
  <c r="Z46" i="10"/>
  <c r="H242" i="5" s="1"/>
  <c r="H250" i="5"/>
  <c r="Z62" i="10"/>
  <c r="H258" i="5" s="1"/>
  <c r="Z70" i="10"/>
  <c r="H266" i="5" s="1"/>
  <c r="H219" i="5"/>
  <c r="H227" i="5"/>
  <c r="H235" i="5"/>
  <c r="Z47" i="10"/>
  <c r="H243" i="5" s="1"/>
  <c r="H251" i="5"/>
  <c r="Z63" i="10"/>
  <c r="H259" i="5" s="1"/>
  <c r="Z71" i="10"/>
  <c r="H267" i="5" s="1"/>
  <c r="H220" i="5"/>
  <c r="H228" i="5"/>
  <c r="H236" i="5"/>
  <c r="Z48" i="10"/>
  <c r="H244" i="5" s="1"/>
  <c r="H252" i="5"/>
  <c r="Z64" i="10"/>
  <c r="H260" i="5" s="1"/>
  <c r="Z72" i="10"/>
  <c r="H268" i="5" s="1"/>
  <c r="H221" i="5"/>
  <c r="H229" i="5"/>
  <c r="H237" i="5"/>
  <c r="Z49" i="10"/>
  <c r="H245" i="5" s="1"/>
  <c r="H253" i="5"/>
  <c r="Z65" i="10"/>
  <c r="H261" i="5" s="1"/>
  <c r="Z73" i="10"/>
  <c r="H269" i="5" s="1"/>
  <c r="H222" i="5"/>
  <c r="H230" i="5"/>
  <c r="H238" i="5"/>
  <c r="Z50" i="10"/>
  <c r="H246" i="5" s="1"/>
  <c r="H254" i="5"/>
  <c r="Z66" i="10"/>
  <c r="H262" i="5" s="1"/>
  <c r="Z74" i="10"/>
  <c r="H270" i="5" s="1"/>
  <c r="H214" i="5"/>
  <c r="H213" i="5"/>
  <c r="H212" i="5"/>
  <c r="H211" i="5"/>
  <c r="H210" i="5"/>
  <c r="H209" i="5"/>
  <c r="H208" i="5"/>
  <c r="H215" i="5"/>
  <c r="H223" i="5"/>
  <c r="H231" i="5"/>
  <c r="Z43" i="10"/>
  <c r="H239" i="5" s="1"/>
  <c r="H247" i="5"/>
  <c r="Z59" i="10"/>
  <c r="H255" i="5" s="1"/>
  <c r="Z67" i="10"/>
  <c r="H263" i="5" s="1"/>
  <c r="H151" i="5"/>
  <c r="H159" i="5"/>
  <c r="H167" i="5"/>
  <c r="N43" i="10"/>
  <c r="H175" i="5" s="1"/>
  <c r="H183" i="5"/>
  <c r="N59" i="10"/>
  <c r="H191" i="5" s="1"/>
  <c r="N67" i="10"/>
  <c r="H199" i="5" s="1"/>
  <c r="H152" i="5"/>
  <c r="H160" i="5"/>
  <c r="H168" i="5"/>
  <c r="N44" i="10"/>
  <c r="H176" i="5" s="1"/>
  <c r="H184" i="5"/>
  <c r="N60" i="10"/>
  <c r="H192" i="5" s="1"/>
  <c r="N68" i="10"/>
  <c r="H200" i="5" s="1"/>
  <c r="H153" i="5"/>
  <c r="H161" i="5"/>
  <c r="H169" i="5"/>
  <c r="N45" i="10"/>
  <c r="H177" i="5" s="1"/>
  <c r="H185" i="5"/>
  <c r="N61" i="10"/>
  <c r="H193" i="5" s="1"/>
  <c r="N69" i="10"/>
  <c r="H201" i="5" s="1"/>
  <c r="H154" i="5"/>
  <c r="H162" i="5"/>
  <c r="H170" i="5"/>
  <c r="N46" i="10"/>
  <c r="H178" i="5" s="1"/>
  <c r="H186" i="5"/>
  <c r="N62" i="10"/>
  <c r="H194" i="5" s="1"/>
  <c r="N70" i="10"/>
  <c r="H202" i="5" s="1"/>
  <c r="H155" i="5"/>
  <c r="H163" i="5"/>
  <c r="H171" i="5"/>
  <c r="N47" i="10"/>
  <c r="H179" i="5" s="1"/>
  <c r="H187" i="5"/>
  <c r="N63" i="10"/>
  <c r="H195" i="5" s="1"/>
  <c r="N71" i="10"/>
  <c r="H203" i="5" s="1"/>
  <c r="H156" i="5"/>
  <c r="H164" i="5"/>
  <c r="H172" i="5"/>
  <c r="N48" i="10"/>
  <c r="H180" i="5" s="1"/>
  <c r="H188" i="5"/>
  <c r="N64" i="10"/>
  <c r="H196" i="5" s="1"/>
  <c r="N72" i="10"/>
  <c r="H204" i="5" s="1"/>
  <c r="H157" i="5"/>
  <c r="H165" i="5"/>
  <c r="H173" i="5"/>
  <c r="N49" i="10"/>
  <c r="H181" i="5" s="1"/>
  <c r="H189" i="5"/>
  <c r="N65" i="10"/>
  <c r="H197" i="5" s="1"/>
  <c r="N73" i="10"/>
  <c r="H205" i="5" s="1"/>
  <c r="H158" i="5"/>
  <c r="H166" i="5"/>
  <c r="H174" i="5"/>
  <c r="N50" i="10"/>
  <c r="H182" i="5" s="1"/>
  <c r="H190" i="5"/>
  <c r="N66" i="10"/>
  <c r="H198" i="5" s="1"/>
  <c r="N74" i="10"/>
  <c r="H206" i="5" s="1"/>
  <c r="H150" i="5"/>
  <c r="H149" i="5"/>
  <c r="H148" i="5"/>
  <c r="H147" i="5"/>
  <c r="H146" i="5"/>
  <c r="H145" i="5"/>
  <c r="H144" i="5"/>
  <c r="H88" i="5"/>
  <c r="H96" i="5"/>
  <c r="H104" i="5"/>
  <c r="T44" i="10"/>
  <c r="H112" i="5" s="1"/>
  <c r="H120" i="5"/>
  <c r="T60" i="10"/>
  <c r="H128" i="5" s="1"/>
  <c r="T68" i="10"/>
  <c r="H136" i="5" s="1"/>
  <c r="H90" i="5"/>
  <c r="H98" i="5"/>
  <c r="H106" i="5"/>
  <c r="T46" i="10"/>
  <c r="H114" i="5" s="1"/>
  <c r="H122" i="5"/>
  <c r="T62" i="10"/>
  <c r="H130" i="5" s="1"/>
  <c r="T70" i="10"/>
  <c r="H138" i="5" s="1"/>
  <c r="H89" i="5"/>
  <c r="H97" i="5"/>
  <c r="H105" i="5"/>
  <c r="T45" i="10"/>
  <c r="H113" i="5" s="1"/>
  <c r="H121" i="5"/>
  <c r="T61" i="10"/>
  <c r="H129" i="5" s="1"/>
  <c r="T69" i="10"/>
  <c r="H137" i="5" s="1"/>
  <c r="H91" i="5"/>
  <c r="H99" i="5"/>
  <c r="H107" i="5"/>
  <c r="T47" i="10"/>
  <c r="H115" i="5" s="1"/>
  <c r="H123" i="5"/>
  <c r="T63" i="10"/>
  <c r="H131" i="5" s="1"/>
  <c r="T71" i="10"/>
  <c r="H139" i="5" s="1"/>
  <c r="H92" i="5"/>
  <c r="H100" i="5"/>
  <c r="H108" i="5"/>
  <c r="T48" i="10"/>
  <c r="H116" i="5" s="1"/>
  <c r="H124" i="5"/>
  <c r="T64" i="10"/>
  <c r="H132" i="5" s="1"/>
  <c r="T72" i="10"/>
  <c r="H140" i="5" s="1"/>
  <c r="H93" i="5"/>
  <c r="H101" i="5"/>
  <c r="H109" i="5"/>
  <c r="T49" i="10"/>
  <c r="H117" i="5" s="1"/>
  <c r="H125" i="5"/>
  <c r="T65" i="10"/>
  <c r="H133" i="5" s="1"/>
  <c r="T73" i="10"/>
  <c r="H141" i="5" s="1"/>
  <c r="H94" i="5"/>
  <c r="H102" i="5"/>
  <c r="H110" i="5"/>
  <c r="T50" i="10"/>
  <c r="H118" i="5" s="1"/>
  <c r="H126" i="5"/>
  <c r="T66" i="10"/>
  <c r="H134" i="5" s="1"/>
  <c r="T74" i="10"/>
  <c r="H142" i="5" s="1"/>
  <c r="H86" i="5"/>
  <c r="H85" i="5"/>
  <c r="H84" i="5"/>
  <c r="H83" i="5"/>
  <c r="H82" i="5"/>
  <c r="H81" i="5"/>
  <c r="H80" i="5"/>
  <c r="H87" i="5"/>
  <c r="H95" i="5"/>
  <c r="H103" i="5"/>
  <c r="T43" i="10"/>
  <c r="H111" i="5" s="1"/>
  <c r="H119" i="5"/>
  <c r="T59" i="10"/>
  <c r="H127" i="5" s="1"/>
  <c r="T67" i="10"/>
  <c r="H135" i="5" s="1"/>
  <c r="H79" i="5"/>
  <c r="H27" i="5"/>
  <c r="H31" i="10"/>
  <c r="H35" i="5" s="1"/>
  <c r="H43" i="5"/>
  <c r="H47" i="10"/>
  <c r="H51" i="5" s="1"/>
  <c r="H59" i="5"/>
  <c r="H63" i="10"/>
  <c r="H67" i="5" s="1"/>
  <c r="H71" i="10"/>
  <c r="H75" i="5" s="1"/>
  <c r="H28" i="5"/>
  <c r="H32" i="10"/>
  <c r="H36" i="5" s="1"/>
  <c r="H44" i="5"/>
  <c r="H52" i="5"/>
  <c r="H60" i="5"/>
  <c r="H64" i="10"/>
  <c r="H68" i="5" s="1"/>
  <c r="H72" i="10"/>
  <c r="H76" i="5" s="1"/>
  <c r="H29" i="5"/>
  <c r="H33" i="10"/>
  <c r="H37" i="5" s="1"/>
  <c r="H45" i="5"/>
  <c r="H49" i="10"/>
  <c r="H53" i="5" s="1"/>
  <c r="H61" i="5"/>
  <c r="H65" i="10"/>
  <c r="H69" i="5" s="1"/>
  <c r="H73" i="10"/>
  <c r="H77" i="5" s="1"/>
  <c r="H30" i="5"/>
  <c r="H34" i="10"/>
  <c r="H38" i="5" s="1"/>
  <c r="H46" i="5"/>
  <c r="H50" i="10"/>
  <c r="H54" i="5" s="1"/>
  <c r="H62" i="5"/>
  <c r="H66" i="10"/>
  <c r="H70" i="5" s="1"/>
  <c r="H74" i="10"/>
  <c r="H78" i="5" s="1"/>
  <c r="H22" i="5"/>
  <c r="H21" i="5"/>
  <c r="H20" i="5"/>
  <c r="H19" i="5"/>
  <c r="H26" i="5"/>
  <c r="H30" i="10"/>
  <c r="H34" i="5" s="1"/>
  <c r="H42" i="5"/>
  <c r="H46" i="10"/>
  <c r="H50" i="5" s="1"/>
  <c r="H58" i="5"/>
  <c r="H62" i="10"/>
  <c r="H66" i="5" s="1"/>
  <c r="H70" i="10"/>
  <c r="H74" i="5" s="1"/>
  <c r="H18" i="5"/>
  <c r="H25" i="5"/>
  <c r="H29" i="10"/>
  <c r="H33" i="5" s="1"/>
  <c r="H41" i="5"/>
  <c r="H45" i="10"/>
  <c r="H49" i="5" s="1"/>
  <c r="H57" i="5"/>
  <c r="H61" i="10"/>
  <c r="H65" i="5" s="1"/>
  <c r="H69" i="10"/>
  <c r="H73" i="5" s="1"/>
  <c r="H17" i="5"/>
  <c r="H24" i="5"/>
  <c r="H28" i="10"/>
  <c r="H32" i="5" s="1"/>
  <c r="H40" i="5"/>
  <c r="H44" i="10"/>
  <c r="H48" i="5" s="1"/>
  <c r="H56" i="5"/>
  <c r="H60" i="10"/>
  <c r="H64" i="5" s="1"/>
  <c r="H68" i="10"/>
  <c r="H72" i="5" s="1"/>
  <c r="H16" i="5"/>
  <c r="H23" i="5"/>
  <c r="H27" i="10"/>
  <c r="H31" i="5" s="1"/>
  <c r="H39" i="5"/>
  <c r="H43" i="10"/>
  <c r="H47" i="5" s="1"/>
  <c r="H55" i="5"/>
  <c r="H59" i="10"/>
  <c r="H63" i="5" s="1"/>
  <c r="H67" i="10"/>
  <c r="H71" i="5" s="1"/>
  <c r="H15" i="5" l="1"/>
  <c r="H143" i="5"/>
  <c r="H207" i="5"/>
  <c r="R275" i="5"/>
  <c r="Q275" i="5" s="1"/>
  <c r="R276" i="5"/>
  <c r="K276" i="5" s="1"/>
  <c r="R277" i="5"/>
  <c r="J277" i="5" s="1"/>
  <c r="R278" i="5"/>
  <c r="Q278" i="5" s="1"/>
  <c r="C15" i="4"/>
  <c r="F12" i="4"/>
  <c r="F13" i="4"/>
  <c r="F14" i="4"/>
  <c r="F11" i="4"/>
  <c r="C21" i="4"/>
  <c r="F21" i="4"/>
  <c r="H283" i="5" s="1"/>
  <c r="F24" i="4"/>
  <c r="H284" i="5" s="1"/>
  <c r="F26" i="4"/>
  <c r="H285" i="5" s="1"/>
  <c r="C23" i="4"/>
  <c r="C28" i="4"/>
  <c r="F28" i="4"/>
  <c r="H286" i="5" s="1"/>
  <c r="F32" i="4"/>
  <c r="H280" i="5" s="1"/>
  <c r="F33" i="4"/>
  <c r="H281" i="5" s="1"/>
  <c r="F34" i="4"/>
  <c r="H282" i="5" s="1"/>
  <c r="F31" i="4"/>
  <c r="H279" i="5" s="1"/>
  <c r="C29" i="4"/>
  <c r="H271" i="5" l="1"/>
  <c r="E11" i="26" s="1"/>
  <c r="S11" i="12" s="1"/>
  <c r="H274" i="5"/>
  <c r="E14" i="26" s="1"/>
  <c r="S11" i="11" s="1"/>
  <c r="H273" i="5"/>
  <c r="E13" i="26" s="1"/>
  <c r="S11" i="9" s="1"/>
  <c r="E12" i="26"/>
  <c r="S11" i="13" s="1"/>
  <c r="H272" i="5"/>
  <c r="K278" i="5"/>
  <c r="P275" i="5"/>
  <c r="N275" i="5" s="1"/>
  <c r="F275" i="5" s="1"/>
  <c r="P277" i="5"/>
  <c r="K275" i="5"/>
  <c r="J276" i="5"/>
  <c r="Q276" i="5"/>
  <c r="R279" i="5"/>
  <c r="Q279" i="5" s="1"/>
  <c r="J11" i="26"/>
  <c r="J275" i="5"/>
  <c r="R285" i="5"/>
  <c r="Q285" i="5" s="1"/>
  <c r="R281" i="5"/>
  <c r="Q281" i="5" s="1"/>
  <c r="R280" i="5"/>
  <c r="Q280" i="5" s="1"/>
  <c r="J278" i="5"/>
  <c r="K277" i="5"/>
  <c r="Q277" i="5"/>
  <c r="P278" i="5"/>
  <c r="N278" i="5" s="1"/>
  <c r="F278" i="5" s="1"/>
  <c r="P276" i="5"/>
  <c r="N276" i="5" s="1"/>
  <c r="F276" i="5" s="1"/>
  <c r="E270" i="5"/>
  <c r="G268" i="20" s="1"/>
  <c r="W110" i="12" l="1"/>
  <c r="W111" i="13"/>
  <c r="W111" i="12"/>
  <c r="W110" i="13"/>
  <c r="W111" i="11"/>
  <c r="W11" i="9"/>
  <c r="W110" i="11"/>
  <c r="J279" i="5"/>
  <c r="N277" i="5"/>
  <c r="F277" i="5" s="1"/>
  <c r="K280" i="5"/>
  <c r="J285" i="5"/>
  <c r="P280" i="5"/>
  <c r="N280" i="5" s="1"/>
  <c r="F280" i="5" s="1"/>
  <c r="K285" i="5"/>
  <c r="P279" i="5"/>
  <c r="N279" i="5" s="1"/>
  <c r="F279" i="5" s="1"/>
  <c r="P285" i="5"/>
  <c r="N285" i="5" s="1"/>
  <c r="F285" i="5" s="1"/>
  <c r="H284" i="20" s="1"/>
  <c r="J280" i="5"/>
  <c r="K281" i="5"/>
  <c r="K279" i="5"/>
  <c r="P281" i="5"/>
  <c r="N281" i="5" s="1"/>
  <c r="F281" i="5" s="1"/>
  <c r="J281" i="5"/>
  <c r="E269" i="5"/>
  <c r="G267" i="20" s="1"/>
  <c r="E268" i="5"/>
  <c r="G266" i="20" s="1"/>
  <c r="E267" i="5"/>
  <c r="G265" i="20" s="1"/>
  <c r="E266" i="5"/>
  <c r="G264" i="20" s="1"/>
  <c r="E265" i="5"/>
  <c r="G263" i="20" s="1"/>
  <c r="E264" i="5"/>
  <c r="G262" i="20" s="1"/>
  <c r="E263" i="5"/>
  <c r="G261" i="20" s="1"/>
  <c r="E262" i="5"/>
  <c r="G260" i="20" s="1"/>
  <c r="E261" i="5"/>
  <c r="G259" i="20" s="1"/>
  <c r="E260" i="5"/>
  <c r="G258" i="20" s="1"/>
  <c r="E259" i="5"/>
  <c r="G257" i="20" s="1"/>
  <c r="E258" i="5"/>
  <c r="G256" i="20" s="1"/>
  <c r="E257" i="5"/>
  <c r="G255" i="20" s="1"/>
  <c r="E256" i="5"/>
  <c r="G254" i="20" s="1"/>
  <c r="E255" i="5"/>
  <c r="G253" i="20" s="1"/>
  <c r="E254" i="5"/>
  <c r="G252" i="20" s="1"/>
  <c r="E253" i="5"/>
  <c r="G251" i="20" s="1"/>
  <c r="E252" i="5"/>
  <c r="G250" i="20" s="1"/>
  <c r="E251" i="5"/>
  <c r="G249" i="20" s="1"/>
  <c r="E250" i="5"/>
  <c r="G248" i="20" s="1"/>
  <c r="E249" i="5"/>
  <c r="G247" i="20" s="1"/>
  <c r="E248" i="5"/>
  <c r="G246" i="20" s="1"/>
  <c r="E247" i="5"/>
  <c r="G245" i="20" s="1"/>
  <c r="E246" i="5"/>
  <c r="G244" i="20" s="1"/>
  <c r="E245" i="5"/>
  <c r="G243" i="20" s="1"/>
  <c r="E244" i="5"/>
  <c r="G242" i="20" s="1"/>
  <c r="E243" i="5"/>
  <c r="G241" i="20" s="1"/>
  <c r="E242" i="5"/>
  <c r="G240" i="20" s="1"/>
  <c r="E241" i="5"/>
  <c r="G239" i="20" s="1"/>
  <c r="E240" i="5"/>
  <c r="G238" i="20" s="1"/>
  <c r="E239" i="5"/>
  <c r="G237" i="20" s="1"/>
  <c r="E238" i="5"/>
  <c r="G236" i="20" s="1"/>
  <c r="E237" i="5"/>
  <c r="G235" i="20" s="1"/>
  <c r="E236" i="5"/>
  <c r="G234" i="20" s="1"/>
  <c r="E235" i="5"/>
  <c r="G233" i="20" s="1"/>
  <c r="E234" i="5"/>
  <c r="G232" i="20" s="1"/>
  <c r="E233" i="5"/>
  <c r="G231" i="20" s="1"/>
  <c r="E232" i="5"/>
  <c r="G230" i="20" s="1"/>
  <c r="E231" i="5"/>
  <c r="G229" i="20" s="1"/>
  <c r="E230" i="5"/>
  <c r="G228" i="20" s="1"/>
  <c r="E229" i="5"/>
  <c r="G227" i="20" s="1"/>
  <c r="E228" i="5"/>
  <c r="G226" i="20" s="1"/>
  <c r="E227" i="5"/>
  <c r="G225" i="20" s="1"/>
  <c r="E226" i="5"/>
  <c r="G224" i="20" s="1"/>
  <c r="E225" i="5"/>
  <c r="G223" i="20" s="1"/>
  <c r="E224" i="5"/>
  <c r="G222" i="20" s="1"/>
  <c r="E223" i="5"/>
  <c r="G221" i="20" s="1"/>
  <c r="E222" i="5"/>
  <c r="G220" i="20" s="1"/>
  <c r="E221" i="5"/>
  <c r="G219" i="20" s="1"/>
  <c r="E220" i="5"/>
  <c r="G218" i="20" s="1"/>
  <c r="E219" i="5"/>
  <c r="G217" i="20" s="1"/>
  <c r="E218" i="5"/>
  <c r="G216" i="20" s="1"/>
  <c r="E217" i="5"/>
  <c r="G215" i="20" s="1"/>
  <c r="E216" i="5"/>
  <c r="G214" i="20" s="1"/>
  <c r="E215" i="5"/>
  <c r="G213" i="20" s="1"/>
  <c r="E214" i="5"/>
  <c r="G212" i="20" s="1"/>
  <c r="E213" i="5"/>
  <c r="G211" i="20" s="1"/>
  <c r="E212" i="5"/>
  <c r="G210" i="20" s="1"/>
  <c r="E211" i="5"/>
  <c r="G209" i="20" s="1"/>
  <c r="E210" i="5"/>
  <c r="G208" i="20" s="1"/>
  <c r="E209" i="5"/>
  <c r="G207" i="20" s="1"/>
  <c r="E208" i="5"/>
  <c r="G206" i="20" s="1"/>
  <c r="E207" i="5"/>
  <c r="G205" i="20" s="1"/>
  <c r="E206" i="5"/>
  <c r="G204" i="20" s="1"/>
  <c r="E205" i="5"/>
  <c r="G203" i="20" s="1"/>
  <c r="E204" i="5"/>
  <c r="G202" i="20" s="1"/>
  <c r="E203" i="5"/>
  <c r="G201" i="20" s="1"/>
  <c r="E202" i="5"/>
  <c r="G200" i="20" s="1"/>
  <c r="E201" i="5"/>
  <c r="G199" i="20" s="1"/>
  <c r="E200" i="5"/>
  <c r="G198" i="20" s="1"/>
  <c r="E199" i="5"/>
  <c r="G197" i="20" s="1"/>
  <c r="E198" i="5"/>
  <c r="G196" i="20" s="1"/>
  <c r="E197" i="5"/>
  <c r="G195" i="20" s="1"/>
  <c r="E196" i="5"/>
  <c r="G194" i="20" s="1"/>
  <c r="E195" i="5"/>
  <c r="G193" i="20" s="1"/>
  <c r="E194" i="5"/>
  <c r="G192" i="20" s="1"/>
  <c r="E193" i="5"/>
  <c r="G191" i="20" s="1"/>
  <c r="E192" i="5"/>
  <c r="G190" i="20" s="1"/>
  <c r="E191" i="5"/>
  <c r="G189" i="20" s="1"/>
  <c r="E190" i="5"/>
  <c r="G188" i="20" s="1"/>
  <c r="E189" i="5"/>
  <c r="G187" i="20" s="1"/>
  <c r="E188" i="5"/>
  <c r="G186" i="20" s="1"/>
  <c r="E187" i="5"/>
  <c r="G185" i="20" s="1"/>
  <c r="E186" i="5"/>
  <c r="G184" i="20" s="1"/>
  <c r="E185" i="5"/>
  <c r="G183" i="20" s="1"/>
  <c r="E184" i="5"/>
  <c r="G182" i="20" s="1"/>
  <c r="E183" i="5"/>
  <c r="G181" i="20" s="1"/>
  <c r="E182" i="5"/>
  <c r="G180" i="20" s="1"/>
  <c r="E181" i="5"/>
  <c r="G179" i="20" s="1"/>
  <c r="E180" i="5"/>
  <c r="G178" i="20" s="1"/>
  <c r="E179" i="5"/>
  <c r="G177" i="20" s="1"/>
  <c r="E178" i="5"/>
  <c r="G176" i="20" s="1"/>
  <c r="E177" i="5"/>
  <c r="G175" i="20" s="1"/>
  <c r="E176" i="5"/>
  <c r="G174" i="20" s="1"/>
  <c r="E175" i="5"/>
  <c r="G173" i="20" s="1"/>
  <c r="E174" i="5"/>
  <c r="G172" i="20" s="1"/>
  <c r="E173" i="5"/>
  <c r="G171" i="20" s="1"/>
  <c r="E172" i="5"/>
  <c r="G170" i="20" s="1"/>
  <c r="E171" i="5"/>
  <c r="G169" i="20" s="1"/>
  <c r="E170" i="5"/>
  <c r="G168" i="20" s="1"/>
  <c r="E169" i="5"/>
  <c r="G167" i="20" s="1"/>
  <c r="E168" i="5"/>
  <c r="G166" i="20" s="1"/>
  <c r="E167" i="5"/>
  <c r="G165" i="20" s="1"/>
  <c r="E166" i="5"/>
  <c r="G164" i="20" s="1"/>
  <c r="E165" i="5"/>
  <c r="G163" i="20" s="1"/>
  <c r="E164" i="5"/>
  <c r="G162" i="20" s="1"/>
  <c r="E163" i="5"/>
  <c r="G161" i="20" s="1"/>
  <c r="E162" i="5"/>
  <c r="G160" i="20" s="1"/>
  <c r="E161" i="5"/>
  <c r="G159" i="20" s="1"/>
  <c r="E160" i="5"/>
  <c r="G158" i="20" s="1"/>
  <c r="E159" i="5"/>
  <c r="G157" i="20" s="1"/>
  <c r="E158" i="5"/>
  <c r="G156" i="20" s="1"/>
  <c r="E157" i="5"/>
  <c r="G155" i="20" s="1"/>
  <c r="E156" i="5"/>
  <c r="G154" i="20" s="1"/>
  <c r="E155" i="5"/>
  <c r="G153" i="20" s="1"/>
  <c r="E154" i="5"/>
  <c r="G152" i="20" s="1"/>
  <c r="E153" i="5"/>
  <c r="G151" i="20" s="1"/>
  <c r="E152" i="5"/>
  <c r="G150" i="20" s="1"/>
  <c r="E151" i="5"/>
  <c r="G149" i="20" s="1"/>
  <c r="E150" i="5"/>
  <c r="G148" i="20" s="1"/>
  <c r="E149" i="5"/>
  <c r="G147" i="20" s="1"/>
  <c r="E148" i="5"/>
  <c r="G146" i="20" s="1"/>
  <c r="E147" i="5"/>
  <c r="G145" i="20" s="1"/>
  <c r="E146" i="5"/>
  <c r="G144" i="20" s="1"/>
  <c r="E145" i="5"/>
  <c r="G143" i="20" s="1"/>
  <c r="E144" i="5"/>
  <c r="G142" i="20" s="1"/>
  <c r="E143" i="5"/>
  <c r="G141" i="20" s="1"/>
  <c r="E142" i="5"/>
  <c r="G140" i="20" s="1"/>
  <c r="E141" i="5"/>
  <c r="G139" i="20" s="1"/>
  <c r="E140" i="5"/>
  <c r="G138" i="20" s="1"/>
  <c r="E139" i="5"/>
  <c r="G137" i="20" s="1"/>
  <c r="E138" i="5"/>
  <c r="G136" i="20" s="1"/>
  <c r="E137" i="5"/>
  <c r="G135" i="20" s="1"/>
  <c r="E136" i="5"/>
  <c r="G134" i="20" s="1"/>
  <c r="E135" i="5"/>
  <c r="G133" i="20" s="1"/>
  <c r="E134" i="5"/>
  <c r="G132" i="20" s="1"/>
  <c r="E133" i="5"/>
  <c r="G131" i="20" s="1"/>
  <c r="E132" i="5"/>
  <c r="G130" i="20" s="1"/>
  <c r="E131" i="5"/>
  <c r="G129" i="20" s="1"/>
  <c r="E130" i="5"/>
  <c r="G128" i="20" s="1"/>
  <c r="E129" i="5"/>
  <c r="G127" i="20" s="1"/>
  <c r="E128" i="5"/>
  <c r="G126" i="20" s="1"/>
  <c r="E127" i="5"/>
  <c r="G125" i="20" s="1"/>
  <c r="E126" i="5"/>
  <c r="G124" i="20" s="1"/>
  <c r="E125" i="5"/>
  <c r="G123" i="20" s="1"/>
  <c r="E124" i="5"/>
  <c r="G122" i="20" s="1"/>
  <c r="E123" i="5"/>
  <c r="G121" i="20" s="1"/>
  <c r="E122" i="5"/>
  <c r="G120" i="20" s="1"/>
  <c r="E121" i="5"/>
  <c r="G119" i="20" s="1"/>
  <c r="E120" i="5"/>
  <c r="G118" i="20" s="1"/>
  <c r="E119" i="5"/>
  <c r="G117" i="20" s="1"/>
  <c r="E118" i="5"/>
  <c r="G116" i="20" s="1"/>
  <c r="E117" i="5"/>
  <c r="G115" i="20" s="1"/>
  <c r="E116" i="5"/>
  <c r="G114" i="20" s="1"/>
  <c r="E115" i="5"/>
  <c r="G113" i="20" s="1"/>
  <c r="E114" i="5"/>
  <c r="G112" i="20" s="1"/>
  <c r="E113" i="5"/>
  <c r="G111" i="20" s="1"/>
  <c r="E112" i="5"/>
  <c r="G110" i="20" s="1"/>
  <c r="E111" i="5"/>
  <c r="G109" i="20" s="1"/>
  <c r="E110" i="5"/>
  <c r="G108" i="20" s="1"/>
  <c r="E109" i="5"/>
  <c r="G107" i="20" s="1"/>
  <c r="E108" i="5"/>
  <c r="G106" i="20" s="1"/>
  <c r="E107" i="5"/>
  <c r="G105" i="20" s="1"/>
  <c r="E106" i="5"/>
  <c r="G104" i="20" s="1"/>
  <c r="E105" i="5"/>
  <c r="G103" i="20" s="1"/>
  <c r="E104" i="5"/>
  <c r="G102" i="20" s="1"/>
  <c r="E103" i="5"/>
  <c r="G101" i="20" s="1"/>
  <c r="E102" i="5"/>
  <c r="G100" i="20" s="1"/>
  <c r="E101" i="5"/>
  <c r="G99" i="20" s="1"/>
  <c r="E100" i="5"/>
  <c r="G98" i="20" s="1"/>
  <c r="E99" i="5"/>
  <c r="G97" i="20" s="1"/>
  <c r="E98" i="5"/>
  <c r="G96" i="20" s="1"/>
  <c r="E97" i="5"/>
  <c r="G95" i="20" s="1"/>
  <c r="E96" i="5"/>
  <c r="G94" i="20" s="1"/>
  <c r="E95" i="5"/>
  <c r="G93" i="20" s="1"/>
  <c r="E94" i="5"/>
  <c r="G92" i="20" s="1"/>
  <c r="E93" i="5"/>
  <c r="G91" i="20" s="1"/>
  <c r="E92" i="5"/>
  <c r="G90" i="20" s="1"/>
  <c r="E91" i="5"/>
  <c r="G89" i="20" s="1"/>
  <c r="E90" i="5"/>
  <c r="G88" i="20" s="1"/>
  <c r="E89" i="5"/>
  <c r="G87" i="20" s="1"/>
  <c r="E88" i="5"/>
  <c r="G86" i="20" s="1"/>
  <c r="E87" i="5"/>
  <c r="G85" i="20" s="1"/>
  <c r="E86" i="5"/>
  <c r="G84" i="20" s="1"/>
  <c r="E85" i="5"/>
  <c r="G83" i="20" s="1"/>
  <c r="E84" i="5"/>
  <c r="G82" i="20" s="1"/>
  <c r="E83" i="5"/>
  <c r="G81" i="20" s="1"/>
  <c r="E82" i="5"/>
  <c r="G80" i="20" s="1"/>
  <c r="E81" i="5"/>
  <c r="G79" i="20" s="1"/>
  <c r="E79" i="5"/>
  <c r="G77" i="20" s="1"/>
  <c r="E80" i="5"/>
  <c r="G78" i="20" s="1"/>
  <c r="E78" i="5"/>
  <c r="G76" i="20" s="1"/>
  <c r="E77" i="5"/>
  <c r="G75" i="20" s="1"/>
  <c r="E76" i="5"/>
  <c r="G74" i="20" s="1"/>
  <c r="E75" i="5"/>
  <c r="G73" i="20" s="1"/>
  <c r="E74" i="5"/>
  <c r="G72" i="20" s="1"/>
  <c r="E73" i="5"/>
  <c r="G71" i="20" s="1"/>
  <c r="E72" i="5"/>
  <c r="G70" i="20" s="1"/>
  <c r="E71" i="5"/>
  <c r="G69" i="20" s="1"/>
  <c r="E70" i="5"/>
  <c r="G68" i="20" s="1"/>
  <c r="E69" i="5"/>
  <c r="G67" i="20" s="1"/>
  <c r="E68" i="5"/>
  <c r="G66" i="20" s="1"/>
  <c r="E67" i="5"/>
  <c r="G65" i="20" s="1"/>
  <c r="E66" i="5"/>
  <c r="G64" i="20" s="1"/>
  <c r="E65" i="5"/>
  <c r="G63" i="20" s="1"/>
  <c r="E64" i="5"/>
  <c r="G62" i="20" s="1"/>
  <c r="E63" i="5"/>
  <c r="G61" i="20" s="1"/>
  <c r="E62" i="5"/>
  <c r="G60" i="20" s="1"/>
  <c r="E61" i="5"/>
  <c r="G59" i="20" s="1"/>
  <c r="E60" i="5"/>
  <c r="G58" i="20" s="1"/>
  <c r="E59" i="5"/>
  <c r="G57" i="20" s="1"/>
  <c r="E58" i="5"/>
  <c r="G56" i="20" s="1"/>
  <c r="E57" i="5"/>
  <c r="G55" i="20" s="1"/>
  <c r="E56" i="5"/>
  <c r="G54" i="20" s="1"/>
  <c r="E55" i="5"/>
  <c r="G53" i="20" s="1"/>
  <c r="E54" i="5"/>
  <c r="G52" i="20" s="1"/>
  <c r="E53" i="5"/>
  <c r="G51" i="20" s="1"/>
  <c r="E52" i="5"/>
  <c r="G50" i="20" s="1"/>
  <c r="E51" i="5"/>
  <c r="G49" i="20" s="1"/>
  <c r="E50" i="5"/>
  <c r="G48" i="20" s="1"/>
  <c r="E49" i="5"/>
  <c r="G47" i="20" s="1"/>
  <c r="E48" i="5"/>
  <c r="G46" i="20" s="1"/>
  <c r="E47" i="5"/>
  <c r="G45" i="20" s="1"/>
  <c r="E46" i="5"/>
  <c r="G44" i="20" s="1"/>
  <c r="E45" i="5"/>
  <c r="G43" i="20" s="1"/>
  <c r="E44" i="5"/>
  <c r="G42" i="20" s="1"/>
  <c r="E43" i="5"/>
  <c r="G41" i="20" s="1"/>
  <c r="E42" i="5"/>
  <c r="G40" i="20" s="1"/>
  <c r="E41" i="5"/>
  <c r="G39" i="20" s="1"/>
  <c r="E40" i="5"/>
  <c r="G38" i="20" s="1"/>
  <c r="E39" i="5"/>
  <c r="G37" i="20" s="1"/>
  <c r="E38" i="5"/>
  <c r="G36" i="20" s="1"/>
  <c r="E37" i="5"/>
  <c r="G35" i="20" s="1"/>
  <c r="E36" i="5"/>
  <c r="G34" i="20" s="1"/>
  <c r="E35" i="5"/>
  <c r="G33" i="20" s="1"/>
  <c r="E34" i="5"/>
  <c r="G32" i="20" s="1"/>
  <c r="E33" i="5"/>
  <c r="G31" i="20" s="1"/>
  <c r="E32" i="5"/>
  <c r="G30" i="20" s="1"/>
  <c r="E31" i="5"/>
  <c r="G29" i="20" s="1"/>
  <c r="E30" i="5"/>
  <c r="G28" i="20" s="1"/>
  <c r="E29" i="5"/>
  <c r="G27" i="20" s="1"/>
  <c r="E28" i="5"/>
  <c r="G26" i="20" s="1"/>
  <c r="E27" i="5"/>
  <c r="G25" i="20" s="1"/>
  <c r="E26" i="5"/>
  <c r="G24" i="20" s="1"/>
  <c r="E25" i="5"/>
  <c r="G23" i="20" s="1"/>
  <c r="E24" i="5"/>
  <c r="G22" i="20" s="1"/>
  <c r="E23" i="5"/>
  <c r="G21" i="20" s="1"/>
  <c r="G20" i="20"/>
  <c r="E21" i="5"/>
  <c r="G19" i="20" s="1"/>
  <c r="E20" i="5"/>
  <c r="G18" i="20" s="1"/>
  <c r="E19" i="5"/>
  <c r="G17" i="20" s="1"/>
  <c r="E18" i="5"/>
  <c r="G16" i="20" s="1"/>
  <c r="E17" i="5"/>
  <c r="G15" i="20" s="1"/>
  <c r="E16" i="5"/>
  <c r="G14" i="20" s="1"/>
  <c r="E15" i="5"/>
  <c r="G13" i="20" s="1"/>
  <c r="K79" i="17" l="1"/>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M79" i="17" l="1"/>
  <c r="M80" i="17"/>
  <c r="M81" i="17"/>
  <c r="M82" i="17"/>
  <c r="M83" i="17"/>
  <c r="M84" i="17"/>
  <c r="M85" i="17"/>
  <c r="M86" i="17"/>
  <c r="M87" i="17"/>
  <c r="M88" i="17"/>
  <c r="M89" i="17"/>
  <c r="M90" i="17"/>
  <c r="M91" i="17"/>
  <c r="M92" i="17"/>
  <c r="M93" i="17"/>
  <c r="M94" i="17"/>
  <c r="M95" i="17"/>
  <c r="M96" i="17"/>
  <c r="M97" i="17"/>
  <c r="M98" i="17"/>
  <c r="M99" i="17"/>
  <c r="M100" i="17"/>
  <c r="M101" i="17"/>
  <c r="M102" i="17"/>
  <c r="M103" i="17"/>
  <c r="M104" i="17"/>
  <c r="M105" i="17"/>
  <c r="M106" i="17"/>
  <c r="M107" i="17"/>
  <c r="M108" i="17"/>
  <c r="M109" i="17"/>
  <c r="M110" i="17"/>
  <c r="M111" i="17"/>
  <c r="M112" i="17"/>
  <c r="M113" i="17"/>
  <c r="M114" i="17"/>
  <c r="M115" i="17"/>
  <c r="M116" i="17"/>
  <c r="M117" i="17"/>
  <c r="M118" i="17"/>
  <c r="M119" i="17"/>
  <c r="M120" i="17"/>
  <c r="M121" i="17"/>
  <c r="M122" i="17"/>
  <c r="M123" i="17"/>
  <c r="M124" i="17"/>
  <c r="M125" i="17"/>
  <c r="M126" i="17"/>
  <c r="M127" i="17"/>
  <c r="M128" i="17"/>
  <c r="M129" i="17"/>
  <c r="M130" i="17"/>
  <c r="M131" i="17"/>
  <c r="M132" i="17"/>
  <c r="M133" i="17"/>
  <c r="M134" i="17"/>
  <c r="M135" i="17"/>
  <c r="M136" i="17"/>
  <c r="M137" i="17"/>
  <c r="M138" i="17"/>
  <c r="M139" i="17"/>
  <c r="M140" i="17"/>
  <c r="M141" i="17"/>
  <c r="M142" i="17"/>
  <c r="M143" i="17"/>
  <c r="M144" i="17"/>
  <c r="M145" i="17"/>
  <c r="M146" i="17"/>
  <c r="M147" i="17"/>
  <c r="M148" i="17"/>
  <c r="M149" i="17"/>
  <c r="M150" i="17"/>
  <c r="M151" i="17"/>
  <c r="M152" i="17"/>
  <c r="M153" i="17"/>
  <c r="M154" i="17"/>
  <c r="M155" i="17"/>
  <c r="M156" i="17"/>
  <c r="M157" i="17"/>
  <c r="M158" i="17"/>
  <c r="M159" i="17"/>
  <c r="M160" i="17"/>
  <c r="M161" i="17"/>
  <c r="M162" i="17"/>
  <c r="M163" i="17"/>
  <c r="M164" i="17"/>
  <c r="M165" i="17"/>
  <c r="M166" i="17"/>
  <c r="M167" i="17"/>
  <c r="M168" i="17"/>
  <c r="M169" i="17"/>
  <c r="M170" i="17"/>
  <c r="M171" i="17"/>
  <c r="M172" i="17"/>
  <c r="M173" i="17"/>
  <c r="M174" i="17"/>
  <c r="M175" i="17"/>
  <c r="M176" i="17"/>
  <c r="M177" i="17"/>
  <c r="M178" i="17"/>
  <c r="M179" i="17"/>
  <c r="M180" i="17"/>
  <c r="M181" i="17"/>
  <c r="M182" i="17"/>
  <c r="M183" i="17"/>
  <c r="M184" i="17"/>
  <c r="M185" i="17"/>
  <c r="M186" i="17"/>
  <c r="M187" i="17"/>
  <c r="M188" i="17"/>
  <c r="M189" i="17"/>
  <c r="M190" i="17"/>
  <c r="M191" i="17"/>
  <c r="M192" i="17"/>
  <c r="M193" i="17"/>
  <c r="M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L183" i="17"/>
  <c r="L184" i="17"/>
  <c r="L185" i="17"/>
  <c r="L186" i="17"/>
  <c r="L187" i="17"/>
  <c r="L188" i="17"/>
  <c r="L189" i="17"/>
  <c r="L190" i="17"/>
  <c r="L191" i="17"/>
  <c r="L192" i="17"/>
  <c r="L193" i="17"/>
  <c r="L78" i="17"/>
  <c r="K78" i="17"/>
  <c r="I11" i="14"/>
  <c r="H11" i="14"/>
  <c r="N79" i="17" l="1"/>
  <c r="N191" i="17"/>
  <c r="N180" i="17"/>
  <c r="N171" i="17"/>
  <c r="N165" i="17"/>
  <c r="N157" i="17"/>
  <c r="N149" i="17"/>
  <c r="N139" i="17"/>
  <c r="N133" i="17"/>
  <c r="N125" i="17"/>
  <c r="N117" i="17"/>
  <c r="N109" i="17"/>
  <c r="N100" i="17"/>
  <c r="N93" i="17"/>
  <c r="N86" i="17"/>
  <c r="N190" i="17"/>
  <c r="N179" i="17"/>
  <c r="N173" i="17"/>
  <c r="N164" i="17"/>
  <c r="N156" i="17"/>
  <c r="N148" i="17"/>
  <c r="N141" i="17"/>
  <c r="N131" i="17"/>
  <c r="N124" i="17"/>
  <c r="N116" i="17"/>
  <c r="N108" i="17"/>
  <c r="N99" i="17"/>
  <c r="N92" i="17"/>
  <c r="N85" i="17"/>
  <c r="N188" i="17"/>
  <c r="N178" i="17"/>
  <c r="N172" i="17"/>
  <c r="N163" i="17"/>
  <c r="N155" i="17"/>
  <c r="N147" i="17"/>
  <c r="N140" i="17"/>
  <c r="N132" i="17"/>
  <c r="N123" i="17"/>
  <c r="N115" i="17"/>
  <c r="N107" i="17"/>
  <c r="N101" i="17"/>
  <c r="N91" i="17"/>
  <c r="N83" i="17"/>
  <c r="N187" i="17"/>
  <c r="N177" i="17"/>
  <c r="N169" i="17"/>
  <c r="N162" i="17"/>
  <c r="N154" i="17"/>
  <c r="N146" i="17"/>
  <c r="N138" i="17"/>
  <c r="N130" i="17"/>
  <c r="N122" i="17"/>
  <c r="N114" i="17"/>
  <c r="N104" i="17"/>
  <c r="N98" i="17"/>
  <c r="N90" i="17"/>
  <c r="N82" i="17"/>
  <c r="N193" i="17"/>
  <c r="N182" i="17"/>
  <c r="N176" i="17"/>
  <c r="N168" i="17"/>
  <c r="N161" i="17"/>
  <c r="N153" i="17"/>
  <c r="N144" i="17"/>
  <c r="N136" i="17"/>
  <c r="N128" i="17"/>
  <c r="N120" i="17"/>
  <c r="N113" i="17"/>
  <c r="N106" i="17"/>
  <c r="N97" i="17"/>
  <c r="N89" i="17"/>
  <c r="N81" i="17"/>
  <c r="N189" i="17"/>
  <c r="N184" i="17"/>
  <c r="N175" i="17"/>
  <c r="N170" i="17"/>
  <c r="N160" i="17"/>
  <c r="N152" i="17"/>
  <c r="N145" i="17"/>
  <c r="N137" i="17"/>
  <c r="N127" i="17"/>
  <c r="N121" i="17"/>
  <c r="N112" i="17"/>
  <c r="N105" i="17"/>
  <c r="N95" i="17"/>
  <c r="N88" i="17"/>
  <c r="N80" i="17"/>
  <c r="N185" i="17"/>
  <c r="N186" i="17"/>
  <c r="N174" i="17"/>
  <c r="N167" i="17"/>
  <c r="N159" i="17"/>
  <c r="N151" i="17"/>
  <c r="N143" i="17"/>
  <c r="N135" i="17"/>
  <c r="N129" i="17"/>
  <c r="N119" i="17"/>
  <c r="N111" i="17"/>
  <c r="N103" i="17"/>
  <c r="N96" i="17"/>
  <c r="N87" i="17"/>
  <c r="N192" i="17"/>
  <c r="N183" i="17"/>
  <c r="N181" i="17"/>
  <c r="N166" i="17"/>
  <c r="N158" i="17"/>
  <c r="N150" i="17"/>
  <c r="N142" i="17"/>
  <c r="N134" i="17"/>
  <c r="N126" i="17"/>
  <c r="N118" i="17"/>
  <c r="N110" i="17"/>
  <c r="N102" i="17"/>
  <c r="N94" i="17"/>
  <c r="N84" i="17"/>
  <c r="O192" i="17"/>
  <c r="P190" i="17"/>
  <c r="P193" i="17"/>
  <c r="P192" i="17"/>
  <c r="O184" i="17"/>
  <c r="O176" i="17"/>
  <c r="O168" i="17"/>
  <c r="O193" i="17"/>
  <c r="O191" i="17"/>
  <c r="O190" i="17"/>
  <c r="P191" i="17"/>
  <c r="P182" i="17"/>
  <c r="P189" i="17"/>
  <c r="P188" i="17"/>
  <c r="O189" i="17"/>
  <c r="O188" i="17"/>
  <c r="P187" i="17"/>
  <c r="P186" i="17"/>
  <c r="O187" i="17"/>
  <c r="O186" i="17"/>
  <c r="P185" i="17"/>
  <c r="P184" i="17"/>
  <c r="O185" i="17"/>
  <c r="O183" i="17"/>
  <c r="O182" i="17"/>
  <c r="O181" i="17"/>
  <c r="O180" i="17"/>
  <c r="P183" i="17"/>
  <c r="P174" i="17"/>
  <c r="P181" i="17"/>
  <c r="P180" i="17"/>
  <c r="P179" i="17"/>
  <c r="P178" i="17"/>
  <c r="O179" i="17"/>
  <c r="P177" i="17"/>
  <c r="O178" i="17"/>
  <c r="P176" i="17"/>
  <c r="O177" i="17"/>
  <c r="O175" i="17"/>
  <c r="O174" i="17"/>
  <c r="P175" i="17"/>
  <c r="P166" i="17"/>
  <c r="P173" i="17"/>
  <c r="P172" i="17"/>
  <c r="O173" i="17"/>
  <c r="P171" i="17"/>
  <c r="P170" i="17"/>
  <c r="O172" i="17"/>
  <c r="O171" i="17"/>
  <c r="P169" i="17"/>
  <c r="O170" i="17"/>
  <c r="P168" i="17"/>
  <c r="O160" i="17"/>
  <c r="O152" i="17"/>
  <c r="O169" i="17"/>
  <c r="O167" i="17"/>
  <c r="O166" i="17"/>
  <c r="P167" i="17"/>
  <c r="P158" i="17"/>
  <c r="P165" i="17"/>
  <c r="P164" i="17"/>
  <c r="O165" i="17"/>
  <c r="P163" i="17"/>
  <c r="O164" i="17"/>
  <c r="P162" i="17"/>
  <c r="O163" i="17"/>
  <c r="P161" i="17"/>
  <c r="O162" i="17"/>
  <c r="P160" i="17"/>
  <c r="O161" i="17"/>
  <c r="O159" i="17"/>
  <c r="O158" i="17"/>
  <c r="P159" i="17"/>
  <c r="P150" i="17"/>
  <c r="P157" i="17"/>
  <c r="P156" i="17"/>
  <c r="O157" i="17"/>
  <c r="P155" i="17"/>
  <c r="O156" i="17"/>
  <c r="P154" i="17"/>
  <c r="O155" i="17"/>
  <c r="P153" i="17"/>
  <c r="O154" i="17"/>
  <c r="P152" i="17"/>
  <c r="O144" i="17"/>
  <c r="O136" i="17"/>
  <c r="O128" i="17"/>
  <c r="O153" i="17"/>
  <c r="O151" i="17"/>
  <c r="O150" i="17"/>
  <c r="O149" i="17"/>
  <c r="P151" i="17"/>
  <c r="P149" i="17"/>
  <c r="P142" i="17"/>
  <c r="P148" i="17"/>
  <c r="P147" i="17"/>
  <c r="O148" i="17"/>
  <c r="O147" i="17"/>
  <c r="P146" i="17"/>
  <c r="P145" i="17"/>
  <c r="O146" i="17"/>
  <c r="P144" i="17"/>
  <c r="O145" i="17"/>
  <c r="O143" i="17"/>
  <c r="O142" i="17"/>
  <c r="P143" i="17"/>
  <c r="P134" i="17"/>
  <c r="P141" i="17"/>
  <c r="P140" i="17"/>
  <c r="O141" i="17"/>
  <c r="P139" i="17"/>
  <c r="O140" i="17"/>
  <c r="P138" i="17"/>
  <c r="O139" i="17"/>
  <c r="P137" i="17"/>
  <c r="O138" i="17"/>
  <c r="P136" i="17"/>
  <c r="O137" i="17"/>
  <c r="O135" i="17"/>
  <c r="O134" i="17"/>
  <c r="O120" i="17"/>
  <c r="P135" i="17"/>
  <c r="P126" i="17"/>
  <c r="P133" i="17"/>
  <c r="P132" i="17"/>
  <c r="O133" i="17"/>
  <c r="O132" i="17"/>
  <c r="P131" i="17"/>
  <c r="P130" i="17"/>
  <c r="O131" i="17"/>
  <c r="O130" i="17"/>
  <c r="P129" i="17"/>
  <c r="P128" i="17"/>
  <c r="O129" i="17"/>
  <c r="O127" i="17"/>
  <c r="O126" i="17"/>
  <c r="P127" i="17"/>
  <c r="P125" i="17"/>
  <c r="O125" i="17"/>
  <c r="O124" i="17"/>
  <c r="P118" i="17"/>
  <c r="P117" i="17"/>
  <c r="P124" i="17"/>
  <c r="P123" i="17"/>
  <c r="O123" i="17"/>
  <c r="O122" i="17"/>
  <c r="P122" i="17"/>
  <c r="P121" i="17"/>
  <c r="P120" i="17"/>
  <c r="O121" i="17"/>
  <c r="O119" i="17"/>
  <c r="O112" i="17"/>
  <c r="O118" i="17"/>
  <c r="P119" i="17"/>
  <c r="O117" i="17"/>
  <c r="O116" i="17"/>
  <c r="P110" i="17"/>
  <c r="P116" i="17"/>
  <c r="P115" i="17"/>
  <c r="O115" i="17"/>
  <c r="P114" i="17"/>
  <c r="P113" i="17"/>
  <c r="O114" i="17"/>
  <c r="P112" i="17"/>
  <c r="O113" i="17"/>
  <c r="O104" i="17"/>
  <c r="O111" i="17"/>
  <c r="O110" i="17"/>
  <c r="P111" i="17"/>
  <c r="P102" i="17"/>
  <c r="P109" i="17"/>
  <c r="O109" i="17"/>
  <c r="P108" i="17"/>
  <c r="O108" i="17"/>
  <c r="P107" i="17"/>
  <c r="O107" i="17"/>
  <c r="O106" i="17"/>
  <c r="P106" i="17"/>
  <c r="P105" i="17"/>
  <c r="P104" i="17"/>
  <c r="O105" i="17"/>
  <c r="O96" i="17"/>
  <c r="O103" i="17"/>
  <c r="O102" i="17"/>
  <c r="P103" i="17"/>
  <c r="P101" i="17"/>
  <c r="O101" i="17"/>
  <c r="O100" i="17"/>
  <c r="P94" i="17"/>
  <c r="P100" i="17"/>
  <c r="P99" i="17"/>
  <c r="O99" i="17"/>
  <c r="O98" i="17"/>
  <c r="P98" i="17"/>
  <c r="P97" i="17"/>
  <c r="P96" i="17"/>
  <c r="O97" i="17"/>
  <c r="O95" i="17"/>
  <c r="O88" i="17"/>
  <c r="O94" i="17"/>
  <c r="O93" i="17"/>
  <c r="P95" i="17"/>
  <c r="P86" i="17"/>
  <c r="P93" i="17"/>
  <c r="P92" i="17"/>
  <c r="O92" i="17"/>
  <c r="P91" i="17"/>
  <c r="O91" i="17"/>
  <c r="O90" i="17"/>
  <c r="P90" i="17"/>
  <c r="P89" i="17"/>
  <c r="P88" i="17"/>
  <c r="O89" i="17"/>
  <c r="O87" i="17"/>
  <c r="O80" i="17"/>
  <c r="O86" i="17"/>
  <c r="P87" i="17"/>
  <c r="P85" i="17"/>
  <c r="O85" i="17"/>
  <c r="O84" i="17"/>
  <c r="P84" i="17"/>
  <c r="P83" i="17"/>
  <c r="O83" i="17"/>
  <c r="P82" i="17"/>
  <c r="O82" i="17"/>
  <c r="P81" i="17"/>
  <c r="P80" i="17"/>
  <c r="O81" i="17"/>
  <c r="O79" i="17"/>
  <c r="P79" i="17"/>
  <c r="P78" i="17"/>
  <c r="N78" i="17"/>
  <c r="O78" i="17"/>
  <c r="A78" i="17"/>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C56" i="17" l="1"/>
  <c r="N42" i="20" s="1"/>
  <c r="F54" i="17"/>
  <c r="F62" i="17"/>
  <c r="E60" i="17"/>
  <c r="F55" i="17"/>
  <c r="F53" i="17"/>
  <c r="E61" i="17"/>
  <c r="F56" i="17"/>
  <c r="E62" i="17"/>
  <c r="F57" i="17"/>
  <c r="E56" i="17"/>
  <c r="C57" i="17"/>
  <c r="N43" i="20" s="1"/>
  <c r="F58" i="17"/>
  <c r="C58" i="17"/>
  <c r="N44" i="20" s="1"/>
  <c r="C59" i="17"/>
  <c r="N45" i="20" s="1"/>
  <c r="C60" i="17"/>
  <c r="N46" i="20" s="1"/>
  <c r="C61" i="17"/>
  <c r="N47" i="20" s="1"/>
  <c r="F59" i="17"/>
  <c r="E57" i="17"/>
  <c r="F61" i="17"/>
  <c r="E54" i="17"/>
  <c r="E53" i="17"/>
  <c r="C54" i="17"/>
  <c r="N40" i="20" s="1"/>
  <c r="C62" i="17"/>
  <c r="N48" i="20" s="1"/>
  <c r="F60" i="17"/>
  <c r="E58" i="17"/>
  <c r="C53" i="17"/>
  <c r="N39" i="20" s="1"/>
  <c r="E59" i="17"/>
  <c r="E55" i="17"/>
  <c r="C55" i="17"/>
  <c r="N41" i="20" s="1"/>
  <c r="C42" i="17"/>
  <c r="N30" i="20" s="1"/>
  <c r="F40" i="17"/>
  <c r="E38" i="17"/>
  <c r="E46" i="17"/>
  <c r="C43" i="17"/>
  <c r="N31" i="20" s="1"/>
  <c r="E39" i="17"/>
  <c r="E37" i="17"/>
  <c r="E40" i="17"/>
  <c r="F43" i="17"/>
  <c r="F41" i="17"/>
  <c r="F42" i="17"/>
  <c r="C45" i="17"/>
  <c r="N33" i="20" s="1"/>
  <c r="E41" i="17"/>
  <c r="F44" i="17"/>
  <c r="C39" i="17"/>
  <c r="N27" i="20" s="1"/>
  <c r="C37" i="17"/>
  <c r="N25" i="20" s="1"/>
  <c r="F45" i="17"/>
  <c r="E43" i="17"/>
  <c r="F39" i="17"/>
  <c r="F37" i="17"/>
  <c r="C38" i="17"/>
  <c r="N26" i="20" s="1"/>
  <c r="C40" i="17"/>
  <c r="N28" i="20" s="1"/>
  <c r="F38" i="17"/>
  <c r="F46" i="17"/>
  <c r="E44" i="17"/>
  <c r="C41" i="17"/>
  <c r="N29" i="20" s="1"/>
  <c r="E45" i="17"/>
  <c r="C44" i="17"/>
  <c r="N32" i="20" s="1"/>
  <c r="C46" i="17"/>
  <c r="N34" i="20" s="1"/>
  <c r="E42" i="17"/>
  <c r="C28" i="17"/>
  <c r="N18" i="20" s="1"/>
  <c r="F26" i="17"/>
  <c r="C29" i="17"/>
  <c r="N19" i="20" s="1"/>
  <c r="F27" i="17"/>
  <c r="F29" i="17"/>
  <c r="F22" i="17"/>
  <c r="F30" i="17"/>
  <c r="F28" i="17"/>
  <c r="C25" i="17"/>
  <c r="N15" i="20" s="1"/>
  <c r="F23" i="17"/>
  <c r="F21" i="17"/>
  <c r="C27" i="17"/>
  <c r="N17" i="20" s="1"/>
  <c r="C22" i="17"/>
  <c r="N12" i="20" s="1"/>
  <c r="C23" i="17"/>
  <c r="N13" i="20" s="1"/>
  <c r="C24" i="17"/>
  <c r="N14" i="20" s="1"/>
  <c r="C26" i="17"/>
  <c r="N16" i="20" s="1"/>
  <c r="F24" i="17"/>
  <c r="F25" i="17"/>
  <c r="C30" i="17"/>
  <c r="N20" i="20" s="1"/>
  <c r="C21" i="17"/>
  <c r="N11" i="20" s="1"/>
  <c r="E30" i="17"/>
  <c r="E22" i="17"/>
  <c r="E29" i="17"/>
  <c r="E21" i="17"/>
  <c r="E28" i="17"/>
  <c r="E27" i="17"/>
  <c r="E26" i="17"/>
  <c r="E25" i="17"/>
  <c r="E24" i="17"/>
  <c r="E23" i="17"/>
  <c r="O24" i="20" l="1"/>
  <c r="O10" i="20"/>
  <c r="O38" i="20"/>
  <c r="W9" i="13"/>
  <c r="W9" i="12"/>
  <c r="W9" i="11"/>
  <c r="W9" i="9"/>
  <c r="V9" i="13"/>
  <c r="V9" i="12"/>
  <c r="V9" i="11"/>
  <c r="V9" i="9"/>
  <c r="U9" i="13"/>
  <c r="U9" i="12"/>
  <c r="U9" i="11"/>
  <c r="U9" i="9"/>
  <c r="T9" i="13"/>
  <c r="T9" i="12"/>
  <c r="T9" i="11"/>
  <c r="T9" i="9"/>
  <c r="S9" i="13"/>
  <c r="S9" i="12"/>
  <c r="S9" i="11"/>
  <c r="S9" i="9"/>
  <c r="L28" i="14"/>
  <c r="J28" i="14"/>
  <c r="H28" i="14"/>
  <c r="E28" i="14"/>
  <c r="G28" i="14"/>
  <c r="F28" i="14"/>
  <c r="D28" i="14"/>
  <c r="F11" i="14"/>
  <c r="D11" i="14"/>
  <c r="F142" i="5" l="1"/>
  <c r="AP32" i="26" s="1"/>
  <c r="F78" i="5"/>
  <c r="F69" i="5"/>
  <c r="F197" i="5"/>
  <c r="AZ18" i="26" s="1"/>
  <c r="F133" i="5"/>
  <c r="AO31" i="26" s="1"/>
  <c r="F270" i="5"/>
  <c r="BA32" i="26" s="1"/>
  <c r="F261" i="5"/>
  <c r="AZ31" i="26" s="1"/>
  <c r="F206" i="5"/>
  <c r="BA19" i="26" s="1"/>
  <c r="H137" i="20" l="1"/>
  <c r="F139" i="5"/>
  <c r="AM32" i="26" s="1"/>
  <c r="H30" i="20"/>
  <c r="F32" i="5"/>
  <c r="H36" i="20"/>
  <c r="F38" i="5"/>
  <c r="H75" i="20"/>
  <c r="F77" i="5"/>
  <c r="H234" i="20"/>
  <c r="H66" i="20"/>
  <c r="F68" i="5"/>
  <c r="H191" i="20"/>
  <c r="F193" i="5"/>
  <c r="AV18" i="26" s="1"/>
  <c r="H110" i="20"/>
  <c r="H129" i="20"/>
  <c r="F131" i="5"/>
  <c r="AM31" i="26" s="1"/>
  <c r="H61" i="20"/>
  <c r="F63" i="5"/>
  <c r="H202" i="20"/>
  <c r="H196" i="20"/>
  <c r="F198" i="5"/>
  <c r="BA18" i="26" s="1"/>
  <c r="H139" i="20"/>
  <c r="F141" i="5"/>
  <c r="AO32" i="26" s="1"/>
  <c r="H226" i="20"/>
  <c r="H132" i="20"/>
  <c r="F134" i="5"/>
  <c r="AP31" i="26" s="1"/>
  <c r="H162" i="20"/>
  <c r="H146" i="20"/>
  <c r="H65" i="20"/>
  <c r="F67" i="5"/>
  <c r="H31" i="20"/>
  <c r="F33" i="5"/>
  <c r="H176" i="20"/>
  <c r="H47" i="20"/>
  <c r="F49" i="5"/>
  <c r="H68" i="20"/>
  <c r="F70" i="5"/>
  <c r="H135" i="20"/>
  <c r="H193" i="20"/>
  <c r="F195" i="5"/>
  <c r="AX18" i="26" s="1"/>
  <c r="H197" i="20"/>
  <c r="H175" i="20"/>
  <c r="H266" i="20"/>
  <c r="H106" i="20"/>
  <c r="H73" i="20"/>
  <c r="F75" i="5"/>
  <c r="H138" i="20"/>
  <c r="H260" i="20"/>
  <c r="F262" i="5"/>
  <c r="BA31" i="26" s="1"/>
  <c r="H34" i="20"/>
  <c r="F36" i="5"/>
  <c r="H112" i="20"/>
  <c r="H256" i="20"/>
  <c r="F258" i="5"/>
  <c r="AW31" i="26" s="1"/>
  <c r="H262" i="20"/>
  <c r="H45" i="20"/>
  <c r="H189" i="20"/>
  <c r="F191" i="5"/>
  <c r="AT18" i="26" s="1"/>
  <c r="H113" i="20"/>
  <c r="F115" i="5"/>
  <c r="AM29" i="26" s="1"/>
  <c r="H52" i="20"/>
  <c r="F54" i="5"/>
  <c r="H177" i="20"/>
  <c r="F179" i="5"/>
  <c r="AX16" i="26" s="1"/>
  <c r="H243" i="20"/>
  <c r="F245" i="5"/>
  <c r="AZ29" i="26" s="1"/>
  <c r="H185" i="20"/>
  <c r="H253" i="20"/>
  <c r="F255" i="5"/>
  <c r="AT31" i="26" s="1"/>
  <c r="H199" i="20"/>
  <c r="H33" i="20"/>
  <c r="F35" i="5"/>
  <c r="H126" i="20"/>
  <c r="F128" i="5"/>
  <c r="AJ31" i="26" s="1"/>
  <c r="H244" i="20"/>
  <c r="F246" i="5"/>
  <c r="BA29" i="26" s="1"/>
  <c r="H134" i="20"/>
  <c r="H64" i="20"/>
  <c r="F66" i="5"/>
  <c r="H111" i="20"/>
  <c r="H51" i="20"/>
  <c r="F53" i="5"/>
  <c r="H121" i="20"/>
  <c r="H241" i="20"/>
  <c r="F243" i="5"/>
  <c r="AX29" i="26" s="1"/>
  <c r="H198" i="20"/>
  <c r="H130" i="20"/>
  <c r="F132" i="5"/>
  <c r="AN31" i="26" s="1"/>
  <c r="H173" i="20"/>
  <c r="H174" i="20"/>
  <c r="H62" i="20"/>
  <c r="F64" i="5"/>
  <c r="H154" i="20"/>
  <c r="H116" i="20"/>
  <c r="F118" i="5"/>
  <c r="AP29" i="26" s="1"/>
  <c r="H18" i="20"/>
  <c r="H63" i="20"/>
  <c r="F65" i="5"/>
  <c r="H200" i="20"/>
  <c r="H192" i="20"/>
  <c r="F194" i="5"/>
  <c r="AW18" i="26" s="1"/>
  <c r="H265" i="20"/>
  <c r="F267" i="5"/>
  <c r="AX32" i="26" s="1"/>
  <c r="H125" i="20"/>
  <c r="F127" i="5"/>
  <c r="AI31" i="26" s="1"/>
  <c r="H49" i="20"/>
  <c r="F51" i="5"/>
  <c r="H82" i="20"/>
  <c r="H109" i="20"/>
  <c r="H70" i="20"/>
  <c r="H238" i="20"/>
  <c r="H74" i="20"/>
  <c r="H190" i="20"/>
  <c r="F192" i="5"/>
  <c r="AU18" i="26" s="1"/>
  <c r="H136" i="20"/>
  <c r="H128" i="20"/>
  <c r="F130" i="5"/>
  <c r="AL31" i="26" s="1"/>
  <c r="H203" i="20"/>
  <c r="F205" i="5"/>
  <c r="AZ19" i="26" s="1"/>
  <c r="H261" i="20"/>
  <c r="H218" i="20"/>
  <c r="H71" i="20"/>
  <c r="F73" i="5"/>
  <c r="H32" i="20"/>
  <c r="F34" i="5"/>
  <c r="H239" i="20"/>
  <c r="H249" i="20"/>
  <c r="H29" i="20"/>
  <c r="F31" i="5"/>
  <c r="H255" i="20"/>
  <c r="F257" i="5"/>
  <c r="AV31" i="26" s="1"/>
  <c r="H267" i="20"/>
  <c r="F269" i="5"/>
  <c r="AZ32" i="26" s="1"/>
  <c r="H194" i="20"/>
  <c r="F196" i="5"/>
  <c r="AY18" i="26" s="1"/>
  <c r="H57" i="20"/>
  <c r="H254" i="20"/>
  <c r="F256" i="5"/>
  <c r="AU31" i="26" s="1"/>
  <c r="H201" i="20"/>
  <c r="F203" i="5"/>
  <c r="AX19" i="26" s="1"/>
  <c r="H90" i="20"/>
  <c r="H264" i="20"/>
  <c r="H263" i="20"/>
  <c r="H210" i="20"/>
  <c r="H133" i="20"/>
  <c r="H26" i="20"/>
  <c r="H115" i="20"/>
  <c r="F117" i="5"/>
  <c r="AO29" i="26" s="1"/>
  <c r="H127" i="20"/>
  <c r="F129" i="5"/>
  <c r="AK31" i="26" s="1"/>
  <c r="H258" i="20"/>
  <c r="F260" i="5"/>
  <c r="AY31" i="26" s="1"/>
  <c r="H180" i="20"/>
  <c r="F182" i="5"/>
  <c r="BA16" i="26" s="1"/>
  <c r="H72" i="20"/>
  <c r="H240" i="20"/>
  <c r="H257" i="20"/>
  <c r="F259" i="5"/>
  <c r="AX31" i="26" s="1"/>
  <c r="H42" i="20"/>
  <c r="H237" i="20"/>
  <c r="H46" i="20"/>
  <c r="H170" i="20"/>
  <c r="H69" i="20"/>
  <c r="H98" i="20"/>
  <c r="H179" i="20"/>
  <c r="F181" i="5"/>
  <c r="AZ16" i="26" s="1"/>
  <c r="H48" i="20"/>
  <c r="H206" i="20"/>
  <c r="H87" i="20"/>
  <c r="H252" i="20"/>
  <c r="H88" i="20"/>
  <c r="H159" i="20"/>
  <c r="H259" i="20"/>
  <c r="H213" i="20"/>
  <c r="H150" i="20"/>
  <c r="H95" i="20"/>
  <c r="H157" i="20"/>
  <c r="H105" i="20"/>
  <c r="H216" i="20"/>
  <c r="H242" i="20"/>
  <c r="H224" i="20"/>
  <c r="H219" i="20"/>
  <c r="H27" i="20"/>
  <c r="H41" i="20"/>
  <c r="H16" i="20"/>
  <c r="H171" i="20"/>
  <c r="H236" i="20"/>
  <c r="H251" i="20"/>
  <c r="H103" i="20"/>
  <c r="H24" i="20"/>
  <c r="H211" i="20"/>
  <c r="H225" i="20"/>
  <c r="H83" i="20"/>
  <c r="H208" i="20"/>
  <c r="H15" i="20"/>
  <c r="H17" i="20"/>
  <c r="H204" i="20"/>
  <c r="H80" i="20"/>
  <c r="H79" i="20"/>
  <c r="H117" i="20"/>
  <c r="H100" i="20"/>
  <c r="H89" i="20"/>
  <c r="H92" i="20"/>
  <c r="H104" i="20"/>
  <c r="H94" i="20"/>
  <c r="H230" i="20"/>
  <c r="H183" i="20"/>
  <c r="H212" i="20"/>
  <c r="H235" i="20"/>
  <c r="H43" i="20"/>
  <c r="H215" i="20"/>
  <c r="H144" i="20"/>
  <c r="H143" i="20"/>
  <c r="H181" i="20"/>
  <c r="H155" i="20"/>
  <c r="H153" i="20"/>
  <c r="H84" i="20"/>
  <c r="H156" i="20"/>
  <c r="H151" i="20"/>
  <c r="H158" i="20"/>
  <c r="H223" i="20"/>
  <c r="H233" i="20"/>
  <c r="H13" i="20"/>
  <c r="H28" i="20"/>
  <c r="H86" i="20"/>
  <c r="H14" i="20"/>
  <c r="H54" i="20"/>
  <c r="H78" i="20"/>
  <c r="H37" i="20"/>
  <c r="H53" i="20"/>
  <c r="H148" i="20"/>
  <c r="H214" i="20"/>
  <c r="H222" i="20"/>
  <c r="H59" i="20"/>
  <c r="H76" i="20"/>
  <c r="H123" i="20"/>
  <c r="H122" i="20"/>
  <c r="H97" i="20"/>
  <c r="H108" i="20"/>
  <c r="H142" i="20"/>
  <c r="H248" i="20"/>
  <c r="H55" i="20"/>
  <c r="H245" i="20"/>
  <c r="H141" i="20"/>
  <c r="H58" i="20"/>
  <c r="H114" i="20"/>
  <c r="H250" i="20"/>
  <c r="H161" i="20"/>
  <c r="H172" i="20"/>
  <c r="H120" i="20"/>
  <c r="H220" i="20"/>
  <c r="H228" i="20"/>
  <c r="H119" i="20"/>
  <c r="H178" i="20"/>
  <c r="H85" i="20"/>
  <c r="H229" i="20"/>
  <c r="H184" i="20"/>
  <c r="H25" i="20"/>
  <c r="H50" i="20"/>
  <c r="H247" i="20"/>
  <c r="H167" i="20"/>
  <c r="H164" i="20"/>
  <c r="H209" i="20"/>
  <c r="H169" i="20"/>
  <c r="H99" i="20"/>
  <c r="H168" i="20"/>
  <c r="H96" i="20"/>
  <c r="H145" i="20"/>
  <c r="H268" i="20"/>
  <c r="H131" i="20"/>
  <c r="H147" i="20"/>
  <c r="H101" i="20"/>
  <c r="H152" i="20"/>
  <c r="H163" i="20"/>
  <c r="H205" i="20"/>
  <c r="H187" i="20"/>
  <c r="H232" i="20"/>
  <c r="H102" i="20"/>
  <c r="H246" i="20"/>
  <c r="H23" i="20"/>
  <c r="H40" i="20"/>
  <c r="H21" i="20"/>
  <c r="H124" i="20"/>
  <c r="H20" i="20"/>
  <c r="H118" i="20"/>
  <c r="H140" i="20"/>
  <c r="H39" i="20"/>
  <c r="H186" i="20"/>
  <c r="H217" i="20"/>
  <c r="H81" i="20"/>
  <c r="H160" i="20"/>
  <c r="H207" i="20"/>
  <c r="H19" i="20"/>
  <c r="H195" i="20"/>
  <c r="H165" i="20"/>
  <c r="H60" i="20"/>
  <c r="H22" i="20"/>
  <c r="H44" i="20"/>
  <c r="H67" i="20"/>
  <c r="H77" i="20"/>
  <c r="H227" i="20"/>
  <c r="H107" i="20"/>
  <c r="H166" i="20"/>
  <c r="H221" i="20"/>
  <c r="H35" i="20"/>
  <c r="H188" i="20"/>
  <c r="H38" i="20"/>
  <c r="H231" i="20"/>
  <c r="H149" i="20"/>
  <c r="H182" i="20"/>
  <c r="H93" i="20"/>
  <c r="H91" i="20"/>
  <c r="H56" i="20"/>
  <c r="R161" i="5"/>
  <c r="R266" i="5"/>
  <c r="K266" i="5" s="1"/>
  <c r="J264" i="20" s="1"/>
  <c r="R261" i="5"/>
  <c r="R215" i="5"/>
  <c r="R152" i="5"/>
  <c r="R265" i="5"/>
  <c r="J265" i="5" s="1"/>
  <c r="I263" i="20" s="1"/>
  <c r="R212" i="5"/>
  <c r="J212" i="5" s="1"/>
  <c r="I210" i="20" s="1"/>
  <c r="R97" i="5"/>
  <c r="R159" i="5"/>
  <c r="R107" i="5"/>
  <c r="R218" i="5"/>
  <c r="R135" i="5"/>
  <c r="J135" i="5" s="1"/>
  <c r="I133" i="20" s="1"/>
  <c r="R244" i="5"/>
  <c r="R226" i="5"/>
  <c r="R221" i="5"/>
  <c r="R29" i="5"/>
  <c r="R43" i="5"/>
  <c r="R18" i="5"/>
  <c r="R173" i="5"/>
  <c r="R28" i="5"/>
  <c r="J28" i="5" s="1"/>
  <c r="I26" i="20" s="1"/>
  <c r="R117" i="5"/>
  <c r="R129" i="5"/>
  <c r="K129" i="5" s="1"/>
  <c r="J127" i="20" s="1"/>
  <c r="R238" i="5"/>
  <c r="R260" i="5"/>
  <c r="K260" i="5" s="1"/>
  <c r="J258" i="20" s="1"/>
  <c r="R182" i="5"/>
  <c r="R74" i="5"/>
  <c r="J74" i="5" s="1"/>
  <c r="I72" i="20" s="1"/>
  <c r="R253" i="5"/>
  <c r="R242" i="5"/>
  <c r="R105" i="5"/>
  <c r="R26" i="5"/>
  <c r="R259" i="5"/>
  <c r="K259" i="5"/>
  <c r="J257" i="20" s="1"/>
  <c r="J259" i="5"/>
  <c r="I257" i="20" s="1"/>
  <c r="R213" i="5"/>
  <c r="R82" i="5"/>
  <c r="R140" i="5"/>
  <c r="J140" i="5" s="1"/>
  <c r="I138" i="20" s="1"/>
  <c r="R38" i="5"/>
  <c r="J38" i="5"/>
  <c r="I36" i="20" s="1"/>
  <c r="K38" i="5"/>
  <c r="J36" i="20" s="1"/>
  <c r="R172" i="5"/>
  <c r="K172" i="5" s="1"/>
  <c r="J170" i="20" s="1"/>
  <c r="R81" i="5"/>
  <c r="R119" i="5"/>
  <c r="R262" i="5"/>
  <c r="J262" i="5"/>
  <c r="I260" i="20" s="1"/>
  <c r="K262" i="5"/>
  <c r="J260" i="20" s="1"/>
  <c r="R77" i="5"/>
  <c r="J77" i="5"/>
  <c r="I75" i="20" s="1"/>
  <c r="K77" i="5"/>
  <c r="J75" i="20" s="1"/>
  <c r="R102" i="5"/>
  <c r="R91" i="5"/>
  <c r="R71" i="5"/>
  <c r="K71" i="5" s="1"/>
  <c r="J69" i="20" s="1"/>
  <c r="R236" i="5"/>
  <c r="R100" i="5"/>
  <c r="R94" i="5"/>
  <c r="R106" i="5"/>
  <c r="R96" i="5"/>
  <c r="R232" i="5"/>
  <c r="R68" i="5"/>
  <c r="K68" i="5" s="1"/>
  <c r="J66" i="20" s="1"/>
  <c r="R36" i="5"/>
  <c r="J36" i="5" s="1"/>
  <c r="I34" i="20" s="1"/>
  <c r="R181" i="5"/>
  <c r="R193" i="5"/>
  <c r="J193" i="5" s="1"/>
  <c r="I191" i="20" s="1"/>
  <c r="R114" i="5"/>
  <c r="R112" i="5"/>
  <c r="R185" i="5"/>
  <c r="R258" i="5"/>
  <c r="K258" i="5" s="1"/>
  <c r="J256" i="20" s="1"/>
  <c r="R131" i="5"/>
  <c r="J131" i="5"/>
  <c r="I129" i="20" s="1"/>
  <c r="K131" i="5"/>
  <c r="J129" i="20" s="1"/>
  <c r="R214" i="5"/>
  <c r="R50" i="5"/>
  <c r="R237" i="5"/>
  <c r="R63" i="5"/>
  <c r="K63" i="5" s="1"/>
  <c r="J61" i="20" s="1"/>
  <c r="R45" i="5"/>
  <c r="R146" i="5"/>
  <c r="R204" i="5"/>
  <c r="J204" i="5" s="1"/>
  <c r="I202" i="20" s="1"/>
  <c r="R198" i="5"/>
  <c r="J198" i="5"/>
  <c r="I196" i="20" s="1"/>
  <c r="K198" i="5"/>
  <c r="J196" i="20" s="1"/>
  <c r="R16" i="5"/>
  <c r="J16" i="5" s="1"/>
  <c r="R145" i="5"/>
  <c r="R183" i="5"/>
  <c r="J141" i="5"/>
  <c r="I139" i="20" s="1"/>
  <c r="K141" i="5"/>
  <c r="J139" i="20" s="1"/>
  <c r="R141" i="5"/>
  <c r="R228" i="5"/>
  <c r="K228" i="5" s="1"/>
  <c r="J226" i="20" s="1"/>
  <c r="R157" i="5"/>
  <c r="R155" i="5"/>
  <c r="R86" i="5"/>
  <c r="R134" i="5"/>
  <c r="J134" i="5"/>
  <c r="I132" i="20" s="1"/>
  <c r="K134" i="5"/>
  <c r="J132" i="20" s="1"/>
  <c r="R164" i="5"/>
  <c r="R158" i="5"/>
  <c r="R153" i="5"/>
  <c r="R160" i="5"/>
  <c r="R225" i="5"/>
  <c r="R235" i="5"/>
  <c r="R148" i="5"/>
  <c r="K148" i="5" s="1"/>
  <c r="J146" i="20" s="1"/>
  <c r="R67" i="5"/>
  <c r="J67" i="5"/>
  <c r="I65" i="20" s="1"/>
  <c r="K67" i="5"/>
  <c r="J65" i="20" s="1"/>
  <c r="K33" i="5"/>
  <c r="J31" i="20" s="1"/>
  <c r="J33" i="5"/>
  <c r="I31" i="20" s="1"/>
  <c r="R33" i="5"/>
  <c r="R178" i="5"/>
  <c r="R49" i="5"/>
  <c r="R70" i="5"/>
  <c r="J70" i="5"/>
  <c r="I68" i="20" s="1"/>
  <c r="K70" i="5"/>
  <c r="J68" i="20" s="1"/>
  <c r="R137" i="5"/>
  <c r="J137" i="5" s="1"/>
  <c r="I135" i="20" s="1"/>
  <c r="K195" i="5"/>
  <c r="J193" i="20" s="1"/>
  <c r="J195" i="5"/>
  <c r="I193" i="20" s="1"/>
  <c r="R195" i="5"/>
  <c r="R199" i="5"/>
  <c r="K199" i="5" s="1"/>
  <c r="J197" i="20" s="1"/>
  <c r="R15" i="5"/>
  <c r="R177" i="5"/>
  <c r="R268" i="5"/>
  <c r="J268" i="5" s="1"/>
  <c r="I266" i="20" s="1"/>
  <c r="R30" i="5"/>
  <c r="R88" i="5"/>
  <c r="R264" i="5"/>
  <c r="J264" i="5" s="1"/>
  <c r="I262" i="20" s="1"/>
  <c r="R47" i="5"/>
  <c r="R56" i="5"/>
  <c r="R191" i="5"/>
  <c r="K191" i="5" s="1"/>
  <c r="J189" i="20" s="1"/>
  <c r="R80" i="5"/>
  <c r="R39" i="5"/>
  <c r="R55" i="5"/>
  <c r="R150" i="5"/>
  <c r="R115" i="5"/>
  <c r="R216" i="5"/>
  <c r="R54" i="5"/>
  <c r="J54" i="5"/>
  <c r="I52" i="20" s="1"/>
  <c r="R179" i="5"/>
  <c r="R224" i="5"/>
  <c r="R61" i="5"/>
  <c r="R78" i="5"/>
  <c r="R125" i="5"/>
  <c r="R124" i="5"/>
  <c r="R99" i="5"/>
  <c r="R110" i="5"/>
  <c r="R144" i="5"/>
  <c r="R250" i="5"/>
  <c r="R245" i="5"/>
  <c r="R57" i="5"/>
  <c r="R187" i="5"/>
  <c r="R255" i="5"/>
  <c r="J255" i="5" s="1"/>
  <c r="I253" i="20" s="1"/>
  <c r="R201" i="5"/>
  <c r="J201" i="5" s="1"/>
  <c r="I199" i="20" s="1"/>
  <c r="R247" i="5"/>
  <c r="R143" i="5"/>
  <c r="R60" i="5"/>
  <c r="K35" i="5"/>
  <c r="J33" i="20" s="1"/>
  <c r="J35" i="5"/>
  <c r="I33" i="20" s="1"/>
  <c r="R35" i="5"/>
  <c r="R116" i="5"/>
  <c r="R252" i="5"/>
  <c r="J267" i="5"/>
  <c r="I265" i="20" s="1"/>
  <c r="K267" i="5"/>
  <c r="J265" i="20" s="1"/>
  <c r="R267" i="5"/>
  <c r="R208" i="5"/>
  <c r="R44" i="5"/>
  <c r="R139" i="5"/>
  <c r="J139" i="5"/>
  <c r="I137" i="20" s="1"/>
  <c r="K139" i="5"/>
  <c r="J137" i="20" s="1"/>
  <c r="R211" i="5"/>
  <c r="R269" i="5"/>
  <c r="J269" i="5"/>
  <c r="I267" i="20" s="1"/>
  <c r="K269" i="5"/>
  <c r="J267" i="20" s="1"/>
  <c r="R239" i="5"/>
  <c r="R121" i="5"/>
  <c r="R89" i="5"/>
  <c r="R219" i="5"/>
  <c r="R171" i="5"/>
  <c r="R217" i="5"/>
  <c r="R227" i="5"/>
  <c r="R196" i="5"/>
  <c r="J196" i="5" s="1"/>
  <c r="I194" i="20" s="1"/>
  <c r="R127" i="5"/>
  <c r="K127" i="5" s="1"/>
  <c r="J125" i="20" s="1"/>
  <c r="R108" i="5"/>
  <c r="R163" i="5"/>
  <c r="R174" i="5"/>
  <c r="R59" i="5"/>
  <c r="R128" i="5"/>
  <c r="K128" i="5" s="1"/>
  <c r="J126" i="20" s="1"/>
  <c r="R122" i="5"/>
  <c r="R48" i="5"/>
  <c r="R51" i="5"/>
  <c r="R256" i="5"/>
  <c r="J256" i="5" s="1"/>
  <c r="I254" i="20" s="1"/>
  <c r="R32" i="5"/>
  <c r="J32" i="5" s="1"/>
  <c r="I30" i="20" s="1"/>
  <c r="R246" i="5"/>
  <c r="R222" i="5"/>
  <c r="R75" i="5"/>
  <c r="J75" i="5"/>
  <c r="I73" i="20" s="1"/>
  <c r="K75" i="5"/>
  <c r="J73" i="20" s="1"/>
  <c r="R230" i="5"/>
  <c r="R84" i="5"/>
  <c r="R206" i="5"/>
  <c r="R257" i="5"/>
  <c r="J257" i="5" s="1"/>
  <c r="I255" i="20" s="1"/>
  <c r="R136" i="5"/>
  <c r="J136" i="5" s="1"/>
  <c r="I134" i="20" s="1"/>
  <c r="R83" i="5"/>
  <c r="R254" i="5"/>
  <c r="R66" i="5"/>
  <c r="K66" i="5" s="1"/>
  <c r="J64" i="20" s="1"/>
  <c r="R180" i="5"/>
  <c r="R111" i="5"/>
  <c r="R85" i="5"/>
  <c r="K203" i="5"/>
  <c r="J201" i="20" s="1"/>
  <c r="J203" i="5"/>
  <c r="I201" i="20" s="1"/>
  <c r="R203" i="5"/>
  <c r="R72" i="5"/>
  <c r="J72" i="5" s="1"/>
  <c r="I70" i="20" s="1"/>
  <c r="R210" i="5"/>
  <c r="R92" i="5"/>
  <c r="R240" i="5"/>
  <c r="R90" i="5"/>
  <c r="R101" i="5"/>
  <c r="R87" i="5"/>
  <c r="R170" i="5"/>
  <c r="R113" i="5"/>
  <c r="R53" i="5"/>
  <c r="R76" i="5"/>
  <c r="K76" i="5" s="1"/>
  <c r="J74" i="20" s="1"/>
  <c r="R231" i="5"/>
  <c r="R192" i="5"/>
  <c r="J192" i="5" s="1"/>
  <c r="I190" i="20" s="1"/>
  <c r="R186" i="5"/>
  <c r="R27" i="5"/>
  <c r="R52" i="5"/>
  <c r="R249" i="5"/>
  <c r="R138" i="5"/>
  <c r="J138" i="5" s="1"/>
  <c r="I136" i="20" s="1"/>
  <c r="R123" i="5"/>
  <c r="R130" i="5"/>
  <c r="J130" i="5" s="1"/>
  <c r="I128" i="20" s="1"/>
  <c r="R243" i="5"/>
  <c r="R169" i="5"/>
  <c r="R166" i="5"/>
  <c r="R98" i="5"/>
  <c r="R200" i="5"/>
  <c r="K200" i="5" s="1"/>
  <c r="J198" i="20" s="1"/>
  <c r="R147" i="5"/>
  <c r="R132" i="5"/>
  <c r="J132" i="5" s="1"/>
  <c r="I130" i="20" s="1"/>
  <c r="R270" i="5"/>
  <c r="R133" i="5"/>
  <c r="R175" i="5"/>
  <c r="R149" i="5"/>
  <c r="R176" i="5"/>
  <c r="R64" i="5"/>
  <c r="J64" i="5" s="1"/>
  <c r="I62" i="20" s="1"/>
  <c r="R103" i="5"/>
  <c r="R156" i="5"/>
  <c r="R118" i="5"/>
  <c r="R154" i="5"/>
  <c r="R165" i="5"/>
  <c r="R207" i="5"/>
  <c r="R189" i="5"/>
  <c r="R20" i="5"/>
  <c r="P20" i="5" s="1"/>
  <c r="R234" i="5"/>
  <c r="R104" i="5"/>
  <c r="R248" i="5"/>
  <c r="R25" i="5"/>
  <c r="R42" i="5"/>
  <c r="R65" i="5"/>
  <c r="J65" i="5" s="1"/>
  <c r="I63" i="20" s="1"/>
  <c r="R23" i="5"/>
  <c r="R126" i="5"/>
  <c r="R202" i="5"/>
  <c r="J202" i="5" s="1"/>
  <c r="I200" i="20" s="1"/>
  <c r="R22" i="5"/>
  <c r="R194" i="5"/>
  <c r="J194" i="5" s="1"/>
  <c r="I192" i="20" s="1"/>
  <c r="R120" i="5"/>
  <c r="R142" i="5"/>
  <c r="R41" i="5"/>
  <c r="R188" i="5"/>
  <c r="R162" i="5"/>
  <c r="R17" i="5"/>
  <c r="R19" i="5"/>
  <c r="K205" i="5"/>
  <c r="J203" i="20" s="1"/>
  <c r="R205" i="5"/>
  <c r="J205" i="5"/>
  <c r="I203" i="20" s="1"/>
  <c r="R263" i="5"/>
  <c r="K263" i="5" s="1"/>
  <c r="J261" i="20" s="1"/>
  <c r="R209" i="5"/>
  <c r="R220" i="5"/>
  <c r="R21" i="5"/>
  <c r="R197" i="5"/>
  <c r="J73" i="5"/>
  <c r="I71" i="20" s="1"/>
  <c r="K73" i="5"/>
  <c r="J71" i="20" s="1"/>
  <c r="R73" i="5"/>
  <c r="R167" i="5"/>
  <c r="R62" i="5"/>
  <c r="R24" i="5"/>
  <c r="R46" i="5"/>
  <c r="R69" i="5"/>
  <c r="R79" i="5"/>
  <c r="R229" i="5"/>
  <c r="R34" i="5"/>
  <c r="J34" i="5" s="1"/>
  <c r="I32" i="20" s="1"/>
  <c r="R109" i="5"/>
  <c r="R168" i="5"/>
  <c r="R241" i="5"/>
  <c r="R251" i="5"/>
  <c r="R223" i="5"/>
  <c r="R31" i="5"/>
  <c r="K31" i="5" s="1"/>
  <c r="J29" i="20" s="1"/>
  <c r="R37" i="5"/>
  <c r="R190" i="5"/>
  <c r="R40" i="5"/>
  <c r="R233" i="5"/>
  <c r="R151" i="5"/>
  <c r="R184" i="5"/>
  <c r="R95" i="5"/>
  <c r="R93" i="5"/>
  <c r="R58" i="5"/>
  <c r="P31" i="26" l="1"/>
  <c r="AA18" i="26"/>
  <c r="X31" i="26"/>
  <c r="T18" i="26"/>
  <c r="N18" i="26"/>
  <c r="Z31" i="26"/>
  <c r="R18" i="26"/>
  <c r="Y31" i="26"/>
  <c r="Y18" i="26"/>
  <c r="O18" i="26"/>
  <c r="N31" i="26"/>
  <c r="X18" i="26"/>
  <c r="T31" i="26"/>
  <c r="M18" i="26"/>
  <c r="M31" i="26"/>
  <c r="AE31" i="26"/>
  <c r="AC31" i="26"/>
  <c r="R31" i="26"/>
  <c r="AB18" i="26"/>
  <c r="Q31" i="26"/>
  <c r="S18" i="26"/>
  <c r="AC18" i="26"/>
  <c r="P18" i="26"/>
  <c r="AD18" i="26"/>
  <c r="AB31" i="26"/>
  <c r="O31" i="26"/>
  <c r="AA31" i="26"/>
  <c r="Q18" i="26"/>
  <c r="AD31" i="26"/>
  <c r="AE18" i="26"/>
  <c r="Z18" i="26"/>
  <c r="S31" i="26"/>
  <c r="K265" i="5"/>
  <c r="J263" i="20" s="1"/>
  <c r="J263" i="5"/>
  <c r="I261" i="20" s="1"/>
  <c r="K201" i="5"/>
  <c r="J199" i="20" s="1"/>
  <c r="K264" i="5"/>
  <c r="J262" i="20" s="1"/>
  <c r="K132" i="5"/>
  <c r="J130" i="20" s="1"/>
  <c r="K255" i="5"/>
  <c r="J253" i="20" s="1"/>
  <c r="J129" i="5"/>
  <c r="I127" i="20" s="1"/>
  <c r="K257" i="5"/>
  <c r="J255" i="20" s="1"/>
  <c r="K74" i="5"/>
  <c r="J72" i="20" s="1"/>
  <c r="J66" i="5"/>
  <c r="I64" i="20" s="1"/>
  <c r="K256" i="5"/>
  <c r="J254" i="20" s="1"/>
  <c r="K137" i="5"/>
  <c r="J135" i="20" s="1"/>
  <c r="J31" i="5"/>
  <c r="I29" i="20" s="1"/>
  <c r="K65" i="5"/>
  <c r="J63" i="20" s="1"/>
  <c r="J200" i="5"/>
  <c r="I198" i="20" s="1"/>
  <c r="J260" i="5"/>
  <c r="I258" i="20" s="1"/>
  <c r="K268" i="5"/>
  <c r="J266" i="20" s="1"/>
  <c r="K140" i="5"/>
  <c r="J138" i="20" s="1"/>
  <c r="K204" i="5"/>
  <c r="J202" i="20" s="1"/>
  <c r="K192" i="5"/>
  <c r="J190" i="20" s="1"/>
  <c r="K196" i="5"/>
  <c r="J194" i="20" s="1"/>
  <c r="J128" i="5"/>
  <c r="I126" i="20" s="1"/>
  <c r="K135" i="5"/>
  <c r="J133" i="20" s="1"/>
  <c r="K64" i="5"/>
  <c r="J62" i="20" s="1"/>
  <c r="J68" i="5"/>
  <c r="I66" i="20" s="1"/>
  <c r="K28" i="5"/>
  <c r="J26" i="20" s="1"/>
  <c r="J266" i="5"/>
  <c r="I264" i="20" s="1"/>
  <c r="J258" i="5"/>
  <c r="I256" i="20" s="1"/>
  <c r="K193" i="5"/>
  <c r="J191" i="20" s="1"/>
  <c r="K202" i="5"/>
  <c r="J200" i="20" s="1"/>
  <c r="J199" i="5"/>
  <c r="I197" i="20" s="1"/>
  <c r="J191" i="5"/>
  <c r="I189" i="20" s="1"/>
  <c r="K194" i="5"/>
  <c r="J192" i="20" s="1"/>
  <c r="K138" i="5"/>
  <c r="J136" i="20" s="1"/>
  <c r="K136" i="5"/>
  <c r="J134" i="20" s="1"/>
  <c r="K130" i="5"/>
  <c r="J128" i="20" s="1"/>
  <c r="J127" i="5"/>
  <c r="I125" i="20" s="1"/>
  <c r="K34" i="5"/>
  <c r="J32" i="20" s="1"/>
  <c r="J76" i="5"/>
  <c r="I74" i="20" s="1"/>
  <c r="K32" i="5"/>
  <c r="J30" i="20" s="1"/>
  <c r="K36" i="5"/>
  <c r="J34" i="20" s="1"/>
  <c r="K72" i="5"/>
  <c r="J70" i="20" s="1"/>
  <c r="J71" i="5"/>
  <c r="I69" i="20" s="1"/>
  <c r="J63" i="5"/>
  <c r="I61" i="20" s="1"/>
  <c r="K184" i="5"/>
  <c r="J182" i="20" s="1"/>
  <c r="Q184" i="5"/>
  <c r="P184" i="5"/>
  <c r="J188" i="5"/>
  <c r="I186" i="20" s="1"/>
  <c r="P188" i="5"/>
  <c r="Q188" i="5"/>
  <c r="J42" i="5"/>
  <c r="I40" i="20" s="1"/>
  <c r="P42" i="5"/>
  <c r="Q42" i="5"/>
  <c r="J165" i="5"/>
  <c r="I163" i="20" s="1"/>
  <c r="Q165" i="5"/>
  <c r="P165" i="5"/>
  <c r="K147" i="5"/>
  <c r="J145" i="20" s="1"/>
  <c r="P147" i="5"/>
  <c r="Q147" i="5"/>
  <c r="K249" i="5"/>
  <c r="J247" i="20" s="1"/>
  <c r="Q249" i="5"/>
  <c r="P249" i="5"/>
  <c r="J90" i="5"/>
  <c r="I88" i="20" s="1"/>
  <c r="Q90" i="5"/>
  <c r="P90" i="5"/>
  <c r="J254" i="5"/>
  <c r="I252" i="20" s="1"/>
  <c r="Q254" i="5"/>
  <c r="P254" i="5"/>
  <c r="J217" i="5"/>
  <c r="I215" i="20" s="1"/>
  <c r="Q217" i="5"/>
  <c r="P217" i="5"/>
  <c r="K143" i="5"/>
  <c r="J141" i="20" s="1"/>
  <c r="Q143" i="5"/>
  <c r="P143" i="5"/>
  <c r="J125" i="5"/>
  <c r="I123" i="20" s="1"/>
  <c r="Q125" i="5"/>
  <c r="P125" i="5"/>
  <c r="J56" i="5"/>
  <c r="I54" i="20" s="1"/>
  <c r="P56" i="5"/>
  <c r="Q56" i="5"/>
  <c r="J232" i="5"/>
  <c r="I230" i="20" s="1"/>
  <c r="P232" i="5"/>
  <c r="Q232" i="5"/>
  <c r="K26" i="5"/>
  <c r="J24" i="20" s="1"/>
  <c r="Q26" i="5"/>
  <c r="P26" i="5"/>
  <c r="J226" i="5"/>
  <c r="I224" i="20" s="1"/>
  <c r="Q226" i="5"/>
  <c r="P226" i="5"/>
  <c r="J97" i="5"/>
  <c r="I95" i="20" s="1"/>
  <c r="P97" i="5"/>
  <c r="Q97" i="5"/>
  <c r="K261" i="5"/>
  <c r="J259" i="20" s="1"/>
  <c r="P261" i="5"/>
  <c r="Q261" i="5"/>
  <c r="K167" i="5"/>
  <c r="J165" i="20" s="1"/>
  <c r="Q167" i="5"/>
  <c r="P167" i="5"/>
  <c r="K229" i="5"/>
  <c r="J227" i="20" s="1"/>
  <c r="P229" i="5"/>
  <c r="Q229" i="5"/>
  <c r="K41" i="5"/>
  <c r="J39" i="20" s="1"/>
  <c r="Q41" i="5"/>
  <c r="P41" i="5"/>
  <c r="K25" i="5"/>
  <c r="J23" i="20" s="1"/>
  <c r="Q25" i="5"/>
  <c r="P25" i="5"/>
  <c r="J154" i="5"/>
  <c r="I152" i="20" s="1"/>
  <c r="P154" i="5"/>
  <c r="Q154" i="5"/>
  <c r="K149" i="5"/>
  <c r="J147" i="20" s="1"/>
  <c r="Q149" i="5"/>
  <c r="P149" i="5"/>
  <c r="K52" i="5"/>
  <c r="J50" i="20" s="1"/>
  <c r="Q52" i="5"/>
  <c r="P52" i="5"/>
  <c r="K83" i="5"/>
  <c r="J81" i="20" s="1"/>
  <c r="Q83" i="5"/>
  <c r="P83" i="5"/>
  <c r="J206" i="5"/>
  <c r="I204" i="20" s="1"/>
  <c r="Q206" i="5"/>
  <c r="P206" i="5"/>
  <c r="K122" i="5"/>
  <c r="J120" i="20" s="1"/>
  <c r="P122" i="5"/>
  <c r="Q122" i="5"/>
  <c r="J171" i="5"/>
  <c r="I169" i="20" s="1"/>
  <c r="P171" i="5"/>
  <c r="Q171" i="5"/>
  <c r="J211" i="5"/>
  <c r="I209" i="20" s="1"/>
  <c r="P211" i="5"/>
  <c r="Q211" i="5"/>
  <c r="J247" i="5"/>
  <c r="I245" i="20" s="1"/>
  <c r="Q247" i="5"/>
  <c r="P247" i="5"/>
  <c r="K57" i="5"/>
  <c r="J55" i="20" s="1"/>
  <c r="Q57" i="5"/>
  <c r="P57" i="5"/>
  <c r="J78" i="5"/>
  <c r="I76" i="20" s="1"/>
  <c r="Q78" i="5"/>
  <c r="P78" i="5"/>
  <c r="J150" i="5"/>
  <c r="I148" i="20" s="1"/>
  <c r="Q150" i="5"/>
  <c r="P150" i="5"/>
  <c r="K96" i="5"/>
  <c r="J94" i="20" s="1"/>
  <c r="Q96" i="5"/>
  <c r="P96" i="5"/>
  <c r="K91" i="5"/>
  <c r="J89" i="20" s="1"/>
  <c r="Q91" i="5"/>
  <c r="P91" i="5"/>
  <c r="K119" i="5"/>
  <c r="J117" i="20" s="1"/>
  <c r="Q119" i="5"/>
  <c r="P119" i="5"/>
  <c r="K105" i="5"/>
  <c r="J103" i="20" s="1"/>
  <c r="P105" i="5"/>
  <c r="Q105" i="5"/>
  <c r="K244" i="5"/>
  <c r="J242" i="20" s="1"/>
  <c r="P244" i="5"/>
  <c r="Q244" i="5"/>
  <c r="K22" i="5"/>
  <c r="J20" i="20" s="1"/>
  <c r="Q22" i="5"/>
  <c r="P22" i="5"/>
  <c r="K233" i="5"/>
  <c r="J231" i="20" s="1"/>
  <c r="Q233" i="5"/>
  <c r="P233" i="5"/>
  <c r="K79" i="5"/>
  <c r="J77" i="20" s="1"/>
  <c r="P79" i="5"/>
  <c r="Q79" i="5"/>
  <c r="J248" i="5"/>
  <c r="I246" i="20" s="1"/>
  <c r="P248" i="5"/>
  <c r="Q248" i="5"/>
  <c r="J27" i="5"/>
  <c r="I25" i="20" s="1"/>
  <c r="Q27" i="5"/>
  <c r="P27" i="5"/>
  <c r="J85" i="5"/>
  <c r="I83" i="20" s="1"/>
  <c r="P85" i="5"/>
  <c r="Q85" i="5"/>
  <c r="J219" i="5"/>
  <c r="I217" i="20" s="1"/>
  <c r="P219" i="5"/>
  <c r="Q219" i="5"/>
  <c r="J252" i="5"/>
  <c r="I250" i="20" s="1"/>
  <c r="Q252" i="5"/>
  <c r="P252" i="5"/>
  <c r="J61" i="5"/>
  <c r="I59" i="20" s="1"/>
  <c r="Q61" i="5"/>
  <c r="P61" i="5"/>
  <c r="K55" i="5"/>
  <c r="J53" i="20" s="1"/>
  <c r="P55" i="5"/>
  <c r="Q55" i="5"/>
  <c r="J235" i="5"/>
  <c r="I233" i="20" s="1"/>
  <c r="P235" i="5"/>
  <c r="Q235" i="5"/>
  <c r="J237" i="5"/>
  <c r="I235" i="20" s="1"/>
  <c r="Q237" i="5"/>
  <c r="P237" i="5"/>
  <c r="J106" i="5"/>
  <c r="I104" i="20" s="1"/>
  <c r="P106" i="5"/>
  <c r="Q106" i="5"/>
  <c r="J102" i="5"/>
  <c r="I100" i="20" s="1"/>
  <c r="Q102" i="5"/>
  <c r="P102" i="5"/>
  <c r="K81" i="5"/>
  <c r="J79" i="20" s="1"/>
  <c r="Q81" i="5"/>
  <c r="P81" i="5"/>
  <c r="K151" i="5"/>
  <c r="J149" i="20" s="1"/>
  <c r="Q151" i="5"/>
  <c r="P151" i="5"/>
  <c r="J142" i="5"/>
  <c r="I140" i="20" s="1"/>
  <c r="P142" i="5"/>
  <c r="Q142" i="5"/>
  <c r="J40" i="5"/>
  <c r="I38" i="20" s="1"/>
  <c r="P40" i="5"/>
  <c r="Q40" i="5"/>
  <c r="J69" i="5"/>
  <c r="I67" i="20" s="1"/>
  <c r="Q69" i="5"/>
  <c r="P69" i="5"/>
  <c r="K197" i="5"/>
  <c r="J195" i="20" s="1"/>
  <c r="P197" i="5"/>
  <c r="Q197" i="5"/>
  <c r="J120" i="5"/>
  <c r="I118" i="20" s="1"/>
  <c r="Q120" i="5"/>
  <c r="P120" i="5"/>
  <c r="J126" i="5"/>
  <c r="I124" i="20" s="1"/>
  <c r="Q126" i="5"/>
  <c r="P126" i="5"/>
  <c r="J104" i="5"/>
  <c r="I102" i="20" s="1"/>
  <c r="Q104" i="5"/>
  <c r="P104" i="5"/>
  <c r="J133" i="5"/>
  <c r="I131" i="20" s="1"/>
  <c r="Q133" i="5"/>
  <c r="P133" i="5"/>
  <c r="J186" i="5"/>
  <c r="I184" i="20" s="1"/>
  <c r="Q186" i="5"/>
  <c r="P186" i="5"/>
  <c r="J210" i="5"/>
  <c r="I208" i="20" s="1"/>
  <c r="Q210" i="5"/>
  <c r="P210" i="5"/>
  <c r="J230" i="5"/>
  <c r="I228" i="20" s="1"/>
  <c r="P230" i="5"/>
  <c r="Q230" i="5"/>
  <c r="K89" i="5"/>
  <c r="J87" i="20" s="1"/>
  <c r="Q89" i="5"/>
  <c r="P89" i="5"/>
  <c r="J116" i="5"/>
  <c r="I114" i="20" s="1"/>
  <c r="Q116" i="5"/>
  <c r="P116" i="5"/>
  <c r="J250" i="5"/>
  <c r="I248" i="20" s="1"/>
  <c r="Q250" i="5"/>
  <c r="P250" i="5"/>
  <c r="J224" i="5"/>
  <c r="I222" i="20" s="1"/>
  <c r="Q224" i="5"/>
  <c r="P224" i="5"/>
  <c r="K39" i="5"/>
  <c r="J37" i="20" s="1"/>
  <c r="Q39" i="5"/>
  <c r="P39" i="5"/>
  <c r="Q15" i="5"/>
  <c r="P15" i="5"/>
  <c r="K235" i="5"/>
  <c r="J233" i="20" s="1"/>
  <c r="J185" i="5"/>
  <c r="I183" i="20" s="1"/>
  <c r="Q185" i="5"/>
  <c r="P185" i="5"/>
  <c r="J94" i="5"/>
  <c r="I92" i="20" s="1"/>
  <c r="Q94" i="5"/>
  <c r="P94" i="5"/>
  <c r="J82" i="5"/>
  <c r="I80" i="20" s="1"/>
  <c r="Q82" i="5"/>
  <c r="P82" i="5"/>
  <c r="J253" i="5"/>
  <c r="I251" i="20" s="1"/>
  <c r="Q253" i="5"/>
  <c r="P253" i="5"/>
  <c r="K238" i="5"/>
  <c r="J236" i="20" s="1"/>
  <c r="P238" i="5"/>
  <c r="Q238" i="5"/>
  <c r="J173" i="5"/>
  <c r="I171" i="20" s="1"/>
  <c r="P173" i="5"/>
  <c r="Q173" i="5"/>
  <c r="K95" i="5"/>
  <c r="J93" i="20" s="1"/>
  <c r="Q95" i="5"/>
  <c r="P95" i="5"/>
  <c r="J190" i="5"/>
  <c r="I188" i="20" s="1"/>
  <c r="Q190" i="5"/>
  <c r="P190" i="5"/>
  <c r="J168" i="5"/>
  <c r="I166" i="20" s="1"/>
  <c r="Q168" i="5"/>
  <c r="P168" i="5"/>
  <c r="J46" i="5"/>
  <c r="I44" i="20" s="1"/>
  <c r="Q46" i="5"/>
  <c r="P46" i="5"/>
  <c r="K21" i="5"/>
  <c r="J19" i="20" s="1"/>
  <c r="Q21" i="5"/>
  <c r="P21" i="5"/>
  <c r="J23" i="5"/>
  <c r="I21" i="20" s="1"/>
  <c r="Q23" i="5"/>
  <c r="P23" i="5"/>
  <c r="J234" i="5"/>
  <c r="I232" i="20" s="1"/>
  <c r="Q234" i="5"/>
  <c r="P234" i="5"/>
  <c r="J103" i="5"/>
  <c r="I101" i="20" s="1"/>
  <c r="P103" i="5"/>
  <c r="Q103" i="5"/>
  <c r="J270" i="5"/>
  <c r="I268" i="20" s="1"/>
  <c r="Q270" i="5"/>
  <c r="P270" i="5"/>
  <c r="J180" i="5"/>
  <c r="I178" i="20" s="1"/>
  <c r="P180" i="5"/>
  <c r="Q180" i="5"/>
  <c r="J121" i="5"/>
  <c r="I119" i="20" s="1"/>
  <c r="Q121" i="5"/>
  <c r="P121" i="5"/>
  <c r="K144" i="5"/>
  <c r="J142" i="20" s="1"/>
  <c r="Q144" i="5"/>
  <c r="P144" i="5"/>
  <c r="J80" i="5"/>
  <c r="I78" i="20" s="1"/>
  <c r="Q80" i="5"/>
  <c r="P80" i="5"/>
  <c r="K225" i="5"/>
  <c r="J223" i="20" s="1"/>
  <c r="Q225" i="5"/>
  <c r="P225" i="5"/>
  <c r="J86" i="5"/>
  <c r="I84" i="20" s="1"/>
  <c r="Q86" i="5"/>
  <c r="P86" i="5"/>
  <c r="K183" i="5"/>
  <c r="J181" i="20" s="1"/>
  <c r="Q183" i="5"/>
  <c r="P183" i="5"/>
  <c r="K214" i="5"/>
  <c r="J212" i="20" s="1"/>
  <c r="Q214" i="5"/>
  <c r="P214" i="5"/>
  <c r="K213" i="5"/>
  <c r="J211" i="20" s="1"/>
  <c r="Q213" i="5"/>
  <c r="P213" i="5"/>
  <c r="K18" i="5"/>
  <c r="J16" i="20" s="1"/>
  <c r="Q18" i="5"/>
  <c r="P18" i="5"/>
  <c r="J161" i="5"/>
  <c r="I159" i="20" s="1"/>
  <c r="Q161" i="5"/>
  <c r="P161" i="5"/>
  <c r="K37" i="5"/>
  <c r="J35" i="20" s="1"/>
  <c r="Q37" i="5"/>
  <c r="P37" i="5"/>
  <c r="J24" i="5"/>
  <c r="I22" i="20" s="1"/>
  <c r="P24" i="5"/>
  <c r="Q24" i="5"/>
  <c r="K19" i="5"/>
  <c r="J17" i="20" s="1"/>
  <c r="Q19" i="5"/>
  <c r="P19" i="5"/>
  <c r="J98" i="5"/>
  <c r="I96" i="20" s="1"/>
  <c r="Q98" i="5"/>
  <c r="P98" i="5"/>
  <c r="K170" i="5"/>
  <c r="J168" i="20" s="1"/>
  <c r="Q170" i="5"/>
  <c r="P170" i="5"/>
  <c r="K110" i="5"/>
  <c r="J108" i="20" s="1"/>
  <c r="Q110" i="5"/>
  <c r="P110" i="5"/>
  <c r="K88" i="5"/>
  <c r="J86" i="20" s="1"/>
  <c r="P88" i="5"/>
  <c r="Q88" i="5"/>
  <c r="J160" i="5"/>
  <c r="I158" i="20" s="1"/>
  <c r="Q160" i="5"/>
  <c r="P160" i="5"/>
  <c r="J155" i="5"/>
  <c r="I153" i="20" s="1"/>
  <c r="Q155" i="5"/>
  <c r="P155" i="5"/>
  <c r="J145" i="5"/>
  <c r="I143" i="20" s="1"/>
  <c r="P145" i="5"/>
  <c r="Q145" i="5"/>
  <c r="J146" i="5"/>
  <c r="I144" i="20" s="1"/>
  <c r="Q146" i="5"/>
  <c r="P146" i="5"/>
  <c r="K43" i="5"/>
  <c r="J41" i="20" s="1"/>
  <c r="Q43" i="5"/>
  <c r="P43" i="5"/>
  <c r="J218" i="5"/>
  <c r="I216" i="20" s="1"/>
  <c r="Q218" i="5"/>
  <c r="P218" i="5"/>
  <c r="J162" i="5"/>
  <c r="I160" i="20" s="1"/>
  <c r="Q162" i="5"/>
  <c r="P162" i="5"/>
  <c r="K223" i="5"/>
  <c r="J221" i="20" s="1"/>
  <c r="Q223" i="5"/>
  <c r="P223" i="5"/>
  <c r="J58" i="5"/>
  <c r="I56" i="20" s="1"/>
  <c r="Q58" i="5"/>
  <c r="P58" i="5"/>
  <c r="J109" i="5"/>
  <c r="I107" i="20" s="1"/>
  <c r="Q109" i="5"/>
  <c r="P109" i="5"/>
  <c r="J93" i="5"/>
  <c r="I91" i="20" s="1"/>
  <c r="Q93" i="5"/>
  <c r="P93" i="5"/>
  <c r="J62" i="5"/>
  <c r="I60" i="20" s="1"/>
  <c r="Q62" i="5"/>
  <c r="P62" i="5"/>
  <c r="J209" i="5"/>
  <c r="I207" i="20" s="1"/>
  <c r="Q209" i="5"/>
  <c r="P209" i="5"/>
  <c r="K17" i="5"/>
  <c r="J15" i="20" s="1"/>
  <c r="Q17" i="5"/>
  <c r="P17" i="5"/>
  <c r="K189" i="5"/>
  <c r="J187" i="20" s="1"/>
  <c r="P189" i="5"/>
  <c r="Q189" i="5"/>
  <c r="J166" i="5"/>
  <c r="I164" i="20" s="1"/>
  <c r="Q166" i="5"/>
  <c r="P166" i="5"/>
  <c r="J87" i="5"/>
  <c r="I85" i="20" s="1"/>
  <c r="P87" i="5"/>
  <c r="Q87" i="5"/>
  <c r="K174" i="5"/>
  <c r="J172" i="20" s="1"/>
  <c r="Q174" i="5"/>
  <c r="P174" i="5"/>
  <c r="K208" i="5"/>
  <c r="J206" i="20" s="1"/>
  <c r="P208" i="5"/>
  <c r="Q208" i="5"/>
  <c r="J99" i="5"/>
  <c r="I97" i="20" s="1"/>
  <c r="Q99" i="5"/>
  <c r="P99" i="5"/>
  <c r="J30" i="5"/>
  <c r="I28" i="20" s="1"/>
  <c r="P30" i="5"/>
  <c r="Q30" i="5"/>
  <c r="J153" i="5"/>
  <c r="I151" i="20" s="1"/>
  <c r="P153" i="5"/>
  <c r="Q153" i="5"/>
  <c r="J157" i="5"/>
  <c r="I155" i="20" s="1"/>
  <c r="P157" i="5"/>
  <c r="Q157" i="5"/>
  <c r="I14" i="20"/>
  <c r="Q16" i="5"/>
  <c r="P16" i="5"/>
  <c r="K45" i="5"/>
  <c r="J43" i="20" s="1"/>
  <c r="Q45" i="5"/>
  <c r="P45" i="5"/>
  <c r="K29" i="5"/>
  <c r="J27" i="20" s="1"/>
  <c r="Q29" i="5"/>
  <c r="P29" i="5"/>
  <c r="K107" i="5"/>
  <c r="J105" i="20" s="1"/>
  <c r="Q107" i="5"/>
  <c r="P107" i="5"/>
  <c r="J152" i="5"/>
  <c r="I150" i="20" s="1"/>
  <c r="Q152" i="5"/>
  <c r="P152" i="5"/>
  <c r="J207" i="5"/>
  <c r="I205" i="20" s="1"/>
  <c r="Q207" i="5"/>
  <c r="P207" i="5"/>
  <c r="K169" i="5"/>
  <c r="J167" i="20" s="1"/>
  <c r="P169" i="5"/>
  <c r="Q169" i="5"/>
  <c r="K231" i="5"/>
  <c r="J229" i="20" s="1"/>
  <c r="Q231" i="5"/>
  <c r="P231" i="5"/>
  <c r="K101" i="5"/>
  <c r="J99" i="20" s="1"/>
  <c r="Q101" i="5"/>
  <c r="P101" i="5"/>
  <c r="K222" i="5"/>
  <c r="J220" i="20" s="1"/>
  <c r="Q222" i="5"/>
  <c r="P222" i="5"/>
  <c r="J163" i="5"/>
  <c r="I161" i="20" s="1"/>
  <c r="P163" i="5"/>
  <c r="Q163" i="5"/>
  <c r="K227" i="5"/>
  <c r="J225" i="20" s="1"/>
  <c r="Q227" i="5"/>
  <c r="P227" i="5"/>
  <c r="J60" i="5"/>
  <c r="I58" i="20" s="1"/>
  <c r="Q60" i="5"/>
  <c r="P60" i="5"/>
  <c r="J124" i="5"/>
  <c r="I122" i="20" s="1"/>
  <c r="Q124" i="5"/>
  <c r="P124" i="5"/>
  <c r="J216" i="5"/>
  <c r="I214" i="20" s="1"/>
  <c r="Q216" i="5"/>
  <c r="P216" i="5"/>
  <c r="J158" i="5"/>
  <c r="I156" i="20" s="1"/>
  <c r="Q158" i="5"/>
  <c r="P158" i="5"/>
  <c r="J221" i="5"/>
  <c r="I219" i="20" s="1"/>
  <c r="P221" i="5"/>
  <c r="Q221" i="5"/>
  <c r="K159" i="5"/>
  <c r="J157" i="20" s="1"/>
  <c r="Q159" i="5"/>
  <c r="P159" i="5"/>
  <c r="K215" i="5"/>
  <c r="J213" i="20" s="1"/>
  <c r="Q215" i="5"/>
  <c r="P215" i="5"/>
  <c r="P267" i="5"/>
  <c r="Q267" i="5"/>
  <c r="Q268" i="5"/>
  <c r="P268" i="5"/>
  <c r="Q269" i="5"/>
  <c r="P269" i="5"/>
  <c r="P262" i="5"/>
  <c r="Q262" i="5"/>
  <c r="Q263" i="5"/>
  <c r="P263" i="5"/>
  <c r="Q266" i="5"/>
  <c r="P266" i="5"/>
  <c r="Q264" i="5"/>
  <c r="P264" i="5"/>
  <c r="Q265" i="5"/>
  <c r="P265" i="5"/>
  <c r="P259" i="5"/>
  <c r="Q259" i="5"/>
  <c r="P257" i="5"/>
  <c r="Q257" i="5"/>
  <c r="Q258" i="5"/>
  <c r="P258" i="5"/>
  <c r="P260" i="5"/>
  <c r="Q260" i="5"/>
  <c r="P255" i="5"/>
  <c r="Q255" i="5"/>
  <c r="P256" i="5"/>
  <c r="Q256" i="5"/>
  <c r="K251" i="5"/>
  <c r="J249" i="20" s="1"/>
  <c r="P251" i="5"/>
  <c r="Q251" i="5"/>
  <c r="K246" i="5"/>
  <c r="J244" i="20" s="1"/>
  <c r="Q246" i="5"/>
  <c r="P246" i="5"/>
  <c r="K245" i="5"/>
  <c r="J243" i="20" s="1"/>
  <c r="Q245" i="5"/>
  <c r="P245" i="5"/>
  <c r="J243" i="5"/>
  <c r="I241" i="20" s="1"/>
  <c r="P243" i="5"/>
  <c r="Q243" i="5"/>
  <c r="J240" i="5"/>
  <c r="I238" i="20" s="1"/>
  <c r="P240" i="5"/>
  <c r="Q240" i="5"/>
  <c r="J242" i="5"/>
  <c r="I240" i="20" s="1"/>
  <c r="P242" i="5"/>
  <c r="Q242" i="5"/>
  <c r="J241" i="5"/>
  <c r="I239" i="20" s="1"/>
  <c r="Q241" i="5"/>
  <c r="P241" i="5"/>
  <c r="K239" i="5"/>
  <c r="J237" i="20" s="1"/>
  <c r="P239" i="5"/>
  <c r="Q239" i="5"/>
  <c r="J236" i="5"/>
  <c r="I234" i="20" s="1"/>
  <c r="P236" i="5"/>
  <c r="Q236" i="5"/>
  <c r="J228" i="5"/>
  <c r="I226" i="20" s="1"/>
  <c r="Q228" i="5"/>
  <c r="P228" i="5"/>
  <c r="J220" i="5"/>
  <c r="I218" i="20" s="1"/>
  <c r="Q220" i="5"/>
  <c r="P220" i="5"/>
  <c r="K212" i="5"/>
  <c r="J210" i="20" s="1"/>
  <c r="Q212" i="5"/>
  <c r="P212" i="5"/>
  <c r="Q203" i="5"/>
  <c r="P203" i="5"/>
  <c r="Q202" i="5"/>
  <c r="P202" i="5"/>
  <c r="Q204" i="5"/>
  <c r="P204" i="5"/>
  <c r="P205" i="5"/>
  <c r="Q205" i="5"/>
  <c r="Q198" i="5"/>
  <c r="P198" i="5"/>
  <c r="P200" i="5"/>
  <c r="Q200" i="5"/>
  <c r="P201" i="5"/>
  <c r="Q201" i="5"/>
  <c r="P199" i="5"/>
  <c r="Q199" i="5"/>
  <c r="P191" i="5"/>
  <c r="Q191" i="5"/>
  <c r="P195" i="5"/>
  <c r="Q195" i="5"/>
  <c r="P193" i="5"/>
  <c r="Q193" i="5"/>
  <c r="Q194" i="5"/>
  <c r="P194" i="5"/>
  <c r="P192" i="5"/>
  <c r="Q192" i="5"/>
  <c r="Q196" i="5"/>
  <c r="P196" i="5"/>
  <c r="K187" i="5"/>
  <c r="J185" i="20" s="1"/>
  <c r="Q187" i="5"/>
  <c r="P187" i="5"/>
  <c r="K181" i="5"/>
  <c r="J179" i="20" s="1"/>
  <c r="Q181" i="5"/>
  <c r="P181" i="5"/>
  <c r="J182" i="5"/>
  <c r="I180" i="20" s="1"/>
  <c r="P182" i="5"/>
  <c r="Q182" i="5"/>
  <c r="J176" i="5"/>
  <c r="I174" i="20" s="1"/>
  <c r="Q176" i="5"/>
  <c r="P176" i="5"/>
  <c r="K178" i="5"/>
  <c r="J176" i="20" s="1"/>
  <c r="Q178" i="5"/>
  <c r="P178" i="5"/>
  <c r="J175" i="5"/>
  <c r="I173" i="20" s="1"/>
  <c r="Q175" i="5"/>
  <c r="P175" i="5"/>
  <c r="J177" i="5"/>
  <c r="I175" i="20" s="1"/>
  <c r="Q177" i="5"/>
  <c r="P177" i="5"/>
  <c r="K179" i="5"/>
  <c r="J177" i="20" s="1"/>
  <c r="P179" i="5"/>
  <c r="Q179" i="5"/>
  <c r="J172" i="5"/>
  <c r="I170" i="20" s="1"/>
  <c r="Q172" i="5"/>
  <c r="P172" i="5"/>
  <c r="K164" i="5"/>
  <c r="J162" i="20" s="1"/>
  <c r="P164" i="5"/>
  <c r="Q164" i="5"/>
  <c r="K156" i="5"/>
  <c r="J154" i="20" s="1"/>
  <c r="Q156" i="5"/>
  <c r="P156" i="5"/>
  <c r="J148" i="5"/>
  <c r="I146" i="20" s="1"/>
  <c r="P148" i="5"/>
  <c r="Q148" i="5"/>
  <c r="P139" i="5"/>
  <c r="Q139" i="5"/>
  <c r="P140" i="5"/>
  <c r="Q140" i="5"/>
  <c r="P141" i="5"/>
  <c r="Q141" i="5"/>
  <c r="P137" i="5"/>
  <c r="Q137" i="5"/>
  <c r="Q134" i="5"/>
  <c r="P134" i="5"/>
  <c r="Q135" i="5"/>
  <c r="P135" i="5"/>
  <c r="Q138" i="5"/>
  <c r="P138" i="5"/>
  <c r="Q136" i="5"/>
  <c r="P136" i="5"/>
  <c r="Q131" i="5"/>
  <c r="P131" i="5"/>
  <c r="Q130" i="5"/>
  <c r="P130" i="5"/>
  <c r="P127" i="5"/>
  <c r="Q127" i="5"/>
  <c r="P128" i="5"/>
  <c r="Q128" i="5"/>
  <c r="Q132" i="5"/>
  <c r="P132" i="5"/>
  <c r="Q129" i="5"/>
  <c r="P129" i="5"/>
  <c r="J123" i="5"/>
  <c r="I121" i="20" s="1"/>
  <c r="P123" i="5"/>
  <c r="Q123" i="5"/>
  <c r="J117" i="5"/>
  <c r="I115" i="20" s="1"/>
  <c r="P117" i="5"/>
  <c r="Q117" i="5"/>
  <c r="J118" i="5"/>
  <c r="I116" i="20" s="1"/>
  <c r="P118" i="5"/>
  <c r="Q118" i="5"/>
  <c r="K115" i="5"/>
  <c r="J113" i="20" s="1"/>
  <c r="Q115" i="5"/>
  <c r="P115" i="5"/>
  <c r="K111" i="5"/>
  <c r="J109" i="20" s="1"/>
  <c r="P111" i="5"/>
  <c r="Q111" i="5"/>
  <c r="J113" i="5"/>
  <c r="I111" i="20" s="1"/>
  <c r="P113" i="5"/>
  <c r="Q113" i="5"/>
  <c r="J112" i="5"/>
  <c r="I110" i="20" s="1"/>
  <c r="P112" i="5"/>
  <c r="Q112" i="5"/>
  <c r="K114" i="5"/>
  <c r="J112" i="20" s="1"/>
  <c r="P114" i="5"/>
  <c r="Q114" i="5"/>
  <c r="K108" i="5"/>
  <c r="J106" i="20" s="1"/>
  <c r="Q108" i="5"/>
  <c r="P108" i="5"/>
  <c r="K100" i="5"/>
  <c r="J98" i="20" s="1"/>
  <c r="P100" i="5"/>
  <c r="Q100" i="5"/>
  <c r="J92" i="5"/>
  <c r="I90" i="20" s="1"/>
  <c r="P92" i="5"/>
  <c r="Q92" i="5"/>
  <c r="K84" i="5"/>
  <c r="J82" i="20" s="1"/>
  <c r="P84" i="5"/>
  <c r="Q84" i="5"/>
  <c r="Q70" i="5"/>
  <c r="P70" i="5"/>
  <c r="Q73" i="5"/>
  <c r="P73" i="5"/>
  <c r="Q71" i="5"/>
  <c r="P71" i="5"/>
  <c r="P76" i="5"/>
  <c r="Q76" i="5"/>
  <c r="P74" i="5"/>
  <c r="Q74" i="5"/>
  <c r="Q77" i="5"/>
  <c r="P77" i="5"/>
  <c r="P72" i="5"/>
  <c r="Q72" i="5"/>
  <c r="P75" i="5"/>
  <c r="Q75" i="5"/>
  <c r="P67" i="5"/>
  <c r="Q67" i="5"/>
  <c r="P68" i="5"/>
  <c r="Q68" i="5"/>
  <c r="P63" i="5"/>
  <c r="Q63" i="5"/>
  <c r="Q65" i="5"/>
  <c r="P65" i="5"/>
  <c r="Q64" i="5"/>
  <c r="P64" i="5"/>
  <c r="Q66" i="5"/>
  <c r="P66" i="5"/>
  <c r="J59" i="5"/>
  <c r="I57" i="20" s="1"/>
  <c r="P59" i="5"/>
  <c r="Q59" i="5"/>
  <c r="K53" i="5"/>
  <c r="J51" i="20" s="1"/>
  <c r="Q53" i="5"/>
  <c r="P53" i="5"/>
  <c r="K54" i="5"/>
  <c r="J52" i="20" s="1"/>
  <c r="Q54" i="5"/>
  <c r="P54" i="5"/>
  <c r="J51" i="5"/>
  <c r="I49" i="20" s="1"/>
  <c r="P51" i="5"/>
  <c r="Q51" i="5"/>
  <c r="J48" i="5"/>
  <c r="I46" i="20" s="1"/>
  <c r="Q48" i="5"/>
  <c r="P48" i="5"/>
  <c r="K49" i="5"/>
  <c r="J47" i="20" s="1"/>
  <c r="Q49" i="5"/>
  <c r="P49" i="5"/>
  <c r="K47" i="5"/>
  <c r="J45" i="20" s="1"/>
  <c r="P47" i="5"/>
  <c r="Q47" i="5"/>
  <c r="K50" i="5"/>
  <c r="J48" i="20" s="1"/>
  <c r="Q50" i="5"/>
  <c r="P50" i="5"/>
  <c r="K44" i="5"/>
  <c r="J42" i="20" s="1"/>
  <c r="P44" i="5"/>
  <c r="Q44" i="5"/>
  <c r="Q38" i="5"/>
  <c r="P38" i="5"/>
  <c r="Q31" i="5"/>
  <c r="P31" i="5"/>
  <c r="Q33" i="5"/>
  <c r="P33" i="5"/>
  <c r="Q32" i="5"/>
  <c r="P32" i="5"/>
  <c r="P35" i="5"/>
  <c r="Q35" i="5"/>
  <c r="P36" i="5"/>
  <c r="Q36" i="5"/>
  <c r="P34" i="5"/>
  <c r="Q34" i="5"/>
  <c r="P28" i="5"/>
  <c r="Q28" i="5"/>
  <c r="K20" i="5"/>
  <c r="J18" i="20" s="1"/>
  <c r="Q20" i="5"/>
  <c r="J15" i="5"/>
  <c r="I13" i="20" s="1"/>
  <c r="K99" i="5"/>
  <c r="J97" i="20" s="1"/>
  <c r="K252" i="5"/>
  <c r="J250" i="20" s="1"/>
  <c r="J246" i="5"/>
  <c r="I244" i="20" s="1"/>
  <c r="J245" i="5"/>
  <c r="I243" i="20" s="1"/>
  <c r="K220" i="5"/>
  <c r="J218" i="20" s="1"/>
  <c r="K236" i="5"/>
  <c r="J234" i="20" s="1"/>
  <c r="K243" i="5"/>
  <c r="J241" i="20" s="1"/>
  <c r="J227" i="5"/>
  <c r="I225" i="20" s="1"/>
  <c r="J249" i="5"/>
  <c r="I247" i="20" s="1"/>
  <c r="K250" i="5"/>
  <c r="J248" i="20" s="1"/>
  <c r="J233" i="5"/>
  <c r="I231" i="20" s="1"/>
  <c r="K241" i="5"/>
  <c r="J239" i="20" s="1"/>
  <c r="K234" i="5"/>
  <c r="J232" i="20" s="1"/>
  <c r="K226" i="5"/>
  <c r="J224" i="20" s="1"/>
  <c r="K242" i="5"/>
  <c r="J240" i="20" s="1"/>
  <c r="K248" i="5"/>
  <c r="J246" i="20" s="1"/>
  <c r="J225" i="5"/>
  <c r="I223" i="20" s="1"/>
  <c r="K240" i="5"/>
  <c r="J238" i="20" s="1"/>
  <c r="J239" i="5"/>
  <c r="I237" i="20" s="1"/>
  <c r="K182" i="5"/>
  <c r="J180" i="20" s="1"/>
  <c r="K188" i="5"/>
  <c r="J186" i="20" s="1"/>
  <c r="J181" i="5"/>
  <c r="I179" i="20" s="1"/>
  <c r="J179" i="5"/>
  <c r="I177" i="20" s="1"/>
  <c r="J164" i="5"/>
  <c r="I162" i="20" s="1"/>
  <c r="J156" i="5"/>
  <c r="I154" i="20" s="1"/>
  <c r="K162" i="5"/>
  <c r="J160" i="20" s="1"/>
  <c r="K163" i="5"/>
  <c r="J161" i="20" s="1"/>
  <c r="K171" i="5"/>
  <c r="J169" i="20" s="1"/>
  <c r="J178" i="5"/>
  <c r="I176" i="20" s="1"/>
  <c r="J184" i="5"/>
  <c r="I182" i="20" s="1"/>
  <c r="J170" i="5"/>
  <c r="I168" i="20" s="1"/>
  <c r="K176" i="5"/>
  <c r="J174" i="20" s="1"/>
  <c r="K186" i="5"/>
  <c r="J184" i="20" s="1"/>
  <c r="J169" i="5"/>
  <c r="I167" i="20" s="1"/>
  <c r="K161" i="5"/>
  <c r="J159" i="20" s="1"/>
  <c r="K177" i="5"/>
  <c r="J175" i="20" s="1"/>
  <c r="K185" i="5"/>
  <c r="J183" i="20" s="1"/>
  <c r="K175" i="5"/>
  <c r="J173" i="20" s="1"/>
  <c r="J105" i="5"/>
  <c r="I103" i="20" s="1"/>
  <c r="K92" i="5"/>
  <c r="J90" i="20" s="1"/>
  <c r="K117" i="5"/>
  <c r="J115" i="20" s="1"/>
  <c r="K118" i="5"/>
  <c r="J116" i="20" s="1"/>
  <c r="K124" i="5"/>
  <c r="J122" i="20" s="1"/>
  <c r="J84" i="5"/>
  <c r="I82" i="20" s="1"/>
  <c r="J108" i="5"/>
  <c r="I106" i="20" s="1"/>
  <c r="J122" i="5"/>
  <c r="I120" i="20" s="1"/>
  <c r="J100" i="5"/>
  <c r="I98" i="20" s="1"/>
  <c r="J115" i="5"/>
  <c r="I113" i="20" s="1"/>
  <c r="J107" i="5"/>
  <c r="I105" i="20" s="1"/>
  <c r="K121" i="5"/>
  <c r="J119" i="20" s="1"/>
  <c r="J114" i="5"/>
  <c r="I112" i="20" s="1"/>
  <c r="K106" i="5"/>
  <c r="J104" i="20" s="1"/>
  <c r="K98" i="5"/>
  <c r="J96" i="20" s="1"/>
  <c r="K113" i="5"/>
  <c r="J111" i="20" s="1"/>
  <c r="K97" i="5"/>
  <c r="J95" i="20" s="1"/>
  <c r="K120" i="5"/>
  <c r="J118" i="20" s="1"/>
  <c r="K112" i="5"/>
  <c r="J110" i="20" s="1"/>
  <c r="J111" i="5"/>
  <c r="I109" i="20" s="1"/>
  <c r="J20" i="5"/>
  <c r="I18" i="20" s="1"/>
  <c r="K51" i="5"/>
  <c r="J49" i="20" s="1"/>
  <c r="J53" i="5"/>
  <c r="I51" i="20" s="1"/>
  <c r="K60" i="5"/>
  <c r="J58" i="20" s="1"/>
  <c r="J50" i="5"/>
  <c r="I48" i="20" s="1"/>
  <c r="J57" i="5"/>
  <c r="I55" i="20" s="1"/>
  <c r="J44" i="5"/>
  <c r="I42" i="20" s="1"/>
  <c r="J43" i="5"/>
  <c r="I41" i="20" s="1"/>
  <c r="J49" i="5"/>
  <c r="I47" i="20" s="1"/>
  <c r="K42" i="5"/>
  <c r="J40" i="20" s="1"/>
  <c r="K58" i="5"/>
  <c r="J56" i="20" s="1"/>
  <c r="J41" i="5"/>
  <c r="I39" i="20" s="1"/>
  <c r="J47" i="5"/>
  <c r="I45" i="20" s="1"/>
  <c r="K48" i="5"/>
  <c r="J46" i="20" s="1"/>
  <c r="K56" i="5"/>
  <c r="J54" i="20" s="1"/>
  <c r="K253" i="5"/>
  <c r="J251" i="20" s="1"/>
  <c r="J83" i="5"/>
  <c r="I81" i="20" s="1"/>
  <c r="K80" i="5"/>
  <c r="J78" i="20" s="1"/>
  <c r="K165" i="5"/>
  <c r="J163" i="20" s="1"/>
  <c r="K27" i="5"/>
  <c r="J25" i="20" s="1"/>
  <c r="J208" i="5"/>
  <c r="I206" i="20" s="1"/>
  <c r="J159" i="5"/>
  <c r="I157" i="20" s="1"/>
  <c r="J45" i="5"/>
  <c r="I43" i="20" s="1"/>
  <c r="K78" i="5"/>
  <c r="J76" i="20" s="1"/>
  <c r="J244" i="5"/>
  <c r="I242" i="20" s="1"/>
  <c r="J55" i="5"/>
  <c r="I53" i="20" s="1"/>
  <c r="J144" i="5"/>
  <c r="I142" i="20" s="1"/>
  <c r="K153" i="5"/>
  <c r="J151" i="20" s="1"/>
  <c r="J261" i="5"/>
  <c r="I259" i="20" s="1"/>
  <c r="K146" i="5"/>
  <c r="J144" i="20" s="1"/>
  <c r="J37" i="5"/>
  <c r="I35" i="20" s="1"/>
  <c r="J25" i="5"/>
  <c r="I23" i="20" s="1"/>
  <c r="K109" i="5"/>
  <c r="J107" i="20" s="1"/>
  <c r="J187" i="5"/>
  <c r="I185" i="20" s="1"/>
  <c r="K69" i="5"/>
  <c r="J67" i="20" s="1"/>
  <c r="K133" i="5"/>
  <c r="J131" i="20" s="1"/>
  <c r="K142" i="5"/>
  <c r="J140" i="20" s="1"/>
  <c r="J147" i="5"/>
  <c r="I145" i="20" s="1"/>
  <c r="J96" i="5"/>
  <c r="I94" i="20" s="1"/>
  <c r="K94" i="5"/>
  <c r="J92" i="20" s="1"/>
  <c r="K168" i="5"/>
  <c r="J166" i="20" s="1"/>
  <c r="K180" i="5"/>
  <c r="J178" i="20" s="1"/>
  <c r="K217" i="5"/>
  <c r="J215" i="20" s="1"/>
  <c r="K15" i="5"/>
  <c r="J13" i="20" s="1"/>
  <c r="J101" i="5"/>
  <c r="I99" i="20" s="1"/>
  <c r="K85" i="5"/>
  <c r="J83" i="20" s="1"/>
  <c r="K157" i="5"/>
  <c r="J155" i="20" s="1"/>
  <c r="K16" i="5"/>
  <c r="J14" i="20" s="1"/>
  <c r="K82" i="5"/>
  <c r="J80" i="20" s="1"/>
  <c r="J17" i="5"/>
  <c r="I15" i="20" s="1"/>
  <c r="K230" i="5"/>
  <c r="J228" i="20" s="1"/>
  <c r="K158" i="5"/>
  <c r="J156" i="20" s="1"/>
  <c r="J26" i="5"/>
  <c r="I24" i="20" s="1"/>
  <c r="K93" i="5"/>
  <c r="J91" i="20" s="1"/>
  <c r="K206" i="5"/>
  <c r="J204" i="20" s="1"/>
  <c r="J39" i="5"/>
  <c r="I37" i="20" s="1"/>
  <c r="K232" i="5"/>
  <c r="J230" i="20" s="1"/>
  <c r="K123" i="5"/>
  <c r="J121" i="20" s="1"/>
  <c r="K160" i="5"/>
  <c r="J158" i="20" s="1"/>
  <c r="J183" i="5"/>
  <c r="I181" i="20" s="1"/>
  <c r="J238" i="5"/>
  <c r="I236" i="20" s="1"/>
  <c r="K190" i="5"/>
  <c r="J188" i="20" s="1"/>
  <c r="J197" i="5"/>
  <c r="I195" i="20" s="1"/>
  <c r="K104" i="5"/>
  <c r="J102" i="20" s="1"/>
  <c r="K166" i="5"/>
  <c r="J164" i="20" s="1"/>
  <c r="K210" i="5"/>
  <c r="J208" i="20" s="1"/>
  <c r="J143" i="5"/>
  <c r="I141" i="20" s="1"/>
  <c r="J214" i="5"/>
  <c r="I212" i="20" s="1"/>
  <c r="K221" i="5"/>
  <c r="J219" i="20" s="1"/>
  <c r="J95" i="5"/>
  <c r="I93" i="20" s="1"/>
  <c r="J167" i="5"/>
  <c r="I165" i="20" s="1"/>
  <c r="J19" i="5"/>
  <c r="I17" i="20" s="1"/>
  <c r="K23" i="5"/>
  <c r="J21" i="20" s="1"/>
  <c r="K247" i="5"/>
  <c r="J245" i="20" s="1"/>
  <c r="K40" i="5"/>
  <c r="J38" i="20" s="1"/>
  <c r="J251" i="5"/>
  <c r="I249" i="20" s="1"/>
  <c r="K62" i="5"/>
  <c r="J60" i="20" s="1"/>
  <c r="K207" i="5"/>
  <c r="J205" i="20" s="1"/>
  <c r="J231" i="5"/>
  <c r="I229" i="20" s="1"/>
  <c r="K125" i="5"/>
  <c r="J123" i="20" s="1"/>
  <c r="K224" i="5"/>
  <c r="J222" i="20" s="1"/>
  <c r="J88" i="5"/>
  <c r="I86" i="20" s="1"/>
  <c r="K155" i="5"/>
  <c r="J153" i="20" s="1"/>
  <c r="J119" i="5"/>
  <c r="I117" i="20" s="1"/>
  <c r="J18" i="5"/>
  <c r="I16" i="20" s="1"/>
  <c r="J29" i="5"/>
  <c r="I27" i="20" s="1"/>
  <c r="K218" i="5"/>
  <c r="J216" i="20" s="1"/>
  <c r="J229" i="5"/>
  <c r="I227" i="20" s="1"/>
  <c r="K103" i="5"/>
  <c r="J101" i="20" s="1"/>
  <c r="K90" i="5"/>
  <c r="J88" i="20" s="1"/>
  <c r="J222" i="5"/>
  <c r="I220" i="20" s="1"/>
  <c r="K59" i="5"/>
  <c r="J57" i="20" s="1"/>
  <c r="K219" i="5"/>
  <c r="J217" i="20" s="1"/>
  <c r="K116" i="5"/>
  <c r="J114" i="20" s="1"/>
  <c r="K145" i="5"/>
  <c r="J143" i="20" s="1"/>
  <c r="K237" i="5"/>
  <c r="J235" i="20" s="1"/>
  <c r="J91" i="5"/>
  <c r="I89" i="20" s="1"/>
  <c r="J215" i="5"/>
  <c r="I213" i="20" s="1"/>
  <c r="J151" i="5"/>
  <c r="I149" i="20" s="1"/>
  <c r="J52" i="5"/>
  <c r="I50" i="20" s="1"/>
  <c r="J174" i="5"/>
  <c r="I172" i="20" s="1"/>
  <c r="K216" i="5"/>
  <c r="J214" i="20" s="1"/>
  <c r="K150" i="5"/>
  <c r="J148" i="20" s="1"/>
  <c r="K30" i="5"/>
  <c r="J28" i="20" s="1"/>
  <c r="J79" i="5"/>
  <c r="I77" i="20" s="1"/>
  <c r="K46" i="5"/>
  <c r="J44" i="20" s="1"/>
  <c r="J22" i="5"/>
  <c r="I20" i="20" s="1"/>
  <c r="K126" i="5"/>
  <c r="J124" i="20" s="1"/>
  <c r="J189" i="5"/>
  <c r="I187" i="20" s="1"/>
  <c r="J149" i="5"/>
  <c r="I147" i="20" s="1"/>
  <c r="K211" i="5"/>
  <c r="J209" i="20" s="1"/>
  <c r="J81" i="5"/>
  <c r="I79" i="20" s="1"/>
  <c r="J223" i="5"/>
  <c r="I221" i="20" s="1"/>
  <c r="K24" i="5"/>
  <c r="J22" i="20" s="1"/>
  <c r="J21" i="5"/>
  <c r="I19" i="20" s="1"/>
  <c r="K209" i="5"/>
  <c r="J207" i="20" s="1"/>
  <c r="K154" i="5"/>
  <c r="J152" i="20" s="1"/>
  <c r="K270" i="5"/>
  <c r="J268" i="20" s="1"/>
  <c r="K87" i="5"/>
  <c r="J85" i="20" s="1"/>
  <c r="K254" i="5"/>
  <c r="J252" i="20" s="1"/>
  <c r="J89" i="5"/>
  <c r="I87" i="20" s="1"/>
  <c r="J110" i="5"/>
  <c r="I108" i="20" s="1"/>
  <c r="K61" i="5"/>
  <c r="J59" i="20" s="1"/>
  <c r="K102" i="5"/>
  <c r="J100" i="20" s="1"/>
  <c r="J213" i="5"/>
  <c r="I211" i="20" s="1"/>
  <c r="K173" i="5"/>
  <c r="J171" i="20" s="1"/>
  <c r="K86" i="5"/>
  <c r="J84" i="20" s="1"/>
  <c r="K152" i="5"/>
  <c r="J150" i="20" s="1"/>
  <c r="U31" i="26" l="1"/>
  <c r="AF18" i="26"/>
  <c r="AF31" i="26"/>
  <c r="U18" i="26"/>
  <c r="N113" i="5"/>
  <c r="F113" i="5" s="1"/>
  <c r="AK29" i="26" s="1"/>
  <c r="N242" i="5"/>
  <c r="F242" i="5" s="1"/>
  <c r="AW29" i="26" s="1"/>
  <c r="N238" i="5"/>
  <c r="F238" i="5" s="1"/>
  <c r="BA28" i="26" s="1"/>
  <c r="N33" i="5"/>
  <c r="N54" i="5"/>
  <c r="N156" i="5"/>
  <c r="F156" i="5" s="1"/>
  <c r="AY13" i="26" s="1"/>
  <c r="N220" i="5"/>
  <c r="F220" i="5" s="1"/>
  <c r="AY26" i="26" s="1"/>
  <c r="N245" i="5"/>
  <c r="N159" i="5"/>
  <c r="F159" i="5" s="1"/>
  <c r="AT14" i="26" s="1"/>
  <c r="N222" i="5"/>
  <c r="F222" i="5" s="1"/>
  <c r="BA26" i="26" s="1"/>
  <c r="N45" i="5"/>
  <c r="F45" i="5" s="1"/>
  <c r="AO15" i="26" s="1"/>
  <c r="N58" i="5"/>
  <c r="F58" i="5" s="1"/>
  <c r="AL17" i="26" s="1"/>
  <c r="N160" i="5"/>
  <c r="F160" i="5" s="1"/>
  <c r="AU14" i="26" s="1"/>
  <c r="N161" i="5"/>
  <c r="F161" i="5" s="1"/>
  <c r="AV14" i="26" s="1"/>
  <c r="N144" i="5"/>
  <c r="F144" i="5" s="1"/>
  <c r="AU12" i="26" s="1"/>
  <c r="N46" i="5"/>
  <c r="F46" i="5" s="1"/>
  <c r="AP15" i="26" s="1"/>
  <c r="N94" i="5"/>
  <c r="F94" i="5" s="1"/>
  <c r="AP26" i="26" s="1"/>
  <c r="N69" i="5"/>
  <c r="N85" i="5"/>
  <c r="F85" i="5" s="1"/>
  <c r="AO25" i="26" s="1"/>
  <c r="N150" i="5"/>
  <c r="F150" i="5" s="1"/>
  <c r="BA12" i="26" s="1"/>
  <c r="N171" i="5"/>
  <c r="F171" i="5" s="1"/>
  <c r="AX15" i="26" s="1"/>
  <c r="N56" i="5"/>
  <c r="F56" i="5" s="1"/>
  <c r="AJ17" i="26" s="1"/>
  <c r="N184" i="5"/>
  <c r="F184" i="5" s="1"/>
  <c r="AU17" i="26" s="1"/>
  <c r="N50" i="5"/>
  <c r="F50" i="5" s="1"/>
  <c r="N77" i="5"/>
  <c r="N47" i="5"/>
  <c r="F47" i="5" s="1"/>
  <c r="N115" i="5"/>
  <c r="N176" i="5"/>
  <c r="F176" i="5" s="1"/>
  <c r="AU16" i="26" s="1"/>
  <c r="N215" i="5"/>
  <c r="F215" i="5" s="1"/>
  <c r="AT26" i="26" s="1"/>
  <c r="N29" i="5"/>
  <c r="F29" i="5" s="1"/>
  <c r="AO13" i="26" s="1"/>
  <c r="N30" i="5"/>
  <c r="F30" i="5" s="1"/>
  <c r="AP13" i="26" s="1"/>
  <c r="N174" i="5"/>
  <c r="F174" i="5" s="1"/>
  <c r="BA15" i="26" s="1"/>
  <c r="N109" i="5"/>
  <c r="F109" i="5" s="1"/>
  <c r="AO28" i="26" s="1"/>
  <c r="N155" i="5"/>
  <c r="F155" i="5" s="1"/>
  <c r="AX13" i="26" s="1"/>
  <c r="N37" i="5"/>
  <c r="F37" i="5" s="1"/>
  <c r="N80" i="5"/>
  <c r="F80" i="5" s="1"/>
  <c r="AJ25" i="26" s="1"/>
  <c r="N103" i="5"/>
  <c r="F103" i="5" s="1"/>
  <c r="AI28" i="26" s="1"/>
  <c r="N21" i="5"/>
  <c r="F21" i="5" s="1"/>
  <c r="N173" i="5"/>
  <c r="F173" i="5" s="1"/>
  <c r="AZ15" i="26" s="1"/>
  <c r="N82" i="5"/>
  <c r="F82" i="5" s="1"/>
  <c r="AL25" i="26" s="1"/>
  <c r="N89" i="5"/>
  <c r="F89" i="5" s="1"/>
  <c r="AK26" i="26" s="1"/>
  <c r="N237" i="5"/>
  <c r="F237" i="5" s="1"/>
  <c r="AZ28" i="26" s="1"/>
  <c r="N219" i="5"/>
  <c r="F219" i="5" s="1"/>
  <c r="AX26" i="26" s="1"/>
  <c r="N105" i="5"/>
  <c r="F105" i="5" s="1"/>
  <c r="AK28" i="26" s="1"/>
  <c r="N96" i="5"/>
  <c r="F96" i="5" s="1"/>
  <c r="AJ27" i="26" s="1"/>
  <c r="N211" i="5"/>
  <c r="F211" i="5" s="1"/>
  <c r="AX25" i="26" s="1"/>
  <c r="N206" i="5"/>
  <c r="N167" i="5"/>
  <c r="F167" i="5" s="1"/>
  <c r="AT15" i="26" s="1"/>
  <c r="N129" i="5"/>
  <c r="N130" i="5"/>
  <c r="N196" i="5"/>
  <c r="N202" i="5"/>
  <c r="F202" i="5" s="1"/>
  <c r="AW19" i="26" s="1"/>
  <c r="N266" i="5"/>
  <c r="F266" i="5" s="1"/>
  <c r="AW32" i="26" s="1"/>
  <c r="N268" i="5"/>
  <c r="F268" i="5" s="1"/>
  <c r="AY32" i="26" s="1"/>
  <c r="N216" i="5"/>
  <c r="F216" i="5" s="1"/>
  <c r="AU26" i="26" s="1"/>
  <c r="N17" i="5"/>
  <c r="F17" i="5" s="1"/>
  <c r="N218" i="5"/>
  <c r="F218" i="5" s="1"/>
  <c r="AW26" i="26" s="1"/>
  <c r="N170" i="5"/>
  <c r="F170" i="5" s="1"/>
  <c r="AW15" i="26" s="1"/>
  <c r="N214" i="5"/>
  <c r="F214" i="5" s="1"/>
  <c r="BA25" i="26" s="1"/>
  <c r="N270" i="5"/>
  <c r="N95" i="5"/>
  <c r="F95" i="5" s="1"/>
  <c r="AI27" i="26" s="1"/>
  <c r="N39" i="5"/>
  <c r="F39" i="5" s="1"/>
  <c r="AI15" i="26" s="1"/>
  <c r="N133" i="5"/>
  <c r="N151" i="5"/>
  <c r="F151" i="5" s="1"/>
  <c r="AT13" i="26" s="1"/>
  <c r="N252" i="5"/>
  <c r="F252" i="5" s="1"/>
  <c r="AY30" i="26" s="1"/>
  <c r="N53" i="5"/>
  <c r="N64" i="5"/>
  <c r="N132" i="5"/>
  <c r="N131" i="5"/>
  <c r="N134" i="5"/>
  <c r="N181" i="5"/>
  <c r="N198" i="5"/>
  <c r="N203" i="5"/>
  <c r="N228" i="5"/>
  <c r="F228" i="5" s="1"/>
  <c r="AY27" i="26" s="1"/>
  <c r="N246" i="5"/>
  <c r="N101" i="5"/>
  <c r="F101" i="5" s="1"/>
  <c r="N16" i="5"/>
  <c r="F16" i="5" s="1"/>
  <c r="N208" i="5"/>
  <c r="F208" i="5" s="1"/>
  <c r="AU25" i="26" s="1"/>
  <c r="N166" i="5"/>
  <c r="F166" i="5" s="1"/>
  <c r="BA14" i="26" s="1"/>
  <c r="N223" i="5"/>
  <c r="F223" i="5" s="1"/>
  <c r="AT27" i="26" s="1"/>
  <c r="N145" i="5"/>
  <c r="F145" i="5" s="1"/>
  <c r="AV12" i="26" s="1"/>
  <c r="N24" i="5"/>
  <c r="F24" i="5" s="1"/>
  <c r="AJ13" i="26" s="1"/>
  <c r="N18" i="5"/>
  <c r="F18" i="5" s="1"/>
  <c r="N121" i="5"/>
  <c r="F121" i="5" s="1"/>
  <c r="AK30" i="26" s="1"/>
  <c r="N168" i="5"/>
  <c r="F168" i="5" s="1"/>
  <c r="AU15" i="26" s="1"/>
  <c r="N185" i="5"/>
  <c r="F185" i="5" s="1"/>
  <c r="AV17" i="26" s="1"/>
  <c r="N210" i="5"/>
  <c r="F210" i="5" s="1"/>
  <c r="AW25" i="26" s="1"/>
  <c r="N106" i="5"/>
  <c r="F106" i="5" s="1"/>
  <c r="AL28" i="26" s="1"/>
  <c r="N233" i="5"/>
  <c r="F233" i="5" s="1"/>
  <c r="AV28" i="26" s="1"/>
  <c r="N78" i="5"/>
  <c r="N122" i="5"/>
  <c r="F122" i="5" s="1"/>
  <c r="AL30" i="26" s="1"/>
  <c r="N229" i="5"/>
  <c r="F229" i="5" s="1"/>
  <c r="AZ27" i="26" s="1"/>
  <c r="N42" i="5"/>
  <c r="F42" i="5" s="1"/>
  <c r="AL15" i="26" s="1"/>
  <c r="N157" i="5"/>
  <c r="F157" i="5" s="1"/>
  <c r="AZ13" i="26" s="1"/>
  <c r="N189" i="5"/>
  <c r="F189" i="5" s="1"/>
  <c r="AZ17" i="26" s="1"/>
  <c r="N180" i="5"/>
  <c r="F180" i="5" s="1"/>
  <c r="AY16" i="26" s="1"/>
  <c r="N142" i="5"/>
  <c r="N247" i="5"/>
  <c r="F247" i="5" s="1"/>
  <c r="AT30" i="26" s="1"/>
  <c r="N232" i="5"/>
  <c r="F232" i="5" s="1"/>
  <c r="AU28" i="26" s="1"/>
  <c r="N26" i="5"/>
  <c r="F26" i="5" s="1"/>
  <c r="AL13" i="26" s="1"/>
  <c r="N52" i="5"/>
  <c r="F52" i="5" s="1"/>
  <c r="N254" i="5"/>
  <c r="F254" i="5" s="1"/>
  <c r="BA30" i="26" s="1"/>
  <c r="N249" i="5"/>
  <c r="F249" i="5" s="1"/>
  <c r="AV30" i="26" s="1"/>
  <c r="N143" i="5"/>
  <c r="F143" i="5" s="1"/>
  <c r="AT12" i="26" s="1"/>
  <c r="N83" i="5"/>
  <c r="F83" i="5" s="1"/>
  <c r="AM25" i="26" s="1"/>
  <c r="N217" i="5"/>
  <c r="F217" i="5" s="1"/>
  <c r="AV26" i="26" s="1"/>
  <c r="N38" i="5"/>
  <c r="N177" i="5"/>
  <c r="F177" i="5" s="1"/>
  <c r="AV16" i="26" s="1"/>
  <c r="N221" i="5"/>
  <c r="F221" i="5" s="1"/>
  <c r="AZ26" i="26" s="1"/>
  <c r="N124" i="5"/>
  <c r="F124" i="5" s="1"/>
  <c r="AN30" i="26" s="1"/>
  <c r="N207" i="5"/>
  <c r="F207" i="5" s="1"/>
  <c r="AT25" i="26" s="1"/>
  <c r="N209" i="5"/>
  <c r="F209" i="5" s="1"/>
  <c r="AV25" i="26" s="1"/>
  <c r="N43" i="5"/>
  <c r="F43" i="5" s="1"/>
  <c r="AM15" i="26" s="1"/>
  <c r="N88" i="5"/>
  <c r="F88" i="5" s="1"/>
  <c r="AJ26" i="26" s="1"/>
  <c r="N98" i="5"/>
  <c r="F98" i="5" s="1"/>
  <c r="AL27" i="26" s="1"/>
  <c r="N183" i="5"/>
  <c r="F183" i="5" s="1"/>
  <c r="AT17" i="26" s="1"/>
  <c r="N224" i="5"/>
  <c r="F224" i="5" s="1"/>
  <c r="AU27" i="26" s="1"/>
  <c r="N104" i="5"/>
  <c r="F104" i="5" s="1"/>
  <c r="AJ28" i="26" s="1"/>
  <c r="N40" i="5"/>
  <c r="F40" i="5" s="1"/>
  <c r="AJ15" i="26" s="1"/>
  <c r="N81" i="5"/>
  <c r="F81" i="5" s="1"/>
  <c r="AK25" i="26" s="1"/>
  <c r="N55" i="5"/>
  <c r="F55" i="5" s="1"/>
  <c r="AI17" i="26" s="1"/>
  <c r="N25" i="5"/>
  <c r="F25" i="5" s="1"/>
  <c r="AK13" i="26" s="1"/>
  <c r="N97" i="5"/>
  <c r="F97" i="5" s="1"/>
  <c r="AK27" i="26" s="1"/>
  <c r="N147" i="5"/>
  <c r="F147" i="5" s="1"/>
  <c r="AX12" i="26" s="1"/>
  <c r="N75" i="5"/>
  <c r="N76" i="5"/>
  <c r="F76" i="5" s="1"/>
  <c r="N108" i="5"/>
  <c r="F108" i="5" s="1"/>
  <c r="AN28" i="26" s="1"/>
  <c r="N137" i="5"/>
  <c r="F137" i="5" s="1"/>
  <c r="AK32" i="26" s="1"/>
  <c r="N172" i="5"/>
  <c r="F172" i="5" s="1"/>
  <c r="AY15" i="26" s="1"/>
  <c r="N187" i="5"/>
  <c r="F187" i="5" s="1"/>
  <c r="AX17" i="26" s="1"/>
  <c r="N158" i="5"/>
  <c r="F158" i="5" s="1"/>
  <c r="BA13" i="26" s="1"/>
  <c r="N163" i="5"/>
  <c r="F163" i="5" s="1"/>
  <c r="AX14" i="26" s="1"/>
  <c r="N231" i="5"/>
  <c r="F231" i="5" s="1"/>
  <c r="AT28" i="26" s="1"/>
  <c r="N162" i="5"/>
  <c r="F162" i="5" s="1"/>
  <c r="AW14" i="26" s="1"/>
  <c r="N110" i="5"/>
  <c r="F110" i="5" s="1"/>
  <c r="AP28" i="26" s="1"/>
  <c r="N213" i="5"/>
  <c r="F213" i="5" s="1"/>
  <c r="AZ25" i="26" s="1"/>
  <c r="N190" i="5"/>
  <c r="F190" i="5" s="1"/>
  <c r="BA17" i="26" s="1"/>
  <c r="N186" i="5"/>
  <c r="F186" i="5" s="1"/>
  <c r="AW17" i="26" s="1"/>
  <c r="N197" i="5"/>
  <c r="N61" i="5"/>
  <c r="F61" i="5" s="1"/>
  <c r="AO17" i="26" s="1"/>
  <c r="N248" i="5"/>
  <c r="F248" i="5" s="1"/>
  <c r="AU30" i="26" s="1"/>
  <c r="N22" i="5"/>
  <c r="F22" i="5" s="1"/>
  <c r="N57" i="5"/>
  <c r="F57" i="5" s="1"/>
  <c r="AK17" i="26" s="1"/>
  <c r="N149" i="5"/>
  <c r="F149" i="5" s="1"/>
  <c r="AZ12" i="26" s="1"/>
  <c r="N226" i="5"/>
  <c r="F226" i="5" s="1"/>
  <c r="AW27" i="26" s="1"/>
  <c r="N90" i="5"/>
  <c r="F90" i="5" s="1"/>
  <c r="AL26" i="26" s="1"/>
  <c r="N188" i="5"/>
  <c r="F188" i="5" s="1"/>
  <c r="AY17" i="26" s="1"/>
  <c r="N71" i="5"/>
  <c r="F71" i="5" s="1"/>
  <c r="N138" i="5"/>
  <c r="F138" i="5" s="1"/>
  <c r="AL32" i="26" s="1"/>
  <c r="N204" i="5"/>
  <c r="F204" i="5" s="1"/>
  <c r="AY19" i="26" s="1"/>
  <c r="N258" i="5"/>
  <c r="N264" i="5"/>
  <c r="F264" i="5" s="1"/>
  <c r="AU32" i="26" s="1"/>
  <c r="N269" i="5"/>
  <c r="N60" i="5"/>
  <c r="F60" i="5" s="1"/>
  <c r="AN17" i="26" s="1"/>
  <c r="N152" i="5"/>
  <c r="F152" i="5" s="1"/>
  <c r="AU13" i="26" s="1"/>
  <c r="N99" i="5"/>
  <c r="F99" i="5" s="1"/>
  <c r="AM27" i="26" s="1"/>
  <c r="N62" i="5"/>
  <c r="F62" i="5" s="1"/>
  <c r="AP17" i="26" s="1"/>
  <c r="N146" i="5"/>
  <c r="F146" i="5" s="1"/>
  <c r="AW12" i="26" s="1"/>
  <c r="N19" i="5"/>
  <c r="F19" i="5" s="1"/>
  <c r="N86" i="5"/>
  <c r="F86" i="5" s="1"/>
  <c r="AP25" i="26" s="1"/>
  <c r="N234" i="5"/>
  <c r="F234" i="5" s="1"/>
  <c r="AW28" i="26" s="1"/>
  <c r="N15" i="5"/>
  <c r="N250" i="5"/>
  <c r="F250" i="5" s="1"/>
  <c r="AW30" i="26" s="1"/>
  <c r="N126" i="5"/>
  <c r="F126" i="5" s="1"/>
  <c r="AP30" i="26" s="1"/>
  <c r="N102" i="5"/>
  <c r="F102" i="5" s="1"/>
  <c r="N119" i="5"/>
  <c r="F119" i="5" s="1"/>
  <c r="AI30" i="26" s="1"/>
  <c r="N41" i="5"/>
  <c r="F41" i="5" s="1"/>
  <c r="AK15" i="26" s="1"/>
  <c r="N165" i="5"/>
  <c r="F165" i="5" s="1"/>
  <c r="AZ14" i="26" s="1"/>
  <c r="N235" i="5"/>
  <c r="F235" i="5" s="1"/>
  <c r="AX28" i="26" s="1"/>
  <c r="N79" i="5"/>
  <c r="F79" i="5" s="1"/>
  <c r="AI25" i="26" s="1"/>
  <c r="N261" i="5"/>
  <c r="N87" i="5"/>
  <c r="F87" i="5" s="1"/>
  <c r="AI26" i="26" s="1"/>
  <c r="N230" i="5"/>
  <c r="F230" i="5" s="1"/>
  <c r="BA27" i="26" s="1"/>
  <c r="N31" i="5"/>
  <c r="N178" i="5"/>
  <c r="F178" i="5" s="1"/>
  <c r="AW16" i="26" s="1"/>
  <c r="N227" i="5"/>
  <c r="F227" i="5" s="1"/>
  <c r="AX27" i="26" s="1"/>
  <c r="N169" i="5"/>
  <c r="F169" i="5" s="1"/>
  <c r="AV15" i="26" s="1"/>
  <c r="N107" i="5"/>
  <c r="F107" i="5" s="1"/>
  <c r="AM28" i="26" s="1"/>
  <c r="N153" i="5"/>
  <c r="F153" i="5" s="1"/>
  <c r="AV13" i="26" s="1"/>
  <c r="N93" i="5"/>
  <c r="F93" i="5" s="1"/>
  <c r="AO26" i="26" s="1"/>
  <c r="N225" i="5"/>
  <c r="F225" i="5" s="1"/>
  <c r="AV27" i="26" s="1"/>
  <c r="N23" i="5"/>
  <c r="F23" i="5" s="1"/>
  <c r="AI13" i="26" s="1"/>
  <c r="N253" i="5"/>
  <c r="F253" i="5" s="1"/>
  <c r="AZ30" i="26" s="1"/>
  <c r="N116" i="5"/>
  <c r="F116" i="5" s="1"/>
  <c r="AN29" i="26" s="1"/>
  <c r="N120" i="5"/>
  <c r="F120" i="5" s="1"/>
  <c r="AJ30" i="26" s="1"/>
  <c r="N27" i="5"/>
  <c r="F27" i="5" s="1"/>
  <c r="AM13" i="26" s="1"/>
  <c r="N244" i="5"/>
  <c r="F244" i="5" s="1"/>
  <c r="AY29" i="26" s="1"/>
  <c r="N91" i="5"/>
  <c r="F91" i="5" s="1"/>
  <c r="AM26" i="26" s="1"/>
  <c r="N154" i="5"/>
  <c r="F154" i="5" s="1"/>
  <c r="AW13" i="26" s="1"/>
  <c r="N125" i="5"/>
  <c r="F125" i="5" s="1"/>
  <c r="AO30" i="26" s="1"/>
  <c r="N265" i="5"/>
  <c r="F265" i="5" s="1"/>
  <c r="AV32" i="26" s="1"/>
  <c r="N262" i="5"/>
  <c r="N263" i="5"/>
  <c r="F263" i="5" s="1"/>
  <c r="AT32" i="26" s="1"/>
  <c r="N267" i="5"/>
  <c r="N260" i="5"/>
  <c r="N256" i="5"/>
  <c r="N257" i="5"/>
  <c r="N255" i="5"/>
  <c r="N259" i="5"/>
  <c r="N251" i="5"/>
  <c r="F251" i="5" s="1"/>
  <c r="AX30" i="26" s="1"/>
  <c r="N239" i="5"/>
  <c r="F239" i="5" s="1"/>
  <c r="AT29" i="26" s="1"/>
  <c r="N240" i="5"/>
  <c r="F240" i="5" s="1"/>
  <c r="AU29" i="26" s="1"/>
  <c r="N241" i="5"/>
  <c r="F241" i="5" s="1"/>
  <c r="AV29" i="26" s="1"/>
  <c r="N243" i="5"/>
  <c r="N236" i="5"/>
  <c r="F236" i="5" s="1"/>
  <c r="AY28" i="26" s="1"/>
  <c r="N212" i="5"/>
  <c r="F212" i="5" s="1"/>
  <c r="AY25" i="26" s="1"/>
  <c r="N199" i="5"/>
  <c r="F199" i="5" s="1"/>
  <c r="AT19" i="26" s="1"/>
  <c r="N205" i="5"/>
  <c r="N201" i="5"/>
  <c r="F201" i="5" s="1"/>
  <c r="AV19" i="26" s="1"/>
  <c r="N200" i="5"/>
  <c r="F200" i="5" s="1"/>
  <c r="AU19" i="26" s="1"/>
  <c r="N194" i="5"/>
  <c r="N193" i="5"/>
  <c r="N195" i="5"/>
  <c r="N192" i="5"/>
  <c r="N191" i="5"/>
  <c r="N182" i="5"/>
  <c r="N179" i="5"/>
  <c r="N175" i="5"/>
  <c r="F175" i="5" s="1"/>
  <c r="AT16" i="26" s="1"/>
  <c r="N164" i="5"/>
  <c r="F164" i="5" s="1"/>
  <c r="AY14" i="26" s="1"/>
  <c r="N148" i="5"/>
  <c r="F148" i="5" s="1"/>
  <c r="AY12" i="26" s="1"/>
  <c r="N136" i="5"/>
  <c r="F136" i="5" s="1"/>
  <c r="AJ32" i="26" s="1"/>
  <c r="N141" i="5"/>
  <c r="N135" i="5"/>
  <c r="F135" i="5" s="1"/>
  <c r="AI32" i="26" s="1"/>
  <c r="N140" i="5"/>
  <c r="F140" i="5" s="1"/>
  <c r="AN32" i="26" s="1"/>
  <c r="N139" i="5"/>
  <c r="N128" i="5"/>
  <c r="N127" i="5"/>
  <c r="N123" i="5"/>
  <c r="F123" i="5" s="1"/>
  <c r="AM30" i="26" s="1"/>
  <c r="N118" i="5"/>
  <c r="N117" i="5"/>
  <c r="N114" i="5"/>
  <c r="F114" i="5" s="1"/>
  <c r="AL29" i="26" s="1"/>
  <c r="N111" i="5"/>
  <c r="F111" i="5" s="1"/>
  <c r="AI29" i="26" s="1"/>
  <c r="N112" i="5"/>
  <c r="F112" i="5" s="1"/>
  <c r="AJ29" i="26" s="1"/>
  <c r="N100" i="5"/>
  <c r="F100" i="5" s="1"/>
  <c r="AN27" i="26" s="1"/>
  <c r="N92" i="5"/>
  <c r="F92" i="5" s="1"/>
  <c r="AN26" i="26" s="1"/>
  <c r="N84" i="5"/>
  <c r="F84" i="5" s="1"/>
  <c r="AN25" i="26" s="1"/>
  <c r="N72" i="5"/>
  <c r="F72" i="5" s="1"/>
  <c r="N73" i="5"/>
  <c r="N70" i="5"/>
  <c r="N74" i="5"/>
  <c r="F74" i="5" s="1"/>
  <c r="N65" i="5"/>
  <c r="N63" i="5"/>
  <c r="N66" i="5"/>
  <c r="N68" i="5"/>
  <c r="N67" i="5"/>
  <c r="N59" i="5"/>
  <c r="F59" i="5" s="1"/>
  <c r="AM17" i="26" s="1"/>
  <c r="N48" i="5"/>
  <c r="F48" i="5" s="1"/>
  <c r="N51" i="5"/>
  <c r="N49" i="5"/>
  <c r="N44" i="5"/>
  <c r="F44" i="5" s="1"/>
  <c r="AN15" i="26" s="1"/>
  <c r="N35" i="5"/>
  <c r="N32" i="5"/>
  <c r="N34" i="5"/>
  <c r="N36" i="5"/>
  <c r="N28" i="5"/>
  <c r="F28" i="5" s="1"/>
  <c r="AN13" i="26" s="1"/>
  <c r="N20" i="5"/>
  <c r="F20" i="5" s="1"/>
  <c r="AL7" i="26" l="1"/>
  <c r="AL12" i="26"/>
  <c r="AN7" i="26"/>
  <c r="AN12" i="26"/>
  <c r="AK7" i="26"/>
  <c r="AK12" i="26"/>
  <c r="AM7" i="26"/>
  <c r="AM12" i="26"/>
  <c r="AP7" i="26"/>
  <c r="AP12" i="26"/>
  <c r="AO7" i="26"/>
  <c r="AO12" i="26"/>
  <c r="AJ7" i="26"/>
  <c r="AJ12" i="26"/>
  <c r="S14" i="26"/>
  <c r="N14" i="26"/>
  <c r="Q14" i="26"/>
  <c r="R14" i="26"/>
  <c r="O14" i="26"/>
  <c r="M14" i="26"/>
  <c r="T14" i="26"/>
  <c r="P14" i="26"/>
  <c r="AP27" i="26"/>
  <c r="AO27" i="26"/>
  <c r="X32" i="26"/>
  <c r="AC32" i="26"/>
  <c r="AB32" i="26"/>
  <c r="AD32" i="26"/>
  <c r="Y32" i="26"/>
  <c r="Z32" i="26"/>
  <c r="AA32" i="26"/>
  <c r="AE32" i="26"/>
  <c r="Z30" i="26"/>
  <c r="AE30" i="26"/>
  <c r="X30" i="26"/>
  <c r="AC30" i="26"/>
  <c r="AD30" i="26"/>
  <c r="AB30" i="26"/>
  <c r="AA30" i="26"/>
  <c r="Y30" i="26"/>
  <c r="AE29" i="26"/>
  <c r="AA29" i="26"/>
  <c r="AB29" i="26"/>
  <c r="Z29" i="26"/>
  <c r="X29" i="26"/>
  <c r="AD29" i="26"/>
  <c r="Y29" i="26"/>
  <c r="AC29" i="26"/>
  <c r="AB28" i="26"/>
  <c r="AE28" i="26"/>
  <c r="X28" i="26"/>
  <c r="AD28" i="26"/>
  <c r="AC28" i="26"/>
  <c r="Z28" i="26"/>
  <c r="AA28" i="26"/>
  <c r="Y28" i="26"/>
  <c r="AD27" i="26"/>
  <c r="X27" i="26"/>
  <c r="AE27" i="26"/>
  <c r="AA27" i="26"/>
  <c r="AB27" i="26"/>
  <c r="Z27" i="26"/>
  <c r="AC27" i="26"/>
  <c r="Y27" i="26"/>
  <c r="AD26" i="26"/>
  <c r="Y26" i="26"/>
  <c r="AC26" i="26"/>
  <c r="AA26" i="26"/>
  <c r="Z26" i="26"/>
  <c r="X26" i="26"/>
  <c r="AB26" i="26"/>
  <c r="AE26" i="26"/>
  <c r="AE25" i="26"/>
  <c r="AC25" i="26"/>
  <c r="Y25" i="26"/>
  <c r="AB25" i="26"/>
  <c r="AD25" i="26"/>
  <c r="AA25" i="26"/>
  <c r="Z25" i="26"/>
  <c r="X25" i="26"/>
  <c r="AA19" i="26"/>
  <c r="Z19" i="26"/>
  <c r="AB19" i="26"/>
  <c r="X19" i="26"/>
  <c r="AC19" i="26"/>
  <c r="AD19" i="26"/>
  <c r="Y19" i="26"/>
  <c r="AE19" i="26"/>
  <c r="AD17" i="26"/>
  <c r="Y17" i="26"/>
  <c r="AC17" i="26"/>
  <c r="X17" i="26"/>
  <c r="AE17" i="26"/>
  <c r="Z17" i="26"/>
  <c r="AB17" i="26"/>
  <c r="AA17" i="26"/>
  <c r="AE16" i="26"/>
  <c r="Z16" i="26"/>
  <c r="AD16" i="26"/>
  <c r="AB16" i="26"/>
  <c r="X16" i="26"/>
  <c r="AA16" i="26"/>
  <c r="AC16" i="26"/>
  <c r="Y16" i="26"/>
  <c r="X15" i="26"/>
  <c r="AA15" i="26"/>
  <c r="Y15" i="26"/>
  <c r="AC15" i="26"/>
  <c r="Z15" i="26"/>
  <c r="AB15" i="26"/>
  <c r="AE15" i="26"/>
  <c r="AD15" i="26"/>
  <c r="AA14" i="26"/>
  <c r="Y14" i="26"/>
  <c r="AE14" i="26"/>
  <c r="AB14" i="26"/>
  <c r="AD14" i="26"/>
  <c r="X14" i="26"/>
  <c r="Z14" i="26"/>
  <c r="AC14" i="26"/>
  <c r="Y13" i="26"/>
  <c r="AA13" i="26"/>
  <c r="AB13" i="26"/>
  <c r="AD13" i="26"/>
  <c r="AE13" i="26"/>
  <c r="Z13" i="26"/>
  <c r="X13" i="26"/>
  <c r="AC13" i="26"/>
  <c r="AB12" i="26"/>
  <c r="Z12" i="26"/>
  <c r="X12" i="26"/>
  <c r="AE12" i="26"/>
  <c r="AC12" i="26"/>
  <c r="AD12" i="26"/>
  <c r="Y12" i="26"/>
  <c r="AA12" i="26"/>
  <c r="S32" i="26"/>
  <c r="M32" i="26"/>
  <c r="N32" i="26"/>
  <c r="R32" i="26"/>
  <c r="T32" i="26"/>
  <c r="O32" i="26"/>
  <c r="Q32" i="26"/>
  <c r="P32" i="26"/>
  <c r="O30" i="26"/>
  <c r="P30" i="26"/>
  <c r="T30" i="26"/>
  <c r="Q30" i="26"/>
  <c r="S30" i="26"/>
  <c r="N30" i="26"/>
  <c r="R30" i="26"/>
  <c r="M30" i="26"/>
  <c r="M29" i="26"/>
  <c r="Q29" i="26"/>
  <c r="T29" i="26"/>
  <c r="P29" i="26"/>
  <c r="O29" i="26"/>
  <c r="N29" i="26"/>
  <c r="S29" i="26"/>
  <c r="R29" i="26"/>
  <c r="P28" i="26"/>
  <c r="S28" i="26"/>
  <c r="N28" i="26"/>
  <c r="O28" i="26"/>
  <c r="M28" i="26"/>
  <c r="Q28" i="26"/>
  <c r="R28" i="26"/>
  <c r="T28" i="26"/>
  <c r="O26" i="26"/>
  <c r="R26" i="26"/>
  <c r="M26" i="26"/>
  <c r="P26" i="26"/>
  <c r="N26" i="26"/>
  <c r="Q26" i="26"/>
  <c r="S26" i="26"/>
  <c r="T26" i="26"/>
  <c r="T25" i="26"/>
  <c r="N25" i="26"/>
  <c r="R25" i="26"/>
  <c r="O25" i="26"/>
  <c r="M25" i="26"/>
  <c r="Q25" i="26"/>
  <c r="P25" i="26"/>
  <c r="S25" i="26"/>
  <c r="R19" i="26"/>
  <c r="Q19" i="26"/>
  <c r="N19" i="26"/>
  <c r="P19" i="26"/>
  <c r="T19" i="26"/>
  <c r="M19" i="26"/>
  <c r="S19" i="26"/>
  <c r="O19" i="26"/>
  <c r="T17" i="26"/>
  <c r="Q17" i="26"/>
  <c r="R17" i="26"/>
  <c r="P17" i="26"/>
  <c r="S17" i="26"/>
  <c r="O17" i="26"/>
  <c r="M17" i="26"/>
  <c r="N17" i="26"/>
  <c r="M16" i="26"/>
  <c r="T16" i="26"/>
  <c r="Q16" i="26"/>
  <c r="P16" i="26"/>
  <c r="N16" i="26"/>
  <c r="S16" i="26"/>
  <c r="R16" i="26"/>
  <c r="O16" i="26"/>
  <c r="T15" i="26"/>
  <c r="N15" i="26"/>
  <c r="O15" i="26"/>
  <c r="S15" i="26"/>
  <c r="Q15" i="26"/>
  <c r="P15" i="26"/>
  <c r="R15" i="26"/>
  <c r="M15" i="26"/>
  <c r="M13" i="26"/>
  <c r="Q13" i="26"/>
  <c r="P13" i="26"/>
  <c r="N13" i="26"/>
  <c r="T13" i="26"/>
  <c r="R13" i="26"/>
  <c r="O13" i="26"/>
  <c r="S13" i="26"/>
  <c r="F15" i="5"/>
  <c r="AF26" i="26" l="1"/>
  <c r="AF14" i="26"/>
  <c r="AI7" i="26"/>
  <c r="AI12" i="26"/>
  <c r="U25" i="26"/>
  <c r="U28" i="26"/>
  <c r="AF29" i="26"/>
  <c r="AF17" i="26"/>
  <c r="AF19" i="26"/>
  <c r="U26" i="26"/>
  <c r="AF12" i="26"/>
  <c r="AF28" i="26"/>
  <c r="AF30" i="26"/>
  <c r="U32" i="26"/>
  <c r="AF27" i="26"/>
  <c r="AF15" i="26"/>
  <c r="AF32" i="26"/>
  <c r="U30" i="26"/>
  <c r="AF25" i="26"/>
  <c r="AF13" i="26"/>
  <c r="U29" i="26"/>
  <c r="AF16" i="26"/>
  <c r="U17" i="26"/>
  <c r="U19" i="26"/>
  <c r="U16" i="26"/>
  <c r="U15" i="26"/>
  <c r="U14" i="26"/>
  <c r="U13" i="26"/>
  <c r="R27" i="26"/>
  <c r="S27" i="26"/>
  <c r="M12" i="12" s="1"/>
  <c r="T27" i="26"/>
  <c r="N12" i="12" s="1"/>
  <c r="N27" i="26"/>
  <c r="H12" i="12" s="1"/>
  <c r="O27" i="26"/>
  <c r="I12" i="12" s="1"/>
  <c r="P27" i="26"/>
  <c r="J12" i="12" s="1"/>
  <c r="Q27" i="26"/>
  <c r="K12" i="12" s="1"/>
  <c r="M27" i="26"/>
  <c r="H12" i="11"/>
  <c r="L12" i="11"/>
  <c r="L12" i="9"/>
  <c r="I12" i="13"/>
  <c r="L12" i="12"/>
  <c r="J12" i="11"/>
  <c r="G12" i="13"/>
  <c r="L12" i="13"/>
  <c r="M12" i="13"/>
  <c r="M12" i="11"/>
  <c r="J12" i="13"/>
  <c r="H12" i="13"/>
  <c r="K12" i="13"/>
  <c r="N12" i="13"/>
  <c r="N12" i="11"/>
  <c r="K12" i="11"/>
  <c r="I12" i="11"/>
  <c r="G12" i="11"/>
  <c r="O12" i="26"/>
  <c r="I12" i="9" s="1"/>
  <c r="T12" i="26"/>
  <c r="N12" i="9" s="1"/>
  <c r="Q12" i="26"/>
  <c r="K12" i="9" s="1"/>
  <c r="W12" i="9" s="1"/>
  <c r="N12" i="26"/>
  <c r="H12" i="9" s="1"/>
  <c r="P12" i="26"/>
  <c r="J12" i="9" s="1"/>
  <c r="M12" i="26"/>
  <c r="R12" i="26"/>
  <c r="S12" i="26"/>
  <c r="M12" i="9" s="1"/>
  <c r="O12" i="11" l="1"/>
  <c r="G12" i="12"/>
  <c r="O12" i="12" s="1"/>
  <c r="U27" i="26"/>
  <c r="G12" i="9"/>
  <c r="O12" i="9" s="1"/>
  <c r="U12" i="26"/>
  <c r="L13" i="11"/>
  <c r="L13" i="12"/>
  <c r="L13" i="9"/>
  <c r="J13" i="13"/>
  <c r="N13" i="13"/>
  <c r="L13" i="13"/>
  <c r="I13" i="11"/>
  <c r="H13" i="13"/>
  <c r="S12" i="13"/>
  <c r="G13" i="13"/>
  <c r="I13" i="13"/>
  <c r="M13" i="13"/>
  <c r="K13" i="13"/>
  <c r="W11" i="13" s="1"/>
  <c r="H13" i="11"/>
  <c r="G13" i="11"/>
  <c r="J13" i="11"/>
  <c r="K13" i="11"/>
  <c r="W11" i="11" s="1"/>
  <c r="M13" i="11"/>
  <c r="S12" i="11"/>
  <c r="N13" i="11"/>
  <c r="S12" i="12" l="1"/>
  <c r="M13" i="12"/>
  <c r="H13" i="12"/>
  <c r="G13" i="12"/>
  <c r="I13" i="12"/>
  <c r="N13" i="12"/>
  <c r="K13" i="12"/>
  <c r="W11" i="12" s="1"/>
  <c r="J13" i="12"/>
  <c r="O13" i="11"/>
  <c r="K13" i="9"/>
  <c r="W13" i="9" s="1"/>
  <c r="N13" i="9"/>
  <c r="H13" i="9"/>
  <c r="S12" i="9"/>
  <c r="I13" i="9"/>
  <c r="M13" i="9"/>
  <c r="J13" i="9"/>
  <c r="G13" i="9"/>
  <c r="L14" i="11"/>
  <c r="L14" i="13"/>
  <c r="N14" i="11"/>
  <c r="M14" i="11"/>
  <c r="S13" i="13"/>
  <c r="J14" i="11"/>
  <c r="G14" i="13"/>
  <c r="H14" i="13"/>
  <c r="J14" i="13"/>
  <c r="I14" i="13"/>
  <c r="M14" i="13"/>
  <c r="N14" i="13"/>
  <c r="K14" i="13"/>
  <c r="W12" i="13" s="1"/>
  <c r="S13" i="11"/>
  <c r="G14" i="11"/>
  <c r="I14" i="11"/>
  <c r="K14" i="11"/>
  <c r="H14" i="11"/>
  <c r="J14" i="12" l="1"/>
  <c r="N14" i="12"/>
  <c r="M14" i="12"/>
  <c r="O13" i="12"/>
  <c r="H14" i="12"/>
  <c r="G14" i="12"/>
  <c r="S13" i="12"/>
  <c r="K14" i="12"/>
  <c r="W12" i="12" s="1"/>
  <c r="I14" i="12"/>
  <c r="L14" i="12"/>
  <c r="O14" i="11"/>
  <c r="L14" i="9"/>
  <c r="O13" i="9"/>
  <c r="H14" i="9"/>
  <c r="M14" i="9"/>
  <c r="I14" i="9"/>
  <c r="J14" i="9"/>
  <c r="S13" i="9"/>
  <c r="K14" i="9"/>
  <c r="W14" i="9" s="1"/>
  <c r="N14" i="9"/>
  <c r="G14" i="9"/>
  <c r="L15" i="11"/>
  <c r="W12" i="11"/>
  <c r="L15" i="13"/>
  <c r="K15" i="11"/>
  <c r="N15" i="13"/>
  <c r="J15" i="13"/>
  <c r="S14" i="13"/>
  <c r="G15" i="13"/>
  <c r="I15" i="13"/>
  <c r="H15" i="13"/>
  <c r="M15" i="13"/>
  <c r="K15" i="13"/>
  <c r="W13" i="13" s="1"/>
  <c r="G15" i="11"/>
  <c r="H15" i="11"/>
  <c r="I15" i="11"/>
  <c r="S14" i="11"/>
  <c r="N15" i="11"/>
  <c r="J15" i="11"/>
  <c r="M15" i="11"/>
  <c r="S14" i="12" l="1"/>
  <c r="O14" i="12"/>
  <c r="H15" i="12"/>
  <c r="G15" i="12"/>
  <c r="L15" i="12"/>
  <c r="J15" i="12"/>
  <c r="S15" i="12" s="1"/>
  <c r="I15" i="12"/>
  <c r="M15" i="12"/>
  <c r="K15" i="12"/>
  <c r="L16" i="12" s="1"/>
  <c r="N15" i="12"/>
  <c r="O15" i="11"/>
  <c r="O14" i="9"/>
  <c r="J15" i="9"/>
  <c r="S14" i="9"/>
  <c r="M15" i="9"/>
  <c r="G15" i="9"/>
  <c r="L15" i="9"/>
  <c r="K15" i="9"/>
  <c r="W15" i="9" s="1"/>
  <c r="I15" i="9"/>
  <c r="H15" i="9"/>
  <c r="N15" i="9"/>
  <c r="L16" i="11"/>
  <c r="W13" i="11"/>
  <c r="L16" i="13"/>
  <c r="N16" i="13"/>
  <c r="I16" i="13"/>
  <c r="H16" i="13"/>
  <c r="J16" i="13"/>
  <c r="K16" i="13"/>
  <c r="M16" i="13"/>
  <c r="I16" i="11"/>
  <c r="M16" i="11"/>
  <c r="J16" i="11"/>
  <c r="K16" i="11"/>
  <c r="H16" i="11"/>
  <c r="S15" i="11"/>
  <c r="N16" i="11"/>
  <c r="G16" i="11"/>
  <c r="J16" i="12" l="1"/>
  <c r="N16" i="12"/>
  <c r="N17" i="12" s="1"/>
  <c r="M16" i="12"/>
  <c r="H16" i="12"/>
  <c r="W13" i="12"/>
  <c r="I16" i="12"/>
  <c r="G16" i="12"/>
  <c r="K16" i="12"/>
  <c r="L17" i="12" s="1"/>
  <c r="O15" i="12"/>
  <c r="O16" i="11"/>
  <c r="L16" i="9"/>
  <c r="M16" i="9"/>
  <c r="S15" i="9"/>
  <c r="I16" i="9"/>
  <c r="J16" i="9"/>
  <c r="H16" i="9"/>
  <c r="N16" i="9"/>
  <c r="G16" i="9"/>
  <c r="K16" i="9"/>
  <c r="W16" i="9" s="1"/>
  <c r="O15" i="9"/>
  <c r="L17" i="13"/>
  <c r="W14" i="13"/>
  <c r="L17" i="11"/>
  <c r="W14" i="11"/>
  <c r="W14" i="12"/>
  <c r="K17" i="11"/>
  <c r="J17" i="11"/>
  <c r="G17" i="11"/>
  <c r="N17" i="11"/>
  <c r="M17" i="11"/>
  <c r="H17" i="11"/>
  <c r="I17" i="11"/>
  <c r="Q11" i="13"/>
  <c r="P11" i="13"/>
  <c r="Q11" i="12"/>
  <c r="P11" i="12"/>
  <c r="P11" i="11"/>
  <c r="Q11" i="11"/>
  <c r="Q11" i="9"/>
  <c r="P11" i="9"/>
  <c r="C12" i="9"/>
  <c r="C13" i="9" s="1"/>
  <c r="C14" i="9" s="1"/>
  <c r="C15" i="9" s="1"/>
  <c r="C16" i="9" s="1"/>
  <c r="C17" i="9" s="1"/>
  <c r="C18" i="9" s="1"/>
  <c r="C19" i="9" s="1"/>
  <c r="C20" i="9" s="1"/>
  <c r="C21" i="9" s="1"/>
  <c r="C22" i="9" s="1"/>
  <c r="C23" i="9" s="1"/>
  <c r="C24" i="9" s="1"/>
  <c r="C25" i="9" s="1"/>
  <c r="C26" i="9" s="1"/>
  <c r="C27" i="9" s="1"/>
  <c r="C28" i="9" s="1"/>
  <c r="C29" i="9"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C53" i="9" s="1"/>
  <c r="C54" i="9" s="1"/>
  <c r="C55" i="9" s="1"/>
  <c r="C56" i="9" s="1"/>
  <c r="C57" i="9" s="1"/>
  <c r="C58" i="9" s="1"/>
  <c r="C59" i="9" s="1"/>
  <c r="C60" i="9" s="1"/>
  <c r="C61" i="9" s="1"/>
  <c r="C62" i="9" s="1"/>
  <c r="C63" i="9" s="1"/>
  <c r="C64" i="9" s="1"/>
  <c r="C65" i="9" s="1"/>
  <c r="C66" i="9" s="1"/>
  <c r="C67" i="9" s="1"/>
  <c r="C68" i="9" s="1"/>
  <c r="C69" i="9" s="1"/>
  <c r="C70" i="9" s="1"/>
  <c r="C71" i="9" s="1"/>
  <c r="C72" i="9" s="1"/>
  <c r="C73" i="9" s="1"/>
  <c r="C74" i="9" s="1"/>
  <c r="C75" i="9" s="1"/>
  <c r="C76" i="9" s="1"/>
  <c r="C77" i="9" s="1"/>
  <c r="C78" i="9" s="1"/>
  <c r="C79" i="9" s="1"/>
  <c r="C80" i="9" s="1"/>
  <c r="C81" i="9" s="1"/>
  <c r="C82" i="9" s="1"/>
  <c r="C83" i="9" s="1"/>
  <c r="C84" i="9" s="1"/>
  <c r="C85" i="9" s="1"/>
  <c r="C86" i="9" s="1"/>
  <c r="C87" i="9" s="1"/>
  <c r="C88" i="9" s="1"/>
  <c r="C89" i="9" s="1"/>
  <c r="C90" i="9" s="1"/>
  <c r="C91" i="9" s="1"/>
  <c r="C92" i="9" s="1"/>
  <c r="C93" i="9" s="1"/>
  <c r="C94" i="9" s="1"/>
  <c r="C95" i="9" s="1"/>
  <c r="C96" i="9" s="1"/>
  <c r="C97" i="9" s="1"/>
  <c r="C98" i="9" s="1"/>
  <c r="C99" i="9" s="1"/>
  <c r="C100" i="9" s="1"/>
  <c r="C101" i="9" s="1"/>
  <c r="C102" i="9" s="1"/>
  <c r="C103" i="9" s="1"/>
  <c r="C104" i="9" s="1"/>
  <c r="C105" i="9" s="1"/>
  <c r="C106" i="9" s="1"/>
  <c r="C107" i="9" s="1"/>
  <c r="C108" i="9" s="1"/>
  <c r="C109" i="9" s="1"/>
  <c r="C110" i="9" s="1"/>
  <c r="C111" i="9" s="1"/>
  <c r="M17" i="12" l="1"/>
  <c r="S16" i="12"/>
  <c r="J17" i="12"/>
  <c r="O16" i="12"/>
  <c r="G17" i="12"/>
  <c r="K17" i="12"/>
  <c r="L18" i="12" s="1"/>
  <c r="I17" i="12"/>
  <c r="H17" i="12"/>
  <c r="J18" i="12" s="1"/>
  <c r="O17" i="11"/>
  <c r="L17" i="9"/>
  <c r="S16" i="9"/>
  <c r="O16" i="9"/>
  <c r="I17" i="9"/>
  <c r="H17" i="9"/>
  <c r="M17" i="9"/>
  <c r="G17" i="9"/>
  <c r="K17" i="9"/>
  <c r="W17" i="9" s="1"/>
  <c r="J17" i="9"/>
  <c r="N17" i="9"/>
  <c r="L18" i="11"/>
  <c r="W15" i="11"/>
  <c r="W15" i="12"/>
  <c r="M18" i="11"/>
  <c r="N18" i="11"/>
  <c r="J18" i="11"/>
  <c r="K18" i="11"/>
  <c r="D12" i="13"/>
  <c r="C12" i="13"/>
  <c r="C13" i="13" s="1"/>
  <c r="C14" i="13" s="1"/>
  <c r="C15" i="13" s="1"/>
  <c r="C16" i="13" s="1"/>
  <c r="C17" i="13" s="1"/>
  <c r="C18" i="13" s="1"/>
  <c r="C19" i="13" s="1"/>
  <c r="C20" i="13" s="1"/>
  <c r="C21" i="13" s="1"/>
  <c r="C22" i="13" s="1"/>
  <c r="C23" i="13" s="1"/>
  <c r="C24" i="13" s="1"/>
  <c r="C25" i="13" s="1"/>
  <c r="C26" i="13" s="1"/>
  <c r="C27" i="13" s="1"/>
  <c r="C28" i="13" s="1"/>
  <c r="C29" i="13" s="1"/>
  <c r="C30" i="13" s="1"/>
  <c r="C31" i="13" s="1"/>
  <c r="C32" i="13" s="1"/>
  <c r="C33" i="13" s="1"/>
  <c r="C34" i="13" s="1"/>
  <c r="C35" i="13" s="1"/>
  <c r="C36" i="13" s="1"/>
  <c r="C37" i="13" s="1"/>
  <c r="C38" i="13" s="1"/>
  <c r="C39" i="13" s="1"/>
  <c r="C40" i="13" s="1"/>
  <c r="C41" i="13" s="1"/>
  <c r="C42" i="13" s="1"/>
  <c r="C43" i="13" s="1"/>
  <c r="C44" i="13" s="1"/>
  <c r="C45" i="13" s="1"/>
  <c r="C46" i="13" s="1"/>
  <c r="C47" i="13" s="1"/>
  <c r="C48" i="13" s="1"/>
  <c r="C49" i="13" s="1"/>
  <c r="C50" i="13" s="1"/>
  <c r="C51" i="13" s="1"/>
  <c r="C52" i="13" s="1"/>
  <c r="C53" i="13" s="1"/>
  <c r="C54" i="13" s="1"/>
  <c r="C55" i="13" s="1"/>
  <c r="C56" i="13" s="1"/>
  <c r="C57" i="13" s="1"/>
  <c r="C58" i="13" s="1"/>
  <c r="C59" i="13" s="1"/>
  <c r="C60" i="13" s="1"/>
  <c r="C61" i="13" s="1"/>
  <c r="C62" i="13" s="1"/>
  <c r="C63" i="13" s="1"/>
  <c r="C64" i="13" s="1"/>
  <c r="C65" i="13" s="1"/>
  <c r="C66" i="13" s="1"/>
  <c r="C67" i="13" s="1"/>
  <c r="C68" i="13" s="1"/>
  <c r="C69" i="13" s="1"/>
  <c r="C70" i="13" s="1"/>
  <c r="C71" i="13" s="1"/>
  <c r="C72" i="13" s="1"/>
  <c r="C73" i="13" s="1"/>
  <c r="C74" i="13" s="1"/>
  <c r="C75" i="13" s="1"/>
  <c r="C76" i="13" s="1"/>
  <c r="C77" i="13" s="1"/>
  <c r="C78" i="13" s="1"/>
  <c r="C79" i="13" s="1"/>
  <c r="C80" i="13" s="1"/>
  <c r="C81" i="13" s="1"/>
  <c r="C82" i="13" s="1"/>
  <c r="C83" i="13" s="1"/>
  <c r="C84" i="13" s="1"/>
  <c r="C85" i="13" s="1"/>
  <c r="C86" i="13" s="1"/>
  <c r="C87" i="13" s="1"/>
  <c r="C88" i="13" s="1"/>
  <c r="C89" i="13" s="1"/>
  <c r="C90" i="13" s="1"/>
  <c r="C91" i="13" s="1"/>
  <c r="C92" i="13" s="1"/>
  <c r="C93" i="13" s="1"/>
  <c r="C94" i="13" s="1"/>
  <c r="C95" i="13" s="1"/>
  <c r="C96" i="13" s="1"/>
  <c r="C97" i="13" s="1"/>
  <c r="C98" i="13" s="1"/>
  <c r="C99" i="13" s="1"/>
  <c r="C100" i="13" s="1"/>
  <c r="C101" i="13" s="1"/>
  <c r="C102" i="13" s="1"/>
  <c r="C103" i="13" s="1"/>
  <c r="C104" i="13" s="1"/>
  <c r="C105" i="13" s="1"/>
  <c r="C106" i="13" s="1"/>
  <c r="C107" i="13" s="1"/>
  <c r="C108" i="13" s="1"/>
  <c r="C109" i="13" s="1"/>
  <c r="C110" i="13" s="1"/>
  <c r="C111" i="13" s="1"/>
  <c r="O11" i="13"/>
  <c r="F11" i="13"/>
  <c r="F12" i="13" s="1"/>
  <c r="E11" i="13"/>
  <c r="Q12" i="13"/>
  <c r="Q12" i="12"/>
  <c r="D12" i="12"/>
  <c r="C12" i="12"/>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F11" i="12"/>
  <c r="F12" i="12" s="1"/>
  <c r="E11" i="12"/>
  <c r="G18" i="12" l="1"/>
  <c r="N18" i="12"/>
  <c r="I18" i="12"/>
  <c r="K18" i="12"/>
  <c r="L19" i="12" s="1"/>
  <c r="M18" i="12"/>
  <c r="H18" i="12"/>
  <c r="O17" i="12"/>
  <c r="H18" i="9"/>
  <c r="L18" i="9"/>
  <c r="K18" i="9"/>
  <c r="J18" i="9"/>
  <c r="O17" i="9"/>
  <c r="N18" i="9"/>
  <c r="I18" i="9"/>
  <c r="M18" i="9"/>
  <c r="G18" i="9"/>
  <c r="S17" i="9"/>
  <c r="W16" i="12"/>
  <c r="L19" i="11"/>
  <c r="W16" i="11"/>
  <c r="P12" i="12"/>
  <c r="R11" i="12"/>
  <c r="R11" i="13"/>
  <c r="F13" i="13"/>
  <c r="D13" i="13"/>
  <c r="E12" i="13"/>
  <c r="F13" i="12"/>
  <c r="D13" i="12"/>
  <c r="E12" i="12"/>
  <c r="M19" i="12" l="1"/>
  <c r="K19" i="12"/>
  <c r="L20" i="12" s="1"/>
  <c r="J19" i="12"/>
  <c r="N19" i="12"/>
  <c r="O18" i="12"/>
  <c r="L19" i="9"/>
  <c r="W18" i="9"/>
  <c r="I19" i="9"/>
  <c r="S18" i="9"/>
  <c r="O18" i="9"/>
  <c r="J19" i="9"/>
  <c r="G19" i="9"/>
  <c r="H19" i="9"/>
  <c r="K19" i="9"/>
  <c r="M19" i="9"/>
  <c r="N19" i="9"/>
  <c r="W17" i="12"/>
  <c r="P12" i="13"/>
  <c r="R12" i="13" s="1"/>
  <c r="Q13" i="13"/>
  <c r="O12" i="13"/>
  <c r="P13" i="13"/>
  <c r="Q13" i="12"/>
  <c r="F14" i="13"/>
  <c r="D14" i="13"/>
  <c r="E13" i="13"/>
  <c r="R12" i="12"/>
  <c r="F14" i="12"/>
  <c r="E13" i="12"/>
  <c r="D14" i="12"/>
  <c r="L20" i="9" l="1"/>
  <c r="J20" i="9"/>
  <c r="H20" i="9"/>
  <c r="I20" i="9"/>
  <c r="M20" i="9"/>
  <c r="G20" i="9"/>
  <c r="O19" i="9"/>
  <c r="W19" i="9"/>
  <c r="K20" i="9"/>
  <c r="L21" i="9" s="1"/>
  <c r="S19" i="9"/>
  <c r="N20" i="9"/>
  <c r="G16" i="13"/>
  <c r="P13" i="12"/>
  <c r="O13" i="13"/>
  <c r="P14" i="13"/>
  <c r="Q14" i="13"/>
  <c r="P14" i="12"/>
  <c r="Q14" i="12"/>
  <c r="R13" i="13"/>
  <c r="F15" i="13"/>
  <c r="E14" i="13"/>
  <c r="D15" i="13"/>
  <c r="F15" i="12"/>
  <c r="E14" i="12"/>
  <c r="D15" i="12"/>
  <c r="K21" i="9" l="1"/>
  <c r="L22" i="9" s="1"/>
  <c r="G21" i="9"/>
  <c r="M21" i="9"/>
  <c r="J21" i="9"/>
  <c r="I21" i="9"/>
  <c r="H21" i="9"/>
  <c r="N21" i="9"/>
  <c r="S20" i="9"/>
  <c r="W20" i="9"/>
  <c r="O20" i="9"/>
  <c r="N17" i="13"/>
  <c r="M17" i="13"/>
  <c r="J17" i="13"/>
  <c r="K17" i="13"/>
  <c r="S15" i="13"/>
  <c r="I17" i="13"/>
  <c r="P15" i="12"/>
  <c r="P15" i="13"/>
  <c r="O14" i="13"/>
  <c r="Q15" i="13"/>
  <c r="R13" i="12"/>
  <c r="Q15" i="12"/>
  <c r="D16" i="13"/>
  <c r="E15" i="13"/>
  <c r="R14" i="13"/>
  <c r="F16" i="13"/>
  <c r="F16" i="12"/>
  <c r="D16" i="12"/>
  <c r="E15" i="12"/>
  <c r="W21" i="9" l="1"/>
  <c r="O21" i="9"/>
  <c r="K22" i="9"/>
  <c r="W22" i="9" s="1"/>
  <c r="I22" i="9"/>
  <c r="G22" i="9"/>
  <c r="M22" i="9"/>
  <c r="J22" i="9"/>
  <c r="H22" i="9"/>
  <c r="S21" i="9"/>
  <c r="N22" i="9"/>
  <c r="L18" i="13"/>
  <c r="W15" i="13"/>
  <c r="H17" i="13"/>
  <c r="S17" i="12"/>
  <c r="P16" i="13"/>
  <c r="Q16" i="13"/>
  <c r="I19" i="12"/>
  <c r="P16" i="12"/>
  <c r="O15" i="13"/>
  <c r="R14" i="12"/>
  <c r="R15" i="13"/>
  <c r="F17" i="13"/>
  <c r="E16" i="13"/>
  <c r="D17" i="13"/>
  <c r="F17" i="12"/>
  <c r="E16" i="12"/>
  <c r="D17" i="12"/>
  <c r="M23" i="9" l="1"/>
  <c r="N23" i="9"/>
  <c r="I23" i="9"/>
  <c r="J23" i="9"/>
  <c r="K23" i="9"/>
  <c r="H23" i="9"/>
  <c r="L23" i="9"/>
  <c r="G23" i="9"/>
  <c r="S22" i="9"/>
  <c r="O22" i="9"/>
  <c r="S16" i="13"/>
  <c r="G17" i="13"/>
  <c r="Q17" i="13"/>
  <c r="Q17" i="12"/>
  <c r="Q16" i="12"/>
  <c r="O16" i="13"/>
  <c r="R16" i="13"/>
  <c r="R15" i="12"/>
  <c r="F18" i="13"/>
  <c r="D18" i="13"/>
  <c r="E17" i="13"/>
  <c r="E17" i="12"/>
  <c r="D18" i="12"/>
  <c r="F18" i="12"/>
  <c r="L24" i="9" l="1"/>
  <c r="O23" i="9"/>
  <c r="M24" i="9"/>
  <c r="I24" i="9"/>
  <c r="N24" i="9"/>
  <c r="H24" i="9"/>
  <c r="W23" i="9"/>
  <c r="G24" i="9"/>
  <c r="S23" i="9"/>
  <c r="J24" i="9"/>
  <c r="K24" i="9"/>
  <c r="M18" i="13"/>
  <c r="N18" i="13"/>
  <c r="J18" i="13"/>
  <c r="Q18" i="13" s="1"/>
  <c r="K18" i="13"/>
  <c r="I18" i="13"/>
  <c r="H18" i="13"/>
  <c r="G18" i="13"/>
  <c r="G19" i="12"/>
  <c r="H19" i="12"/>
  <c r="S18" i="12"/>
  <c r="S17" i="13"/>
  <c r="P17" i="12"/>
  <c r="Q18" i="12"/>
  <c r="P17" i="13"/>
  <c r="R17" i="13" s="1"/>
  <c r="O17" i="13"/>
  <c r="R16" i="12"/>
  <c r="F19" i="13"/>
  <c r="E18" i="13"/>
  <c r="D19" i="13"/>
  <c r="D19" i="12"/>
  <c r="E18" i="12"/>
  <c r="F19" i="12"/>
  <c r="O19" i="12" l="1"/>
  <c r="L25" i="9"/>
  <c r="W24" i="9"/>
  <c r="H25" i="9"/>
  <c r="M25" i="9"/>
  <c r="N25" i="9"/>
  <c r="S24" i="9"/>
  <c r="G25" i="9"/>
  <c r="K25" i="9"/>
  <c r="J25" i="9"/>
  <c r="O24" i="9"/>
  <c r="I25" i="9"/>
  <c r="L19" i="13"/>
  <c r="W16" i="13"/>
  <c r="N19" i="13"/>
  <c r="M19" i="13"/>
  <c r="M20" i="12"/>
  <c r="N20" i="12"/>
  <c r="K19" i="13"/>
  <c r="J19" i="13"/>
  <c r="Q19" i="13" s="1"/>
  <c r="I19" i="13"/>
  <c r="H19" i="13"/>
  <c r="G19" i="13"/>
  <c r="K20" i="12"/>
  <c r="J20" i="12"/>
  <c r="I20" i="12"/>
  <c r="H20" i="12"/>
  <c r="G20" i="12"/>
  <c r="S18" i="13"/>
  <c r="P18" i="13"/>
  <c r="R18" i="13" s="1"/>
  <c r="Q19" i="12"/>
  <c r="P18" i="12"/>
  <c r="O18" i="13"/>
  <c r="R17" i="12"/>
  <c r="F20" i="13"/>
  <c r="D20" i="13"/>
  <c r="E19" i="13"/>
  <c r="F20" i="12"/>
  <c r="E19" i="12"/>
  <c r="D20" i="12"/>
  <c r="O20" i="12" l="1"/>
  <c r="L26" i="9"/>
  <c r="K26" i="9"/>
  <c r="W25" i="9"/>
  <c r="J26" i="9"/>
  <c r="H26" i="9"/>
  <c r="I26" i="9"/>
  <c r="M26" i="9"/>
  <c r="N26" i="9"/>
  <c r="S25" i="9"/>
  <c r="G26" i="9"/>
  <c r="O25" i="9"/>
  <c r="L21" i="12"/>
  <c r="W18" i="12"/>
  <c r="L20" i="13"/>
  <c r="W17" i="13"/>
  <c r="M20" i="13"/>
  <c r="N20" i="13"/>
  <c r="N21" i="12"/>
  <c r="M21" i="12"/>
  <c r="J20" i="13"/>
  <c r="Q20" i="13" s="1"/>
  <c r="K20" i="13"/>
  <c r="I20" i="13"/>
  <c r="H20" i="13"/>
  <c r="G20" i="13"/>
  <c r="K21" i="12"/>
  <c r="J21" i="12"/>
  <c r="S19" i="13"/>
  <c r="P19" i="13"/>
  <c r="R19" i="13" s="1"/>
  <c r="S19" i="12"/>
  <c r="Q20" i="12"/>
  <c r="H21" i="12"/>
  <c r="P19" i="12"/>
  <c r="O19" i="13"/>
  <c r="R18" i="12"/>
  <c r="F21" i="13"/>
  <c r="E20" i="13"/>
  <c r="D21" i="13"/>
  <c r="F21" i="12"/>
  <c r="D21" i="12"/>
  <c r="E20" i="12"/>
  <c r="L27" i="9" l="1"/>
  <c r="W26" i="9"/>
  <c r="K27" i="9"/>
  <c r="I27" i="9"/>
  <c r="M27" i="9"/>
  <c r="N27" i="9"/>
  <c r="J27" i="9"/>
  <c r="O26" i="9"/>
  <c r="L22" i="12"/>
  <c r="W19" i="12"/>
  <c r="L21" i="13"/>
  <c r="W18" i="13"/>
  <c r="N21" i="13"/>
  <c r="M21" i="13"/>
  <c r="K21" i="13"/>
  <c r="J21" i="13"/>
  <c r="Q21" i="13" s="1"/>
  <c r="I21" i="13"/>
  <c r="H21" i="13"/>
  <c r="G21" i="13"/>
  <c r="I21" i="12"/>
  <c r="G21" i="12"/>
  <c r="S20" i="13"/>
  <c r="S20" i="12"/>
  <c r="Q21" i="12"/>
  <c r="P20" i="12"/>
  <c r="P20" i="13"/>
  <c r="R20" i="13" s="1"/>
  <c r="O20" i="13"/>
  <c r="R19" i="12"/>
  <c r="D22" i="13"/>
  <c r="E21" i="13"/>
  <c r="F22" i="13"/>
  <c r="F22" i="12"/>
  <c r="E21" i="12"/>
  <c r="D22" i="12"/>
  <c r="O21" i="12" l="1"/>
  <c r="L28" i="9"/>
  <c r="W27" i="9"/>
  <c r="L22" i="13"/>
  <c r="W19" i="13"/>
  <c r="N22" i="12"/>
  <c r="M22" i="13"/>
  <c r="N22" i="13"/>
  <c r="K22" i="12"/>
  <c r="M22" i="12"/>
  <c r="J22" i="13"/>
  <c r="Q22" i="13" s="1"/>
  <c r="K22" i="13"/>
  <c r="I22" i="13"/>
  <c r="H22" i="13"/>
  <c r="G22" i="13"/>
  <c r="J22" i="12"/>
  <c r="Q22" i="12" s="1"/>
  <c r="I22" i="12"/>
  <c r="H22" i="12"/>
  <c r="G22" i="12"/>
  <c r="S21" i="13"/>
  <c r="S21" i="12"/>
  <c r="P21" i="12"/>
  <c r="P21" i="13"/>
  <c r="R21" i="13" s="1"/>
  <c r="O21" i="13"/>
  <c r="R20" i="12"/>
  <c r="F23" i="13"/>
  <c r="E22" i="13"/>
  <c r="D23" i="13"/>
  <c r="D23" i="12"/>
  <c r="E22" i="12"/>
  <c r="F23" i="12"/>
  <c r="O22" i="12" l="1"/>
  <c r="L23" i="12"/>
  <c r="W20" i="12"/>
  <c r="L23" i="13"/>
  <c r="W20" i="13"/>
  <c r="N23" i="13"/>
  <c r="M23" i="13"/>
  <c r="N23" i="12"/>
  <c r="M23" i="12"/>
  <c r="J23" i="13"/>
  <c r="Q23" i="13" s="1"/>
  <c r="K23" i="13"/>
  <c r="I23" i="13"/>
  <c r="H23" i="13"/>
  <c r="G23" i="13"/>
  <c r="K23" i="12"/>
  <c r="J23" i="12"/>
  <c r="Q23" i="12" s="1"/>
  <c r="I23" i="12"/>
  <c r="G23" i="12"/>
  <c r="H23" i="12"/>
  <c r="S22" i="13"/>
  <c r="S22" i="12"/>
  <c r="P22" i="12"/>
  <c r="P22" i="13"/>
  <c r="R22" i="13" s="1"/>
  <c r="O22" i="13"/>
  <c r="R21" i="12"/>
  <c r="D24" i="13"/>
  <c r="E23" i="13"/>
  <c r="F24" i="13"/>
  <c r="E23" i="12"/>
  <c r="D24" i="12"/>
  <c r="F24" i="12"/>
  <c r="O23" i="12" l="1"/>
  <c r="L24" i="12"/>
  <c r="W21" i="12"/>
  <c r="L24" i="13"/>
  <c r="W21" i="13"/>
  <c r="M24" i="13"/>
  <c r="N24" i="13"/>
  <c r="N24" i="12"/>
  <c r="M24" i="12"/>
  <c r="J24" i="13"/>
  <c r="Q24" i="13" s="1"/>
  <c r="K24" i="13"/>
  <c r="I24" i="13"/>
  <c r="H24" i="13"/>
  <c r="G24" i="13"/>
  <c r="K24" i="12"/>
  <c r="J24" i="12"/>
  <c r="Q24" i="12" s="1"/>
  <c r="H24" i="12"/>
  <c r="I24" i="12"/>
  <c r="G24" i="12"/>
  <c r="S23" i="13"/>
  <c r="S23" i="12"/>
  <c r="O23" i="13"/>
  <c r="P23" i="13"/>
  <c r="R23" i="13" s="1"/>
  <c r="P23" i="12"/>
  <c r="R22" i="12"/>
  <c r="E24" i="13"/>
  <c r="D25" i="13"/>
  <c r="F25" i="13"/>
  <c r="D25" i="12"/>
  <c r="E24" i="12"/>
  <c r="F25" i="12"/>
  <c r="O24" i="12" l="1"/>
  <c r="L25" i="12"/>
  <c r="W22" i="12"/>
  <c r="L25" i="13"/>
  <c r="W22" i="13"/>
  <c r="N25" i="13"/>
  <c r="M25" i="13"/>
  <c r="N25" i="12"/>
  <c r="M25" i="12"/>
  <c r="J25" i="13"/>
  <c r="Q25" i="13" s="1"/>
  <c r="K25" i="13"/>
  <c r="I25" i="13"/>
  <c r="H25" i="13"/>
  <c r="G25" i="13"/>
  <c r="K25" i="12"/>
  <c r="J25" i="12"/>
  <c r="Q25" i="12" s="1"/>
  <c r="H25" i="12"/>
  <c r="I25" i="12"/>
  <c r="G25" i="12"/>
  <c r="S24" i="13"/>
  <c r="S24" i="12"/>
  <c r="P24" i="13"/>
  <c r="R24" i="13" s="1"/>
  <c r="P24" i="12"/>
  <c r="O24" i="13"/>
  <c r="R23" i="12"/>
  <c r="F26" i="13"/>
  <c r="E25" i="13"/>
  <c r="D26" i="13"/>
  <c r="E25" i="12"/>
  <c r="D26" i="12"/>
  <c r="F26" i="12"/>
  <c r="O25" i="12" l="1"/>
  <c r="L26" i="12"/>
  <c r="W23" i="12"/>
  <c r="L26" i="13"/>
  <c r="W23" i="13"/>
  <c r="M26" i="13"/>
  <c r="K26" i="13"/>
  <c r="N26" i="13"/>
  <c r="N26" i="12"/>
  <c r="M26" i="12"/>
  <c r="J26" i="13"/>
  <c r="Q26" i="13" s="1"/>
  <c r="I26" i="13"/>
  <c r="H26" i="13"/>
  <c r="G26" i="13"/>
  <c r="J26" i="12"/>
  <c r="Q26" i="12" s="1"/>
  <c r="K26" i="12"/>
  <c r="I26" i="12"/>
  <c r="H26" i="12"/>
  <c r="G26" i="12"/>
  <c r="S25" i="13"/>
  <c r="S25" i="12"/>
  <c r="P25" i="13"/>
  <c r="R25" i="13" s="1"/>
  <c r="P25" i="12"/>
  <c r="O25" i="13"/>
  <c r="R24" i="12"/>
  <c r="F27" i="13"/>
  <c r="E26" i="13"/>
  <c r="D27" i="13"/>
  <c r="F27" i="12"/>
  <c r="D27" i="12"/>
  <c r="E26" i="12"/>
  <c r="O26" i="12" l="1"/>
  <c r="L27" i="13"/>
  <c r="W24" i="13"/>
  <c r="L27" i="12"/>
  <c r="W24" i="12"/>
  <c r="N27" i="13"/>
  <c r="M27" i="13"/>
  <c r="N27" i="12"/>
  <c r="M27" i="12"/>
  <c r="J27" i="13"/>
  <c r="Q27" i="13" s="1"/>
  <c r="K27" i="13"/>
  <c r="I27" i="13"/>
  <c r="H27" i="13"/>
  <c r="G27" i="13"/>
  <c r="J27" i="12"/>
  <c r="K27" i="12"/>
  <c r="I27" i="12"/>
  <c r="H27" i="12"/>
  <c r="G27" i="12"/>
  <c r="S26" i="13"/>
  <c r="P26" i="13"/>
  <c r="R26" i="13" s="1"/>
  <c r="S26" i="12"/>
  <c r="P26" i="12"/>
  <c r="R26" i="12" s="1"/>
  <c r="O26" i="13"/>
  <c r="R25" i="12"/>
  <c r="E27" i="13"/>
  <c r="D28" i="13"/>
  <c r="F28" i="13"/>
  <c r="E27" i="12"/>
  <c r="D28" i="12"/>
  <c r="F28" i="12"/>
  <c r="O27" i="12" l="1"/>
  <c r="L28" i="13"/>
  <c r="W25" i="13"/>
  <c r="L28" i="12"/>
  <c r="W25" i="12"/>
  <c r="M28" i="13"/>
  <c r="N28" i="13"/>
  <c r="N28" i="12"/>
  <c r="M28" i="12"/>
  <c r="J28" i="13"/>
  <c r="Q28" i="13" s="1"/>
  <c r="K28" i="13"/>
  <c r="I28" i="13"/>
  <c r="H28" i="13"/>
  <c r="G28" i="13"/>
  <c r="J28" i="12"/>
  <c r="Q28" i="12" s="1"/>
  <c r="K28" i="12"/>
  <c r="I28" i="12"/>
  <c r="H28" i="12"/>
  <c r="G28" i="12"/>
  <c r="S27" i="13"/>
  <c r="S27" i="12"/>
  <c r="P27" i="13"/>
  <c r="R27" i="13" s="1"/>
  <c r="P27" i="12"/>
  <c r="O27" i="13"/>
  <c r="Q27" i="12"/>
  <c r="F29" i="13"/>
  <c r="E28" i="13"/>
  <c r="D29" i="13"/>
  <c r="F29" i="12"/>
  <c r="D29" i="12"/>
  <c r="E28" i="12"/>
  <c r="O28" i="12" l="1"/>
  <c r="L29" i="12"/>
  <c r="W26" i="12"/>
  <c r="L29" i="13"/>
  <c r="W26" i="13"/>
  <c r="N29" i="13"/>
  <c r="M29" i="13"/>
  <c r="N29" i="12"/>
  <c r="M29" i="12"/>
  <c r="J29" i="13"/>
  <c r="Q29" i="13" s="1"/>
  <c r="K29" i="13"/>
  <c r="I29" i="13"/>
  <c r="H29" i="13"/>
  <c r="G29" i="13"/>
  <c r="J29" i="12"/>
  <c r="Q29" i="12" s="1"/>
  <c r="K29" i="12"/>
  <c r="I29" i="12"/>
  <c r="H29" i="12"/>
  <c r="G29" i="12"/>
  <c r="S28" i="13"/>
  <c r="S28" i="12"/>
  <c r="P28" i="13"/>
  <c r="R28" i="13" s="1"/>
  <c r="R27" i="12"/>
  <c r="O28" i="13"/>
  <c r="P28" i="12"/>
  <c r="R28" i="12" s="1"/>
  <c r="F30" i="13"/>
  <c r="E29" i="13"/>
  <c r="D30" i="13"/>
  <c r="E29" i="12"/>
  <c r="D30" i="12"/>
  <c r="F30" i="12"/>
  <c r="O29" i="12" l="1"/>
  <c r="L30" i="12"/>
  <c r="W27" i="12"/>
  <c r="L30" i="13"/>
  <c r="W27" i="13"/>
  <c r="M30" i="13"/>
  <c r="N30" i="13"/>
  <c r="N30" i="12"/>
  <c r="M30" i="12"/>
  <c r="J30" i="13"/>
  <c r="Q30" i="13" s="1"/>
  <c r="K30" i="13"/>
  <c r="I30" i="13"/>
  <c r="H30" i="13"/>
  <c r="G30" i="13"/>
  <c r="J30" i="12"/>
  <c r="Q30" i="12" s="1"/>
  <c r="K30" i="12"/>
  <c r="I30" i="12"/>
  <c r="H30" i="12"/>
  <c r="G30" i="12"/>
  <c r="S29" i="12"/>
  <c r="S29" i="13"/>
  <c r="P29" i="12"/>
  <c r="R29" i="12" s="1"/>
  <c r="P29" i="13"/>
  <c r="R29" i="13" s="1"/>
  <c r="O29" i="13"/>
  <c r="E30" i="13"/>
  <c r="D31" i="13"/>
  <c r="F31" i="13"/>
  <c r="D31" i="12"/>
  <c r="E30" i="12"/>
  <c r="F31" i="12"/>
  <c r="O30" i="12" l="1"/>
  <c r="L31" i="12"/>
  <c r="W28" i="12"/>
  <c r="L31" i="13"/>
  <c r="W28" i="13"/>
  <c r="N31" i="13"/>
  <c r="M31" i="13"/>
  <c r="K31" i="12"/>
  <c r="M31" i="12"/>
  <c r="N31" i="12"/>
  <c r="K31" i="13"/>
  <c r="J31" i="13"/>
  <c r="Q31" i="13" s="1"/>
  <c r="I31" i="13"/>
  <c r="H31" i="13"/>
  <c r="G31" i="13"/>
  <c r="J31" i="12"/>
  <c r="Q31" i="12" s="1"/>
  <c r="I31" i="12"/>
  <c r="H31" i="12"/>
  <c r="G31" i="12"/>
  <c r="S30" i="13"/>
  <c r="S30" i="12"/>
  <c r="P30" i="13"/>
  <c r="R30" i="13" s="1"/>
  <c r="P30" i="12"/>
  <c r="O30" i="13"/>
  <c r="E31" i="13"/>
  <c r="D32" i="13"/>
  <c r="F32" i="13"/>
  <c r="E31" i="12"/>
  <c r="D32" i="12"/>
  <c r="F32" i="12"/>
  <c r="O31" i="12" l="1"/>
  <c r="L32" i="12"/>
  <c r="W29" i="12"/>
  <c r="L32" i="13"/>
  <c r="W29" i="13"/>
  <c r="M32" i="13"/>
  <c r="N32" i="13"/>
  <c r="K32" i="12"/>
  <c r="N32" i="12"/>
  <c r="M32" i="12"/>
  <c r="J32" i="13"/>
  <c r="Q32" i="13" s="1"/>
  <c r="K32" i="13"/>
  <c r="I32" i="13"/>
  <c r="H32" i="13"/>
  <c r="G32" i="13"/>
  <c r="I32" i="12"/>
  <c r="J32" i="12"/>
  <c r="Q32" i="12" s="1"/>
  <c r="H32" i="12"/>
  <c r="G32" i="12"/>
  <c r="P31" i="13"/>
  <c r="R31" i="13" s="1"/>
  <c r="S31" i="12"/>
  <c r="S31" i="13"/>
  <c r="P31" i="12"/>
  <c r="O31" i="13"/>
  <c r="R30" i="12"/>
  <c r="D33" i="13"/>
  <c r="E32" i="13"/>
  <c r="F33" i="13"/>
  <c r="F33" i="12"/>
  <c r="D33" i="12"/>
  <c r="E32" i="12"/>
  <c r="O32" i="12" l="1"/>
  <c r="L33" i="12"/>
  <c r="W30" i="12"/>
  <c r="L33" i="13"/>
  <c r="W30" i="13"/>
  <c r="N33" i="13"/>
  <c r="M33" i="13"/>
  <c r="K33" i="12"/>
  <c r="M33" i="12"/>
  <c r="N33" i="12"/>
  <c r="J33" i="13"/>
  <c r="Q33" i="13" s="1"/>
  <c r="K33" i="13"/>
  <c r="I33" i="13"/>
  <c r="H33" i="13"/>
  <c r="G33" i="13"/>
  <c r="J33" i="12"/>
  <c r="Q33" i="12" s="1"/>
  <c r="I33" i="12"/>
  <c r="H33" i="12"/>
  <c r="G33" i="12"/>
  <c r="P32" i="13"/>
  <c r="R32" i="13" s="1"/>
  <c r="S32" i="12"/>
  <c r="S32" i="13"/>
  <c r="P32" i="12"/>
  <c r="O32" i="13"/>
  <c r="R31" i="12"/>
  <c r="F34" i="13"/>
  <c r="E33" i="13"/>
  <c r="D34" i="13"/>
  <c r="F34" i="12"/>
  <c r="E33" i="12"/>
  <c r="D34" i="12"/>
  <c r="O33" i="12" l="1"/>
  <c r="L34" i="12"/>
  <c r="W31" i="12"/>
  <c r="L34" i="13"/>
  <c r="W31" i="13"/>
  <c r="M34" i="13"/>
  <c r="N34" i="13"/>
  <c r="N34" i="12"/>
  <c r="M34" i="12"/>
  <c r="K34" i="13"/>
  <c r="J34" i="13"/>
  <c r="Q34" i="13" s="1"/>
  <c r="I34" i="13"/>
  <c r="H34" i="13"/>
  <c r="G34" i="13"/>
  <c r="J34" i="12"/>
  <c r="Q34" i="12" s="1"/>
  <c r="K34" i="12"/>
  <c r="I34" i="12"/>
  <c r="H34" i="12"/>
  <c r="G34" i="12"/>
  <c r="P33" i="13"/>
  <c r="R33" i="13" s="1"/>
  <c r="S33" i="12"/>
  <c r="S33" i="13"/>
  <c r="P33" i="12"/>
  <c r="O33" i="13"/>
  <c r="R32" i="12"/>
  <c r="D35" i="13"/>
  <c r="E34" i="13"/>
  <c r="F35" i="13"/>
  <c r="D35" i="12"/>
  <c r="E34" i="12"/>
  <c r="F35" i="12"/>
  <c r="O34" i="12" l="1"/>
  <c r="L35" i="12"/>
  <c r="W32" i="12"/>
  <c r="L35" i="13"/>
  <c r="W32" i="13"/>
  <c r="N35" i="13"/>
  <c r="M35" i="13"/>
  <c r="M35" i="12"/>
  <c r="N35" i="12"/>
  <c r="J35" i="13"/>
  <c r="Q35" i="13" s="1"/>
  <c r="K35" i="13"/>
  <c r="I35" i="13"/>
  <c r="H35" i="13"/>
  <c r="G35" i="13"/>
  <c r="J35" i="12"/>
  <c r="Q35" i="12" s="1"/>
  <c r="K35" i="12"/>
  <c r="I35" i="12"/>
  <c r="H35" i="12"/>
  <c r="G35" i="12"/>
  <c r="P34" i="13"/>
  <c r="R34" i="13" s="1"/>
  <c r="S34" i="12"/>
  <c r="S34" i="13"/>
  <c r="P34" i="12"/>
  <c r="O34" i="13"/>
  <c r="R33" i="12"/>
  <c r="E35" i="13"/>
  <c r="D36" i="13"/>
  <c r="F36" i="13"/>
  <c r="F36" i="12"/>
  <c r="E35" i="12"/>
  <c r="D36" i="12"/>
  <c r="O35" i="12" l="1"/>
  <c r="L36" i="12"/>
  <c r="W33" i="12"/>
  <c r="L36" i="13"/>
  <c r="W33" i="13"/>
  <c r="M36" i="13"/>
  <c r="K36" i="13"/>
  <c r="N36" i="13"/>
  <c r="N36" i="12"/>
  <c r="M36" i="12"/>
  <c r="J36" i="13"/>
  <c r="Q36" i="13" s="1"/>
  <c r="I36" i="13"/>
  <c r="H36" i="13"/>
  <c r="G36" i="13"/>
  <c r="J36" i="12"/>
  <c r="Q36" i="12" s="1"/>
  <c r="K36" i="12"/>
  <c r="I36" i="12"/>
  <c r="H36" i="12"/>
  <c r="G36" i="12"/>
  <c r="P35" i="13"/>
  <c r="R35" i="13" s="1"/>
  <c r="S35" i="13"/>
  <c r="S35" i="12"/>
  <c r="P35" i="12"/>
  <c r="R35" i="12" s="1"/>
  <c r="O35" i="13"/>
  <c r="R34" i="12"/>
  <c r="F37" i="13"/>
  <c r="D37" i="13"/>
  <c r="E36" i="13"/>
  <c r="F37" i="12"/>
  <c r="D37" i="12"/>
  <c r="E36" i="12"/>
  <c r="O36" i="12" l="1"/>
  <c r="L37" i="13"/>
  <c r="W34" i="13"/>
  <c r="L37" i="12"/>
  <c r="W34" i="12"/>
  <c r="N37" i="13"/>
  <c r="K37" i="13"/>
  <c r="M37" i="13"/>
  <c r="M37" i="12"/>
  <c r="N37" i="12"/>
  <c r="J37" i="13"/>
  <c r="Q37" i="13" s="1"/>
  <c r="I37" i="13"/>
  <c r="H37" i="13"/>
  <c r="G37" i="13"/>
  <c r="K37" i="12"/>
  <c r="J37" i="12"/>
  <c r="Q37" i="12" s="1"/>
  <c r="I37" i="12"/>
  <c r="H37" i="12"/>
  <c r="G37" i="12"/>
  <c r="P36" i="13"/>
  <c r="R36" i="13" s="1"/>
  <c r="S36" i="13"/>
  <c r="S36" i="12"/>
  <c r="P36" i="12"/>
  <c r="R36" i="12" s="1"/>
  <c r="O36" i="13"/>
  <c r="F38" i="13"/>
  <c r="E37" i="13"/>
  <c r="D38" i="13"/>
  <c r="F38" i="12"/>
  <c r="D38" i="12"/>
  <c r="E37" i="12"/>
  <c r="O37" i="12" l="1"/>
  <c r="L38" i="12"/>
  <c r="W35" i="12"/>
  <c r="L38" i="13"/>
  <c r="W35" i="13"/>
  <c r="M38" i="13"/>
  <c r="K38" i="13"/>
  <c r="N38" i="13"/>
  <c r="K38" i="12"/>
  <c r="N38" i="12"/>
  <c r="M38" i="12"/>
  <c r="J38" i="13"/>
  <c r="Q38" i="13" s="1"/>
  <c r="I38" i="13"/>
  <c r="H38" i="13"/>
  <c r="G38" i="13"/>
  <c r="J38" i="12"/>
  <c r="Q38" i="12" s="1"/>
  <c r="I38" i="12"/>
  <c r="H38" i="12"/>
  <c r="G38" i="12"/>
  <c r="P37" i="13"/>
  <c r="R37" i="13" s="1"/>
  <c r="S37" i="12"/>
  <c r="S37" i="13"/>
  <c r="P37" i="12"/>
  <c r="O37" i="13"/>
  <c r="D39" i="13"/>
  <c r="E38" i="13"/>
  <c r="F39" i="13"/>
  <c r="D39" i="12"/>
  <c r="E38" i="12"/>
  <c r="F39" i="12"/>
  <c r="O38" i="12" l="1"/>
  <c r="L39" i="12"/>
  <c r="W36" i="12"/>
  <c r="L39" i="13"/>
  <c r="W36" i="13"/>
  <c r="N39" i="13"/>
  <c r="M39" i="13"/>
  <c r="M39" i="12"/>
  <c r="N39" i="12"/>
  <c r="J39" i="13"/>
  <c r="Q39" i="13" s="1"/>
  <c r="K39" i="13"/>
  <c r="I39" i="13"/>
  <c r="H39" i="13"/>
  <c r="G39" i="13"/>
  <c r="J39" i="12"/>
  <c r="Q39" i="12" s="1"/>
  <c r="K39" i="12"/>
  <c r="I39" i="12"/>
  <c r="H39" i="12"/>
  <c r="G39" i="12"/>
  <c r="P38" i="13"/>
  <c r="R38" i="13" s="1"/>
  <c r="S38" i="13"/>
  <c r="S38" i="12"/>
  <c r="P38" i="12"/>
  <c r="O38" i="13"/>
  <c r="R37" i="12"/>
  <c r="F40" i="13"/>
  <c r="E39" i="13"/>
  <c r="D40" i="13"/>
  <c r="D40" i="12"/>
  <c r="E39" i="12"/>
  <c r="F40" i="12"/>
  <c r="O39" i="12" l="1"/>
  <c r="L40" i="12"/>
  <c r="W37" i="12"/>
  <c r="L40" i="13"/>
  <c r="W37" i="13"/>
  <c r="M40" i="13"/>
  <c r="K40" i="13"/>
  <c r="N40" i="13"/>
  <c r="K40" i="12"/>
  <c r="N40" i="12"/>
  <c r="M40" i="12"/>
  <c r="J40" i="13"/>
  <c r="Q40" i="13" s="1"/>
  <c r="I40" i="13"/>
  <c r="H40" i="13"/>
  <c r="G40" i="13"/>
  <c r="J40" i="12"/>
  <c r="Q40" i="12" s="1"/>
  <c r="I40" i="12"/>
  <c r="H40" i="12"/>
  <c r="G40" i="12"/>
  <c r="P39" i="13"/>
  <c r="R39" i="13" s="1"/>
  <c r="S39" i="12"/>
  <c r="S39" i="13"/>
  <c r="O39" i="13"/>
  <c r="P39" i="12"/>
  <c r="R38" i="12"/>
  <c r="D41" i="13"/>
  <c r="E40" i="13"/>
  <c r="F41" i="13"/>
  <c r="D41" i="12"/>
  <c r="E40" i="12"/>
  <c r="F41" i="12"/>
  <c r="O40" i="12" l="1"/>
  <c r="L41" i="12"/>
  <c r="W38" i="12"/>
  <c r="L41" i="13"/>
  <c r="W38" i="13"/>
  <c r="K41" i="13"/>
  <c r="N41" i="13"/>
  <c r="M41" i="13"/>
  <c r="M41" i="12"/>
  <c r="N41" i="12"/>
  <c r="J41" i="13"/>
  <c r="Q41" i="13" s="1"/>
  <c r="I41" i="13"/>
  <c r="H41" i="13"/>
  <c r="G41" i="13"/>
  <c r="J41" i="12"/>
  <c r="Q41" i="12" s="1"/>
  <c r="K41" i="12"/>
  <c r="I41" i="12"/>
  <c r="H41" i="12"/>
  <c r="G41" i="12"/>
  <c r="P40" i="13"/>
  <c r="R40" i="13" s="1"/>
  <c r="S40" i="12"/>
  <c r="S40" i="13"/>
  <c r="P40" i="12"/>
  <c r="R40" i="12" s="1"/>
  <c r="O40" i="13"/>
  <c r="R39" i="12"/>
  <c r="F42" i="13"/>
  <c r="E41" i="13"/>
  <c r="D42" i="13"/>
  <c r="E41" i="12"/>
  <c r="D42" i="12"/>
  <c r="F42" i="12"/>
  <c r="O41" i="12" l="1"/>
  <c r="L42" i="13"/>
  <c r="W39" i="13"/>
  <c r="L42" i="12"/>
  <c r="W39" i="12"/>
  <c r="K42" i="13"/>
  <c r="M42" i="13"/>
  <c r="N42" i="13"/>
  <c r="N42" i="12"/>
  <c r="M42" i="12"/>
  <c r="J42" i="13"/>
  <c r="Q42" i="13" s="1"/>
  <c r="I42" i="13"/>
  <c r="H42" i="13"/>
  <c r="G42" i="13"/>
  <c r="J42" i="12"/>
  <c r="Q42" i="12" s="1"/>
  <c r="K42" i="12"/>
  <c r="I42" i="12"/>
  <c r="H42" i="12"/>
  <c r="G42" i="12"/>
  <c r="P41" i="13"/>
  <c r="R41" i="13" s="1"/>
  <c r="S41" i="12"/>
  <c r="S41" i="13"/>
  <c r="P41" i="12"/>
  <c r="R41" i="12" s="1"/>
  <c r="O41" i="13"/>
  <c r="F43" i="13"/>
  <c r="D43" i="13"/>
  <c r="E42" i="13"/>
  <c r="F43" i="12"/>
  <c r="D43" i="12"/>
  <c r="E42" i="12"/>
  <c r="O42" i="12" l="1"/>
  <c r="L43" i="12"/>
  <c r="W40" i="12"/>
  <c r="L43" i="13"/>
  <c r="W40" i="13"/>
  <c r="K43" i="13"/>
  <c r="N43" i="13"/>
  <c r="M43" i="13"/>
  <c r="M43" i="12"/>
  <c r="N43" i="12"/>
  <c r="J43" i="13"/>
  <c r="Q43" i="13" s="1"/>
  <c r="I43" i="13"/>
  <c r="H43" i="13"/>
  <c r="G43" i="13"/>
  <c r="J43" i="12"/>
  <c r="Q43" i="12" s="1"/>
  <c r="K43" i="12"/>
  <c r="I43" i="12"/>
  <c r="H43" i="12"/>
  <c r="G43" i="12"/>
  <c r="P42" i="13"/>
  <c r="R42" i="13" s="1"/>
  <c r="S42" i="13"/>
  <c r="S42" i="12"/>
  <c r="P42" i="12"/>
  <c r="O42" i="13"/>
  <c r="F44" i="13"/>
  <c r="E43" i="13"/>
  <c r="D44" i="13"/>
  <c r="E43" i="12"/>
  <c r="D44" i="12"/>
  <c r="F44" i="12"/>
  <c r="O43" i="12" l="1"/>
  <c r="L44" i="12"/>
  <c r="W41" i="12"/>
  <c r="L44" i="13"/>
  <c r="W41" i="13"/>
  <c r="M44" i="13"/>
  <c r="N44" i="13"/>
  <c r="N44" i="12"/>
  <c r="M44" i="12"/>
  <c r="K44" i="13"/>
  <c r="J44" i="13"/>
  <c r="Q44" i="13" s="1"/>
  <c r="I44" i="13"/>
  <c r="H44" i="13"/>
  <c r="G44" i="13"/>
  <c r="J44" i="12"/>
  <c r="Q44" i="12" s="1"/>
  <c r="K44" i="12"/>
  <c r="I44" i="12"/>
  <c r="H44" i="12"/>
  <c r="G44" i="12"/>
  <c r="P43" i="13"/>
  <c r="R43" i="13" s="1"/>
  <c r="S43" i="13"/>
  <c r="S43" i="12"/>
  <c r="P43" i="12"/>
  <c r="O43" i="13"/>
  <c r="R42" i="12"/>
  <c r="D45" i="13"/>
  <c r="E44" i="13"/>
  <c r="F45" i="13"/>
  <c r="D45" i="12"/>
  <c r="E44" i="12"/>
  <c r="F45" i="12"/>
  <c r="O44" i="12" l="1"/>
  <c r="L45" i="12"/>
  <c r="W42" i="12"/>
  <c r="L45" i="13"/>
  <c r="W42" i="13"/>
  <c r="N45" i="13"/>
  <c r="K45" i="13"/>
  <c r="M45" i="13"/>
  <c r="K45" i="12"/>
  <c r="M45" i="12"/>
  <c r="N45" i="12"/>
  <c r="J45" i="13"/>
  <c r="Q45" i="13" s="1"/>
  <c r="I45" i="13"/>
  <c r="H45" i="13"/>
  <c r="G45" i="13"/>
  <c r="J45" i="12"/>
  <c r="Q45" i="12" s="1"/>
  <c r="I45" i="12"/>
  <c r="H45" i="12"/>
  <c r="G45" i="12"/>
  <c r="S44" i="13"/>
  <c r="S44" i="12"/>
  <c r="P44" i="12"/>
  <c r="R44" i="12" s="1"/>
  <c r="O44" i="13"/>
  <c r="P44" i="13"/>
  <c r="R44" i="13" s="1"/>
  <c r="R43" i="12"/>
  <c r="D46" i="13"/>
  <c r="E45" i="13"/>
  <c r="F46" i="13"/>
  <c r="F46" i="12"/>
  <c r="D46" i="12"/>
  <c r="E45" i="12"/>
  <c r="O45" i="12" l="1"/>
  <c r="L46" i="12"/>
  <c r="W43" i="12"/>
  <c r="L46" i="13"/>
  <c r="W43" i="13"/>
  <c r="M46" i="13"/>
  <c r="N46" i="13"/>
  <c r="K46" i="12"/>
  <c r="N46" i="12"/>
  <c r="M46" i="12"/>
  <c r="J46" i="13"/>
  <c r="Q46" i="13" s="1"/>
  <c r="K46" i="13"/>
  <c r="I46" i="13"/>
  <c r="H46" i="13"/>
  <c r="G46" i="13"/>
  <c r="J46" i="12"/>
  <c r="Q46" i="12" s="1"/>
  <c r="I46" i="12"/>
  <c r="H46" i="12"/>
  <c r="G46" i="12"/>
  <c r="S45" i="12"/>
  <c r="S45" i="13"/>
  <c r="P45" i="12"/>
  <c r="P45" i="13"/>
  <c r="R45" i="13" s="1"/>
  <c r="O45" i="13"/>
  <c r="F47" i="13"/>
  <c r="D47" i="13"/>
  <c r="E46" i="13"/>
  <c r="F47" i="12"/>
  <c r="D47" i="12"/>
  <c r="E46" i="12"/>
  <c r="O46" i="12" l="1"/>
  <c r="L47" i="12"/>
  <c r="W44" i="12"/>
  <c r="L47" i="13"/>
  <c r="W44" i="13"/>
  <c r="N47" i="13"/>
  <c r="M47" i="13"/>
  <c r="M47" i="12"/>
  <c r="N47" i="12"/>
  <c r="J47" i="13"/>
  <c r="Q47" i="13" s="1"/>
  <c r="K47" i="13"/>
  <c r="I47" i="13"/>
  <c r="H47" i="13"/>
  <c r="G47" i="13"/>
  <c r="J47" i="12"/>
  <c r="Q47" i="12" s="1"/>
  <c r="K47" i="12"/>
  <c r="I47" i="12"/>
  <c r="H47" i="12"/>
  <c r="G47" i="12"/>
  <c r="P46" i="13"/>
  <c r="R46" i="13" s="1"/>
  <c r="S46" i="12"/>
  <c r="S46" i="13"/>
  <c r="O46" i="13"/>
  <c r="P46" i="12"/>
  <c r="R45" i="12"/>
  <c r="D48" i="13"/>
  <c r="E47" i="13"/>
  <c r="F48" i="13"/>
  <c r="D48" i="12"/>
  <c r="E47" i="12"/>
  <c r="F48" i="12"/>
  <c r="O47" i="12" l="1"/>
  <c r="L48" i="12"/>
  <c r="W45" i="12"/>
  <c r="L48" i="13"/>
  <c r="W45" i="13"/>
  <c r="M48" i="13"/>
  <c r="N48" i="13"/>
  <c r="K48" i="12"/>
  <c r="N48" i="12"/>
  <c r="M48" i="12"/>
  <c r="J48" i="13"/>
  <c r="Q48" i="13" s="1"/>
  <c r="K48" i="13"/>
  <c r="I48" i="13"/>
  <c r="H48" i="13"/>
  <c r="G48" i="13"/>
  <c r="J48" i="12"/>
  <c r="Q48" i="12" s="1"/>
  <c r="I48" i="12"/>
  <c r="H48" i="12"/>
  <c r="G48" i="12"/>
  <c r="S47" i="13"/>
  <c r="S47" i="12"/>
  <c r="P47" i="12"/>
  <c r="R47" i="12" s="1"/>
  <c r="O47" i="13"/>
  <c r="P47" i="13"/>
  <c r="R47" i="13" s="1"/>
  <c r="R46" i="12"/>
  <c r="D49" i="13"/>
  <c r="E48" i="13"/>
  <c r="F49" i="13"/>
  <c r="F49" i="12"/>
  <c r="D49" i="12"/>
  <c r="E48" i="12"/>
  <c r="O48" i="12" l="1"/>
  <c r="L49" i="12"/>
  <c r="W46" i="12"/>
  <c r="L49" i="13"/>
  <c r="W46" i="13"/>
  <c r="N49" i="13"/>
  <c r="M49" i="13"/>
  <c r="K49" i="12"/>
  <c r="M49" i="12"/>
  <c r="N49" i="12"/>
  <c r="J49" i="13"/>
  <c r="Q49" i="13" s="1"/>
  <c r="K49" i="13"/>
  <c r="I49" i="13"/>
  <c r="H49" i="13"/>
  <c r="G49" i="13"/>
  <c r="J49" i="12"/>
  <c r="Q49" i="12" s="1"/>
  <c r="I49" i="12"/>
  <c r="H49" i="12"/>
  <c r="G49" i="12"/>
  <c r="P48" i="13"/>
  <c r="R48" i="13" s="1"/>
  <c r="S48" i="12"/>
  <c r="S48" i="13"/>
  <c r="P48" i="12"/>
  <c r="O48" i="13"/>
  <c r="F50" i="13"/>
  <c r="D50" i="13"/>
  <c r="E49" i="13"/>
  <c r="D50" i="12"/>
  <c r="E49" i="12"/>
  <c r="F50" i="12"/>
  <c r="O49" i="12" l="1"/>
  <c r="L50" i="12"/>
  <c r="W47" i="12"/>
  <c r="L50" i="13"/>
  <c r="W47" i="13"/>
  <c r="M50" i="13"/>
  <c r="N50" i="13"/>
  <c r="K50" i="12"/>
  <c r="N50" i="12"/>
  <c r="M50" i="12"/>
  <c r="J50" i="13"/>
  <c r="Q50" i="13" s="1"/>
  <c r="K50" i="13"/>
  <c r="I50" i="13"/>
  <c r="H50" i="13"/>
  <c r="G50" i="13"/>
  <c r="J50" i="12"/>
  <c r="Q50" i="12" s="1"/>
  <c r="I50" i="12"/>
  <c r="H50" i="12"/>
  <c r="G50" i="12"/>
  <c r="S49" i="13"/>
  <c r="S49" i="12"/>
  <c r="P49" i="12"/>
  <c r="P49" i="13"/>
  <c r="R49" i="13" s="1"/>
  <c r="O49" i="13"/>
  <c r="R48" i="12"/>
  <c r="D51" i="13"/>
  <c r="E50" i="13"/>
  <c r="F51" i="13"/>
  <c r="F51" i="12"/>
  <c r="D51" i="12"/>
  <c r="E50" i="12"/>
  <c r="O50" i="12" l="1"/>
  <c r="L51" i="12"/>
  <c r="W48" i="12"/>
  <c r="L51" i="13"/>
  <c r="W48" i="13"/>
  <c r="N51" i="13"/>
  <c r="M51" i="13"/>
  <c r="K51" i="12"/>
  <c r="M51" i="12"/>
  <c r="N51" i="12"/>
  <c r="J51" i="13"/>
  <c r="Q51" i="13" s="1"/>
  <c r="K51" i="13"/>
  <c r="I51" i="13"/>
  <c r="H51" i="13"/>
  <c r="G51" i="13"/>
  <c r="J51" i="12"/>
  <c r="Q51" i="12" s="1"/>
  <c r="I51" i="12"/>
  <c r="H51" i="12"/>
  <c r="G51" i="12"/>
  <c r="P50" i="13"/>
  <c r="R50" i="13" s="1"/>
  <c r="S50" i="12"/>
  <c r="S50" i="13"/>
  <c r="P50" i="12"/>
  <c r="R50" i="12" s="1"/>
  <c r="O50" i="13"/>
  <c r="R49" i="12"/>
  <c r="F52" i="13"/>
  <c r="D52" i="13"/>
  <c r="E51" i="13"/>
  <c r="F52" i="12"/>
  <c r="D52" i="12"/>
  <c r="E51" i="12"/>
  <c r="O51" i="12" l="1"/>
  <c r="L52" i="12"/>
  <c r="W49" i="12"/>
  <c r="L52" i="13"/>
  <c r="W49" i="13"/>
  <c r="M52" i="13"/>
  <c r="N52" i="13"/>
  <c r="N52" i="12"/>
  <c r="M52" i="12"/>
  <c r="J52" i="13"/>
  <c r="Q52" i="13" s="1"/>
  <c r="K52" i="13"/>
  <c r="I52" i="13"/>
  <c r="H52" i="13"/>
  <c r="G52" i="13"/>
  <c r="K52" i="12"/>
  <c r="J52" i="12"/>
  <c r="I52" i="12"/>
  <c r="H52" i="12"/>
  <c r="G52" i="12"/>
  <c r="P51" i="13"/>
  <c r="R51" i="13" s="1"/>
  <c r="S51" i="13"/>
  <c r="S51" i="12"/>
  <c r="P51" i="12"/>
  <c r="O51" i="13"/>
  <c r="D53" i="13"/>
  <c r="E52" i="13"/>
  <c r="F53" i="13"/>
  <c r="F53" i="12"/>
  <c r="D53" i="12"/>
  <c r="E52" i="12"/>
  <c r="O52" i="12" l="1"/>
  <c r="L53" i="12"/>
  <c r="W50" i="12"/>
  <c r="L53" i="13"/>
  <c r="W50" i="13"/>
  <c r="N53" i="13"/>
  <c r="K53" i="13"/>
  <c r="M53" i="13"/>
  <c r="M53" i="12"/>
  <c r="N53" i="12"/>
  <c r="J53" i="13"/>
  <c r="Q53" i="13" s="1"/>
  <c r="I53" i="13"/>
  <c r="H53" i="13"/>
  <c r="G53" i="13"/>
  <c r="J53" i="12"/>
  <c r="Q53" i="12" s="1"/>
  <c r="K53" i="12"/>
  <c r="I53" i="12"/>
  <c r="H53" i="12"/>
  <c r="G53" i="12"/>
  <c r="S52" i="13"/>
  <c r="S52" i="12"/>
  <c r="P52" i="12"/>
  <c r="P52" i="13"/>
  <c r="R52" i="13" s="1"/>
  <c r="O52" i="13"/>
  <c r="Q52" i="12"/>
  <c r="R51" i="12"/>
  <c r="D54" i="13"/>
  <c r="E53" i="13"/>
  <c r="F54" i="13"/>
  <c r="F54" i="12"/>
  <c r="D54" i="12"/>
  <c r="E53" i="12"/>
  <c r="O53" i="12" l="1"/>
  <c r="L54" i="13"/>
  <c r="W51" i="13"/>
  <c r="L54" i="12"/>
  <c r="W51" i="12"/>
  <c r="M54" i="13"/>
  <c r="K54" i="13"/>
  <c r="N54" i="13"/>
  <c r="K54" i="12"/>
  <c r="N54" i="12"/>
  <c r="M54" i="12"/>
  <c r="J54" i="13"/>
  <c r="Q54" i="13" s="1"/>
  <c r="I54" i="13"/>
  <c r="H54" i="13"/>
  <c r="G54" i="13"/>
  <c r="J54" i="12"/>
  <c r="Q54" i="12" s="1"/>
  <c r="I54" i="12"/>
  <c r="H54" i="12"/>
  <c r="G54" i="12"/>
  <c r="S53" i="12"/>
  <c r="S53" i="13"/>
  <c r="P53" i="12"/>
  <c r="R53" i="12" s="1"/>
  <c r="P53" i="13"/>
  <c r="R53" i="13" s="1"/>
  <c r="O53" i="13"/>
  <c r="R52" i="12"/>
  <c r="D55" i="13"/>
  <c r="E54" i="13"/>
  <c r="F55" i="13"/>
  <c r="D55" i="12"/>
  <c r="E54" i="12"/>
  <c r="F55" i="12"/>
  <c r="O54" i="12" l="1"/>
  <c r="L55" i="12"/>
  <c r="W52" i="12"/>
  <c r="L55" i="13"/>
  <c r="W52" i="13"/>
  <c r="N55" i="13"/>
  <c r="M55" i="13"/>
  <c r="M55" i="12"/>
  <c r="N55" i="12"/>
  <c r="J55" i="13"/>
  <c r="Q55" i="13" s="1"/>
  <c r="K55" i="13"/>
  <c r="I55" i="13"/>
  <c r="H55" i="13"/>
  <c r="G55" i="13"/>
  <c r="J55" i="12"/>
  <c r="Q55" i="12" s="1"/>
  <c r="K55" i="12"/>
  <c r="I55" i="12"/>
  <c r="H55" i="12"/>
  <c r="G55" i="12"/>
  <c r="P54" i="13"/>
  <c r="R54" i="13" s="1"/>
  <c r="S54" i="12"/>
  <c r="S54" i="13"/>
  <c r="P54" i="12"/>
  <c r="R54" i="12" s="1"/>
  <c r="O54" i="13"/>
  <c r="F56" i="13"/>
  <c r="D56" i="13"/>
  <c r="E55" i="13"/>
  <c r="D56" i="12"/>
  <c r="E55" i="12"/>
  <c r="F56" i="12"/>
  <c r="O55" i="12" l="1"/>
  <c r="L56" i="12"/>
  <c r="W53" i="12"/>
  <c r="L56" i="13"/>
  <c r="W53" i="13"/>
  <c r="M56" i="13"/>
  <c r="N56" i="13"/>
  <c r="N56" i="12"/>
  <c r="M56" i="12"/>
  <c r="J56" i="13"/>
  <c r="Q56" i="13" s="1"/>
  <c r="K56" i="13"/>
  <c r="I56" i="13"/>
  <c r="H56" i="13"/>
  <c r="G56" i="13"/>
  <c r="J56" i="12"/>
  <c r="Q56" i="12" s="1"/>
  <c r="K56" i="12"/>
  <c r="I56" i="12"/>
  <c r="H56" i="12"/>
  <c r="G56" i="12"/>
  <c r="P55" i="13"/>
  <c r="R55" i="13" s="1"/>
  <c r="S55" i="13"/>
  <c r="S55" i="12"/>
  <c r="P55" i="12"/>
  <c r="O55" i="13"/>
  <c r="F57" i="13"/>
  <c r="D57" i="13"/>
  <c r="E56" i="13"/>
  <c r="E56" i="12"/>
  <c r="D57" i="12"/>
  <c r="F57" i="12"/>
  <c r="O56" i="12" l="1"/>
  <c r="L57" i="13"/>
  <c r="W54" i="13"/>
  <c r="L57" i="12"/>
  <c r="W54" i="12"/>
  <c r="N57" i="13"/>
  <c r="M57" i="13"/>
  <c r="M57" i="12"/>
  <c r="N57" i="12"/>
  <c r="J57" i="13"/>
  <c r="Q57" i="13" s="1"/>
  <c r="K57" i="13"/>
  <c r="I57" i="13"/>
  <c r="H57" i="13"/>
  <c r="G57" i="13"/>
  <c r="J57" i="12"/>
  <c r="Q57" i="12" s="1"/>
  <c r="K57" i="12"/>
  <c r="I57" i="12"/>
  <c r="H57" i="12"/>
  <c r="G57" i="12"/>
  <c r="S56" i="13"/>
  <c r="S56" i="12"/>
  <c r="P56" i="12"/>
  <c r="O56" i="13"/>
  <c r="P56" i="13"/>
  <c r="R56" i="13" s="1"/>
  <c r="R55" i="12"/>
  <c r="D58" i="13"/>
  <c r="E57" i="13"/>
  <c r="F58" i="13"/>
  <c r="D58" i="12"/>
  <c r="E57" i="12"/>
  <c r="F58" i="12"/>
  <c r="O57" i="12" l="1"/>
  <c r="L58" i="13"/>
  <c r="W55" i="13"/>
  <c r="L58" i="12"/>
  <c r="W55" i="12"/>
  <c r="M58" i="13"/>
  <c r="N58" i="13"/>
  <c r="N58" i="12"/>
  <c r="M58" i="12"/>
  <c r="J58" i="13"/>
  <c r="Q58" i="13" s="1"/>
  <c r="K58" i="13"/>
  <c r="I58" i="13"/>
  <c r="H58" i="13"/>
  <c r="G58" i="13"/>
  <c r="J58" i="12"/>
  <c r="Q58" i="12" s="1"/>
  <c r="K58" i="12"/>
  <c r="I58" i="12"/>
  <c r="H58" i="12"/>
  <c r="G58" i="12"/>
  <c r="S57" i="12"/>
  <c r="S57" i="13"/>
  <c r="P57" i="12"/>
  <c r="R57" i="12" s="1"/>
  <c r="P57" i="13"/>
  <c r="R57" i="13" s="1"/>
  <c r="O57" i="13"/>
  <c r="R56" i="12"/>
  <c r="F59" i="13"/>
  <c r="D59" i="13"/>
  <c r="E58" i="13"/>
  <c r="F59" i="12"/>
  <c r="E58" i="12"/>
  <c r="D59" i="12"/>
  <c r="O58" i="12" l="1"/>
  <c r="L59" i="12"/>
  <c r="W56" i="12"/>
  <c r="L59" i="13"/>
  <c r="W56" i="13"/>
  <c r="N59" i="13"/>
  <c r="K59" i="13"/>
  <c r="M59" i="13"/>
  <c r="K59" i="12"/>
  <c r="M59" i="12"/>
  <c r="N59" i="12"/>
  <c r="J59" i="13"/>
  <c r="Q59" i="13" s="1"/>
  <c r="I59" i="13"/>
  <c r="H59" i="13"/>
  <c r="G59" i="13"/>
  <c r="J59" i="12"/>
  <c r="I59" i="12"/>
  <c r="H59" i="12"/>
  <c r="G59" i="12"/>
  <c r="P58" i="13"/>
  <c r="R58" i="13" s="1"/>
  <c r="S58" i="12"/>
  <c r="S58" i="13"/>
  <c r="P58" i="12"/>
  <c r="O58" i="13"/>
  <c r="D60" i="13"/>
  <c r="E59" i="13"/>
  <c r="F60" i="13"/>
  <c r="E59" i="12"/>
  <c r="D60" i="12"/>
  <c r="F60" i="12"/>
  <c r="O59" i="12" l="1"/>
  <c r="L60" i="12"/>
  <c r="W57" i="12"/>
  <c r="L60" i="13"/>
  <c r="W57" i="13"/>
  <c r="M60" i="13"/>
  <c r="K60" i="13"/>
  <c r="N60" i="13"/>
  <c r="N60" i="12"/>
  <c r="M60" i="12"/>
  <c r="J60" i="13"/>
  <c r="Q60" i="13" s="1"/>
  <c r="I60" i="13"/>
  <c r="H60" i="13"/>
  <c r="G60" i="13"/>
  <c r="K60" i="12"/>
  <c r="J60" i="12"/>
  <c r="Q60" i="12" s="1"/>
  <c r="I60" i="12"/>
  <c r="H60" i="12"/>
  <c r="G60" i="12"/>
  <c r="S59" i="13"/>
  <c r="S59" i="12"/>
  <c r="P59" i="13"/>
  <c r="R59" i="13" s="1"/>
  <c r="O59" i="13"/>
  <c r="Q59" i="12"/>
  <c r="P59" i="12"/>
  <c r="R58" i="12"/>
  <c r="F61" i="13"/>
  <c r="D61" i="13"/>
  <c r="E60" i="13"/>
  <c r="F61" i="12"/>
  <c r="D61" i="12"/>
  <c r="E60" i="12"/>
  <c r="O60" i="12" l="1"/>
  <c r="L61" i="12"/>
  <c r="W58" i="12"/>
  <c r="L61" i="13"/>
  <c r="W58" i="13"/>
  <c r="N61" i="13"/>
  <c r="M61" i="13"/>
  <c r="M61" i="12"/>
  <c r="N61" i="12"/>
  <c r="J61" i="13"/>
  <c r="Q61" i="13" s="1"/>
  <c r="K61" i="13"/>
  <c r="I61" i="13"/>
  <c r="H61" i="13"/>
  <c r="G61" i="13"/>
  <c r="K61" i="12"/>
  <c r="J61" i="12"/>
  <c r="Q61" i="12" s="1"/>
  <c r="I61" i="12"/>
  <c r="G61" i="12"/>
  <c r="H61" i="12"/>
  <c r="P60" i="13"/>
  <c r="R60" i="13" s="1"/>
  <c r="S60" i="12"/>
  <c r="S60" i="13"/>
  <c r="P60" i="12"/>
  <c r="R60" i="12" s="1"/>
  <c r="O60" i="13"/>
  <c r="R59" i="12"/>
  <c r="D62" i="13"/>
  <c r="E61" i="13"/>
  <c r="F62" i="13"/>
  <c r="F62" i="12"/>
  <c r="E61" i="12"/>
  <c r="D62" i="12"/>
  <c r="O61" i="12" l="1"/>
  <c r="L62" i="12"/>
  <c r="W59" i="12"/>
  <c r="L62" i="13"/>
  <c r="W59" i="13"/>
  <c r="M62" i="13"/>
  <c r="N62" i="13"/>
  <c r="N62" i="12"/>
  <c r="M62" i="12"/>
  <c r="J62" i="13"/>
  <c r="Q62" i="13" s="1"/>
  <c r="K62" i="13"/>
  <c r="I62" i="13"/>
  <c r="H62" i="13"/>
  <c r="G62" i="13"/>
  <c r="K62" i="12"/>
  <c r="J62" i="12"/>
  <c r="Q62" i="12" s="1"/>
  <c r="I62" i="12"/>
  <c r="H62" i="12"/>
  <c r="G62" i="12"/>
  <c r="P61" i="13"/>
  <c r="R61" i="13" s="1"/>
  <c r="S61" i="12"/>
  <c r="S61" i="13"/>
  <c r="P61" i="12"/>
  <c r="R61" i="12" s="1"/>
  <c r="O61" i="13"/>
  <c r="F63" i="13"/>
  <c r="D63" i="13"/>
  <c r="E62" i="13"/>
  <c r="F63" i="12"/>
  <c r="D63" i="12"/>
  <c r="E62" i="12"/>
  <c r="O62" i="12" l="1"/>
  <c r="L63" i="12"/>
  <c r="W60" i="12"/>
  <c r="L63" i="13"/>
  <c r="W60" i="13"/>
  <c r="N63" i="13"/>
  <c r="M63" i="13"/>
  <c r="M63" i="12"/>
  <c r="N63" i="12"/>
  <c r="J63" i="13"/>
  <c r="Q63" i="13" s="1"/>
  <c r="K63" i="13"/>
  <c r="I63" i="13"/>
  <c r="H63" i="13"/>
  <c r="G63" i="13"/>
  <c r="K63" i="12"/>
  <c r="I63" i="12"/>
  <c r="J63" i="12"/>
  <c r="Q63" i="12" s="1"/>
  <c r="H63" i="12"/>
  <c r="G63" i="12"/>
  <c r="P62" i="13"/>
  <c r="R62" i="13" s="1"/>
  <c r="S62" i="12"/>
  <c r="S62" i="13"/>
  <c r="O62" i="13"/>
  <c r="P62" i="12"/>
  <c r="F64" i="13"/>
  <c r="D64" i="13"/>
  <c r="E63" i="13"/>
  <c r="F64" i="12"/>
  <c r="D64" i="12"/>
  <c r="E63" i="12"/>
  <c r="O63" i="12" l="1"/>
  <c r="L64" i="12"/>
  <c r="W61" i="12"/>
  <c r="L64" i="13"/>
  <c r="W61" i="13"/>
  <c r="K64" i="12"/>
  <c r="M64" i="13"/>
  <c r="N64" i="13"/>
  <c r="N64" i="12"/>
  <c r="M64" i="12"/>
  <c r="J64" i="13"/>
  <c r="Q64" i="13" s="1"/>
  <c r="K64" i="13"/>
  <c r="I64" i="13"/>
  <c r="H64" i="13"/>
  <c r="G64" i="13"/>
  <c r="J64" i="12"/>
  <c r="I64" i="12"/>
  <c r="H64" i="12"/>
  <c r="G64" i="12"/>
  <c r="P63" i="13"/>
  <c r="R63" i="13" s="1"/>
  <c r="S63" i="12"/>
  <c r="S63" i="13"/>
  <c r="O63" i="13"/>
  <c r="P63" i="12"/>
  <c r="R63" i="12" s="1"/>
  <c r="R62" i="12"/>
  <c r="F65" i="13"/>
  <c r="D65" i="13"/>
  <c r="E64" i="13"/>
  <c r="D65" i="12"/>
  <c r="E64" i="12"/>
  <c r="F65" i="12"/>
  <c r="O64" i="12" l="1"/>
  <c r="L65" i="12"/>
  <c r="W62" i="12"/>
  <c r="L65" i="13"/>
  <c r="W62" i="13"/>
  <c r="N65" i="13"/>
  <c r="M65" i="13"/>
  <c r="M65" i="12"/>
  <c r="N65" i="12"/>
  <c r="J65" i="13"/>
  <c r="Q65" i="13" s="1"/>
  <c r="K65" i="13"/>
  <c r="I65" i="13"/>
  <c r="H65" i="13"/>
  <c r="G65" i="13"/>
  <c r="J65" i="12"/>
  <c r="Q65" i="12" s="1"/>
  <c r="K65" i="12"/>
  <c r="I65" i="12"/>
  <c r="H65" i="12"/>
  <c r="G65" i="12"/>
  <c r="P64" i="13"/>
  <c r="R64" i="13" s="1"/>
  <c r="S64" i="12"/>
  <c r="S64" i="13"/>
  <c r="O64" i="13"/>
  <c r="Q64" i="12"/>
  <c r="P64" i="12"/>
  <c r="F66" i="13"/>
  <c r="D66" i="13"/>
  <c r="E65" i="13"/>
  <c r="F66" i="12"/>
  <c r="E65" i="12"/>
  <c r="D66" i="12"/>
  <c r="O65" i="12" l="1"/>
  <c r="L66" i="12"/>
  <c r="W63" i="12"/>
  <c r="L66" i="13"/>
  <c r="W63" i="13"/>
  <c r="M66" i="13"/>
  <c r="N66" i="13"/>
  <c r="N66" i="12"/>
  <c r="M66" i="12"/>
  <c r="K66" i="13"/>
  <c r="J66" i="13"/>
  <c r="Q66" i="13" s="1"/>
  <c r="I66" i="13"/>
  <c r="H66" i="13"/>
  <c r="G66" i="13"/>
  <c r="J66" i="12"/>
  <c r="Q66" i="12" s="1"/>
  <c r="K66" i="12"/>
  <c r="I66" i="12"/>
  <c r="H66" i="12"/>
  <c r="G66" i="12"/>
  <c r="P65" i="13"/>
  <c r="R65" i="13" s="1"/>
  <c r="S65" i="13"/>
  <c r="S65" i="12"/>
  <c r="O65" i="13"/>
  <c r="P65" i="12"/>
  <c r="R65" i="12" s="1"/>
  <c r="R64" i="12"/>
  <c r="D67" i="13"/>
  <c r="E66" i="13"/>
  <c r="F67" i="13"/>
  <c r="D67" i="12"/>
  <c r="E66" i="12"/>
  <c r="F67" i="12"/>
  <c r="O66" i="12" l="1"/>
  <c r="L67" i="12"/>
  <c r="W64" i="12"/>
  <c r="L67" i="13"/>
  <c r="W64" i="13"/>
  <c r="N67" i="13"/>
  <c r="M67" i="13"/>
  <c r="K67" i="12"/>
  <c r="M67" i="12"/>
  <c r="N67" i="12"/>
  <c r="J67" i="13"/>
  <c r="Q67" i="13" s="1"/>
  <c r="K67" i="13"/>
  <c r="I67" i="13"/>
  <c r="H67" i="13"/>
  <c r="G67" i="13"/>
  <c r="J67" i="12"/>
  <c r="Q67" i="12" s="1"/>
  <c r="I67" i="12"/>
  <c r="H67" i="12"/>
  <c r="G67" i="12"/>
  <c r="P66" i="13"/>
  <c r="R66" i="13" s="1"/>
  <c r="S66" i="12"/>
  <c r="S66" i="13"/>
  <c r="O66" i="13"/>
  <c r="P66" i="12"/>
  <c r="R66" i="12" s="1"/>
  <c r="F68" i="13"/>
  <c r="D68" i="13"/>
  <c r="E67" i="13"/>
  <c r="E67" i="12"/>
  <c r="D68" i="12"/>
  <c r="F68" i="12"/>
  <c r="O67" i="12" l="1"/>
  <c r="L68" i="12"/>
  <c r="W65" i="12"/>
  <c r="L68" i="13"/>
  <c r="W65" i="13"/>
  <c r="M68" i="13"/>
  <c r="N68" i="13"/>
  <c r="N68" i="12"/>
  <c r="M68" i="12"/>
  <c r="J68" i="13"/>
  <c r="Q68" i="13" s="1"/>
  <c r="K68" i="13"/>
  <c r="I68" i="13"/>
  <c r="H68" i="13"/>
  <c r="G68" i="13"/>
  <c r="K68" i="12"/>
  <c r="I68" i="12"/>
  <c r="J68" i="12"/>
  <c r="Q68" i="12" s="1"/>
  <c r="H68" i="12"/>
  <c r="G68" i="12"/>
  <c r="P67" i="13"/>
  <c r="R67" i="13" s="1"/>
  <c r="S67" i="13"/>
  <c r="S67" i="12"/>
  <c r="O67" i="13"/>
  <c r="P67" i="12"/>
  <c r="F69" i="13"/>
  <c r="D69" i="13"/>
  <c r="E68" i="13"/>
  <c r="D69" i="12"/>
  <c r="E68" i="12"/>
  <c r="F69" i="12"/>
  <c r="O68" i="12" l="1"/>
  <c r="L69" i="12"/>
  <c r="W66" i="12"/>
  <c r="L69" i="13"/>
  <c r="W66" i="13"/>
  <c r="N69" i="13"/>
  <c r="K69" i="13"/>
  <c r="M69" i="13"/>
  <c r="M69" i="12"/>
  <c r="N69" i="12"/>
  <c r="J69" i="13"/>
  <c r="Q69" i="13" s="1"/>
  <c r="I69" i="13"/>
  <c r="H69" i="13"/>
  <c r="G69" i="13"/>
  <c r="J69" i="12"/>
  <c r="Q69" i="12" s="1"/>
  <c r="K69" i="12"/>
  <c r="I69" i="12"/>
  <c r="H69" i="12"/>
  <c r="G69" i="12"/>
  <c r="P68" i="13"/>
  <c r="R68" i="13" s="1"/>
  <c r="S68" i="12"/>
  <c r="S68" i="13"/>
  <c r="O68" i="13"/>
  <c r="P68" i="12"/>
  <c r="R68" i="12" s="1"/>
  <c r="R67" i="12"/>
  <c r="F70" i="13"/>
  <c r="D70" i="13"/>
  <c r="E69" i="13"/>
  <c r="F70" i="12"/>
  <c r="D70" i="12"/>
  <c r="E69" i="12"/>
  <c r="O69" i="12" l="1"/>
  <c r="L70" i="12"/>
  <c r="W67" i="12"/>
  <c r="L70" i="13"/>
  <c r="W67" i="13"/>
  <c r="M70" i="13"/>
  <c r="K70" i="13"/>
  <c r="N70" i="13"/>
  <c r="N70" i="12"/>
  <c r="M70" i="12"/>
  <c r="J70" i="13"/>
  <c r="Q70" i="13" s="1"/>
  <c r="I70" i="13"/>
  <c r="H70" i="13"/>
  <c r="G70" i="13"/>
  <c r="J70" i="12"/>
  <c r="Q70" i="12" s="1"/>
  <c r="K70" i="12"/>
  <c r="I70" i="12"/>
  <c r="H70" i="12"/>
  <c r="G70" i="12"/>
  <c r="P69" i="13"/>
  <c r="R69" i="13" s="1"/>
  <c r="S69" i="12"/>
  <c r="S69" i="13"/>
  <c r="O69" i="13"/>
  <c r="P69" i="12"/>
  <c r="R69" i="12" s="1"/>
  <c r="F71" i="13"/>
  <c r="D71" i="13"/>
  <c r="E70" i="13"/>
  <c r="E70" i="12"/>
  <c r="D71" i="12"/>
  <c r="F71" i="12"/>
  <c r="O70" i="12" l="1"/>
  <c r="L71" i="12"/>
  <c r="W68" i="12"/>
  <c r="L71" i="13"/>
  <c r="W68" i="13"/>
  <c r="N71" i="13"/>
  <c r="K71" i="13"/>
  <c r="M71" i="13"/>
  <c r="M71" i="12"/>
  <c r="N71" i="12"/>
  <c r="J71" i="13"/>
  <c r="Q71" i="13" s="1"/>
  <c r="I71" i="13"/>
  <c r="H71" i="13"/>
  <c r="G71" i="13"/>
  <c r="J71" i="12"/>
  <c r="Q71" i="12" s="1"/>
  <c r="K71" i="12"/>
  <c r="I71" i="12"/>
  <c r="H71" i="12"/>
  <c r="G71" i="12"/>
  <c r="P70" i="13"/>
  <c r="R70" i="13" s="1"/>
  <c r="S70" i="13"/>
  <c r="S70" i="12"/>
  <c r="O70" i="13"/>
  <c r="P70" i="12"/>
  <c r="D72" i="13"/>
  <c r="E71" i="13"/>
  <c r="F72" i="13"/>
  <c r="E71" i="12"/>
  <c r="D72" i="12"/>
  <c r="F72" i="12"/>
  <c r="O71" i="12" l="1"/>
  <c r="L72" i="13"/>
  <c r="W69" i="13"/>
  <c r="L72" i="12"/>
  <c r="W69" i="12"/>
  <c r="M72" i="13"/>
  <c r="N72" i="13"/>
  <c r="K72" i="12"/>
  <c r="N72" i="12"/>
  <c r="M72" i="12"/>
  <c r="K72" i="13"/>
  <c r="J72" i="13"/>
  <c r="Q72" i="13" s="1"/>
  <c r="I72" i="13"/>
  <c r="H72" i="13"/>
  <c r="G72" i="13"/>
  <c r="J72" i="12"/>
  <c r="Q72" i="12" s="1"/>
  <c r="I72" i="12"/>
  <c r="H72" i="12"/>
  <c r="G72" i="12"/>
  <c r="P71" i="13"/>
  <c r="R71" i="13" s="1"/>
  <c r="S71" i="13"/>
  <c r="S71" i="12"/>
  <c r="O71" i="13"/>
  <c r="P71" i="12"/>
  <c r="R70" i="12"/>
  <c r="F73" i="13"/>
  <c r="D73" i="13"/>
  <c r="E72" i="13"/>
  <c r="E72" i="12"/>
  <c r="D73" i="12"/>
  <c r="F73" i="12"/>
  <c r="O72" i="12" l="1"/>
  <c r="L73" i="12"/>
  <c r="W70" i="12"/>
  <c r="L73" i="13"/>
  <c r="W70" i="13"/>
  <c r="N73" i="13"/>
  <c r="M73" i="13"/>
  <c r="K73" i="12"/>
  <c r="M73" i="12"/>
  <c r="N73" i="12"/>
  <c r="J73" i="13"/>
  <c r="Q73" i="13" s="1"/>
  <c r="K73" i="13"/>
  <c r="I73" i="13"/>
  <c r="H73" i="13"/>
  <c r="G73" i="13"/>
  <c r="J73" i="12"/>
  <c r="Q73" i="12" s="1"/>
  <c r="I73" i="12"/>
  <c r="H73" i="12"/>
  <c r="G73" i="12"/>
  <c r="P72" i="13"/>
  <c r="R72" i="13" s="1"/>
  <c r="S72" i="13"/>
  <c r="S72" i="12"/>
  <c r="O72" i="13"/>
  <c r="P72" i="12"/>
  <c r="R72" i="12" s="1"/>
  <c r="R71" i="12"/>
  <c r="D74" i="13"/>
  <c r="E73" i="13"/>
  <c r="F74" i="13"/>
  <c r="D74" i="12"/>
  <c r="E73" i="12"/>
  <c r="F74" i="12"/>
  <c r="O73" i="12" l="1"/>
  <c r="L74" i="12"/>
  <c r="W71" i="12"/>
  <c r="L74" i="13"/>
  <c r="W71" i="13"/>
  <c r="M74" i="13"/>
  <c r="N74" i="13"/>
  <c r="N74" i="12"/>
  <c r="M74" i="12"/>
  <c r="J74" i="13"/>
  <c r="Q74" i="13" s="1"/>
  <c r="K74" i="13"/>
  <c r="I74" i="13"/>
  <c r="H74" i="13"/>
  <c r="G74" i="13"/>
  <c r="J74" i="12"/>
  <c r="Q74" i="12" s="1"/>
  <c r="K74" i="12"/>
  <c r="I74" i="12"/>
  <c r="H74" i="12"/>
  <c r="G74" i="12"/>
  <c r="P73" i="13"/>
  <c r="R73" i="13" s="1"/>
  <c r="S73" i="12"/>
  <c r="S73" i="13"/>
  <c r="O73" i="13"/>
  <c r="P73" i="12"/>
  <c r="R73" i="12" s="1"/>
  <c r="F75" i="13"/>
  <c r="D75" i="13"/>
  <c r="E74" i="13"/>
  <c r="F75" i="12"/>
  <c r="E74" i="12"/>
  <c r="D75" i="12"/>
  <c r="O74" i="12" l="1"/>
  <c r="L75" i="12"/>
  <c r="W72" i="12"/>
  <c r="L75" i="13"/>
  <c r="W72" i="13"/>
  <c r="N75" i="13"/>
  <c r="K75" i="13"/>
  <c r="M75" i="13"/>
  <c r="M75" i="12"/>
  <c r="N75" i="12"/>
  <c r="J75" i="13"/>
  <c r="Q75" i="13" s="1"/>
  <c r="I75" i="13"/>
  <c r="H75" i="13"/>
  <c r="G75" i="13"/>
  <c r="K75" i="12"/>
  <c r="I75" i="12"/>
  <c r="J75" i="12"/>
  <c r="Q75" i="12" s="1"/>
  <c r="H75" i="12"/>
  <c r="G75" i="12"/>
  <c r="P74" i="13"/>
  <c r="R74" i="13" s="1"/>
  <c r="S74" i="13"/>
  <c r="S74" i="12"/>
  <c r="O74" i="13"/>
  <c r="P74" i="12"/>
  <c r="R74" i="12" s="1"/>
  <c r="F76" i="13"/>
  <c r="D76" i="13"/>
  <c r="E75" i="13"/>
  <c r="D76" i="12"/>
  <c r="E75" i="12"/>
  <c r="F76" i="12"/>
  <c r="O75" i="12" l="1"/>
  <c r="L76" i="12"/>
  <c r="W73" i="12"/>
  <c r="L76" i="13"/>
  <c r="W73" i="13"/>
  <c r="M76" i="13"/>
  <c r="N76" i="13"/>
  <c r="K76" i="12"/>
  <c r="N76" i="12"/>
  <c r="M76" i="12"/>
  <c r="K76" i="13"/>
  <c r="J76" i="13"/>
  <c r="Q76" i="13" s="1"/>
  <c r="I76" i="13"/>
  <c r="H76" i="13"/>
  <c r="G76" i="13"/>
  <c r="J76" i="12"/>
  <c r="Q76" i="12" s="1"/>
  <c r="I76" i="12"/>
  <c r="H76" i="12"/>
  <c r="G76" i="12"/>
  <c r="P75" i="13"/>
  <c r="R75" i="13" s="1"/>
  <c r="S75" i="12"/>
  <c r="S75" i="13"/>
  <c r="O75" i="13"/>
  <c r="P75" i="12"/>
  <c r="R75" i="12" s="1"/>
  <c r="D77" i="13"/>
  <c r="E76" i="13"/>
  <c r="F77" i="13"/>
  <c r="E76" i="12"/>
  <c r="D77" i="12"/>
  <c r="F77" i="12"/>
  <c r="O76" i="12" l="1"/>
  <c r="L77" i="12"/>
  <c r="W74" i="12"/>
  <c r="L77" i="13"/>
  <c r="W74" i="13"/>
  <c r="K77" i="13"/>
  <c r="N77" i="13"/>
  <c r="M77" i="13"/>
  <c r="M77" i="12"/>
  <c r="N77" i="12"/>
  <c r="J77" i="13"/>
  <c r="Q77" i="13" s="1"/>
  <c r="I77" i="13"/>
  <c r="H77" i="13"/>
  <c r="G77" i="13"/>
  <c r="J77" i="12"/>
  <c r="Q77" i="12" s="1"/>
  <c r="K77" i="12"/>
  <c r="I77" i="12"/>
  <c r="H77" i="12"/>
  <c r="G77" i="12"/>
  <c r="P76" i="13"/>
  <c r="R76" i="13" s="1"/>
  <c r="S76" i="12"/>
  <c r="S76" i="13"/>
  <c r="O76" i="13"/>
  <c r="P76" i="12"/>
  <c r="R76" i="12" s="1"/>
  <c r="F78" i="13"/>
  <c r="D78" i="13"/>
  <c r="E77" i="13"/>
  <c r="F78" i="12"/>
  <c r="D78" i="12"/>
  <c r="E77" i="12"/>
  <c r="O77" i="12" l="1"/>
  <c r="L78" i="13"/>
  <c r="W75" i="13"/>
  <c r="L78" i="12"/>
  <c r="W75" i="12"/>
  <c r="M78" i="13"/>
  <c r="N78" i="13"/>
  <c r="K78" i="13"/>
  <c r="N78" i="12"/>
  <c r="M78" i="12"/>
  <c r="J78" i="13"/>
  <c r="Q78" i="13" s="1"/>
  <c r="I78" i="13"/>
  <c r="H78" i="13"/>
  <c r="G78" i="13"/>
  <c r="J78" i="12"/>
  <c r="Q78" i="12" s="1"/>
  <c r="K78" i="12"/>
  <c r="I78" i="12"/>
  <c r="H78" i="12"/>
  <c r="G78" i="12"/>
  <c r="P77" i="13"/>
  <c r="R77" i="13" s="1"/>
  <c r="S77" i="12"/>
  <c r="S77" i="13"/>
  <c r="O77" i="13"/>
  <c r="P77" i="12"/>
  <c r="R77" i="12" s="1"/>
  <c r="D79" i="13"/>
  <c r="E78" i="13"/>
  <c r="F79" i="13"/>
  <c r="F79" i="12"/>
  <c r="E78" i="12"/>
  <c r="D79" i="12"/>
  <c r="O78" i="12" l="1"/>
  <c r="L79" i="13"/>
  <c r="W76" i="13"/>
  <c r="L79" i="12"/>
  <c r="W76" i="12"/>
  <c r="N79" i="13"/>
  <c r="M79" i="13"/>
  <c r="K79" i="12"/>
  <c r="M79" i="12"/>
  <c r="N79" i="12"/>
  <c r="K79" i="13"/>
  <c r="J79" i="13"/>
  <c r="Q79" i="13" s="1"/>
  <c r="I79" i="13"/>
  <c r="H79" i="13"/>
  <c r="G79" i="13"/>
  <c r="I79" i="12"/>
  <c r="J79" i="12"/>
  <c r="Q79" i="12" s="1"/>
  <c r="H79" i="12"/>
  <c r="G79" i="12"/>
  <c r="P78" i="13"/>
  <c r="R78" i="13" s="1"/>
  <c r="S78" i="12"/>
  <c r="S78" i="13"/>
  <c r="O78" i="13"/>
  <c r="P78" i="12"/>
  <c r="R78" i="12" s="1"/>
  <c r="D80" i="13"/>
  <c r="E79" i="13"/>
  <c r="F80" i="13"/>
  <c r="F80" i="12"/>
  <c r="D80" i="12"/>
  <c r="E79" i="12"/>
  <c r="O79" i="12" l="1"/>
  <c r="L80" i="12"/>
  <c r="W77" i="12"/>
  <c r="L80" i="13"/>
  <c r="W77" i="13"/>
  <c r="M80" i="13"/>
  <c r="N80" i="13"/>
  <c r="K80" i="12"/>
  <c r="N80" i="12"/>
  <c r="M80" i="12"/>
  <c r="J80" i="13"/>
  <c r="Q80" i="13" s="1"/>
  <c r="K80" i="13"/>
  <c r="I80" i="13"/>
  <c r="H80" i="13"/>
  <c r="G80" i="13"/>
  <c r="J80" i="12"/>
  <c r="Q80" i="12" s="1"/>
  <c r="I80" i="12"/>
  <c r="H80" i="12"/>
  <c r="G80" i="12"/>
  <c r="P79" i="13"/>
  <c r="R79" i="13" s="1"/>
  <c r="S79" i="12"/>
  <c r="S79" i="13"/>
  <c r="O79" i="13"/>
  <c r="P79" i="12"/>
  <c r="R79" i="12" s="1"/>
  <c r="F81" i="13"/>
  <c r="D81" i="13"/>
  <c r="E80" i="13"/>
  <c r="E80" i="12"/>
  <c r="D81" i="12"/>
  <c r="F81" i="12"/>
  <c r="O80" i="12" l="1"/>
  <c r="L81" i="12"/>
  <c r="W78" i="12"/>
  <c r="L81" i="13"/>
  <c r="W78" i="13"/>
  <c r="N81" i="13"/>
  <c r="M81" i="13"/>
  <c r="K81" i="12"/>
  <c r="M81" i="12"/>
  <c r="N81" i="12"/>
  <c r="J81" i="13"/>
  <c r="Q81" i="13" s="1"/>
  <c r="K81" i="13"/>
  <c r="I81" i="13"/>
  <c r="H81" i="13"/>
  <c r="G81" i="13"/>
  <c r="J81" i="12"/>
  <c r="Q81" i="12" s="1"/>
  <c r="I81" i="12"/>
  <c r="H81" i="12"/>
  <c r="G81" i="12"/>
  <c r="P80" i="13"/>
  <c r="R80" i="13" s="1"/>
  <c r="S80" i="12"/>
  <c r="S80" i="13"/>
  <c r="O80" i="13"/>
  <c r="P80" i="12"/>
  <c r="R80" i="12" s="1"/>
  <c r="F82" i="13"/>
  <c r="D82" i="13"/>
  <c r="E81" i="13"/>
  <c r="D82" i="12"/>
  <c r="E81" i="12"/>
  <c r="F82" i="12"/>
  <c r="O81" i="12" l="1"/>
  <c r="L82" i="12"/>
  <c r="W79" i="12"/>
  <c r="L82" i="13"/>
  <c r="W79" i="13"/>
  <c r="K82" i="13"/>
  <c r="M82" i="13"/>
  <c r="N82" i="13"/>
  <c r="K82" i="12"/>
  <c r="N82" i="12"/>
  <c r="M82" i="12"/>
  <c r="J82" i="13"/>
  <c r="Q82" i="13" s="1"/>
  <c r="I82" i="13"/>
  <c r="H82" i="13"/>
  <c r="G82" i="13"/>
  <c r="I82" i="12"/>
  <c r="J82" i="12"/>
  <c r="Q82" i="12" s="1"/>
  <c r="H82" i="12"/>
  <c r="G82" i="12"/>
  <c r="P81" i="13"/>
  <c r="R81" i="13" s="1"/>
  <c r="S81" i="12"/>
  <c r="S81" i="13"/>
  <c r="O81" i="13"/>
  <c r="P81" i="12"/>
  <c r="R81" i="12" s="1"/>
  <c r="F83" i="13"/>
  <c r="D83" i="13"/>
  <c r="E82" i="13"/>
  <c r="E82" i="12"/>
  <c r="D83" i="12"/>
  <c r="F83" i="12"/>
  <c r="O82" i="12" l="1"/>
  <c r="L83" i="12"/>
  <c r="W80" i="12"/>
  <c r="L83" i="13"/>
  <c r="W80" i="13"/>
  <c r="N83" i="13"/>
  <c r="M83" i="13"/>
  <c r="K83" i="12"/>
  <c r="M83" i="12"/>
  <c r="N83" i="12"/>
  <c r="J83" i="13"/>
  <c r="Q83" i="13" s="1"/>
  <c r="K83" i="13"/>
  <c r="I83" i="13"/>
  <c r="H83" i="13"/>
  <c r="G83" i="13"/>
  <c r="J83" i="12"/>
  <c r="Q83" i="12" s="1"/>
  <c r="I83" i="12"/>
  <c r="H83" i="12"/>
  <c r="G83" i="12"/>
  <c r="S82" i="12"/>
  <c r="S82" i="13"/>
  <c r="P82" i="13"/>
  <c r="R82" i="13" s="1"/>
  <c r="O82" i="13"/>
  <c r="P82" i="12"/>
  <c r="R82" i="12" s="1"/>
  <c r="D84" i="13"/>
  <c r="E83" i="13"/>
  <c r="F84" i="13"/>
  <c r="D84" i="12"/>
  <c r="E83" i="12"/>
  <c r="F84" i="12"/>
  <c r="O83" i="12" l="1"/>
  <c r="L84" i="12"/>
  <c r="W81" i="12"/>
  <c r="L84" i="13"/>
  <c r="W81" i="13"/>
  <c r="K84" i="13"/>
  <c r="M84" i="13"/>
  <c r="N84" i="13"/>
  <c r="N84" i="12"/>
  <c r="M84" i="12"/>
  <c r="J84" i="13"/>
  <c r="Q84" i="13" s="1"/>
  <c r="I84" i="13"/>
  <c r="H84" i="13"/>
  <c r="G84" i="13"/>
  <c r="J84" i="12"/>
  <c r="Q84" i="12" s="1"/>
  <c r="K84" i="12"/>
  <c r="I84" i="12"/>
  <c r="H84" i="12"/>
  <c r="G84" i="12"/>
  <c r="P83" i="13"/>
  <c r="R83" i="13" s="1"/>
  <c r="S83" i="12"/>
  <c r="S83" i="13"/>
  <c r="O83" i="13"/>
  <c r="P83" i="12"/>
  <c r="R83" i="12" s="1"/>
  <c r="F85" i="13"/>
  <c r="D85" i="13"/>
  <c r="E84" i="13"/>
  <c r="E84" i="12"/>
  <c r="D85" i="12"/>
  <c r="F85" i="12"/>
  <c r="O84" i="12" l="1"/>
  <c r="L85" i="12"/>
  <c r="W82" i="12"/>
  <c r="L85" i="13"/>
  <c r="W82" i="13"/>
  <c r="N85" i="13"/>
  <c r="M85" i="13"/>
  <c r="K85" i="13"/>
  <c r="M85" i="12"/>
  <c r="N85" i="12"/>
  <c r="J85" i="13"/>
  <c r="Q85" i="13" s="1"/>
  <c r="I85" i="13"/>
  <c r="H85" i="13"/>
  <c r="G85" i="13"/>
  <c r="J85" i="12"/>
  <c r="Q85" i="12" s="1"/>
  <c r="K85" i="12"/>
  <c r="I85" i="12"/>
  <c r="H85" i="12"/>
  <c r="G85" i="12"/>
  <c r="S84" i="13"/>
  <c r="S84" i="12"/>
  <c r="O84" i="13"/>
  <c r="P84" i="13"/>
  <c r="R84" i="13" s="1"/>
  <c r="P84" i="12"/>
  <c r="R84" i="12" s="1"/>
  <c r="D86" i="13"/>
  <c r="E85" i="13"/>
  <c r="F86" i="13"/>
  <c r="F86" i="12"/>
  <c r="D86" i="12"/>
  <c r="E85" i="12"/>
  <c r="O85" i="12" l="1"/>
  <c r="L86" i="12"/>
  <c r="W83" i="12"/>
  <c r="L86" i="13"/>
  <c r="W83" i="13"/>
  <c r="M86" i="13"/>
  <c r="N86" i="13"/>
  <c r="N86" i="12"/>
  <c r="M86" i="12"/>
  <c r="K86" i="13"/>
  <c r="J86" i="13"/>
  <c r="Q86" i="13" s="1"/>
  <c r="I86" i="13"/>
  <c r="H86" i="13"/>
  <c r="G86" i="13"/>
  <c r="J86" i="12"/>
  <c r="Q86" i="12" s="1"/>
  <c r="K86" i="12"/>
  <c r="I86" i="12"/>
  <c r="H86" i="12"/>
  <c r="G86" i="12"/>
  <c r="P85" i="13"/>
  <c r="R85" i="13" s="1"/>
  <c r="S85" i="12"/>
  <c r="S85" i="13"/>
  <c r="O85" i="13"/>
  <c r="P85" i="12"/>
  <c r="R85" i="12" s="1"/>
  <c r="F87" i="13"/>
  <c r="D87" i="13"/>
  <c r="E86" i="13"/>
  <c r="E86" i="12"/>
  <c r="D87" i="12"/>
  <c r="F87" i="12"/>
  <c r="O86" i="12" l="1"/>
  <c r="L87" i="12"/>
  <c r="W84" i="12"/>
  <c r="L87" i="13"/>
  <c r="W84" i="13"/>
  <c r="N87" i="13"/>
  <c r="K87" i="13"/>
  <c r="M87" i="13"/>
  <c r="M87" i="12"/>
  <c r="N87" i="12"/>
  <c r="J87" i="13"/>
  <c r="Q87" i="13" s="1"/>
  <c r="I87" i="13"/>
  <c r="H87" i="13"/>
  <c r="G87" i="13"/>
  <c r="J87" i="12"/>
  <c r="Q87" i="12" s="1"/>
  <c r="K87" i="12"/>
  <c r="I87" i="12"/>
  <c r="H87" i="12"/>
  <c r="G87" i="12"/>
  <c r="P86" i="13"/>
  <c r="R86" i="13" s="1"/>
  <c r="S86" i="13"/>
  <c r="S86" i="12"/>
  <c r="O86" i="13"/>
  <c r="P86" i="12"/>
  <c r="R86" i="12" s="1"/>
  <c r="F88" i="13"/>
  <c r="D88" i="13"/>
  <c r="E87" i="13"/>
  <c r="D88" i="12"/>
  <c r="E87" i="12"/>
  <c r="F88" i="12"/>
  <c r="O87" i="12" l="1"/>
  <c r="L88" i="13"/>
  <c r="W85" i="13"/>
  <c r="L88" i="12"/>
  <c r="W85" i="12"/>
  <c r="M88" i="13"/>
  <c r="N88" i="13"/>
  <c r="N88" i="12"/>
  <c r="M88" i="12"/>
  <c r="K88" i="13"/>
  <c r="J88" i="13"/>
  <c r="Q88" i="13" s="1"/>
  <c r="I88" i="13"/>
  <c r="H88" i="13"/>
  <c r="G88" i="13"/>
  <c r="K88" i="12"/>
  <c r="I88" i="12"/>
  <c r="J88" i="12"/>
  <c r="Q88" i="12" s="1"/>
  <c r="H88" i="12"/>
  <c r="G88" i="12"/>
  <c r="P87" i="13"/>
  <c r="R87" i="13" s="1"/>
  <c r="S87" i="12"/>
  <c r="S87" i="13"/>
  <c r="O87" i="13"/>
  <c r="P87" i="12"/>
  <c r="R87" i="12" s="1"/>
  <c r="F89" i="13"/>
  <c r="D89" i="13"/>
  <c r="E88" i="13"/>
  <c r="F89" i="12"/>
  <c r="E88" i="12"/>
  <c r="D89" i="12"/>
  <c r="O88" i="12" l="1"/>
  <c r="L89" i="12"/>
  <c r="W86" i="12"/>
  <c r="L89" i="13"/>
  <c r="W86" i="13"/>
  <c r="N89" i="13"/>
  <c r="K89" i="13"/>
  <c r="M89" i="13"/>
  <c r="K89" i="12"/>
  <c r="M89" i="12"/>
  <c r="N89" i="12"/>
  <c r="J89" i="13"/>
  <c r="Q89" i="13" s="1"/>
  <c r="I89" i="13"/>
  <c r="H89" i="13"/>
  <c r="G89" i="13"/>
  <c r="J89" i="12"/>
  <c r="Q89" i="12" s="1"/>
  <c r="I89" i="12"/>
  <c r="H89" i="12"/>
  <c r="G89" i="12"/>
  <c r="P88" i="13"/>
  <c r="R88" i="13" s="1"/>
  <c r="S88" i="12"/>
  <c r="S88" i="13"/>
  <c r="O88" i="13"/>
  <c r="P88" i="12"/>
  <c r="R88" i="12" s="1"/>
  <c r="E89" i="13"/>
  <c r="D90" i="13"/>
  <c r="F90" i="13"/>
  <c r="E89" i="12"/>
  <c r="D90" i="12"/>
  <c r="F90" i="12"/>
  <c r="O89" i="12" l="1"/>
  <c r="L90" i="12"/>
  <c r="W87" i="12"/>
  <c r="L90" i="13"/>
  <c r="W87" i="13"/>
  <c r="M90" i="13"/>
  <c r="N90" i="13"/>
  <c r="N90" i="12"/>
  <c r="M90" i="12"/>
  <c r="J90" i="13"/>
  <c r="Q90" i="13" s="1"/>
  <c r="K90" i="13"/>
  <c r="I90" i="13"/>
  <c r="H90" i="13"/>
  <c r="G90" i="13"/>
  <c r="J90" i="12"/>
  <c r="Q90" i="12" s="1"/>
  <c r="K90" i="12"/>
  <c r="I90" i="12"/>
  <c r="H90" i="12"/>
  <c r="G90" i="12"/>
  <c r="P89" i="13"/>
  <c r="R89" i="13" s="1"/>
  <c r="S89" i="12"/>
  <c r="S89" i="13"/>
  <c r="O89" i="13"/>
  <c r="P89" i="12"/>
  <c r="R89" i="12" s="1"/>
  <c r="F91" i="13"/>
  <c r="D91" i="13"/>
  <c r="E90" i="13"/>
  <c r="F91" i="12"/>
  <c r="E90" i="12"/>
  <c r="D91" i="12"/>
  <c r="O90" i="12" l="1"/>
  <c r="L91" i="12"/>
  <c r="W88" i="12"/>
  <c r="L91" i="13"/>
  <c r="W88" i="13"/>
  <c r="N91" i="13"/>
  <c r="K91" i="13"/>
  <c r="M91" i="13"/>
  <c r="K91" i="12"/>
  <c r="M91" i="12"/>
  <c r="N91" i="12"/>
  <c r="J91" i="13"/>
  <c r="Q91" i="13" s="1"/>
  <c r="I91" i="13"/>
  <c r="H91" i="13"/>
  <c r="G91" i="13"/>
  <c r="I91" i="12"/>
  <c r="J91" i="12"/>
  <c r="Q91" i="12" s="1"/>
  <c r="H91" i="12"/>
  <c r="G91" i="12"/>
  <c r="P90" i="13"/>
  <c r="R90" i="13" s="1"/>
  <c r="S90" i="12"/>
  <c r="S90" i="13"/>
  <c r="O90" i="13"/>
  <c r="P90" i="12"/>
  <c r="R90" i="12" s="1"/>
  <c r="F92" i="13"/>
  <c r="E91" i="13"/>
  <c r="D92" i="13"/>
  <c r="F92" i="12"/>
  <c r="E91" i="12"/>
  <c r="D92" i="12"/>
  <c r="O91" i="12" l="1"/>
  <c r="L92" i="12"/>
  <c r="W89" i="12"/>
  <c r="L92" i="13"/>
  <c r="W89" i="13"/>
  <c r="M92" i="13"/>
  <c r="N92" i="13"/>
  <c r="K92" i="12"/>
  <c r="N92" i="12"/>
  <c r="M92" i="12"/>
  <c r="J92" i="13"/>
  <c r="Q92" i="13" s="1"/>
  <c r="K92" i="13"/>
  <c r="I92" i="13"/>
  <c r="H92" i="13"/>
  <c r="G92" i="13"/>
  <c r="J92" i="12"/>
  <c r="Q92" i="12" s="1"/>
  <c r="I92" i="12"/>
  <c r="H92" i="12"/>
  <c r="G92" i="12"/>
  <c r="P91" i="13"/>
  <c r="R91" i="13" s="1"/>
  <c r="S91" i="13"/>
  <c r="S91" i="12"/>
  <c r="O91" i="13"/>
  <c r="P91" i="12"/>
  <c r="R91" i="12" s="1"/>
  <c r="F93" i="13"/>
  <c r="D93" i="13"/>
  <c r="E92" i="13"/>
  <c r="F93" i="12"/>
  <c r="E92" i="12"/>
  <c r="D93" i="12"/>
  <c r="O92" i="12" l="1"/>
  <c r="L93" i="12"/>
  <c r="W90" i="12"/>
  <c r="L93" i="13"/>
  <c r="W90" i="13"/>
  <c r="N93" i="13"/>
  <c r="M93" i="13"/>
  <c r="M93" i="12"/>
  <c r="N93" i="12"/>
  <c r="J93" i="13"/>
  <c r="Q93" i="13" s="1"/>
  <c r="K93" i="13"/>
  <c r="I93" i="13"/>
  <c r="H93" i="13"/>
  <c r="G93" i="13"/>
  <c r="K93" i="12"/>
  <c r="J93" i="12"/>
  <c r="Q93" i="12" s="1"/>
  <c r="I93" i="12"/>
  <c r="H93" i="12"/>
  <c r="G93" i="12"/>
  <c r="P92" i="13"/>
  <c r="R92" i="13" s="1"/>
  <c r="S92" i="13"/>
  <c r="S92" i="12"/>
  <c r="O92" i="13"/>
  <c r="P92" i="12"/>
  <c r="R92" i="12" s="1"/>
  <c r="F94" i="13"/>
  <c r="E93" i="13"/>
  <c r="D94" i="13"/>
  <c r="E93" i="12"/>
  <c r="D94" i="12"/>
  <c r="F94" i="12"/>
  <c r="O93" i="12" l="1"/>
  <c r="L94" i="12"/>
  <c r="W91" i="12"/>
  <c r="L94" i="13"/>
  <c r="W91" i="13"/>
  <c r="M94" i="13"/>
  <c r="N94" i="13"/>
  <c r="K94" i="12"/>
  <c r="N94" i="12"/>
  <c r="M94" i="12"/>
  <c r="J94" i="13"/>
  <c r="Q94" i="13" s="1"/>
  <c r="K94" i="13"/>
  <c r="I94" i="13"/>
  <c r="H94" i="13"/>
  <c r="G94" i="13"/>
  <c r="J94" i="12"/>
  <c r="Q94" i="12" s="1"/>
  <c r="I94" i="12"/>
  <c r="H94" i="12"/>
  <c r="G94" i="12"/>
  <c r="P93" i="13"/>
  <c r="R93" i="13" s="1"/>
  <c r="S93" i="13"/>
  <c r="S93" i="12"/>
  <c r="O93" i="13"/>
  <c r="P93" i="12"/>
  <c r="R93" i="12" s="1"/>
  <c r="D95" i="13"/>
  <c r="E94" i="13"/>
  <c r="F95" i="13"/>
  <c r="E94" i="12"/>
  <c r="D95" i="12"/>
  <c r="F95" i="12"/>
  <c r="O94" i="12" l="1"/>
  <c r="L95" i="12"/>
  <c r="W92" i="12"/>
  <c r="L95" i="13"/>
  <c r="W92" i="13"/>
  <c r="K95" i="13"/>
  <c r="N95" i="13"/>
  <c r="M95" i="13"/>
  <c r="K95" i="12"/>
  <c r="M95" i="12"/>
  <c r="N95" i="12"/>
  <c r="J95" i="13"/>
  <c r="Q95" i="13" s="1"/>
  <c r="I95" i="13"/>
  <c r="H95" i="13"/>
  <c r="G95" i="13"/>
  <c r="J95" i="12"/>
  <c r="Q95" i="12" s="1"/>
  <c r="I95" i="12"/>
  <c r="H95" i="12"/>
  <c r="G95" i="12"/>
  <c r="P94" i="13"/>
  <c r="R94" i="13" s="1"/>
  <c r="S94" i="13"/>
  <c r="S94" i="12"/>
  <c r="O94" i="13"/>
  <c r="P94" i="12"/>
  <c r="R94" i="12" s="1"/>
  <c r="E95" i="13"/>
  <c r="D96" i="13"/>
  <c r="F96" i="13"/>
  <c r="E95" i="12"/>
  <c r="D96" i="12"/>
  <c r="F96" i="12"/>
  <c r="O95" i="12" l="1"/>
  <c r="L96" i="12"/>
  <c r="W93" i="12"/>
  <c r="L96" i="13"/>
  <c r="W93" i="13"/>
  <c r="M96" i="13"/>
  <c r="N96" i="13"/>
  <c r="N96" i="12"/>
  <c r="M96" i="12"/>
  <c r="J96" i="13"/>
  <c r="Q96" i="13" s="1"/>
  <c r="K96" i="13"/>
  <c r="I96" i="13"/>
  <c r="H96" i="13"/>
  <c r="G96" i="13"/>
  <c r="J96" i="12"/>
  <c r="Q96" i="12" s="1"/>
  <c r="K96" i="12"/>
  <c r="I96" i="12"/>
  <c r="H96" i="12"/>
  <c r="G96" i="12"/>
  <c r="P95" i="13"/>
  <c r="R95" i="13" s="1"/>
  <c r="S95" i="13"/>
  <c r="S95" i="12"/>
  <c r="O95" i="13"/>
  <c r="P95" i="12"/>
  <c r="R95" i="12" s="1"/>
  <c r="D97" i="13"/>
  <c r="E96" i="13"/>
  <c r="F97" i="13"/>
  <c r="E96" i="12"/>
  <c r="D97" i="12"/>
  <c r="F97" i="12"/>
  <c r="O96" i="12" l="1"/>
  <c r="L97" i="13"/>
  <c r="W94" i="13"/>
  <c r="L97" i="12"/>
  <c r="W94" i="12"/>
  <c r="N97" i="13"/>
  <c r="M97" i="13"/>
  <c r="K97" i="12"/>
  <c r="M97" i="12"/>
  <c r="N97" i="12"/>
  <c r="J97" i="13"/>
  <c r="Q97" i="13" s="1"/>
  <c r="K97" i="13"/>
  <c r="I97" i="13"/>
  <c r="H97" i="13"/>
  <c r="G97" i="13"/>
  <c r="J97" i="12"/>
  <c r="Q97" i="12" s="1"/>
  <c r="I97" i="12"/>
  <c r="H97" i="12"/>
  <c r="G97" i="12"/>
  <c r="P96" i="13"/>
  <c r="R96" i="13" s="1"/>
  <c r="S96" i="13"/>
  <c r="S96" i="12"/>
  <c r="O96" i="13"/>
  <c r="P96" i="12"/>
  <c r="R96" i="12" s="1"/>
  <c r="F98" i="13"/>
  <c r="E97" i="13"/>
  <c r="D98" i="13"/>
  <c r="E97" i="12"/>
  <c r="D98" i="12"/>
  <c r="F98" i="12"/>
  <c r="O97" i="12" l="1"/>
  <c r="L98" i="12"/>
  <c r="W95" i="12"/>
  <c r="L98" i="13"/>
  <c r="W95" i="13"/>
  <c r="M98" i="13"/>
  <c r="N98" i="13"/>
  <c r="N98" i="12"/>
  <c r="M98" i="12"/>
  <c r="J98" i="13"/>
  <c r="Q98" i="13" s="1"/>
  <c r="K98" i="13"/>
  <c r="I98" i="13"/>
  <c r="H98" i="13"/>
  <c r="G98" i="13"/>
  <c r="K98" i="12"/>
  <c r="I98" i="12"/>
  <c r="J98" i="12"/>
  <c r="Q98" i="12" s="1"/>
  <c r="H98" i="12"/>
  <c r="G98" i="12"/>
  <c r="P97" i="13"/>
  <c r="R97" i="13" s="1"/>
  <c r="S97" i="12"/>
  <c r="S97" i="13"/>
  <c r="O97" i="13"/>
  <c r="P97" i="12"/>
  <c r="R97" i="12" s="1"/>
  <c r="D99" i="13"/>
  <c r="E98" i="13"/>
  <c r="F99" i="13"/>
  <c r="D99" i="12"/>
  <c r="E98" i="12"/>
  <c r="F99" i="12"/>
  <c r="O98" i="12" l="1"/>
  <c r="L99" i="12"/>
  <c r="W96" i="12"/>
  <c r="L99" i="13"/>
  <c r="W96" i="13"/>
  <c r="N99" i="13"/>
  <c r="K99" i="13"/>
  <c r="M99" i="13"/>
  <c r="M99" i="12"/>
  <c r="N99" i="12"/>
  <c r="J99" i="13"/>
  <c r="Q99" i="13" s="1"/>
  <c r="I99" i="13"/>
  <c r="H99" i="13"/>
  <c r="G99" i="13"/>
  <c r="K99" i="12"/>
  <c r="J99" i="12"/>
  <c r="Q99" i="12" s="1"/>
  <c r="I99" i="12"/>
  <c r="H99" i="12"/>
  <c r="G99" i="12"/>
  <c r="P98" i="13"/>
  <c r="R98" i="13" s="1"/>
  <c r="S98" i="12"/>
  <c r="S98" i="13"/>
  <c r="O98" i="13"/>
  <c r="P98" i="12"/>
  <c r="R98" i="12" s="1"/>
  <c r="E99" i="13"/>
  <c r="D100" i="13"/>
  <c r="F100" i="13"/>
  <c r="E99" i="12"/>
  <c r="D100" i="12"/>
  <c r="F100" i="12"/>
  <c r="O99" i="12" l="1"/>
  <c r="L100" i="12"/>
  <c r="W97" i="12"/>
  <c r="L100" i="13"/>
  <c r="W97" i="13"/>
  <c r="M100" i="13"/>
  <c r="K100" i="13"/>
  <c r="N100" i="13"/>
  <c r="K100" i="12"/>
  <c r="N100" i="12"/>
  <c r="M100" i="12"/>
  <c r="J100" i="13"/>
  <c r="Q100" i="13" s="1"/>
  <c r="I100" i="13"/>
  <c r="H100" i="13"/>
  <c r="G100" i="13"/>
  <c r="I100" i="12"/>
  <c r="J100" i="12"/>
  <c r="Q100" i="12" s="1"/>
  <c r="H100" i="12"/>
  <c r="G100" i="12"/>
  <c r="P99" i="13"/>
  <c r="R99" i="13" s="1"/>
  <c r="S99" i="12"/>
  <c r="S99" i="13"/>
  <c r="O99" i="13"/>
  <c r="P99" i="12"/>
  <c r="R99" i="12" s="1"/>
  <c r="D101" i="13"/>
  <c r="E100" i="13"/>
  <c r="F101" i="13"/>
  <c r="F101" i="12"/>
  <c r="D101" i="12"/>
  <c r="E100" i="12"/>
  <c r="O100" i="12" l="1"/>
  <c r="L101" i="12"/>
  <c r="W98" i="12"/>
  <c r="L101" i="13"/>
  <c r="W98" i="13"/>
  <c r="N101" i="13"/>
  <c r="K101" i="13"/>
  <c r="M101" i="13"/>
  <c r="K101" i="12"/>
  <c r="M101" i="12"/>
  <c r="N101" i="12"/>
  <c r="J101" i="13"/>
  <c r="Q101" i="13" s="1"/>
  <c r="I101" i="13"/>
  <c r="H101" i="13"/>
  <c r="G101" i="13"/>
  <c r="J101" i="12"/>
  <c r="Q101" i="12" s="1"/>
  <c r="I101" i="12"/>
  <c r="H101" i="12"/>
  <c r="G101" i="12"/>
  <c r="P100" i="13"/>
  <c r="R100" i="13" s="1"/>
  <c r="S100" i="13"/>
  <c r="S100" i="12"/>
  <c r="O100" i="13"/>
  <c r="P100" i="12"/>
  <c r="R100" i="12" s="1"/>
  <c r="F102" i="13"/>
  <c r="E101" i="13"/>
  <c r="D102" i="13"/>
  <c r="F102" i="12"/>
  <c r="E101" i="12"/>
  <c r="D102" i="12"/>
  <c r="O101" i="12" l="1"/>
  <c r="L102" i="12"/>
  <c r="W99" i="12"/>
  <c r="L102" i="13"/>
  <c r="W99" i="13"/>
  <c r="M102" i="13"/>
  <c r="N102" i="13"/>
  <c r="K102" i="12"/>
  <c r="N102" i="12"/>
  <c r="M102" i="12"/>
  <c r="J102" i="13"/>
  <c r="Q102" i="13" s="1"/>
  <c r="K102" i="13"/>
  <c r="I102" i="13"/>
  <c r="H102" i="13"/>
  <c r="G102" i="13"/>
  <c r="J102" i="12"/>
  <c r="Q102" i="12" s="1"/>
  <c r="I102" i="12"/>
  <c r="H102" i="12"/>
  <c r="G102" i="12"/>
  <c r="P101" i="13"/>
  <c r="R101" i="13" s="1"/>
  <c r="S101" i="12"/>
  <c r="S101" i="13"/>
  <c r="O101" i="13"/>
  <c r="P101" i="12"/>
  <c r="R101" i="12" s="1"/>
  <c r="D103" i="13"/>
  <c r="E102" i="13"/>
  <c r="F103" i="13"/>
  <c r="F103" i="12"/>
  <c r="D103" i="12"/>
  <c r="E102" i="12"/>
  <c r="O102" i="12" l="1"/>
  <c r="L103" i="12"/>
  <c r="W100" i="12"/>
  <c r="L103" i="13"/>
  <c r="W100" i="13"/>
  <c r="N103" i="13"/>
  <c r="M103" i="13"/>
  <c r="K103" i="12"/>
  <c r="M103" i="12"/>
  <c r="N103" i="12"/>
  <c r="J103" i="13"/>
  <c r="Q103" i="13" s="1"/>
  <c r="K103" i="13"/>
  <c r="I103" i="13"/>
  <c r="H103" i="13"/>
  <c r="G103" i="13"/>
  <c r="J103" i="12"/>
  <c r="Q103" i="12" s="1"/>
  <c r="I103" i="12"/>
  <c r="H103" i="12"/>
  <c r="G103" i="12"/>
  <c r="P102" i="13"/>
  <c r="R102" i="13" s="1"/>
  <c r="S102" i="12"/>
  <c r="S102" i="13"/>
  <c r="O102" i="13"/>
  <c r="P102" i="12"/>
  <c r="R102" i="12" s="1"/>
  <c r="F104" i="13"/>
  <c r="E103" i="13"/>
  <c r="D104" i="13"/>
  <c r="F104" i="12"/>
  <c r="E103" i="12"/>
  <c r="D104" i="12"/>
  <c r="O103" i="12" l="1"/>
  <c r="L104" i="12"/>
  <c r="W101" i="12"/>
  <c r="L104" i="13"/>
  <c r="W101" i="13"/>
  <c r="M104" i="13"/>
  <c r="N104" i="13"/>
  <c r="K104" i="12"/>
  <c r="N104" i="12"/>
  <c r="M104" i="12"/>
  <c r="J104" i="13"/>
  <c r="Q104" i="13" s="1"/>
  <c r="K104" i="13"/>
  <c r="I104" i="13"/>
  <c r="H104" i="13"/>
  <c r="G104" i="13"/>
  <c r="J104" i="12"/>
  <c r="Q104" i="12" s="1"/>
  <c r="I104" i="12"/>
  <c r="H104" i="12"/>
  <c r="G104" i="12"/>
  <c r="P103" i="13"/>
  <c r="R103" i="13" s="1"/>
  <c r="S103" i="13"/>
  <c r="S103" i="12"/>
  <c r="O103" i="13"/>
  <c r="P103" i="12"/>
  <c r="R103" i="12" s="1"/>
  <c r="D105" i="13"/>
  <c r="E104" i="13"/>
  <c r="F105" i="13"/>
  <c r="D105" i="12"/>
  <c r="E104" i="12"/>
  <c r="F105" i="12"/>
  <c r="O104" i="12" l="1"/>
  <c r="L105" i="12"/>
  <c r="W102" i="12"/>
  <c r="L105" i="13"/>
  <c r="W102" i="13"/>
  <c r="N105" i="13"/>
  <c r="M105" i="13"/>
  <c r="M105" i="12"/>
  <c r="N105" i="12"/>
  <c r="J105" i="13"/>
  <c r="Q105" i="13" s="1"/>
  <c r="K105" i="13"/>
  <c r="I105" i="13"/>
  <c r="H105" i="13"/>
  <c r="G105" i="13"/>
  <c r="K105" i="12"/>
  <c r="J105" i="12"/>
  <c r="Q105" i="12" s="1"/>
  <c r="I105" i="12"/>
  <c r="H105" i="12"/>
  <c r="G105" i="12"/>
  <c r="P104" i="13"/>
  <c r="R104" i="13" s="1"/>
  <c r="S104" i="13"/>
  <c r="S104" i="12"/>
  <c r="O104" i="13"/>
  <c r="P104" i="12"/>
  <c r="R104" i="12" s="1"/>
  <c r="F106" i="13"/>
  <c r="E105" i="13"/>
  <c r="D106" i="13"/>
  <c r="F106" i="12"/>
  <c r="E105" i="12"/>
  <c r="D106" i="12"/>
  <c r="O105" i="12" l="1"/>
  <c r="L106" i="12"/>
  <c r="W103" i="12"/>
  <c r="L106" i="13"/>
  <c r="W103" i="13"/>
  <c r="M106" i="13"/>
  <c r="N106" i="13"/>
  <c r="N106" i="12"/>
  <c r="M106" i="12"/>
  <c r="J106" i="13"/>
  <c r="Q106" i="13" s="1"/>
  <c r="K106" i="13"/>
  <c r="I106" i="13"/>
  <c r="H106" i="13"/>
  <c r="G106" i="13"/>
  <c r="J106" i="12"/>
  <c r="Q106" i="12" s="1"/>
  <c r="K106" i="12"/>
  <c r="I106" i="12"/>
  <c r="H106" i="12"/>
  <c r="G106" i="12"/>
  <c r="P105" i="13"/>
  <c r="R105" i="13" s="1"/>
  <c r="S105" i="12"/>
  <c r="S105" i="13"/>
  <c r="O105" i="13"/>
  <c r="P105" i="12"/>
  <c r="R105" i="12" s="1"/>
  <c r="D107" i="13"/>
  <c r="E106" i="13"/>
  <c r="F107" i="13"/>
  <c r="F107" i="12"/>
  <c r="D107" i="12"/>
  <c r="E106" i="12"/>
  <c r="O106" i="12" l="1"/>
  <c r="L107" i="12"/>
  <c r="W104" i="12"/>
  <c r="L107" i="13"/>
  <c r="W104" i="13"/>
  <c r="N107" i="13"/>
  <c r="K107" i="13"/>
  <c r="M107" i="13"/>
  <c r="M107" i="12"/>
  <c r="N107" i="12"/>
  <c r="J107" i="13"/>
  <c r="Q107" i="13" s="1"/>
  <c r="I107" i="13"/>
  <c r="H107" i="13"/>
  <c r="G107" i="13"/>
  <c r="J107" i="12"/>
  <c r="Q107" i="12" s="1"/>
  <c r="K107" i="12"/>
  <c r="I107" i="12"/>
  <c r="H107" i="12"/>
  <c r="G107" i="12"/>
  <c r="P106" i="13"/>
  <c r="R106" i="13" s="1"/>
  <c r="S106" i="12"/>
  <c r="S106" i="13"/>
  <c r="O106" i="13"/>
  <c r="P106" i="12"/>
  <c r="R106" i="12" s="1"/>
  <c r="E107" i="13"/>
  <c r="D108" i="13"/>
  <c r="F108" i="13"/>
  <c r="F108" i="12"/>
  <c r="E107" i="12"/>
  <c r="D108" i="12"/>
  <c r="O107" i="12" l="1"/>
  <c r="L108" i="13"/>
  <c r="W105" i="13"/>
  <c r="L108" i="12"/>
  <c r="W105" i="12"/>
  <c r="M108" i="13"/>
  <c r="K108" i="13"/>
  <c r="N108" i="13"/>
  <c r="N108" i="12"/>
  <c r="M108" i="12"/>
  <c r="J108" i="13"/>
  <c r="Q108" i="13" s="1"/>
  <c r="I108" i="13"/>
  <c r="H108" i="13"/>
  <c r="G108" i="13"/>
  <c r="J108" i="12"/>
  <c r="Q108" i="12" s="1"/>
  <c r="K108" i="12"/>
  <c r="I108" i="12"/>
  <c r="H108" i="12"/>
  <c r="G108" i="12"/>
  <c r="P107" i="13"/>
  <c r="R107" i="13" s="1"/>
  <c r="S107" i="13"/>
  <c r="S107" i="12"/>
  <c r="O107" i="13"/>
  <c r="P107" i="12"/>
  <c r="R107" i="12" s="1"/>
  <c r="D109" i="13"/>
  <c r="E108" i="13"/>
  <c r="F109" i="13"/>
  <c r="D109" i="12"/>
  <c r="E108" i="12"/>
  <c r="F109" i="12"/>
  <c r="O108" i="12" l="1"/>
  <c r="L109" i="13"/>
  <c r="W106" i="13"/>
  <c r="L109" i="12"/>
  <c r="W106" i="12"/>
  <c r="N109" i="13"/>
  <c r="K109" i="13"/>
  <c r="M109" i="13"/>
  <c r="K109" i="12"/>
  <c r="M109" i="12"/>
  <c r="N109" i="12"/>
  <c r="J109" i="13"/>
  <c r="Q109" i="13" s="1"/>
  <c r="I109" i="13"/>
  <c r="H109" i="13"/>
  <c r="G109" i="13"/>
  <c r="J109" i="12"/>
  <c r="Q109" i="12" s="1"/>
  <c r="I109" i="12"/>
  <c r="H109" i="12"/>
  <c r="G109" i="12"/>
  <c r="P108" i="13"/>
  <c r="R108" i="13" s="1"/>
  <c r="S108" i="13"/>
  <c r="S108" i="12"/>
  <c r="O108" i="13"/>
  <c r="P108" i="12"/>
  <c r="R108" i="12" s="1"/>
  <c r="E109" i="13"/>
  <c r="D110" i="13"/>
  <c r="F110" i="13"/>
  <c r="F110" i="12"/>
  <c r="E109" i="12"/>
  <c r="D110" i="12"/>
  <c r="O109" i="12" l="1"/>
  <c r="L110" i="12"/>
  <c r="W107" i="12"/>
  <c r="L110" i="13"/>
  <c r="W107" i="13"/>
  <c r="M110" i="13"/>
  <c r="N110" i="13"/>
  <c r="N110" i="12"/>
  <c r="M110" i="12"/>
  <c r="J110" i="13"/>
  <c r="Q110" i="13" s="1"/>
  <c r="K110" i="13"/>
  <c r="I110" i="13"/>
  <c r="H110" i="13"/>
  <c r="G110" i="13"/>
  <c r="J110" i="12"/>
  <c r="Q110" i="12" s="1"/>
  <c r="K110" i="12"/>
  <c r="I110" i="12"/>
  <c r="H110" i="12"/>
  <c r="G110" i="12"/>
  <c r="P109" i="13"/>
  <c r="R109" i="13" s="1"/>
  <c r="S109" i="13"/>
  <c r="S109" i="12"/>
  <c r="O109" i="13"/>
  <c r="P109" i="12"/>
  <c r="R109" i="12" s="1"/>
  <c r="D111" i="13"/>
  <c r="E110" i="13"/>
  <c r="F111" i="13"/>
  <c r="D111" i="12"/>
  <c r="E110" i="12"/>
  <c r="F111" i="12"/>
  <c r="O110" i="12" l="1"/>
  <c r="L111" i="13"/>
  <c r="W108" i="13"/>
  <c r="L111" i="12"/>
  <c r="W108" i="12"/>
  <c r="N111" i="13"/>
  <c r="K111" i="13"/>
  <c r="W109" i="13" s="1"/>
  <c r="M111" i="13"/>
  <c r="K111" i="12"/>
  <c r="W109" i="12" s="1"/>
  <c r="M111" i="12"/>
  <c r="N111" i="12"/>
  <c r="J111" i="13"/>
  <c r="Q111" i="13" s="1"/>
  <c r="Q10" i="13" s="1"/>
  <c r="I111" i="13"/>
  <c r="H111" i="13"/>
  <c r="G111" i="13"/>
  <c r="J111" i="12"/>
  <c r="Q111" i="12" s="1"/>
  <c r="Q10" i="12" s="1"/>
  <c r="I111" i="12"/>
  <c r="H111" i="12"/>
  <c r="G111" i="12"/>
  <c r="P110" i="13"/>
  <c r="R110" i="13" s="1"/>
  <c r="S110" i="12"/>
  <c r="S110" i="13"/>
  <c r="O110" i="13"/>
  <c r="P110" i="12"/>
  <c r="R110" i="12" s="1"/>
  <c r="E111" i="13"/>
  <c r="E111" i="12"/>
  <c r="O111" i="12" l="1"/>
  <c r="P111" i="13"/>
  <c r="P10" i="13" s="1"/>
  <c r="S111" i="12"/>
  <c r="S111" i="13"/>
  <c r="O111" i="13"/>
  <c r="P111" i="12"/>
  <c r="P10" i="12" s="1"/>
  <c r="R111" i="13" l="1"/>
  <c r="R111" i="12"/>
  <c r="P12" i="11"/>
  <c r="Q12" i="11"/>
  <c r="D12" i="11"/>
  <c r="E12" i="11" s="1"/>
  <c r="C12" i="1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C43" i="11" s="1"/>
  <c r="C44" i="11" s="1"/>
  <c r="C45" i="11" s="1"/>
  <c r="C46" i="11" s="1"/>
  <c r="C47" i="11" s="1"/>
  <c r="C48" i="11" s="1"/>
  <c r="C49" i="11" s="1"/>
  <c r="C50" i="11" s="1"/>
  <c r="C51" i="11" s="1"/>
  <c r="C52" i="11" s="1"/>
  <c r="C53" i="11" s="1"/>
  <c r="C54" i="11" s="1"/>
  <c r="C55" i="11" s="1"/>
  <c r="C56" i="11" s="1"/>
  <c r="C57" i="11" s="1"/>
  <c r="C58" i="11" s="1"/>
  <c r="C59" i="11" s="1"/>
  <c r="C60" i="11" s="1"/>
  <c r="C61" i="11" s="1"/>
  <c r="C62" i="11" s="1"/>
  <c r="C63" i="11" s="1"/>
  <c r="C64" i="11" s="1"/>
  <c r="C65" i="11" s="1"/>
  <c r="C66" i="11" s="1"/>
  <c r="C67" i="11" s="1"/>
  <c r="C68" i="11" s="1"/>
  <c r="C69" i="11" s="1"/>
  <c r="C70" i="11" s="1"/>
  <c r="C71" i="11" s="1"/>
  <c r="C72" i="11" s="1"/>
  <c r="C73" i="11" s="1"/>
  <c r="C74" i="11" s="1"/>
  <c r="C75" i="11" s="1"/>
  <c r="C76" i="11" s="1"/>
  <c r="C77" i="11" s="1"/>
  <c r="C78" i="11" s="1"/>
  <c r="C79" i="11" s="1"/>
  <c r="C80" i="11" s="1"/>
  <c r="C81" i="11" s="1"/>
  <c r="C82" i="11" s="1"/>
  <c r="C83" i="11" s="1"/>
  <c r="C84" i="11" s="1"/>
  <c r="C85" i="11" s="1"/>
  <c r="C86" i="11" s="1"/>
  <c r="C87" i="11" s="1"/>
  <c r="C88" i="11" s="1"/>
  <c r="C89" i="11" s="1"/>
  <c r="C90" i="11" s="1"/>
  <c r="C91" i="11" s="1"/>
  <c r="C92" i="11" s="1"/>
  <c r="C93" i="11" s="1"/>
  <c r="C94" i="11" s="1"/>
  <c r="C95" i="11" s="1"/>
  <c r="C96" i="11" s="1"/>
  <c r="C97" i="11" s="1"/>
  <c r="C98" i="11" s="1"/>
  <c r="C99" i="11" s="1"/>
  <c r="C100" i="11" s="1"/>
  <c r="C101" i="11" s="1"/>
  <c r="C102" i="11" s="1"/>
  <c r="C103" i="11" s="1"/>
  <c r="C104" i="11" s="1"/>
  <c r="C105" i="11" s="1"/>
  <c r="C106" i="11" s="1"/>
  <c r="C107" i="11" s="1"/>
  <c r="C108" i="11" s="1"/>
  <c r="C109" i="11" s="1"/>
  <c r="C110" i="11" s="1"/>
  <c r="C111" i="11" s="1"/>
  <c r="F11" i="11"/>
  <c r="E11" i="11"/>
  <c r="R10" i="13" l="1"/>
  <c r="D23" i="14" s="1"/>
  <c r="E15" i="14" s="1"/>
  <c r="R7" i="13"/>
  <c r="R10" i="12"/>
  <c r="D21" i="14" s="1"/>
  <c r="E13" i="14" s="1"/>
  <c r="R7" i="12"/>
  <c r="D13" i="11"/>
  <c r="R11" i="11"/>
  <c r="F12" i="11"/>
  <c r="K38" i="25" l="1"/>
  <c r="I38" i="25"/>
  <c r="P13" i="11"/>
  <c r="F13" i="11"/>
  <c r="E13" i="11"/>
  <c r="D14" i="11"/>
  <c r="S16" i="11" l="1"/>
  <c r="Q13" i="11"/>
  <c r="D15" i="11"/>
  <c r="E14" i="11"/>
  <c r="F14" i="11"/>
  <c r="H18" i="11" l="1"/>
  <c r="I18" i="11"/>
  <c r="G18" i="11"/>
  <c r="Q14" i="11"/>
  <c r="P14" i="11"/>
  <c r="F15" i="11"/>
  <c r="E15" i="11"/>
  <c r="D16" i="11"/>
  <c r="O18" i="11" l="1"/>
  <c r="K19" i="11"/>
  <c r="M19" i="11"/>
  <c r="N19" i="11"/>
  <c r="J19" i="11"/>
  <c r="F16" i="11"/>
  <c r="D17" i="11"/>
  <c r="E16" i="11"/>
  <c r="L20" i="11" l="1"/>
  <c r="W17" i="11"/>
  <c r="S17" i="11"/>
  <c r="I19" i="11"/>
  <c r="F17" i="11"/>
  <c r="E17" i="11"/>
  <c r="D18" i="11"/>
  <c r="H19" i="11" l="1"/>
  <c r="G19" i="11"/>
  <c r="F18" i="11"/>
  <c r="D19" i="11"/>
  <c r="E18" i="11"/>
  <c r="O19" i="11" l="1"/>
  <c r="K20" i="11"/>
  <c r="N20" i="11"/>
  <c r="M20" i="11"/>
  <c r="J20" i="11"/>
  <c r="F19" i="11"/>
  <c r="E19" i="11"/>
  <c r="D20" i="11"/>
  <c r="L21" i="11" l="1"/>
  <c r="W18" i="11"/>
  <c r="F20" i="11"/>
  <c r="D21" i="11"/>
  <c r="E20" i="11"/>
  <c r="D22" i="11" l="1"/>
  <c r="E21" i="11"/>
  <c r="F21" i="11"/>
  <c r="F22" i="11" l="1"/>
  <c r="D23" i="11"/>
  <c r="E22" i="11"/>
  <c r="F23" i="11" l="1"/>
  <c r="D24" i="11"/>
  <c r="E23" i="11"/>
  <c r="D25" i="11" l="1"/>
  <c r="E24" i="11"/>
  <c r="F24" i="11"/>
  <c r="D26" i="11" l="1"/>
  <c r="E25" i="11"/>
  <c r="F25" i="11"/>
  <c r="F26" i="11" l="1"/>
  <c r="E26" i="11"/>
  <c r="D27" i="11"/>
  <c r="F27" i="11" l="1"/>
  <c r="D28" i="11"/>
  <c r="E27" i="11"/>
  <c r="F28" i="11" l="1"/>
  <c r="D29" i="11"/>
  <c r="E28" i="11"/>
  <c r="D30" i="11" l="1"/>
  <c r="E29" i="11"/>
  <c r="F29" i="11"/>
  <c r="D31" i="11" l="1"/>
  <c r="E30" i="11"/>
  <c r="F30" i="11"/>
  <c r="D32" i="11" l="1"/>
  <c r="E31" i="11"/>
  <c r="F31" i="11"/>
  <c r="F32" i="11" l="1"/>
  <c r="D33" i="11"/>
  <c r="E32" i="11"/>
  <c r="D34" i="11" l="1"/>
  <c r="E33" i="11"/>
  <c r="F33" i="11"/>
  <c r="D35" i="11" l="1"/>
  <c r="E34" i="11"/>
  <c r="F34" i="11"/>
  <c r="F35" i="11" l="1"/>
  <c r="D36" i="11"/>
  <c r="E35" i="11"/>
  <c r="F36" i="11" l="1"/>
  <c r="D37" i="11"/>
  <c r="E36" i="11"/>
  <c r="D38" i="11" l="1"/>
  <c r="E37" i="11"/>
  <c r="F37" i="11"/>
  <c r="D39" i="11" l="1"/>
  <c r="E38" i="11"/>
  <c r="F38" i="11"/>
  <c r="F39" i="11" l="1"/>
  <c r="D40" i="11"/>
  <c r="E39" i="11"/>
  <c r="D41" i="11" l="1"/>
  <c r="E40" i="11"/>
  <c r="F40" i="11"/>
  <c r="F41" i="11" l="1"/>
  <c r="D42" i="11"/>
  <c r="E41" i="11"/>
  <c r="E42" i="11" l="1"/>
  <c r="D43" i="11"/>
  <c r="F42" i="11"/>
  <c r="F43" i="11" l="1"/>
  <c r="D44" i="11"/>
  <c r="E43" i="11"/>
  <c r="F44" i="11" l="1"/>
  <c r="E44" i="11"/>
  <c r="D45" i="11"/>
  <c r="D46" i="11" l="1"/>
  <c r="E45" i="11"/>
  <c r="F45" i="11"/>
  <c r="F46" i="11" l="1"/>
  <c r="E46" i="11"/>
  <c r="D47" i="11"/>
  <c r="F47" i="11" l="1"/>
  <c r="D48" i="11"/>
  <c r="E47" i="11"/>
  <c r="D49" i="11" l="1"/>
  <c r="E48" i="11"/>
  <c r="F48" i="11"/>
  <c r="D50" i="11" l="1"/>
  <c r="E49" i="11"/>
  <c r="F49" i="11"/>
  <c r="F50" i="11" l="1"/>
  <c r="D51" i="11"/>
  <c r="E50" i="11"/>
  <c r="F51" i="11" l="1"/>
  <c r="D52" i="11"/>
  <c r="E51" i="11"/>
  <c r="D53" i="11" l="1"/>
  <c r="E52" i="11"/>
  <c r="F52" i="11"/>
  <c r="D54" i="11" l="1"/>
  <c r="E53" i="11"/>
  <c r="F53" i="11"/>
  <c r="D55" i="11" l="1"/>
  <c r="E54" i="11"/>
  <c r="F54" i="11"/>
  <c r="D56" i="11" l="1"/>
  <c r="E55" i="11"/>
  <c r="F55" i="11"/>
  <c r="F56" i="11" l="1"/>
  <c r="D57" i="11"/>
  <c r="E56" i="11"/>
  <c r="F57" i="11" l="1"/>
  <c r="D58" i="11"/>
  <c r="E57" i="11"/>
  <c r="D59" i="11" l="1"/>
  <c r="E58" i="11"/>
  <c r="F58" i="11"/>
  <c r="F59" i="11" l="1"/>
  <c r="D60" i="11"/>
  <c r="E59" i="11"/>
  <c r="D61" i="11" l="1"/>
  <c r="E60" i="11"/>
  <c r="F60" i="11"/>
  <c r="F61" i="11" l="1"/>
  <c r="D62" i="11"/>
  <c r="E61" i="11"/>
  <c r="D63" i="11" l="1"/>
  <c r="E62" i="11"/>
  <c r="F62" i="11"/>
  <c r="D64" i="11" l="1"/>
  <c r="E63" i="11"/>
  <c r="F63" i="11"/>
  <c r="D65" i="11" l="1"/>
  <c r="E64" i="11"/>
  <c r="F64" i="11"/>
  <c r="F65" i="11" l="1"/>
  <c r="E65" i="11"/>
  <c r="D66" i="11"/>
  <c r="F66" i="11" l="1"/>
  <c r="E66" i="11"/>
  <c r="D67" i="11"/>
  <c r="F67" i="11" l="1"/>
  <c r="D68" i="11"/>
  <c r="E67" i="11"/>
  <c r="E68" i="11" l="1"/>
  <c r="D69" i="11"/>
  <c r="F68" i="11"/>
  <c r="F69" i="11" l="1"/>
  <c r="D70" i="11"/>
  <c r="E69" i="11"/>
  <c r="F70" i="11" l="1"/>
  <c r="E70" i="11"/>
  <c r="D71" i="11"/>
  <c r="D72" i="11" l="1"/>
  <c r="E71" i="11"/>
  <c r="F71" i="11"/>
  <c r="E72" i="11" l="1"/>
  <c r="D73" i="11"/>
  <c r="F72" i="11"/>
  <c r="F73" i="11" l="1"/>
  <c r="D74" i="11"/>
  <c r="E73" i="11"/>
  <c r="F74" i="11" l="1"/>
  <c r="E74" i="11"/>
  <c r="D75" i="11"/>
  <c r="F75" i="11" l="1"/>
  <c r="D76" i="11"/>
  <c r="E75" i="11"/>
  <c r="F76" i="11" l="1"/>
  <c r="E76" i="11"/>
  <c r="D77" i="11"/>
  <c r="F77" i="11" l="1"/>
  <c r="D78" i="11"/>
  <c r="E77" i="11"/>
  <c r="F78" i="11" l="1"/>
  <c r="E78" i="11"/>
  <c r="D79" i="11"/>
  <c r="F79" i="11" l="1"/>
  <c r="D80" i="11"/>
  <c r="E79" i="11"/>
  <c r="E80" i="11" l="1"/>
  <c r="D81" i="11"/>
  <c r="F80" i="11"/>
  <c r="F81" i="11" l="1"/>
  <c r="D82" i="11"/>
  <c r="E81" i="11"/>
  <c r="F82" i="11" l="1"/>
  <c r="E82" i="11"/>
  <c r="D83" i="11"/>
  <c r="F83" i="11" l="1"/>
  <c r="D84" i="11"/>
  <c r="E83" i="11"/>
  <c r="F84" i="11" l="1"/>
  <c r="E84" i="11"/>
  <c r="D85" i="11"/>
  <c r="F85" i="11" l="1"/>
  <c r="D86" i="11"/>
  <c r="E85" i="11"/>
  <c r="E86" i="11" l="1"/>
  <c r="D87" i="11"/>
  <c r="F86" i="11"/>
  <c r="F87" i="11" l="1"/>
  <c r="E87" i="11"/>
  <c r="D88" i="11"/>
  <c r="F88" i="11" l="1"/>
  <c r="E88" i="11"/>
  <c r="D89" i="11"/>
  <c r="F89" i="11" l="1"/>
  <c r="D90" i="11"/>
  <c r="E89" i="11"/>
  <c r="D91" i="11" l="1"/>
  <c r="E90" i="11"/>
  <c r="F90" i="11"/>
  <c r="F91" i="11" l="1"/>
  <c r="D92" i="11"/>
  <c r="E91" i="11"/>
  <c r="D93" i="11" l="1"/>
  <c r="E92" i="11"/>
  <c r="F92" i="11"/>
  <c r="E93" i="11" l="1"/>
  <c r="D94" i="11"/>
  <c r="F93" i="11"/>
  <c r="F94" i="11" l="1"/>
  <c r="D95" i="11"/>
  <c r="E94" i="11"/>
  <c r="E95" i="11" l="1"/>
  <c r="D96" i="11"/>
  <c r="F95" i="11"/>
  <c r="F96" i="11" l="1"/>
  <c r="D97" i="11"/>
  <c r="E96" i="11"/>
  <c r="F97" i="11" l="1"/>
  <c r="E97" i="11"/>
  <c r="D98" i="11"/>
  <c r="F98" i="11" l="1"/>
  <c r="D99" i="11"/>
  <c r="E98" i="11"/>
  <c r="E99" i="11" l="1"/>
  <c r="D100" i="11"/>
  <c r="F99" i="11"/>
  <c r="F100" i="11" l="1"/>
  <c r="D101" i="11"/>
  <c r="E100" i="11"/>
  <c r="F101" i="11" l="1"/>
  <c r="E101" i="11"/>
  <c r="D102" i="11"/>
  <c r="D103" i="11" l="1"/>
  <c r="E102" i="11"/>
  <c r="F102" i="11"/>
  <c r="E103" i="11" l="1"/>
  <c r="D104" i="11"/>
  <c r="F103" i="11"/>
  <c r="F104" i="11" l="1"/>
  <c r="D105" i="11"/>
  <c r="E104" i="11"/>
  <c r="E105" i="11" l="1"/>
  <c r="D106" i="11"/>
  <c r="F105" i="11"/>
  <c r="F106" i="11" l="1"/>
  <c r="D107" i="11"/>
  <c r="E106" i="11"/>
  <c r="F107" i="11" l="1"/>
  <c r="E107" i="11"/>
  <c r="D108" i="11"/>
  <c r="D109" i="11" l="1"/>
  <c r="E108" i="11"/>
  <c r="F108" i="11"/>
  <c r="E109" i="11" l="1"/>
  <c r="D110" i="11"/>
  <c r="F109" i="11"/>
  <c r="D111" i="11" l="1"/>
  <c r="E110" i="11"/>
  <c r="F110" i="11"/>
  <c r="E111" i="11" l="1"/>
  <c r="F111" i="11"/>
  <c r="R11" i="9" l="1"/>
  <c r="D12" i="9"/>
  <c r="F11" i="9"/>
  <c r="F12" i="9" s="1"/>
  <c r="F13" i="9" s="1"/>
  <c r="E11" i="9"/>
  <c r="O14" i="5"/>
  <c r="P12" i="9" l="1"/>
  <c r="E12" i="9"/>
  <c r="D13" i="9"/>
  <c r="Q12" i="9"/>
  <c r="F14" i="9"/>
  <c r="R12" i="11" l="1"/>
  <c r="D14" i="9"/>
  <c r="E14" i="9" s="1"/>
  <c r="E13" i="9"/>
  <c r="P13" i="9"/>
  <c r="Q13" i="9"/>
  <c r="F15" i="9"/>
  <c r="R12" i="9" l="1"/>
  <c r="D15" i="9"/>
  <c r="P14" i="9"/>
  <c r="Q14" i="9"/>
  <c r="F16" i="9"/>
  <c r="H14" i="5"/>
  <c r="F14" i="5" s="1"/>
  <c r="R14" i="5" l="1"/>
  <c r="N14" i="5" s="1"/>
  <c r="R13" i="9"/>
  <c r="R13" i="11"/>
  <c r="D16" i="9"/>
  <c r="E15" i="9"/>
  <c r="P15" i="9"/>
  <c r="Q15" i="9"/>
  <c r="F17" i="9"/>
  <c r="D16" i="5"/>
  <c r="D17" i="5" s="1"/>
  <c r="D18" i="5" s="1"/>
  <c r="D19" i="5" s="1"/>
  <c r="D20" i="5" s="1"/>
  <c r="D21" i="5" s="1"/>
  <c r="D22" i="5" s="1"/>
  <c r="D23" i="5" s="1"/>
  <c r="D24" i="5" s="1"/>
  <c r="D25" i="5" s="1"/>
  <c r="D26" i="5" s="1"/>
  <c r="D27" i="5" s="1"/>
  <c r="D28" i="5" s="1"/>
  <c r="D29" i="5" s="1"/>
  <c r="D30" i="5" s="1"/>
  <c r="D31" i="5" s="1"/>
  <c r="D32" i="5" s="1"/>
  <c r="D33" i="5" s="1"/>
  <c r="D34" i="5" s="1"/>
  <c r="D35" i="5" s="1"/>
  <c r="D36" i="5" s="1"/>
  <c r="D37" i="5" s="1"/>
  <c r="D38" i="5" s="1"/>
  <c r="D39" i="5" s="1"/>
  <c r="D40" i="5" s="1"/>
  <c r="D41" i="5" s="1"/>
  <c r="D42" i="5" s="1"/>
  <c r="D43" i="5" s="1"/>
  <c r="D44" i="5" s="1"/>
  <c r="D45" i="5" s="1"/>
  <c r="D46" i="5" s="1"/>
  <c r="D47" i="5" s="1"/>
  <c r="D48" i="5" s="1"/>
  <c r="D49" i="5" s="1"/>
  <c r="D50" i="5" s="1"/>
  <c r="D51" i="5" s="1"/>
  <c r="D52" i="5" s="1"/>
  <c r="D53" i="5" s="1"/>
  <c r="D54" i="5" s="1"/>
  <c r="D55" i="5" s="1"/>
  <c r="D56" i="5" s="1"/>
  <c r="D57" i="5" s="1"/>
  <c r="D58" i="5" s="1"/>
  <c r="D59" i="5" s="1"/>
  <c r="D60" i="5" s="1"/>
  <c r="D61" i="5" s="1"/>
  <c r="D62" i="5" s="1"/>
  <c r="D63" i="5" s="1"/>
  <c r="D64" i="5" s="1"/>
  <c r="D65" i="5" s="1"/>
  <c r="D66" i="5" s="1"/>
  <c r="D67" i="5" s="1"/>
  <c r="D68" i="5" s="1"/>
  <c r="D69" i="5" s="1"/>
  <c r="D70" i="5" s="1"/>
  <c r="D71" i="5" s="1"/>
  <c r="D72" i="5" s="1"/>
  <c r="D73" i="5" s="1"/>
  <c r="D74" i="5" s="1"/>
  <c r="D75" i="5" s="1"/>
  <c r="D76" i="5" s="1"/>
  <c r="D77" i="5" s="1"/>
  <c r="D78" i="5" s="1"/>
  <c r="D79" i="5" s="1"/>
  <c r="D80" i="5" s="1"/>
  <c r="D81" i="5" s="1"/>
  <c r="D82" i="5" s="1"/>
  <c r="D83" i="5" s="1"/>
  <c r="D84" i="5" s="1"/>
  <c r="D85" i="5" s="1"/>
  <c r="D86" i="5" s="1"/>
  <c r="D87" i="5" s="1"/>
  <c r="D88" i="5" s="1"/>
  <c r="D89" i="5" s="1"/>
  <c r="D90" i="5" s="1"/>
  <c r="D91" i="5" s="1"/>
  <c r="D92" i="5" s="1"/>
  <c r="D93" i="5" s="1"/>
  <c r="D94" i="5" s="1"/>
  <c r="D95" i="5" s="1"/>
  <c r="D96" i="5" s="1"/>
  <c r="D97" i="5" s="1"/>
  <c r="D98" i="5" s="1"/>
  <c r="D99" i="5" s="1"/>
  <c r="D100" i="5" s="1"/>
  <c r="D101" i="5" s="1"/>
  <c r="D102" i="5" s="1"/>
  <c r="D103" i="5" s="1"/>
  <c r="D104" i="5" s="1"/>
  <c r="D105" i="5" s="1"/>
  <c r="D106" i="5" s="1"/>
  <c r="D107" i="5" s="1"/>
  <c r="D108" i="5" s="1"/>
  <c r="D109" i="5" s="1"/>
  <c r="D110" i="5" s="1"/>
  <c r="D111" i="5" s="1"/>
  <c r="D112" i="5" s="1"/>
  <c r="D113" i="5" s="1"/>
  <c r="D114" i="5" s="1"/>
  <c r="D115" i="5" s="1"/>
  <c r="D116" i="5" s="1"/>
  <c r="D117" i="5" s="1"/>
  <c r="D118" i="5" s="1"/>
  <c r="D119" i="5" s="1"/>
  <c r="D120" i="5" s="1"/>
  <c r="D121" i="5" s="1"/>
  <c r="D122" i="5" s="1"/>
  <c r="D123" i="5" s="1"/>
  <c r="D124" i="5" s="1"/>
  <c r="D125" i="5" s="1"/>
  <c r="D126" i="5" s="1"/>
  <c r="D127" i="5" s="1"/>
  <c r="D128" i="5" s="1"/>
  <c r="D129" i="5" s="1"/>
  <c r="D130" i="5" s="1"/>
  <c r="D131" i="5" s="1"/>
  <c r="D132" i="5" s="1"/>
  <c r="D133" i="5" s="1"/>
  <c r="D134" i="5" s="1"/>
  <c r="D135" i="5" s="1"/>
  <c r="D136" i="5" s="1"/>
  <c r="D137" i="5" s="1"/>
  <c r="D138" i="5" s="1"/>
  <c r="D139" i="5" s="1"/>
  <c r="D140" i="5" s="1"/>
  <c r="D141" i="5" s="1"/>
  <c r="D142" i="5" s="1"/>
  <c r="D143" i="5" s="1"/>
  <c r="D144" i="5" s="1"/>
  <c r="D145" i="5" s="1"/>
  <c r="D146" i="5" s="1"/>
  <c r="D147" i="5" s="1"/>
  <c r="D148" i="5" s="1"/>
  <c r="D149" i="5" s="1"/>
  <c r="D150" i="5" s="1"/>
  <c r="D151" i="5" s="1"/>
  <c r="D152" i="5" s="1"/>
  <c r="D153" i="5" s="1"/>
  <c r="D154" i="5" s="1"/>
  <c r="D155" i="5" s="1"/>
  <c r="D156" i="5" s="1"/>
  <c r="D157" i="5" s="1"/>
  <c r="D158" i="5" s="1"/>
  <c r="D159" i="5" s="1"/>
  <c r="D160" i="5" s="1"/>
  <c r="D161" i="5" s="1"/>
  <c r="D162" i="5" s="1"/>
  <c r="D163" i="5" s="1"/>
  <c r="D164" i="5" s="1"/>
  <c r="D165" i="5" s="1"/>
  <c r="D166" i="5" s="1"/>
  <c r="D167" i="5" s="1"/>
  <c r="D168" i="5" s="1"/>
  <c r="D169" i="5" s="1"/>
  <c r="D170" i="5" s="1"/>
  <c r="D171" i="5" s="1"/>
  <c r="D172" i="5" s="1"/>
  <c r="D173" i="5" s="1"/>
  <c r="D174" i="5" s="1"/>
  <c r="D175" i="5" s="1"/>
  <c r="D176" i="5" s="1"/>
  <c r="D177" i="5" s="1"/>
  <c r="D178" i="5" s="1"/>
  <c r="D179" i="5" s="1"/>
  <c r="D180" i="5" s="1"/>
  <c r="D181" i="5" s="1"/>
  <c r="D182" i="5" s="1"/>
  <c r="D183" i="5" s="1"/>
  <c r="D184" i="5" s="1"/>
  <c r="D185" i="5" s="1"/>
  <c r="D186" i="5" s="1"/>
  <c r="D187" i="5" s="1"/>
  <c r="D188" i="5" s="1"/>
  <c r="D189" i="5" s="1"/>
  <c r="D190" i="5" s="1"/>
  <c r="D191" i="5" s="1"/>
  <c r="D192" i="5" s="1"/>
  <c r="D193" i="5" s="1"/>
  <c r="D194" i="5" s="1"/>
  <c r="D195" i="5" s="1"/>
  <c r="D196" i="5" s="1"/>
  <c r="D197" i="5" s="1"/>
  <c r="D198" i="5" s="1"/>
  <c r="D199" i="5" s="1"/>
  <c r="D200" i="5" s="1"/>
  <c r="D201" i="5" s="1"/>
  <c r="D202" i="5" s="1"/>
  <c r="D203" i="5" s="1"/>
  <c r="D204" i="5" s="1"/>
  <c r="D205" i="5" s="1"/>
  <c r="D206" i="5" s="1"/>
  <c r="D207" i="5" s="1"/>
  <c r="D208" i="5" s="1"/>
  <c r="D209" i="5" s="1"/>
  <c r="D210" i="5" s="1"/>
  <c r="D211" i="5" s="1"/>
  <c r="D212" i="5" s="1"/>
  <c r="D213" i="5" s="1"/>
  <c r="D214" i="5" s="1"/>
  <c r="D215" i="5" s="1"/>
  <c r="D216" i="5" s="1"/>
  <c r="D217" i="5" s="1"/>
  <c r="D218" i="5" s="1"/>
  <c r="D219" i="5" s="1"/>
  <c r="D220" i="5" s="1"/>
  <c r="D221" i="5" s="1"/>
  <c r="D222" i="5" s="1"/>
  <c r="D223" i="5" s="1"/>
  <c r="D224" i="5" s="1"/>
  <c r="D225" i="5" s="1"/>
  <c r="D226" i="5" s="1"/>
  <c r="D227" i="5" s="1"/>
  <c r="D228" i="5" s="1"/>
  <c r="D229" i="5" s="1"/>
  <c r="D230" i="5" s="1"/>
  <c r="D231" i="5" s="1"/>
  <c r="D232" i="5" s="1"/>
  <c r="D233" i="5" s="1"/>
  <c r="D234" i="5" s="1"/>
  <c r="D235" i="5" s="1"/>
  <c r="D236" i="5" s="1"/>
  <c r="D237" i="5" s="1"/>
  <c r="D238" i="5" s="1"/>
  <c r="D239" i="5" s="1"/>
  <c r="D240" i="5" s="1"/>
  <c r="D241" i="5" s="1"/>
  <c r="D242" i="5" s="1"/>
  <c r="D243" i="5" s="1"/>
  <c r="D244" i="5" s="1"/>
  <c r="D245" i="5" s="1"/>
  <c r="D246" i="5" s="1"/>
  <c r="D247" i="5" s="1"/>
  <c r="D248" i="5" s="1"/>
  <c r="D249" i="5" s="1"/>
  <c r="D250" i="5" s="1"/>
  <c r="D251" i="5" s="1"/>
  <c r="D252" i="5" s="1"/>
  <c r="D253" i="5" s="1"/>
  <c r="D254" i="5" s="1"/>
  <c r="D255" i="5" s="1"/>
  <c r="D256" i="5" s="1"/>
  <c r="D257" i="5" s="1"/>
  <c r="D258" i="5" s="1"/>
  <c r="D259" i="5" s="1"/>
  <c r="D260" i="5" s="1"/>
  <c r="D261" i="5" s="1"/>
  <c r="D262" i="5" s="1"/>
  <c r="D263" i="5" s="1"/>
  <c r="D264" i="5" s="1"/>
  <c r="D265" i="5" s="1"/>
  <c r="D266" i="5" s="1"/>
  <c r="D267" i="5" s="1"/>
  <c r="D268" i="5" s="1"/>
  <c r="D269" i="5" s="1"/>
  <c r="D270" i="5" s="1"/>
  <c r="D271" i="5" s="1"/>
  <c r="D272" i="5" s="1"/>
  <c r="D273" i="5" s="1"/>
  <c r="D274" i="5" s="1"/>
  <c r="D275" i="5" s="1"/>
  <c r="D276" i="5" s="1"/>
  <c r="D277" i="5" s="1"/>
  <c r="D278" i="5" s="1"/>
  <c r="D279" i="5" s="1"/>
  <c r="D280" i="5" s="1"/>
  <c r="D281" i="5" s="1"/>
  <c r="D282" i="5" s="1"/>
  <c r="D283" i="5" s="1"/>
  <c r="D284" i="5" s="1"/>
  <c r="D285" i="5" s="1"/>
  <c r="D286" i="5" s="1"/>
  <c r="R7" i="5" l="1"/>
  <c r="A77" i="17" s="1"/>
  <c r="P15" i="11"/>
  <c r="Q15" i="11"/>
  <c r="R14" i="9"/>
  <c r="Q16" i="11"/>
  <c r="R14" i="11"/>
  <c r="D17" i="9"/>
  <c r="E16" i="9"/>
  <c r="P16" i="9"/>
  <c r="Q16" i="9"/>
  <c r="F18" i="9"/>
  <c r="S18" i="11" l="1"/>
  <c r="I20" i="11"/>
  <c r="G20" i="11"/>
  <c r="P16" i="11"/>
  <c r="Q17" i="11"/>
  <c r="P17" i="11"/>
  <c r="R15" i="9"/>
  <c r="R15" i="11"/>
  <c r="D18" i="9"/>
  <c r="E17" i="9"/>
  <c r="P17" i="9"/>
  <c r="Q17" i="9"/>
  <c r="F19" i="9"/>
  <c r="H20" i="11" l="1"/>
  <c r="J21" i="11" s="1"/>
  <c r="P18" i="11"/>
  <c r="Q18" i="11"/>
  <c r="R286" i="5"/>
  <c r="R282" i="5"/>
  <c r="R16" i="9"/>
  <c r="R16" i="11"/>
  <c r="E18" i="9"/>
  <c r="D19" i="9"/>
  <c r="P18" i="9"/>
  <c r="Q18" i="9"/>
  <c r="F20" i="9"/>
  <c r="O20" i="11" l="1"/>
  <c r="K21" i="11"/>
  <c r="N21" i="11"/>
  <c r="M21" i="11"/>
  <c r="I21" i="11"/>
  <c r="S19" i="11"/>
  <c r="P286" i="5"/>
  <c r="Q286" i="5"/>
  <c r="K282" i="5"/>
  <c r="J277" i="20" s="1"/>
  <c r="Q282" i="5"/>
  <c r="P282" i="5"/>
  <c r="N282" i="5" s="1"/>
  <c r="F282" i="5" s="1"/>
  <c r="H277" i="20" s="1"/>
  <c r="J282" i="5"/>
  <c r="I277" i="20" s="1"/>
  <c r="R284" i="5"/>
  <c r="K286" i="5"/>
  <c r="J287" i="20" s="1"/>
  <c r="Q19" i="11"/>
  <c r="P19" i="11"/>
  <c r="J286" i="5"/>
  <c r="I287" i="20" s="1"/>
  <c r="R274" i="5"/>
  <c r="R273" i="5"/>
  <c r="R283" i="5"/>
  <c r="R272" i="5"/>
  <c r="R17" i="9"/>
  <c r="R17" i="11"/>
  <c r="E19" i="9"/>
  <c r="D20" i="9"/>
  <c r="P19" i="9"/>
  <c r="Q19" i="9"/>
  <c r="F21" i="9"/>
  <c r="L22" i="11" l="1"/>
  <c r="W19" i="11"/>
  <c r="H21" i="11"/>
  <c r="G21" i="11"/>
  <c r="O21" i="11" s="1"/>
  <c r="N286" i="5"/>
  <c r="F286" i="5" s="1"/>
  <c r="P284" i="5"/>
  <c r="Q284" i="5"/>
  <c r="K272" i="5"/>
  <c r="J274" i="20" s="1"/>
  <c r="P272" i="5"/>
  <c r="Q272" i="5"/>
  <c r="K274" i="5"/>
  <c r="J273" i="20" s="1"/>
  <c r="P274" i="5"/>
  <c r="Q274" i="5"/>
  <c r="Q283" i="5"/>
  <c r="P283" i="5"/>
  <c r="J273" i="5"/>
  <c r="I271" i="20" s="1"/>
  <c r="Q273" i="5"/>
  <c r="P273" i="5"/>
  <c r="J284" i="5"/>
  <c r="I283" i="20" s="1"/>
  <c r="J272" i="5"/>
  <c r="I274" i="20" s="1"/>
  <c r="J274" i="5"/>
  <c r="I273" i="20" s="1"/>
  <c r="Q20" i="11"/>
  <c r="K284" i="5"/>
  <c r="J283" i="20" s="1"/>
  <c r="P20" i="11"/>
  <c r="J283" i="5"/>
  <c r="I280" i="20" s="1"/>
  <c r="K283" i="5"/>
  <c r="J280" i="20" s="1"/>
  <c r="K273" i="5"/>
  <c r="J271" i="20" s="1"/>
  <c r="R271" i="5"/>
  <c r="R18" i="9"/>
  <c r="R18" i="11"/>
  <c r="D21" i="9"/>
  <c r="E20" i="9"/>
  <c r="P20" i="9"/>
  <c r="Q20" i="9"/>
  <c r="F22" i="9"/>
  <c r="M22" i="11" l="1"/>
  <c r="K22" i="11"/>
  <c r="N22" i="11"/>
  <c r="J22" i="11"/>
  <c r="I11" i="26"/>
  <c r="H287" i="20"/>
  <c r="Q21" i="11"/>
  <c r="S20" i="11"/>
  <c r="N274" i="5"/>
  <c r="F274" i="5" s="1"/>
  <c r="H273" i="20" s="1"/>
  <c r="N272" i="5"/>
  <c r="F272" i="5" s="1"/>
  <c r="H274" i="20" s="1"/>
  <c r="N273" i="5"/>
  <c r="F273" i="5" s="1"/>
  <c r="H271" i="20" s="1"/>
  <c r="K271" i="5"/>
  <c r="J272" i="20" s="1"/>
  <c r="Q271" i="5"/>
  <c r="P271" i="5"/>
  <c r="N283" i="5"/>
  <c r="F283" i="5" s="1"/>
  <c r="N284" i="5"/>
  <c r="F284" i="5" s="1"/>
  <c r="J271" i="5"/>
  <c r="I272" i="20" s="1"/>
  <c r="S10" i="13"/>
  <c r="G30" i="14" s="1"/>
  <c r="W10" i="13"/>
  <c r="G34" i="14" s="1"/>
  <c r="W10" i="12"/>
  <c r="E34" i="14" s="1"/>
  <c r="R19" i="9"/>
  <c r="R19" i="11"/>
  <c r="D22" i="9"/>
  <c r="E21" i="9"/>
  <c r="Q21" i="9"/>
  <c r="F23" i="9"/>
  <c r="L23" i="11" l="1"/>
  <c r="W20" i="11"/>
  <c r="I22" i="11"/>
  <c r="H22" i="11"/>
  <c r="V21" i="11"/>
  <c r="G22" i="11"/>
  <c r="G11" i="26"/>
  <c r="H11" i="26"/>
  <c r="H283" i="20"/>
  <c r="F11" i="26"/>
  <c r="H280" i="20"/>
  <c r="V19" i="11"/>
  <c r="V12" i="13"/>
  <c r="V14" i="12"/>
  <c r="V17" i="12"/>
  <c r="V24" i="9"/>
  <c r="V20" i="13"/>
  <c r="V24" i="13"/>
  <c r="V28" i="12"/>
  <c r="V32" i="12"/>
  <c r="V36" i="12"/>
  <c r="V40" i="13"/>
  <c r="V44" i="12"/>
  <c r="V48" i="13"/>
  <c r="V52" i="12"/>
  <c r="V56" i="12"/>
  <c r="V60" i="13"/>
  <c r="V64" i="12"/>
  <c r="V68" i="12"/>
  <c r="V72" i="12"/>
  <c r="V76" i="12"/>
  <c r="V80" i="12"/>
  <c r="V84" i="12"/>
  <c r="V88" i="12"/>
  <c r="V92" i="12"/>
  <c r="V96" i="12"/>
  <c r="V100" i="12"/>
  <c r="V104" i="12"/>
  <c r="V108" i="12"/>
  <c r="V17" i="11"/>
  <c r="V11" i="11"/>
  <c r="V13" i="9"/>
  <c r="V15" i="12"/>
  <c r="V18" i="9"/>
  <c r="V18" i="12"/>
  <c r="V20" i="12"/>
  <c r="V24" i="12"/>
  <c r="V28" i="13"/>
  <c r="V32" i="13"/>
  <c r="V36" i="13"/>
  <c r="V40" i="12"/>
  <c r="V44" i="13"/>
  <c r="V48" i="12"/>
  <c r="V52" i="13"/>
  <c r="V56" i="13"/>
  <c r="V60" i="12"/>
  <c r="V64" i="13"/>
  <c r="V68" i="13"/>
  <c r="V72" i="13"/>
  <c r="V76" i="13"/>
  <c r="V80" i="13"/>
  <c r="V84" i="13"/>
  <c r="V88" i="13"/>
  <c r="V92" i="13"/>
  <c r="V96" i="13"/>
  <c r="V100" i="13"/>
  <c r="V104" i="13"/>
  <c r="V108" i="13"/>
  <c r="V18" i="11"/>
  <c r="V11" i="9"/>
  <c r="V13" i="11"/>
  <c r="V15" i="11"/>
  <c r="V19" i="9"/>
  <c r="V16" i="13"/>
  <c r="V21" i="12"/>
  <c r="V25" i="12"/>
  <c r="V29" i="12"/>
  <c r="V33" i="12"/>
  <c r="V37" i="12"/>
  <c r="V41" i="12"/>
  <c r="V45" i="13"/>
  <c r="V49" i="12"/>
  <c r="V53" i="13"/>
  <c r="V57" i="13"/>
  <c r="V61" i="12"/>
  <c r="V65" i="12"/>
  <c r="V69" i="12"/>
  <c r="V73" i="12"/>
  <c r="V77" i="12"/>
  <c r="V81" i="12"/>
  <c r="V85" i="13"/>
  <c r="V89" i="12"/>
  <c r="V93" i="12"/>
  <c r="V97" i="12"/>
  <c r="V101" i="12"/>
  <c r="V105" i="12"/>
  <c r="V109" i="12"/>
  <c r="V11" i="13"/>
  <c r="V13" i="12"/>
  <c r="V15" i="9"/>
  <c r="V20" i="9"/>
  <c r="V17" i="13"/>
  <c r="V21" i="13"/>
  <c r="V25" i="13"/>
  <c r="V29" i="13"/>
  <c r="V33" i="13"/>
  <c r="V37" i="13"/>
  <c r="V41" i="13"/>
  <c r="V45" i="12"/>
  <c r="V49" i="13"/>
  <c r="V53" i="12"/>
  <c r="V57" i="12"/>
  <c r="V61" i="13"/>
  <c r="V65" i="13"/>
  <c r="V69" i="13"/>
  <c r="V73" i="13"/>
  <c r="V77" i="13"/>
  <c r="V81" i="13"/>
  <c r="V85" i="12"/>
  <c r="V89" i="13"/>
  <c r="V93" i="13"/>
  <c r="V97" i="13"/>
  <c r="V101" i="13"/>
  <c r="V105" i="13"/>
  <c r="V109" i="13"/>
  <c r="V11" i="12"/>
  <c r="V13" i="13"/>
  <c r="V16" i="11"/>
  <c r="V21" i="9"/>
  <c r="V25" i="9"/>
  <c r="V22" i="13"/>
  <c r="V26" i="12"/>
  <c r="V30" i="12"/>
  <c r="V34" i="12"/>
  <c r="V38" i="12"/>
  <c r="V42" i="12"/>
  <c r="V46" i="12"/>
  <c r="V50" i="13"/>
  <c r="V54" i="12"/>
  <c r="V58" i="12"/>
  <c r="V62" i="12"/>
  <c r="V66" i="12"/>
  <c r="V70" i="12"/>
  <c r="V74" i="12"/>
  <c r="V78" i="12"/>
  <c r="V82" i="12"/>
  <c r="V86" i="12"/>
  <c r="V90" i="12"/>
  <c r="V94" i="12"/>
  <c r="V98" i="12"/>
  <c r="V102" i="12"/>
  <c r="V106" i="12"/>
  <c r="V110" i="12"/>
  <c r="V12" i="11"/>
  <c r="V14" i="13"/>
  <c r="V16" i="9"/>
  <c r="V22" i="9"/>
  <c r="V18" i="13"/>
  <c r="V22" i="12"/>
  <c r="V26" i="13"/>
  <c r="V30" i="13"/>
  <c r="V34" i="13"/>
  <c r="V38" i="13"/>
  <c r="V42" i="13"/>
  <c r="V46" i="13"/>
  <c r="V50" i="12"/>
  <c r="V54" i="13"/>
  <c r="V58" i="13"/>
  <c r="V62" i="13"/>
  <c r="V66" i="13"/>
  <c r="V70" i="13"/>
  <c r="V74" i="13"/>
  <c r="V78" i="13"/>
  <c r="V82" i="13"/>
  <c r="V86" i="13"/>
  <c r="V90" i="13"/>
  <c r="V94" i="13"/>
  <c r="V98" i="13"/>
  <c r="V102" i="13"/>
  <c r="V106" i="13"/>
  <c r="V110" i="13"/>
  <c r="V12" i="12"/>
  <c r="V14" i="9"/>
  <c r="V16" i="12"/>
  <c r="V15" i="13"/>
  <c r="V19" i="12"/>
  <c r="V23" i="12"/>
  <c r="V27" i="12"/>
  <c r="V31" i="12"/>
  <c r="V35" i="12"/>
  <c r="V39" i="12"/>
  <c r="V43" i="12"/>
  <c r="V47" i="12"/>
  <c r="V51" i="12"/>
  <c r="V55" i="12"/>
  <c r="V59" i="12"/>
  <c r="V63" i="12"/>
  <c r="V67" i="12"/>
  <c r="V71" i="12"/>
  <c r="V75" i="12"/>
  <c r="V79" i="12"/>
  <c r="V83" i="13"/>
  <c r="V87" i="12"/>
  <c r="V91" i="12"/>
  <c r="V95" i="12"/>
  <c r="V99" i="12"/>
  <c r="V103" i="12"/>
  <c r="V107" i="12"/>
  <c r="V111" i="12"/>
  <c r="V12" i="9"/>
  <c r="V14" i="11"/>
  <c r="V17" i="9"/>
  <c r="V23" i="9"/>
  <c r="V19" i="13"/>
  <c r="V23" i="13"/>
  <c r="V27" i="13"/>
  <c r="V31" i="13"/>
  <c r="V35" i="13"/>
  <c r="V39" i="13"/>
  <c r="V43" i="13"/>
  <c r="V47" i="13"/>
  <c r="V51" i="13"/>
  <c r="V55" i="13"/>
  <c r="V59" i="13"/>
  <c r="V63" i="13"/>
  <c r="V67" i="13"/>
  <c r="V71" i="13"/>
  <c r="V75" i="13"/>
  <c r="V79" i="13"/>
  <c r="V83" i="12"/>
  <c r="V87" i="13"/>
  <c r="V91" i="13"/>
  <c r="V95" i="13"/>
  <c r="V99" i="13"/>
  <c r="V103" i="13"/>
  <c r="V107" i="13"/>
  <c r="V111" i="13"/>
  <c r="V20" i="11"/>
  <c r="S21" i="11"/>
  <c r="N271" i="5"/>
  <c r="F271" i="5" s="1"/>
  <c r="H272" i="20" s="1"/>
  <c r="Q22" i="11"/>
  <c r="G27" i="9"/>
  <c r="P21" i="11"/>
  <c r="S10" i="12"/>
  <c r="E30" i="14" s="1"/>
  <c r="P21" i="9"/>
  <c r="R20" i="9"/>
  <c r="R20" i="11"/>
  <c r="D23" i="9"/>
  <c r="E22" i="9"/>
  <c r="Q22" i="9"/>
  <c r="F24" i="9"/>
  <c r="O22" i="11" l="1"/>
  <c r="U20" i="11"/>
  <c r="T21" i="11"/>
  <c r="K23" i="11"/>
  <c r="M23" i="11"/>
  <c r="N23" i="11"/>
  <c r="J23" i="11"/>
  <c r="Q23" i="11" s="1"/>
  <c r="I23" i="11"/>
  <c r="H23" i="11"/>
  <c r="G23" i="11"/>
  <c r="T26" i="9"/>
  <c r="H27" i="9"/>
  <c r="J28" i="9" s="1"/>
  <c r="V26" i="9"/>
  <c r="V10" i="13"/>
  <c r="G32" i="14" s="1"/>
  <c r="T11" i="11"/>
  <c r="T13" i="11"/>
  <c r="T15" i="13"/>
  <c r="T17" i="12"/>
  <c r="T24" i="9"/>
  <c r="T20" i="12"/>
  <c r="T24" i="12"/>
  <c r="T28" i="13"/>
  <c r="T32" i="13"/>
  <c r="T36" i="13"/>
  <c r="T40" i="13"/>
  <c r="T44" i="13"/>
  <c r="T48" i="12"/>
  <c r="T52" i="13"/>
  <c r="T56" i="13"/>
  <c r="T60" i="12"/>
  <c r="T64" i="13"/>
  <c r="T68" i="13"/>
  <c r="T72" i="13"/>
  <c r="T76" i="13"/>
  <c r="T80" i="13"/>
  <c r="T84" i="12"/>
  <c r="T88" i="13"/>
  <c r="T92" i="13"/>
  <c r="T96" i="13"/>
  <c r="T100" i="13"/>
  <c r="T104" i="13"/>
  <c r="T108" i="13"/>
  <c r="T18" i="11"/>
  <c r="T11" i="13"/>
  <c r="T13" i="9"/>
  <c r="T15" i="11"/>
  <c r="T18" i="9"/>
  <c r="T18" i="12"/>
  <c r="T21" i="12"/>
  <c r="T25" i="12"/>
  <c r="T29" i="12"/>
  <c r="T33" i="12"/>
  <c r="T37" i="12"/>
  <c r="T41" i="12"/>
  <c r="T45" i="13"/>
  <c r="T49" i="12"/>
  <c r="T53" i="13"/>
  <c r="T57" i="13"/>
  <c r="T61" i="12"/>
  <c r="T65" i="12"/>
  <c r="T69" i="12"/>
  <c r="T73" i="12"/>
  <c r="T77" i="12"/>
  <c r="T81" i="12"/>
  <c r="T85" i="12"/>
  <c r="T89" i="12"/>
  <c r="T93" i="12"/>
  <c r="T97" i="12"/>
  <c r="T101" i="12"/>
  <c r="T105" i="12"/>
  <c r="T109" i="12"/>
  <c r="T19" i="11"/>
  <c r="T11" i="9"/>
  <c r="T13" i="12"/>
  <c r="T15" i="12"/>
  <c r="T19" i="9"/>
  <c r="T25" i="9"/>
  <c r="T21" i="13"/>
  <c r="T25" i="13"/>
  <c r="T29" i="13"/>
  <c r="T33" i="13"/>
  <c r="T37" i="13"/>
  <c r="T41" i="13"/>
  <c r="T45" i="12"/>
  <c r="T49" i="13"/>
  <c r="T53" i="12"/>
  <c r="T57" i="12"/>
  <c r="T61" i="13"/>
  <c r="T65" i="13"/>
  <c r="T69" i="13"/>
  <c r="T73" i="13"/>
  <c r="T77" i="13"/>
  <c r="T81" i="13"/>
  <c r="T85" i="13"/>
  <c r="T89" i="13"/>
  <c r="T93" i="13"/>
  <c r="T97" i="13"/>
  <c r="T101" i="13"/>
  <c r="T105" i="13"/>
  <c r="T109" i="13"/>
  <c r="T11" i="12"/>
  <c r="T13" i="13"/>
  <c r="T15" i="9"/>
  <c r="T20" i="9"/>
  <c r="T17" i="13"/>
  <c r="T22" i="13"/>
  <c r="T26" i="12"/>
  <c r="T30" i="12"/>
  <c r="T34" i="12"/>
  <c r="T38" i="12"/>
  <c r="T42" i="12"/>
  <c r="T46" i="12"/>
  <c r="T50" i="13"/>
  <c r="T54" i="12"/>
  <c r="T58" i="12"/>
  <c r="T62" i="12"/>
  <c r="T66" i="12"/>
  <c r="T70" i="12"/>
  <c r="T74" i="12"/>
  <c r="T78" i="12"/>
  <c r="T82" i="12"/>
  <c r="T86" i="12"/>
  <c r="T90" i="12"/>
  <c r="T94" i="12"/>
  <c r="T98" i="12"/>
  <c r="T102" i="12"/>
  <c r="T106" i="12"/>
  <c r="T110" i="12"/>
  <c r="T12" i="13"/>
  <c r="T14" i="11"/>
  <c r="T16" i="9"/>
  <c r="T21" i="9"/>
  <c r="T18" i="13"/>
  <c r="T22" i="12"/>
  <c r="T26" i="13"/>
  <c r="T30" i="13"/>
  <c r="T34" i="13"/>
  <c r="T38" i="13"/>
  <c r="T42" i="13"/>
  <c r="T46" i="13"/>
  <c r="T50" i="12"/>
  <c r="T54" i="13"/>
  <c r="T58" i="13"/>
  <c r="T62" i="13"/>
  <c r="T66" i="13"/>
  <c r="T70" i="13"/>
  <c r="T74" i="13"/>
  <c r="T78" i="13"/>
  <c r="T82" i="13"/>
  <c r="T86" i="13"/>
  <c r="T90" i="13"/>
  <c r="T94" i="13"/>
  <c r="T98" i="13"/>
  <c r="T102" i="13"/>
  <c r="T106" i="13"/>
  <c r="T110" i="13"/>
  <c r="T12" i="12"/>
  <c r="T14" i="9"/>
  <c r="T16" i="12"/>
  <c r="T22" i="9"/>
  <c r="T19" i="12"/>
  <c r="T23" i="12"/>
  <c r="T27" i="13"/>
  <c r="T31" i="12"/>
  <c r="T35" i="12"/>
  <c r="T39" i="12"/>
  <c r="T43" i="12"/>
  <c r="T47" i="12"/>
  <c r="T51" i="12"/>
  <c r="T55" i="12"/>
  <c r="T59" i="12"/>
  <c r="T63" i="12"/>
  <c r="T67" i="12"/>
  <c r="T71" i="12"/>
  <c r="T75" i="12"/>
  <c r="T79" i="12"/>
  <c r="T83" i="12"/>
  <c r="T87" i="12"/>
  <c r="T91" i="12"/>
  <c r="T95" i="12"/>
  <c r="T99" i="12"/>
  <c r="T103" i="12"/>
  <c r="T107" i="12"/>
  <c r="T111" i="13"/>
  <c r="T12" i="11"/>
  <c r="T14" i="13"/>
  <c r="T16" i="11"/>
  <c r="T23" i="9"/>
  <c r="T19" i="13"/>
  <c r="T23" i="13"/>
  <c r="T27" i="12"/>
  <c r="T31" i="13"/>
  <c r="T35" i="13"/>
  <c r="T39" i="13"/>
  <c r="T43" i="13"/>
  <c r="T47" i="13"/>
  <c r="T51" i="13"/>
  <c r="T55" i="13"/>
  <c r="T59" i="13"/>
  <c r="T63" i="13"/>
  <c r="T67" i="13"/>
  <c r="T71" i="13"/>
  <c r="T75" i="13"/>
  <c r="T79" i="13"/>
  <c r="T83" i="13"/>
  <c r="T87" i="13"/>
  <c r="T91" i="13"/>
  <c r="T95" i="13"/>
  <c r="T99" i="13"/>
  <c r="T103" i="13"/>
  <c r="T107" i="13"/>
  <c r="T111" i="12"/>
  <c r="T12" i="9"/>
  <c r="T14" i="12"/>
  <c r="T17" i="9"/>
  <c r="T16" i="13"/>
  <c r="T20" i="13"/>
  <c r="T24" i="13"/>
  <c r="T28" i="12"/>
  <c r="T32" i="12"/>
  <c r="T36" i="12"/>
  <c r="T40" i="12"/>
  <c r="T44" i="12"/>
  <c r="T48" i="13"/>
  <c r="T52" i="12"/>
  <c r="T56" i="12"/>
  <c r="T60" i="13"/>
  <c r="T64" i="12"/>
  <c r="T68" i="12"/>
  <c r="T72" i="12"/>
  <c r="T76" i="12"/>
  <c r="T80" i="12"/>
  <c r="T84" i="13"/>
  <c r="T88" i="12"/>
  <c r="T92" i="12"/>
  <c r="T96" i="12"/>
  <c r="T100" i="12"/>
  <c r="T104" i="12"/>
  <c r="T108" i="12"/>
  <c r="T17" i="11"/>
  <c r="T20" i="11"/>
  <c r="V10" i="12"/>
  <c r="E32" i="14" s="1"/>
  <c r="U11" i="11"/>
  <c r="U11" i="13"/>
  <c r="U11" i="9"/>
  <c r="U11" i="12"/>
  <c r="U12" i="11"/>
  <c r="U12" i="12"/>
  <c r="U12" i="9"/>
  <c r="U12" i="13"/>
  <c r="U13" i="13"/>
  <c r="U13" i="9"/>
  <c r="U13" i="11"/>
  <c r="U13" i="12"/>
  <c r="U14" i="12"/>
  <c r="U14" i="11"/>
  <c r="U14" i="9"/>
  <c r="U15" i="12"/>
  <c r="U15" i="9"/>
  <c r="U16" i="9"/>
  <c r="U17" i="9"/>
  <c r="U18" i="9"/>
  <c r="U19" i="9"/>
  <c r="U20" i="9"/>
  <c r="U21" i="9"/>
  <c r="U14" i="13"/>
  <c r="U16" i="12"/>
  <c r="U22" i="9"/>
  <c r="U15" i="13"/>
  <c r="U23" i="9"/>
  <c r="U17" i="12"/>
  <c r="U16" i="13"/>
  <c r="U24" i="9"/>
  <c r="U17" i="13"/>
  <c r="U18" i="13"/>
  <c r="U18" i="12"/>
  <c r="U19" i="13"/>
  <c r="U19" i="12"/>
  <c r="U20" i="13"/>
  <c r="U20" i="12"/>
  <c r="U21" i="13"/>
  <c r="U21" i="12"/>
  <c r="U22" i="13"/>
  <c r="U22" i="12"/>
  <c r="U23" i="13"/>
  <c r="U23" i="12"/>
  <c r="U24" i="13"/>
  <c r="U24" i="12"/>
  <c r="U25" i="13"/>
  <c r="U25" i="12"/>
  <c r="U26" i="13"/>
  <c r="U26" i="12"/>
  <c r="U27" i="13"/>
  <c r="U27" i="12"/>
  <c r="U28" i="12"/>
  <c r="U28" i="13"/>
  <c r="U29" i="13"/>
  <c r="U29" i="12"/>
  <c r="U30" i="12"/>
  <c r="U30" i="13"/>
  <c r="U31" i="12"/>
  <c r="U31" i="13"/>
  <c r="U32" i="12"/>
  <c r="U32" i="13"/>
  <c r="U33" i="12"/>
  <c r="U33" i="13"/>
  <c r="U34" i="12"/>
  <c r="U34" i="13"/>
  <c r="U35" i="12"/>
  <c r="U35" i="13"/>
  <c r="U36" i="12"/>
  <c r="U36" i="13"/>
  <c r="U37" i="13"/>
  <c r="U37" i="12"/>
  <c r="U38" i="12"/>
  <c r="U38" i="13"/>
  <c r="U39" i="12"/>
  <c r="U39" i="13"/>
  <c r="U40" i="12"/>
  <c r="U40" i="13"/>
  <c r="U41" i="13"/>
  <c r="U41" i="12"/>
  <c r="U42" i="12"/>
  <c r="U42" i="13"/>
  <c r="U43" i="13"/>
  <c r="U43" i="12"/>
  <c r="U44" i="12"/>
  <c r="U44" i="13"/>
  <c r="U45" i="12"/>
  <c r="U45" i="13"/>
  <c r="U46" i="13"/>
  <c r="U46" i="12"/>
  <c r="U47" i="12"/>
  <c r="U47" i="13"/>
  <c r="U48" i="13"/>
  <c r="U48" i="12"/>
  <c r="U49" i="12"/>
  <c r="U49" i="13"/>
  <c r="U50" i="13"/>
  <c r="U50" i="12"/>
  <c r="U51" i="13"/>
  <c r="U51" i="12"/>
  <c r="U52" i="12"/>
  <c r="U52" i="13"/>
  <c r="U53" i="12"/>
  <c r="U53" i="13"/>
  <c r="U54" i="13"/>
  <c r="U54" i="12"/>
  <c r="U55" i="13"/>
  <c r="U55" i="12"/>
  <c r="U56" i="12"/>
  <c r="U56" i="13"/>
  <c r="U57" i="12"/>
  <c r="U57" i="13"/>
  <c r="U58" i="13"/>
  <c r="U58" i="12"/>
  <c r="U59" i="12"/>
  <c r="U59" i="13"/>
  <c r="U60" i="12"/>
  <c r="U60" i="13"/>
  <c r="U61" i="12"/>
  <c r="U61" i="13"/>
  <c r="U62" i="12"/>
  <c r="U62" i="13"/>
  <c r="U63" i="12"/>
  <c r="U63" i="13"/>
  <c r="U64" i="13"/>
  <c r="U64" i="12"/>
  <c r="U65" i="12"/>
  <c r="U65" i="13"/>
  <c r="U66" i="12"/>
  <c r="U66" i="13"/>
  <c r="U67" i="12"/>
  <c r="U67" i="13"/>
  <c r="U68" i="12"/>
  <c r="U68" i="13"/>
  <c r="U69" i="13"/>
  <c r="U69" i="12"/>
  <c r="U70" i="13"/>
  <c r="U70" i="12"/>
  <c r="U71" i="13"/>
  <c r="U71" i="12"/>
  <c r="U72" i="12"/>
  <c r="U72" i="13"/>
  <c r="U73" i="13"/>
  <c r="U73" i="12"/>
  <c r="U74" i="12"/>
  <c r="U74" i="13"/>
  <c r="U75" i="12"/>
  <c r="U75" i="13"/>
  <c r="U76" i="12"/>
  <c r="U76" i="13"/>
  <c r="U77" i="12"/>
  <c r="U77" i="13"/>
  <c r="U78" i="12"/>
  <c r="U78" i="13"/>
  <c r="U79" i="12"/>
  <c r="U79" i="13"/>
  <c r="U80" i="12"/>
  <c r="U80" i="13"/>
  <c r="U81" i="12"/>
  <c r="U81" i="13"/>
  <c r="U82" i="12"/>
  <c r="U82" i="13"/>
  <c r="U83" i="13"/>
  <c r="U83" i="12"/>
  <c r="U84" i="12"/>
  <c r="U84" i="13"/>
  <c r="U85" i="13"/>
  <c r="U85" i="12"/>
  <c r="U86" i="12"/>
  <c r="U86" i="13"/>
  <c r="U87" i="12"/>
  <c r="U87" i="13"/>
  <c r="U88" i="12"/>
  <c r="U88" i="13"/>
  <c r="U89" i="12"/>
  <c r="U89" i="13"/>
  <c r="U90" i="12"/>
  <c r="U90" i="13"/>
  <c r="U91" i="12"/>
  <c r="U91" i="13"/>
  <c r="U92" i="13"/>
  <c r="U92" i="12"/>
  <c r="U93" i="13"/>
  <c r="U93" i="12"/>
  <c r="U94" i="13"/>
  <c r="U94" i="12"/>
  <c r="U95" i="13"/>
  <c r="U95" i="12"/>
  <c r="U96" i="12"/>
  <c r="U96" i="13"/>
  <c r="U97" i="12"/>
  <c r="U97" i="13"/>
  <c r="U98" i="12"/>
  <c r="U98" i="13"/>
  <c r="U99" i="12"/>
  <c r="U99" i="13"/>
  <c r="U100" i="12"/>
  <c r="U100" i="13"/>
  <c r="U101" i="12"/>
  <c r="U101" i="13"/>
  <c r="U102" i="12"/>
  <c r="U102" i="13"/>
  <c r="U103" i="12"/>
  <c r="U103" i="13"/>
  <c r="U104" i="12"/>
  <c r="U104" i="13"/>
  <c r="U105" i="12"/>
  <c r="U105" i="13"/>
  <c r="U106" i="12"/>
  <c r="U106" i="13"/>
  <c r="U107" i="12"/>
  <c r="U107" i="13"/>
  <c r="U108" i="13"/>
  <c r="U108" i="12"/>
  <c r="U109" i="12"/>
  <c r="U109" i="13"/>
  <c r="U111" i="13"/>
  <c r="U110" i="12"/>
  <c r="U111" i="12"/>
  <c r="U110" i="13"/>
  <c r="U15" i="11"/>
  <c r="U16" i="11"/>
  <c r="U17" i="11"/>
  <c r="U18" i="11"/>
  <c r="U19" i="11"/>
  <c r="S22" i="11"/>
  <c r="U21" i="11"/>
  <c r="U25" i="9"/>
  <c r="S26" i="9"/>
  <c r="P22" i="11"/>
  <c r="T22" i="11"/>
  <c r="V22" i="11"/>
  <c r="P22" i="9"/>
  <c r="R21" i="9"/>
  <c r="R21" i="11"/>
  <c r="D24" i="9"/>
  <c r="E23" i="9"/>
  <c r="Q23" i="9"/>
  <c r="F25" i="9"/>
  <c r="O23" i="11" l="1"/>
  <c r="O27" i="9"/>
  <c r="L24" i="11"/>
  <c r="W21" i="11"/>
  <c r="X21" i="11" s="1"/>
  <c r="X20" i="11"/>
  <c r="M28" i="9"/>
  <c r="N28" i="9"/>
  <c r="K24" i="11"/>
  <c r="N24" i="11"/>
  <c r="M24" i="11"/>
  <c r="J24" i="11"/>
  <c r="Q24" i="11" s="1"/>
  <c r="I24" i="11"/>
  <c r="H24" i="11"/>
  <c r="G24" i="11"/>
  <c r="K28" i="9"/>
  <c r="I28" i="9"/>
  <c r="X22" i="9"/>
  <c r="X19" i="11"/>
  <c r="U10" i="13"/>
  <c r="G33" i="14" s="1"/>
  <c r="X96" i="12"/>
  <c r="X64" i="12"/>
  <c r="X32" i="12"/>
  <c r="X111" i="12"/>
  <c r="X79" i="13"/>
  <c r="X47" i="13"/>
  <c r="X95" i="12"/>
  <c r="X63" i="12"/>
  <c r="X31" i="12"/>
  <c r="X110" i="13"/>
  <c r="X78" i="13"/>
  <c r="X46" i="13"/>
  <c r="X21" i="9"/>
  <c r="X94" i="12"/>
  <c r="X62" i="12"/>
  <c r="X30" i="12"/>
  <c r="X109" i="13"/>
  <c r="X77" i="13"/>
  <c r="X45" i="12"/>
  <c r="X19" i="9"/>
  <c r="X97" i="12"/>
  <c r="X65" i="12"/>
  <c r="X33" i="12"/>
  <c r="X11" i="13"/>
  <c r="T10" i="13"/>
  <c r="G31" i="14" s="1"/>
  <c r="X84" i="12"/>
  <c r="X52" i="13"/>
  <c r="X20" i="12"/>
  <c r="X92" i="12"/>
  <c r="X60" i="13"/>
  <c r="X28" i="12"/>
  <c r="X107" i="13"/>
  <c r="X75" i="13"/>
  <c r="X43" i="13"/>
  <c r="X16" i="11"/>
  <c r="X91" i="12"/>
  <c r="X59" i="12"/>
  <c r="X27" i="13"/>
  <c r="X106" i="13"/>
  <c r="X74" i="13"/>
  <c r="X42" i="13"/>
  <c r="X16" i="9"/>
  <c r="X90" i="12"/>
  <c r="X58" i="12"/>
  <c r="X26" i="12"/>
  <c r="X105" i="13"/>
  <c r="X73" i="13"/>
  <c r="X41" i="13"/>
  <c r="X15" i="12"/>
  <c r="X93" i="12"/>
  <c r="X61" i="12"/>
  <c r="X29" i="12"/>
  <c r="X18" i="11"/>
  <c r="X80" i="13"/>
  <c r="X48" i="12"/>
  <c r="X88" i="12"/>
  <c r="X56" i="12"/>
  <c r="X24" i="13"/>
  <c r="X103" i="13"/>
  <c r="X71" i="13"/>
  <c r="X39" i="13"/>
  <c r="X14" i="13"/>
  <c r="X87" i="12"/>
  <c r="X55" i="12"/>
  <c r="X23" i="12"/>
  <c r="X102" i="13"/>
  <c r="X70" i="13"/>
  <c r="X38" i="13"/>
  <c r="X14" i="11"/>
  <c r="X86" i="12"/>
  <c r="X54" i="12"/>
  <c r="X22" i="13"/>
  <c r="X101" i="13"/>
  <c r="X69" i="13"/>
  <c r="X37" i="13"/>
  <c r="X13" i="12"/>
  <c r="X89" i="12"/>
  <c r="X57" i="13"/>
  <c r="X25" i="12"/>
  <c r="X108" i="13"/>
  <c r="X76" i="13"/>
  <c r="X44" i="13"/>
  <c r="X17" i="12"/>
  <c r="X84" i="13"/>
  <c r="X52" i="12"/>
  <c r="X20" i="13"/>
  <c r="X99" i="13"/>
  <c r="X67" i="13"/>
  <c r="X35" i="13"/>
  <c r="X12" i="11"/>
  <c r="X83" i="12"/>
  <c r="X51" i="12"/>
  <c r="X19" i="12"/>
  <c r="X98" i="13"/>
  <c r="X66" i="13"/>
  <c r="X34" i="13"/>
  <c r="X12" i="13"/>
  <c r="X82" i="12"/>
  <c r="X50" i="13"/>
  <c r="X17" i="13"/>
  <c r="X97" i="13"/>
  <c r="X65" i="13"/>
  <c r="X33" i="13"/>
  <c r="X85" i="12"/>
  <c r="X53" i="13"/>
  <c r="X21" i="12"/>
  <c r="X104" i="13"/>
  <c r="X72" i="13"/>
  <c r="X40" i="13"/>
  <c r="X15" i="13"/>
  <c r="X17" i="11"/>
  <c r="X80" i="12"/>
  <c r="X48" i="13"/>
  <c r="X16" i="13"/>
  <c r="X95" i="13"/>
  <c r="X63" i="13"/>
  <c r="X31" i="13"/>
  <c r="X111" i="13"/>
  <c r="X79" i="12"/>
  <c r="X47" i="12"/>
  <c r="X94" i="13"/>
  <c r="X62" i="13"/>
  <c r="X30" i="13"/>
  <c r="X110" i="12"/>
  <c r="X78" i="12"/>
  <c r="X46" i="12"/>
  <c r="X20" i="9"/>
  <c r="X93" i="13"/>
  <c r="X61" i="13"/>
  <c r="X29" i="13"/>
  <c r="X81" i="12"/>
  <c r="X49" i="12"/>
  <c r="X18" i="12"/>
  <c r="X100" i="13"/>
  <c r="X68" i="13"/>
  <c r="X36" i="13"/>
  <c r="X13" i="11"/>
  <c r="X108" i="12"/>
  <c r="X76" i="12"/>
  <c r="X44" i="12"/>
  <c r="X17" i="9"/>
  <c r="X91" i="13"/>
  <c r="X59" i="13"/>
  <c r="X27" i="12"/>
  <c r="X107" i="12"/>
  <c r="X75" i="12"/>
  <c r="X43" i="12"/>
  <c r="X16" i="12"/>
  <c r="X90" i="13"/>
  <c r="X58" i="13"/>
  <c r="X26" i="13"/>
  <c r="X106" i="12"/>
  <c r="X74" i="12"/>
  <c r="X42" i="12"/>
  <c r="X15" i="9"/>
  <c r="X89" i="13"/>
  <c r="X57" i="12"/>
  <c r="X25" i="13"/>
  <c r="X109" i="12"/>
  <c r="X77" i="12"/>
  <c r="X45" i="13"/>
  <c r="X18" i="9"/>
  <c r="X96" i="13"/>
  <c r="X64" i="13"/>
  <c r="X32" i="13"/>
  <c r="X11" i="11"/>
  <c r="U10" i="12"/>
  <c r="E33" i="14" s="1"/>
  <c r="X104" i="12"/>
  <c r="X72" i="12"/>
  <c r="X40" i="12"/>
  <c r="X14" i="12"/>
  <c r="X87" i="13"/>
  <c r="X55" i="13"/>
  <c r="X23" i="13"/>
  <c r="X103" i="12"/>
  <c r="X71" i="12"/>
  <c r="X39" i="12"/>
  <c r="X14" i="9"/>
  <c r="X86" i="13"/>
  <c r="X54" i="13"/>
  <c r="X22" i="12"/>
  <c r="X102" i="12"/>
  <c r="X70" i="12"/>
  <c r="X38" i="12"/>
  <c r="X13" i="13"/>
  <c r="X85" i="13"/>
  <c r="X53" i="12"/>
  <c r="X21" i="13"/>
  <c r="X105" i="12"/>
  <c r="X73" i="12"/>
  <c r="X41" i="12"/>
  <c r="X15" i="11"/>
  <c r="X92" i="13"/>
  <c r="X60" i="12"/>
  <c r="X28" i="13"/>
  <c r="X100" i="12"/>
  <c r="X68" i="12"/>
  <c r="X36" i="12"/>
  <c r="X12" i="9"/>
  <c r="X83" i="13"/>
  <c r="X51" i="13"/>
  <c r="X19" i="13"/>
  <c r="X99" i="12"/>
  <c r="X67" i="12"/>
  <c r="X35" i="12"/>
  <c r="X12" i="12"/>
  <c r="X82" i="13"/>
  <c r="X50" i="12"/>
  <c r="X18" i="13"/>
  <c r="X98" i="12"/>
  <c r="X66" i="12"/>
  <c r="X34" i="12"/>
  <c r="T10" i="12"/>
  <c r="E31" i="14" s="1"/>
  <c r="X11" i="12"/>
  <c r="X81" i="13"/>
  <c r="X49" i="13"/>
  <c r="X101" i="12"/>
  <c r="X69" i="12"/>
  <c r="X37" i="12"/>
  <c r="X13" i="9"/>
  <c r="X88" i="13"/>
  <c r="X56" i="13"/>
  <c r="X24" i="12"/>
  <c r="T23" i="11"/>
  <c r="V27" i="9"/>
  <c r="S23" i="11"/>
  <c r="U22" i="11"/>
  <c r="V23" i="11"/>
  <c r="T27" i="9"/>
  <c r="P23" i="11"/>
  <c r="X23" i="9"/>
  <c r="P23" i="9"/>
  <c r="R22" i="9"/>
  <c r="R22" i="11"/>
  <c r="D25" i="9"/>
  <c r="E24" i="9"/>
  <c r="Q24" i="9"/>
  <c r="F26" i="9"/>
  <c r="O24" i="11" l="1"/>
  <c r="L25" i="11"/>
  <c r="W22" i="11"/>
  <c r="X22" i="11" s="1"/>
  <c r="L29" i="9"/>
  <c r="W28" i="9"/>
  <c r="K25" i="11"/>
  <c r="M25" i="11"/>
  <c r="N25" i="11"/>
  <c r="J25" i="11"/>
  <c r="Q25" i="11" s="1"/>
  <c r="I25" i="11"/>
  <c r="H25" i="11"/>
  <c r="G25" i="11"/>
  <c r="H28" i="9"/>
  <c r="G28" i="9"/>
  <c r="E29" i="14"/>
  <c r="D13" i="14" s="1"/>
  <c r="G29" i="14"/>
  <c r="D15" i="14" s="1"/>
  <c r="X10" i="12"/>
  <c r="H38" i="25" s="1"/>
  <c r="T38" i="25" s="1"/>
  <c r="X10" i="13"/>
  <c r="J38" i="25" s="1"/>
  <c r="U38" i="25" s="1"/>
  <c r="T24" i="11"/>
  <c r="V24" i="11"/>
  <c r="S27" i="9"/>
  <c r="U26" i="9"/>
  <c r="U23" i="11"/>
  <c r="S24" i="11"/>
  <c r="P24" i="11"/>
  <c r="X24" i="9"/>
  <c r="P24" i="9"/>
  <c r="R24" i="9" s="1"/>
  <c r="R23" i="9"/>
  <c r="R23" i="11"/>
  <c r="D26" i="9"/>
  <c r="E25" i="9"/>
  <c r="F27" i="9"/>
  <c r="O25" i="11" l="1"/>
  <c r="O28" i="9"/>
  <c r="L26" i="11"/>
  <c r="W23" i="11"/>
  <c r="X23" i="11" s="1"/>
  <c r="N29" i="9"/>
  <c r="M29" i="9"/>
  <c r="K26" i="11"/>
  <c r="N26" i="11"/>
  <c r="M26" i="11"/>
  <c r="J26" i="11"/>
  <c r="Q26" i="11" s="1"/>
  <c r="I26" i="11"/>
  <c r="H26" i="11"/>
  <c r="G26" i="11"/>
  <c r="J29" i="9"/>
  <c r="K29" i="9"/>
  <c r="I29" i="9"/>
  <c r="H29" i="9"/>
  <c r="T25" i="11"/>
  <c r="V25" i="11"/>
  <c r="S25" i="11"/>
  <c r="U24" i="11"/>
  <c r="T28" i="9"/>
  <c r="G29" i="9"/>
  <c r="P25" i="11"/>
  <c r="X25" i="9"/>
  <c r="Q25" i="9"/>
  <c r="P25" i="9"/>
  <c r="R24" i="11"/>
  <c r="E26" i="9"/>
  <c r="D27" i="9"/>
  <c r="F28" i="9"/>
  <c r="O26" i="11" l="1"/>
  <c r="O29" i="9"/>
  <c r="L30" i="9"/>
  <c r="W29" i="9"/>
  <c r="L27" i="11"/>
  <c r="W24" i="11"/>
  <c r="X24" i="11" s="1"/>
  <c r="N30" i="9"/>
  <c r="M30" i="9"/>
  <c r="K27" i="11"/>
  <c r="M27" i="11"/>
  <c r="N27" i="11"/>
  <c r="J27" i="11"/>
  <c r="Q27" i="11" s="1"/>
  <c r="I27" i="11"/>
  <c r="H27" i="11"/>
  <c r="G27" i="11"/>
  <c r="O27" i="11" s="1"/>
  <c r="J30" i="9"/>
  <c r="K30" i="9"/>
  <c r="T26" i="11"/>
  <c r="V26" i="11"/>
  <c r="V28" i="9"/>
  <c r="U27" i="9"/>
  <c r="S28" i="9"/>
  <c r="U25" i="11"/>
  <c r="S26" i="11"/>
  <c r="H30" i="9"/>
  <c r="P26" i="11"/>
  <c r="X26" i="9"/>
  <c r="Q26" i="9"/>
  <c r="Q27" i="9"/>
  <c r="R25" i="9"/>
  <c r="P26" i="9"/>
  <c r="R25" i="11"/>
  <c r="D28" i="9"/>
  <c r="E27" i="9"/>
  <c r="F29" i="9"/>
  <c r="L31" i="9" l="1"/>
  <c r="W30" i="9"/>
  <c r="L28" i="11"/>
  <c r="W25" i="11"/>
  <c r="X25" i="11" s="1"/>
  <c r="K28" i="11"/>
  <c r="N28" i="11"/>
  <c r="M28" i="11"/>
  <c r="J28" i="11"/>
  <c r="Q28" i="11" s="1"/>
  <c r="I28" i="11"/>
  <c r="H28" i="11"/>
  <c r="G28" i="11"/>
  <c r="I30" i="9"/>
  <c r="G30" i="9"/>
  <c r="V27" i="11"/>
  <c r="T27" i="11"/>
  <c r="V29" i="9"/>
  <c r="S29" i="9"/>
  <c r="U28" i="9"/>
  <c r="U26" i="11"/>
  <c r="S27" i="11"/>
  <c r="T29" i="9"/>
  <c r="P27" i="11"/>
  <c r="X27" i="9"/>
  <c r="Q28" i="9"/>
  <c r="P27" i="9"/>
  <c r="R26" i="9"/>
  <c r="R26" i="11"/>
  <c r="E28" i="9"/>
  <c r="D29" i="9"/>
  <c r="F30" i="9"/>
  <c r="O30" i="9" l="1"/>
  <c r="O28" i="11"/>
  <c r="L29" i="11"/>
  <c r="W26" i="11"/>
  <c r="K31" i="9"/>
  <c r="N31" i="9"/>
  <c r="M31" i="9"/>
  <c r="K29" i="11"/>
  <c r="M29" i="11"/>
  <c r="N29" i="11"/>
  <c r="J29" i="11"/>
  <c r="Q29" i="11" s="1"/>
  <c r="I29" i="11"/>
  <c r="H29" i="11"/>
  <c r="G29" i="11"/>
  <c r="J31" i="9"/>
  <c r="I31" i="9"/>
  <c r="G31" i="9"/>
  <c r="H31" i="9"/>
  <c r="T30" i="9"/>
  <c r="V28" i="11"/>
  <c r="T28" i="11"/>
  <c r="X26" i="11"/>
  <c r="U27" i="11"/>
  <c r="S28" i="11"/>
  <c r="V30" i="9"/>
  <c r="S30" i="9"/>
  <c r="U29" i="9"/>
  <c r="P28" i="11"/>
  <c r="X28" i="9"/>
  <c r="P28" i="9"/>
  <c r="R27" i="9"/>
  <c r="R27" i="11"/>
  <c r="D30" i="9"/>
  <c r="E29" i="9"/>
  <c r="F31" i="9"/>
  <c r="O29" i="11" l="1"/>
  <c r="O31" i="9"/>
  <c r="L30" i="11"/>
  <c r="W27" i="11"/>
  <c r="L32" i="9"/>
  <c r="W31" i="9"/>
  <c r="M32" i="9"/>
  <c r="N32" i="9"/>
  <c r="K30" i="11"/>
  <c r="N30" i="11"/>
  <c r="M30" i="11"/>
  <c r="J30" i="11"/>
  <c r="Q30" i="11" s="1"/>
  <c r="I30" i="11"/>
  <c r="H30" i="11"/>
  <c r="G30" i="11"/>
  <c r="K32" i="9"/>
  <c r="J32" i="9"/>
  <c r="H32" i="9"/>
  <c r="I32" i="9"/>
  <c r="T31" i="9"/>
  <c r="V29" i="11"/>
  <c r="T29" i="11"/>
  <c r="S29" i="11"/>
  <c r="U28" i="11"/>
  <c r="X27" i="11"/>
  <c r="G32" i="9"/>
  <c r="P29" i="11"/>
  <c r="Q29" i="9"/>
  <c r="Q30" i="9"/>
  <c r="P29" i="9"/>
  <c r="R28" i="9"/>
  <c r="R28" i="11"/>
  <c r="E30" i="9"/>
  <c r="D31" i="9"/>
  <c r="F32" i="9"/>
  <c r="O30" i="11" l="1"/>
  <c r="O32" i="9"/>
  <c r="L31" i="11"/>
  <c r="W28" i="11"/>
  <c r="X28" i="11" s="1"/>
  <c r="L33" i="9"/>
  <c r="W32" i="9"/>
  <c r="N33" i="9"/>
  <c r="M33" i="9"/>
  <c r="K31" i="11"/>
  <c r="M31" i="11"/>
  <c r="N31" i="11"/>
  <c r="J31" i="11"/>
  <c r="Q31" i="11" s="1"/>
  <c r="I31" i="11"/>
  <c r="H31" i="11"/>
  <c r="G31" i="11"/>
  <c r="J33" i="9"/>
  <c r="K33" i="9"/>
  <c r="S31" i="9"/>
  <c r="T30" i="11"/>
  <c r="V30" i="11"/>
  <c r="S30" i="11"/>
  <c r="U29" i="11"/>
  <c r="U30" i="9"/>
  <c r="I33" i="9"/>
  <c r="V31" i="9"/>
  <c r="P30" i="11"/>
  <c r="X29" i="9"/>
  <c r="Q31" i="9"/>
  <c r="P30" i="9"/>
  <c r="R30" i="9" s="1"/>
  <c r="R29" i="9"/>
  <c r="R29" i="11"/>
  <c r="E31" i="9"/>
  <c r="D32" i="9"/>
  <c r="F33" i="9"/>
  <c r="O31" i="11" l="1"/>
  <c r="L32" i="11"/>
  <c r="W29" i="11"/>
  <c r="L34" i="9"/>
  <c r="W33" i="9"/>
  <c r="K32" i="11"/>
  <c r="N32" i="11"/>
  <c r="M32" i="11"/>
  <c r="J32" i="11"/>
  <c r="Q32" i="11" s="1"/>
  <c r="I32" i="11"/>
  <c r="H32" i="11"/>
  <c r="G32" i="11"/>
  <c r="V31" i="11"/>
  <c r="H33" i="9"/>
  <c r="G33" i="9"/>
  <c r="T31" i="11"/>
  <c r="V32" i="9"/>
  <c r="T32" i="9"/>
  <c r="S31" i="11"/>
  <c r="U30" i="11"/>
  <c r="U31" i="9"/>
  <c r="S32" i="9"/>
  <c r="X29" i="11"/>
  <c r="P31" i="11"/>
  <c r="X30" i="9"/>
  <c r="P31" i="9"/>
  <c r="R30" i="11"/>
  <c r="D33" i="9"/>
  <c r="E32" i="9"/>
  <c r="F34" i="9"/>
  <c r="O32" i="11" l="1"/>
  <c r="O33" i="9"/>
  <c r="L33" i="11"/>
  <c r="W30" i="11"/>
  <c r="X30" i="11" s="1"/>
  <c r="K34" i="9"/>
  <c r="N34" i="9"/>
  <c r="M34" i="9"/>
  <c r="K33" i="11"/>
  <c r="M33" i="11"/>
  <c r="N33" i="11"/>
  <c r="J33" i="11"/>
  <c r="Q33" i="11" s="1"/>
  <c r="I33" i="11"/>
  <c r="H33" i="11"/>
  <c r="G33" i="11"/>
  <c r="J34" i="9"/>
  <c r="I34" i="9"/>
  <c r="H34" i="9"/>
  <c r="G34" i="9"/>
  <c r="T33" i="9"/>
  <c r="V32" i="11"/>
  <c r="T32" i="11"/>
  <c r="U31" i="11"/>
  <c r="S32" i="11"/>
  <c r="U32" i="9"/>
  <c r="S33" i="9"/>
  <c r="V33" i="9"/>
  <c r="Q32" i="9"/>
  <c r="P32" i="11"/>
  <c r="X31" i="9"/>
  <c r="P32" i="9"/>
  <c r="R31" i="9"/>
  <c r="R31" i="11"/>
  <c r="D34" i="9"/>
  <c r="E33" i="9"/>
  <c r="F35" i="9"/>
  <c r="O33" i="11" l="1"/>
  <c r="O34" i="9"/>
  <c r="L34" i="11"/>
  <c r="W31" i="11"/>
  <c r="X31" i="11" s="1"/>
  <c r="L35" i="9"/>
  <c r="W34" i="9"/>
  <c r="K35" i="9"/>
  <c r="M35" i="9"/>
  <c r="N35" i="9"/>
  <c r="K34" i="11"/>
  <c r="N34" i="11"/>
  <c r="M34" i="11"/>
  <c r="J34" i="11"/>
  <c r="Q34" i="11" s="1"/>
  <c r="I34" i="11"/>
  <c r="H34" i="11"/>
  <c r="G34" i="11"/>
  <c r="O34" i="11" s="1"/>
  <c r="J35" i="9"/>
  <c r="I35" i="9"/>
  <c r="H35" i="9"/>
  <c r="G35" i="9"/>
  <c r="V34" i="9"/>
  <c r="T34" i="9"/>
  <c r="T33" i="11"/>
  <c r="V33" i="11"/>
  <c r="S33" i="11"/>
  <c r="U32" i="11"/>
  <c r="U33" i="9"/>
  <c r="S34" i="9"/>
  <c r="R32" i="9"/>
  <c r="X32" i="9"/>
  <c r="Q33" i="9"/>
  <c r="P33" i="11"/>
  <c r="P33" i="9"/>
  <c r="R32" i="11"/>
  <c r="E34" i="9"/>
  <c r="D35" i="9"/>
  <c r="F36" i="9"/>
  <c r="O35" i="9" l="1"/>
  <c r="L35" i="11"/>
  <c r="W32" i="11"/>
  <c r="X32" i="11" s="1"/>
  <c r="L36" i="9"/>
  <c r="W35" i="9"/>
  <c r="K36" i="9"/>
  <c r="N36" i="9"/>
  <c r="M36" i="9"/>
  <c r="K35" i="11"/>
  <c r="M35" i="11"/>
  <c r="N35" i="11"/>
  <c r="J35" i="11"/>
  <c r="Q35" i="11" s="1"/>
  <c r="I35" i="11"/>
  <c r="H35" i="11"/>
  <c r="G35" i="11"/>
  <c r="O35" i="11" s="1"/>
  <c r="J36" i="9"/>
  <c r="G36" i="9"/>
  <c r="I36" i="9"/>
  <c r="H36" i="9"/>
  <c r="T35" i="9"/>
  <c r="V35" i="9"/>
  <c r="T34" i="11"/>
  <c r="V34" i="11"/>
  <c r="U33" i="11"/>
  <c r="S34" i="11"/>
  <c r="U34" i="9"/>
  <c r="S35" i="9"/>
  <c r="Q34" i="9"/>
  <c r="P34" i="11"/>
  <c r="X33" i="9"/>
  <c r="P34" i="9"/>
  <c r="R33" i="9"/>
  <c r="R33" i="11"/>
  <c r="D36" i="9"/>
  <c r="E35" i="9"/>
  <c r="F37" i="9"/>
  <c r="O36" i="9" l="1"/>
  <c r="L36" i="11"/>
  <c r="W33" i="11"/>
  <c r="X33" i="11" s="1"/>
  <c r="L37" i="9"/>
  <c r="W36" i="9"/>
  <c r="K36" i="11"/>
  <c r="M37" i="9"/>
  <c r="N37" i="9"/>
  <c r="N36" i="11"/>
  <c r="M36" i="11"/>
  <c r="J36" i="11"/>
  <c r="Q36" i="11" s="1"/>
  <c r="I36" i="11"/>
  <c r="H36" i="11"/>
  <c r="G36" i="11"/>
  <c r="O36" i="11" s="1"/>
  <c r="K37" i="9"/>
  <c r="J37" i="9"/>
  <c r="I37" i="9"/>
  <c r="H37" i="9"/>
  <c r="G37" i="9"/>
  <c r="T36" i="9"/>
  <c r="V35" i="11"/>
  <c r="T35" i="11"/>
  <c r="S35" i="11"/>
  <c r="U34" i="11"/>
  <c r="V36" i="9"/>
  <c r="U35" i="9"/>
  <c r="S36" i="9"/>
  <c r="P35" i="11"/>
  <c r="X34" i="9"/>
  <c r="Q35" i="9"/>
  <c r="P35" i="9"/>
  <c r="R34" i="9"/>
  <c r="R34" i="11"/>
  <c r="D37" i="9"/>
  <c r="E36" i="9"/>
  <c r="F38" i="9"/>
  <c r="O37" i="9" l="1"/>
  <c r="L38" i="9"/>
  <c r="W37" i="9"/>
  <c r="L37" i="11"/>
  <c r="W34" i="11"/>
  <c r="X34" i="11" s="1"/>
  <c r="N38" i="9"/>
  <c r="M38" i="9"/>
  <c r="K37" i="11"/>
  <c r="M37" i="11"/>
  <c r="N37" i="11"/>
  <c r="J37" i="11"/>
  <c r="Q37" i="11" s="1"/>
  <c r="I37" i="11"/>
  <c r="H37" i="11"/>
  <c r="G37" i="11"/>
  <c r="J38" i="9"/>
  <c r="K38" i="9"/>
  <c r="I38" i="9"/>
  <c r="G38" i="9"/>
  <c r="H38" i="9"/>
  <c r="T36" i="11"/>
  <c r="U35" i="11"/>
  <c r="S36" i="11"/>
  <c r="U36" i="9"/>
  <c r="S37" i="9"/>
  <c r="V37" i="9"/>
  <c r="T37" i="9"/>
  <c r="V36" i="11"/>
  <c r="Q37" i="9"/>
  <c r="P36" i="11"/>
  <c r="X35" i="9"/>
  <c r="Q36" i="9"/>
  <c r="P36" i="9"/>
  <c r="R35" i="9"/>
  <c r="R35" i="11"/>
  <c r="E37" i="9"/>
  <c r="D38" i="9"/>
  <c r="F39" i="9"/>
  <c r="O37" i="11" l="1"/>
  <c r="O38" i="9"/>
  <c r="L39" i="9"/>
  <c r="W38" i="9"/>
  <c r="L38" i="11"/>
  <c r="W35" i="11"/>
  <c r="X35" i="11" s="1"/>
  <c r="K38" i="11"/>
  <c r="M39" i="9"/>
  <c r="N39" i="9"/>
  <c r="N38" i="11"/>
  <c r="M38" i="11"/>
  <c r="J38" i="11"/>
  <c r="Q38" i="11" s="1"/>
  <c r="I38" i="11"/>
  <c r="H38" i="11"/>
  <c r="G38" i="11"/>
  <c r="K39" i="9"/>
  <c r="H39" i="9"/>
  <c r="J39" i="9"/>
  <c r="I39" i="9"/>
  <c r="G39" i="9"/>
  <c r="V38" i="9"/>
  <c r="T38" i="9"/>
  <c r="U37" i="9"/>
  <c r="S38" i="9"/>
  <c r="S37" i="11"/>
  <c r="U36" i="11"/>
  <c r="T37" i="11"/>
  <c r="V37" i="11"/>
  <c r="Q38" i="9"/>
  <c r="P37" i="11"/>
  <c r="X36" i="9"/>
  <c r="P37" i="9"/>
  <c r="R36" i="9"/>
  <c r="R36" i="11"/>
  <c r="E38" i="9"/>
  <c r="D39" i="9"/>
  <c r="F40" i="9"/>
  <c r="O38" i="11" l="1"/>
  <c r="O39" i="9"/>
  <c r="L40" i="9"/>
  <c r="W39" i="9"/>
  <c r="L39" i="11"/>
  <c r="W36" i="11"/>
  <c r="X36" i="11" s="1"/>
  <c r="K39" i="11"/>
  <c r="N40" i="9"/>
  <c r="M40" i="9"/>
  <c r="M39" i="11"/>
  <c r="N39" i="11"/>
  <c r="J39" i="11"/>
  <c r="Q39" i="11" s="1"/>
  <c r="I39" i="11"/>
  <c r="H39" i="11"/>
  <c r="G39" i="11"/>
  <c r="J40" i="9"/>
  <c r="K40" i="9"/>
  <c r="I40" i="9"/>
  <c r="H40" i="9"/>
  <c r="T39" i="9"/>
  <c r="V38" i="11"/>
  <c r="T38" i="11"/>
  <c r="S38" i="11"/>
  <c r="U37" i="11"/>
  <c r="G40" i="9"/>
  <c r="Q39" i="9"/>
  <c r="P38" i="11"/>
  <c r="X37" i="9"/>
  <c r="P38" i="9"/>
  <c r="R37" i="9"/>
  <c r="R37" i="11"/>
  <c r="D40" i="9"/>
  <c r="E39" i="9"/>
  <c r="F41" i="9"/>
  <c r="O39" i="11" l="1"/>
  <c r="O40" i="9"/>
  <c r="L41" i="9"/>
  <c r="W40" i="9"/>
  <c r="L40" i="11"/>
  <c r="W37" i="11"/>
  <c r="X37" i="11" s="1"/>
  <c r="K41" i="9"/>
  <c r="M41" i="9"/>
  <c r="N41" i="9"/>
  <c r="K40" i="11"/>
  <c r="N40" i="11"/>
  <c r="M40" i="11"/>
  <c r="J40" i="11"/>
  <c r="Q40" i="11" s="1"/>
  <c r="I40" i="11"/>
  <c r="H40" i="11"/>
  <c r="G40" i="11"/>
  <c r="O40" i="11" s="1"/>
  <c r="J41" i="9"/>
  <c r="V39" i="9"/>
  <c r="T39" i="11"/>
  <c r="V39" i="11"/>
  <c r="S39" i="11"/>
  <c r="U38" i="11"/>
  <c r="U38" i="9"/>
  <c r="X38" i="9" s="1"/>
  <c r="S39" i="9"/>
  <c r="Q40" i="9"/>
  <c r="P39" i="11"/>
  <c r="P39" i="9"/>
  <c r="R38" i="9"/>
  <c r="R38" i="11"/>
  <c r="D41" i="9"/>
  <c r="E40" i="9"/>
  <c r="F42" i="9"/>
  <c r="L41" i="11" l="1"/>
  <c r="W38" i="11"/>
  <c r="L42" i="9"/>
  <c r="W41" i="9"/>
  <c r="K41" i="11"/>
  <c r="M41" i="11"/>
  <c r="N41" i="11"/>
  <c r="J41" i="11"/>
  <c r="Q41" i="11" s="1"/>
  <c r="I41" i="11"/>
  <c r="H41" i="11"/>
  <c r="G41" i="11"/>
  <c r="G41" i="9"/>
  <c r="I41" i="9"/>
  <c r="H41" i="9"/>
  <c r="V40" i="11"/>
  <c r="T40" i="11"/>
  <c r="U39" i="11"/>
  <c r="S40" i="11"/>
  <c r="U39" i="9"/>
  <c r="X39" i="9" s="1"/>
  <c r="S40" i="9"/>
  <c r="V40" i="9"/>
  <c r="X38" i="11"/>
  <c r="T40" i="9"/>
  <c r="P40" i="11"/>
  <c r="P40" i="9"/>
  <c r="R39" i="9"/>
  <c r="R39" i="11"/>
  <c r="D42" i="9"/>
  <c r="E41" i="9"/>
  <c r="F43" i="9"/>
  <c r="O41" i="11" l="1"/>
  <c r="O41" i="9"/>
  <c r="L42" i="11"/>
  <c r="W39" i="11"/>
  <c r="N42" i="9"/>
  <c r="M42" i="9"/>
  <c r="K42" i="11"/>
  <c r="N42" i="11"/>
  <c r="M42" i="11"/>
  <c r="J42" i="11"/>
  <c r="Q42" i="11" s="1"/>
  <c r="I42" i="11"/>
  <c r="H42" i="11"/>
  <c r="G42" i="11"/>
  <c r="K42" i="9"/>
  <c r="J42" i="9"/>
  <c r="Q42" i="9" s="1"/>
  <c r="I42" i="9"/>
  <c r="H42" i="9"/>
  <c r="G42" i="9"/>
  <c r="T41" i="9"/>
  <c r="V41" i="9"/>
  <c r="V41" i="11"/>
  <c r="U40" i="9"/>
  <c r="X40" i="9" s="1"/>
  <c r="S41" i="9"/>
  <c r="X39" i="11"/>
  <c r="S41" i="11"/>
  <c r="U40" i="11"/>
  <c r="P41" i="11"/>
  <c r="T41" i="11"/>
  <c r="Q41" i="9"/>
  <c r="P41" i="9"/>
  <c r="R40" i="9"/>
  <c r="R40" i="11"/>
  <c r="D43" i="9"/>
  <c r="E42" i="9"/>
  <c r="F44" i="9"/>
  <c r="O42" i="11" l="1"/>
  <c r="O42" i="9"/>
  <c r="L43" i="11"/>
  <c r="W40" i="11"/>
  <c r="L43" i="9"/>
  <c r="W42" i="9"/>
  <c r="K43" i="9"/>
  <c r="M43" i="9"/>
  <c r="N43" i="9"/>
  <c r="K43" i="11"/>
  <c r="M43" i="11"/>
  <c r="N43" i="11"/>
  <c r="J43" i="11"/>
  <c r="Q43" i="11" s="1"/>
  <c r="I43" i="11"/>
  <c r="H43" i="11"/>
  <c r="G43" i="11"/>
  <c r="J43" i="9"/>
  <c r="Q43" i="9" s="1"/>
  <c r="I43" i="9"/>
  <c r="H43" i="9"/>
  <c r="G43" i="9"/>
  <c r="V42" i="9"/>
  <c r="T42" i="9"/>
  <c r="V42" i="11"/>
  <c r="X40" i="11"/>
  <c r="U41" i="9"/>
  <c r="X41" i="9" s="1"/>
  <c r="S42" i="9"/>
  <c r="U41" i="11"/>
  <c r="S42" i="11"/>
  <c r="T42" i="11"/>
  <c r="R41" i="9"/>
  <c r="P42" i="11"/>
  <c r="P42" i="9"/>
  <c r="R41" i="11"/>
  <c r="D44" i="9"/>
  <c r="E43" i="9"/>
  <c r="F45" i="9"/>
  <c r="O43" i="11" l="1"/>
  <c r="O43" i="9"/>
  <c r="L44" i="11"/>
  <c r="W41" i="11"/>
  <c r="X41" i="11" s="1"/>
  <c r="L44" i="9"/>
  <c r="W43" i="9"/>
  <c r="N44" i="9"/>
  <c r="M44" i="9"/>
  <c r="K44" i="11"/>
  <c r="N44" i="11"/>
  <c r="M44" i="11"/>
  <c r="J44" i="11"/>
  <c r="Q44" i="11" s="1"/>
  <c r="I44" i="11"/>
  <c r="H44" i="11"/>
  <c r="G44" i="11"/>
  <c r="J44" i="9"/>
  <c r="Q44" i="9" s="1"/>
  <c r="K44" i="9"/>
  <c r="I44" i="9"/>
  <c r="H44" i="9"/>
  <c r="G44" i="9"/>
  <c r="T43" i="9"/>
  <c r="V43" i="9"/>
  <c r="V43" i="11"/>
  <c r="T43" i="11"/>
  <c r="S43" i="11"/>
  <c r="U42" i="11"/>
  <c r="S43" i="9"/>
  <c r="U42" i="9"/>
  <c r="X42" i="9" s="1"/>
  <c r="P43" i="11"/>
  <c r="P43" i="9"/>
  <c r="R43" i="9" s="1"/>
  <c r="R42" i="9"/>
  <c r="R42" i="11"/>
  <c r="D45" i="9"/>
  <c r="E44" i="9"/>
  <c r="F46" i="9"/>
  <c r="O44" i="11" l="1"/>
  <c r="O44" i="9"/>
  <c r="L45" i="9"/>
  <c r="W44" i="9"/>
  <c r="L45" i="11"/>
  <c r="W42" i="11"/>
  <c r="X42" i="11" s="1"/>
  <c r="K45" i="9"/>
  <c r="K45" i="11"/>
  <c r="M45" i="9"/>
  <c r="N45" i="9"/>
  <c r="M45" i="11"/>
  <c r="N45" i="11"/>
  <c r="J45" i="11"/>
  <c r="Q45" i="11" s="1"/>
  <c r="I45" i="11"/>
  <c r="H45" i="11"/>
  <c r="G45" i="11"/>
  <c r="J45" i="9"/>
  <c r="Q45" i="9" s="1"/>
  <c r="I45" i="9"/>
  <c r="H45" i="9"/>
  <c r="G45" i="9"/>
  <c r="V44" i="9"/>
  <c r="T44" i="9"/>
  <c r="T44" i="11"/>
  <c r="V44" i="11"/>
  <c r="S44" i="9"/>
  <c r="U43" i="9"/>
  <c r="X43" i="9" s="1"/>
  <c r="U43" i="11"/>
  <c r="S44" i="11"/>
  <c r="P44" i="11"/>
  <c r="P44" i="9"/>
  <c r="R43" i="11"/>
  <c r="D46" i="9"/>
  <c r="E45" i="9"/>
  <c r="F47" i="9"/>
  <c r="O45" i="11" l="1"/>
  <c r="O45" i="9"/>
  <c r="L46" i="11"/>
  <c r="W43" i="11"/>
  <c r="X43" i="11" s="1"/>
  <c r="L46" i="9"/>
  <c r="W45" i="9"/>
  <c r="K46" i="9"/>
  <c r="N46" i="9"/>
  <c r="M46" i="9"/>
  <c r="K46" i="11"/>
  <c r="N46" i="11"/>
  <c r="M46" i="11"/>
  <c r="J46" i="11"/>
  <c r="Q46" i="11" s="1"/>
  <c r="I46" i="11"/>
  <c r="H46" i="11"/>
  <c r="G46" i="11"/>
  <c r="O46" i="11" s="1"/>
  <c r="J46" i="9"/>
  <c r="Q46" i="9" s="1"/>
  <c r="I46" i="9"/>
  <c r="H46" i="9"/>
  <c r="G46" i="9"/>
  <c r="V45" i="9"/>
  <c r="T45" i="9"/>
  <c r="V45" i="11"/>
  <c r="T45" i="11"/>
  <c r="U44" i="9"/>
  <c r="X44" i="9" s="1"/>
  <c r="S45" i="9"/>
  <c r="S45" i="11"/>
  <c r="U44" i="11"/>
  <c r="P45" i="11"/>
  <c r="P45" i="9"/>
  <c r="R44" i="9"/>
  <c r="R44" i="11"/>
  <c r="D47" i="9"/>
  <c r="E46" i="9"/>
  <c r="F48" i="9"/>
  <c r="O46" i="9" l="1"/>
  <c r="L47" i="11"/>
  <c r="W44" i="11"/>
  <c r="X44" i="11" s="1"/>
  <c r="L47" i="9"/>
  <c r="W46" i="9"/>
  <c r="K47" i="9"/>
  <c r="M47" i="9"/>
  <c r="N47" i="9"/>
  <c r="K47" i="11"/>
  <c r="M47" i="11"/>
  <c r="N47" i="11"/>
  <c r="J47" i="11"/>
  <c r="Q47" i="11" s="1"/>
  <c r="I47" i="11"/>
  <c r="H47" i="11"/>
  <c r="G47" i="11"/>
  <c r="O47" i="11" s="1"/>
  <c r="J47" i="9"/>
  <c r="I47" i="9"/>
  <c r="H47" i="9"/>
  <c r="G47" i="9"/>
  <c r="V46" i="11"/>
  <c r="T46" i="11"/>
  <c r="S46" i="11"/>
  <c r="U45" i="11"/>
  <c r="U45" i="9"/>
  <c r="X45" i="9" s="1"/>
  <c r="S46" i="9"/>
  <c r="V46" i="9"/>
  <c r="T46" i="9"/>
  <c r="P46" i="11"/>
  <c r="P46" i="9"/>
  <c r="R45" i="9"/>
  <c r="R45" i="11"/>
  <c r="E47" i="9"/>
  <c r="D48" i="9"/>
  <c r="F49" i="9"/>
  <c r="O47" i="9" l="1"/>
  <c r="L48" i="11"/>
  <c r="W45" i="11"/>
  <c r="L48" i="9"/>
  <c r="W47" i="9"/>
  <c r="K48" i="9"/>
  <c r="N48" i="9"/>
  <c r="M48" i="9"/>
  <c r="K48" i="11"/>
  <c r="N48" i="11"/>
  <c r="M48" i="11"/>
  <c r="J48" i="11"/>
  <c r="Q48" i="11" s="1"/>
  <c r="I48" i="11"/>
  <c r="H48" i="11"/>
  <c r="G48" i="11"/>
  <c r="J48" i="9"/>
  <c r="Q48" i="9" s="1"/>
  <c r="I48" i="9"/>
  <c r="H48" i="9"/>
  <c r="G48" i="9"/>
  <c r="T47" i="9"/>
  <c r="V47" i="9"/>
  <c r="V47" i="11"/>
  <c r="U46" i="9"/>
  <c r="X46" i="9" s="1"/>
  <c r="S47" i="9"/>
  <c r="P47" i="11"/>
  <c r="T47" i="11"/>
  <c r="X45" i="11"/>
  <c r="S47" i="11"/>
  <c r="U46" i="11"/>
  <c r="Q47" i="9"/>
  <c r="P47" i="9"/>
  <c r="R46" i="9"/>
  <c r="R46" i="11"/>
  <c r="D49" i="9"/>
  <c r="E48" i="9"/>
  <c r="F50" i="9"/>
  <c r="O48" i="11" l="1"/>
  <c r="O48" i="9"/>
  <c r="L49" i="11"/>
  <c r="W46" i="11"/>
  <c r="X46" i="11" s="1"/>
  <c r="L49" i="9"/>
  <c r="W48" i="9"/>
  <c r="K49" i="9"/>
  <c r="M49" i="9"/>
  <c r="N49" i="9"/>
  <c r="K49" i="11"/>
  <c r="M49" i="11"/>
  <c r="N49" i="11"/>
  <c r="J49" i="11"/>
  <c r="Q49" i="11" s="1"/>
  <c r="I49" i="11"/>
  <c r="H49" i="11"/>
  <c r="G49" i="11"/>
  <c r="O49" i="11" s="1"/>
  <c r="J49" i="9"/>
  <c r="Q49" i="9" s="1"/>
  <c r="I49" i="9"/>
  <c r="H49" i="9"/>
  <c r="G49" i="9"/>
  <c r="V48" i="9"/>
  <c r="V48" i="11"/>
  <c r="T48" i="9"/>
  <c r="T48" i="11"/>
  <c r="U47" i="9"/>
  <c r="X47" i="9" s="1"/>
  <c r="S48" i="9"/>
  <c r="U47" i="11"/>
  <c r="S48" i="11"/>
  <c r="P48" i="11"/>
  <c r="P48" i="9"/>
  <c r="R47" i="11"/>
  <c r="R47" i="9"/>
  <c r="E49" i="9"/>
  <c r="D50" i="9"/>
  <c r="F51" i="9"/>
  <c r="O49" i="9" l="1"/>
  <c r="L50" i="11"/>
  <c r="W47" i="11"/>
  <c r="X47" i="11" s="1"/>
  <c r="L50" i="9"/>
  <c r="W49" i="9"/>
  <c r="N50" i="9"/>
  <c r="M50" i="9"/>
  <c r="K50" i="11"/>
  <c r="N50" i="11"/>
  <c r="M50" i="11"/>
  <c r="J50" i="11"/>
  <c r="Q50" i="11" s="1"/>
  <c r="I50" i="11"/>
  <c r="H50" i="11"/>
  <c r="G50" i="11"/>
  <c r="J50" i="9"/>
  <c r="Q50" i="9" s="1"/>
  <c r="K50" i="9"/>
  <c r="I50" i="9"/>
  <c r="H50" i="9"/>
  <c r="G50" i="9"/>
  <c r="T49" i="11"/>
  <c r="V49" i="11"/>
  <c r="V49" i="9"/>
  <c r="T49" i="9"/>
  <c r="U48" i="9"/>
  <c r="X48" i="9" s="1"/>
  <c r="S49" i="9"/>
  <c r="S49" i="11"/>
  <c r="U48" i="11"/>
  <c r="P49" i="11"/>
  <c r="P49" i="9"/>
  <c r="R48" i="9"/>
  <c r="R48" i="11"/>
  <c r="D51" i="9"/>
  <c r="E50" i="9"/>
  <c r="F52" i="9"/>
  <c r="O50" i="11" l="1"/>
  <c r="O50" i="9"/>
  <c r="L51" i="9"/>
  <c r="W50" i="9"/>
  <c r="L51" i="11"/>
  <c r="W48" i="11"/>
  <c r="X48" i="11" s="1"/>
  <c r="M51" i="9"/>
  <c r="N51" i="9"/>
  <c r="K51" i="11"/>
  <c r="M51" i="11"/>
  <c r="N51" i="11"/>
  <c r="J51" i="11"/>
  <c r="Q51" i="11" s="1"/>
  <c r="I51" i="11"/>
  <c r="H51" i="11"/>
  <c r="G51" i="11"/>
  <c r="J51" i="9"/>
  <c r="K51" i="9"/>
  <c r="I51" i="9"/>
  <c r="H51" i="9"/>
  <c r="G51" i="9"/>
  <c r="V50" i="9"/>
  <c r="V50" i="11"/>
  <c r="T50" i="11"/>
  <c r="T50" i="9"/>
  <c r="U49" i="11"/>
  <c r="S50" i="11"/>
  <c r="U49" i="9"/>
  <c r="X49" i="9" s="1"/>
  <c r="S50" i="9"/>
  <c r="P50" i="11"/>
  <c r="P50" i="9"/>
  <c r="R49" i="9"/>
  <c r="R49" i="11"/>
  <c r="D52" i="9"/>
  <c r="E51" i="9"/>
  <c r="F53" i="9"/>
  <c r="O51" i="11" l="1"/>
  <c r="O51" i="9"/>
  <c r="L52" i="9"/>
  <c r="W51" i="9"/>
  <c r="L52" i="11"/>
  <c r="W49" i="11"/>
  <c r="X49" i="11" s="1"/>
  <c r="N52" i="9"/>
  <c r="M52" i="9"/>
  <c r="K52" i="11"/>
  <c r="N52" i="11"/>
  <c r="M52" i="11"/>
  <c r="J52" i="11"/>
  <c r="Q52" i="11" s="1"/>
  <c r="I52" i="11"/>
  <c r="H52" i="11"/>
  <c r="G52" i="11"/>
  <c r="J52" i="9"/>
  <c r="Q52" i="9" s="1"/>
  <c r="K52" i="9"/>
  <c r="I52" i="9"/>
  <c r="H52" i="9"/>
  <c r="G52" i="9"/>
  <c r="V51" i="9"/>
  <c r="T51" i="9"/>
  <c r="T51" i="11"/>
  <c r="V51" i="11"/>
  <c r="S51" i="9"/>
  <c r="U50" i="9"/>
  <c r="X50" i="9" s="1"/>
  <c r="S51" i="11"/>
  <c r="U50" i="11"/>
  <c r="Q51" i="9"/>
  <c r="P51" i="11"/>
  <c r="X11" i="9"/>
  <c r="P51" i="9"/>
  <c r="R50" i="9"/>
  <c r="R50" i="11"/>
  <c r="D53" i="9"/>
  <c r="E52" i="9"/>
  <c r="F54" i="9"/>
  <c r="O52" i="11" l="1"/>
  <c r="O52" i="9"/>
  <c r="L53" i="9"/>
  <c r="W52" i="9"/>
  <c r="L53" i="11"/>
  <c r="W50" i="11"/>
  <c r="X50" i="11" s="1"/>
  <c r="K53" i="9"/>
  <c r="M53" i="9"/>
  <c r="N53" i="9"/>
  <c r="K53" i="11"/>
  <c r="M53" i="11"/>
  <c r="N53" i="11"/>
  <c r="J53" i="11"/>
  <c r="Q53" i="11" s="1"/>
  <c r="I53" i="11"/>
  <c r="H53" i="11"/>
  <c r="G53" i="11"/>
  <c r="J53" i="9"/>
  <c r="Q53" i="9" s="1"/>
  <c r="I53" i="9"/>
  <c r="H53" i="9"/>
  <c r="G53" i="9"/>
  <c r="V52" i="9"/>
  <c r="V52" i="11"/>
  <c r="T52" i="11"/>
  <c r="T52" i="9"/>
  <c r="U51" i="11"/>
  <c r="S52" i="11"/>
  <c r="S52" i="9"/>
  <c r="U51" i="9"/>
  <c r="X51" i="9" s="1"/>
  <c r="P52" i="11"/>
  <c r="P52" i="9"/>
  <c r="R51" i="9"/>
  <c r="R51" i="11"/>
  <c r="D54" i="9"/>
  <c r="E53" i="9"/>
  <c r="F55" i="9"/>
  <c r="O53" i="11" l="1"/>
  <c r="O53" i="9"/>
  <c r="L54" i="11"/>
  <c r="W51" i="11"/>
  <c r="X51" i="11" s="1"/>
  <c r="L54" i="9"/>
  <c r="W53" i="9"/>
  <c r="K54" i="9"/>
  <c r="K54" i="11"/>
  <c r="N54" i="9"/>
  <c r="M54" i="9"/>
  <c r="N54" i="11"/>
  <c r="M54" i="11"/>
  <c r="J54" i="11"/>
  <c r="Q54" i="11" s="1"/>
  <c r="I54" i="11"/>
  <c r="H54" i="11"/>
  <c r="G54" i="11"/>
  <c r="J54" i="9"/>
  <c r="Q54" i="9" s="1"/>
  <c r="I54" i="9"/>
  <c r="H54" i="9"/>
  <c r="G54" i="9"/>
  <c r="V53" i="9"/>
  <c r="T53" i="9"/>
  <c r="V53" i="11"/>
  <c r="T53" i="11"/>
  <c r="S53" i="9"/>
  <c r="U52" i="9"/>
  <c r="X52" i="9" s="1"/>
  <c r="S53" i="11"/>
  <c r="U52" i="11"/>
  <c r="P53" i="11"/>
  <c r="P53" i="9"/>
  <c r="R52" i="9"/>
  <c r="R52" i="11"/>
  <c r="E54" i="9"/>
  <c r="D55" i="9"/>
  <c r="F56" i="9"/>
  <c r="O54" i="11" l="1"/>
  <c r="O54" i="9"/>
  <c r="L55" i="11"/>
  <c r="W52" i="11"/>
  <c r="X52" i="11" s="1"/>
  <c r="L55" i="9"/>
  <c r="W54" i="9"/>
  <c r="K55" i="9"/>
  <c r="M55" i="9"/>
  <c r="N55" i="9"/>
  <c r="K55" i="11"/>
  <c r="M55" i="11"/>
  <c r="N55" i="11"/>
  <c r="J55" i="11"/>
  <c r="Q55" i="11" s="1"/>
  <c r="I55" i="11"/>
  <c r="H55" i="11"/>
  <c r="G55" i="11"/>
  <c r="J55" i="9"/>
  <c r="Q55" i="9" s="1"/>
  <c r="I55" i="9"/>
  <c r="H55" i="9"/>
  <c r="G55" i="9"/>
  <c r="T54" i="9"/>
  <c r="V54" i="9"/>
  <c r="T54" i="11"/>
  <c r="V54" i="11"/>
  <c r="S54" i="9"/>
  <c r="U53" i="9"/>
  <c r="X53" i="9" s="1"/>
  <c r="S54" i="11"/>
  <c r="U53" i="11"/>
  <c r="P54" i="11"/>
  <c r="P54" i="9"/>
  <c r="R53" i="9"/>
  <c r="R53" i="11"/>
  <c r="D56" i="9"/>
  <c r="E55" i="9"/>
  <c r="F57" i="9"/>
  <c r="O55" i="11" l="1"/>
  <c r="O55" i="9"/>
  <c r="L56" i="11"/>
  <c r="W53" i="11"/>
  <c r="X53" i="11" s="1"/>
  <c r="L56" i="9"/>
  <c r="W55" i="9"/>
  <c r="K56" i="9"/>
  <c r="N56" i="9"/>
  <c r="M56" i="9"/>
  <c r="K56" i="11"/>
  <c r="N56" i="11"/>
  <c r="M56" i="11"/>
  <c r="J56" i="11"/>
  <c r="Q56" i="11" s="1"/>
  <c r="I56" i="11"/>
  <c r="H56" i="11"/>
  <c r="G56" i="11"/>
  <c r="J56" i="9"/>
  <c r="Q56" i="9" s="1"/>
  <c r="I56" i="9"/>
  <c r="H56" i="9"/>
  <c r="G56" i="9"/>
  <c r="V55" i="11"/>
  <c r="V55" i="9"/>
  <c r="T55" i="11"/>
  <c r="T55" i="9"/>
  <c r="S55" i="11"/>
  <c r="U54" i="11"/>
  <c r="U54" i="9"/>
  <c r="X54" i="9" s="1"/>
  <c r="S55" i="9"/>
  <c r="P55" i="11"/>
  <c r="P55" i="9"/>
  <c r="R54" i="9"/>
  <c r="R54" i="11"/>
  <c r="D57" i="9"/>
  <c r="E56" i="9"/>
  <c r="F58" i="9"/>
  <c r="O56" i="11" l="1"/>
  <c r="O56" i="9"/>
  <c r="L57" i="11"/>
  <c r="W54" i="11"/>
  <c r="L57" i="9"/>
  <c r="W56" i="9"/>
  <c r="K57" i="9"/>
  <c r="M57" i="9"/>
  <c r="N57" i="9"/>
  <c r="K57" i="11"/>
  <c r="M57" i="11"/>
  <c r="N57" i="11"/>
  <c r="J57" i="11"/>
  <c r="Q57" i="11" s="1"/>
  <c r="I57" i="11"/>
  <c r="H57" i="11"/>
  <c r="G57" i="11"/>
  <c r="O57" i="11" s="1"/>
  <c r="J57" i="9"/>
  <c r="Q57" i="9" s="1"/>
  <c r="I57" i="9"/>
  <c r="H57" i="9"/>
  <c r="T56" i="9"/>
  <c r="G57" i="9"/>
  <c r="V56" i="9"/>
  <c r="V56" i="11"/>
  <c r="U55" i="11"/>
  <c r="S56" i="11"/>
  <c r="P56" i="11"/>
  <c r="T56" i="11"/>
  <c r="X54" i="11"/>
  <c r="U55" i="9"/>
  <c r="X55" i="9" s="1"/>
  <c r="S56" i="9"/>
  <c r="P56" i="9"/>
  <c r="R55" i="9"/>
  <c r="R55" i="11"/>
  <c r="D58" i="9"/>
  <c r="E57" i="9"/>
  <c r="F59" i="9"/>
  <c r="O57" i="9" l="1"/>
  <c r="L58" i="11"/>
  <c r="W55" i="11"/>
  <c r="L58" i="9"/>
  <c r="W57" i="9"/>
  <c r="K58" i="9"/>
  <c r="N58" i="9"/>
  <c r="M58" i="9"/>
  <c r="K58" i="11"/>
  <c r="N58" i="11"/>
  <c r="M58" i="11"/>
  <c r="J58" i="11"/>
  <c r="Q58" i="11" s="1"/>
  <c r="I58" i="11"/>
  <c r="H58" i="11"/>
  <c r="G58" i="11"/>
  <c r="J58" i="9"/>
  <c r="I58" i="9"/>
  <c r="T57" i="9"/>
  <c r="H58" i="9"/>
  <c r="G58" i="9"/>
  <c r="V57" i="9"/>
  <c r="V57" i="11"/>
  <c r="T57" i="11"/>
  <c r="X55" i="11"/>
  <c r="U56" i="9"/>
  <c r="X56" i="9" s="1"/>
  <c r="S57" i="9"/>
  <c r="S57" i="11"/>
  <c r="U56" i="11"/>
  <c r="P57" i="11"/>
  <c r="P57" i="9"/>
  <c r="R56" i="9"/>
  <c r="R56" i="11"/>
  <c r="E58" i="9"/>
  <c r="D59" i="9"/>
  <c r="F60" i="9"/>
  <c r="O58" i="11" l="1"/>
  <c r="O58" i="9"/>
  <c r="L59" i="11"/>
  <c r="W56" i="11"/>
  <c r="X56" i="11" s="1"/>
  <c r="L59" i="9"/>
  <c r="W58" i="9"/>
  <c r="K59" i="11"/>
  <c r="M59" i="9"/>
  <c r="N59" i="9"/>
  <c r="M59" i="11"/>
  <c r="N59" i="11"/>
  <c r="J59" i="11"/>
  <c r="Q59" i="11" s="1"/>
  <c r="I59" i="11"/>
  <c r="H59" i="11"/>
  <c r="G59" i="11"/>
  <c r="J59" i="9"/>
  <c r="Q59" i="9" s="1"/>
  <c r="K59" i="9"/>
  <c r="I59" i="9"/>
  <c r="G59" i="9"/>
  <c r="H59" i="9"/>
  <c r="V58" i="9"/>
  <c r="T58" i="9"/>
  <c r="T58" i="11"/>
  <c r="V58" i="11"/>
  <c r="U57" i="11"/>
  <c r="S58" i="11"/>
  <c r="U57" i="9"/>
  <c r="X57" i="9" s="1"/>
  <c r="S58" i="9"/>
  <c r="Q58" i="9"/>
  <c r="P58" i="11"/>
  <c r="P58" i="9"/>
  <c r="R57" i="9"/>
  <c r="R57" i="11"/>
  <c r="D60" i="9"/>
  <c r="E59" i="9"/>
  <c r="F61" i="9"/>
  <c r="O59" i="11" l="1"/>
  <c r="O59" i="9"/>
  <c r="L60" i="9"/>
  <c r="W59" i="9"/>
  <c r="L60" i="11"/>
  <c r="W57" i="11"/>
  <c r="X57" i="11" s="1"/>
  <c r="N60" i="9"/>
  <c r="M60" i="9"/>
  <c r="K60" i="11"/>
  <c r="N60" i="11"/>
  <c r="M60" i="11"/>
  <c r="J60" i="11"/>
  <c r="Q60" i="11" s="1"/>
  <c r="I60" i="11"/>
  <c r="H60" i="11"/>
  <c r="G60" i="11"/>
  <c r="K60" i="9"/>
  <c r="J60" i="9"/>
  <c r="I60" i="9"/>
  <c r="G60" i="9"/>
  <c r="H60" i="9"/>
  <c r="V59" i="9"/>
  <c r="T59" i="9"/>
  <c r="T59" i="11"/>
  <c r="V59" i="11"/>
  <c r="S59" i="9"/>
  <c r="U58" i="9"/>
  <c r="X58" i="9" s="1"/>
  <c r="S59" i="11"/>
  <c r="U58" i="11"/>
  <c r="R58" i="9"/>
  <c r="P59" i="11"/>
  <c r="P59" i="9"/>
  <c r="R58" i="11"/>
  <c r="D61" i="9"/>
  <c r="E60" i="9"/>
  <c r="F62" i="9"/>
  <c r="O60" i="11" l="1"/>
  <c r="O60" i="9"/>
  <c r="L61" i="11"/>
  <c r="W58" i="11"/>
  <c r="X58" i="11" s="1"/>
  <c r="L61" i="9"/>
  <c r="W60" i="9"/>
  <c r="M61" i="9"/>
  <c r="N61" i="9"/>
  <c r="K61" i="11"/>
  <c r="M61" i="11"/>
  <c r="N61" i="11"/>
  <c r="J61" i="11"/>
  <c r="Q61" i="11" s="1"/>
  <c r="I61" i="11"/>
  <c r="H61" i="11"/>
  <c r="G61" i="11"/>
  <c r="K61" i="9"/>
  <c r="J61" i="9"/>
  <c r="G61" i="9"/>
  <c r="I61" i="9"/>
  <c r="H61" i="9"/>
  <c r="V60" i="9"/>
  <c r="T60" i="9"/>
  <c r="T60" i="11"/>
  <c r="V60" i="11"/>
  <c r="U59" i="11"/>
  <c r="S60" i="11"/>
  <c r="S60" i="9"/>
  <c r="U59" i="9"/>
  <c r="X59" i="9" s="1"/>
  <c r="Q60" i="9"/>
  <c r="P60" i="11"/>
  <c r="P60" i="9"/>
  <c r="R59" i="9"/>
  <c r="R59" i="11"/>
  <c r="D62" i="9"/>
  <c r="E61" i="9"/>
  <c r="F63" i="9"/>
  <c r="O61" i="11" l="1"/>
  <c r="O61" i="9"/>
  <c r="L62" i="11"/>
  <c r="W59" i="11"/>
  <c r="L62" i="9"/>
  <c r="W61" i="9"/>
  <c r="K62" i="11"/>
  <c r="N62" i="9"/>
  <c r="M62" i="9"/>
  <c r="N62" i="11"/>
  <c r="M62" i="11"/>
  <c r="J62" i="11"/>
  <c r="Q62" i="11" s="1"/>
  <c r="I62" i="11"/>
  <c r="H62" i="11"/>
  <c r="G62" i="11"/>
  <c r="O62" i="11" s="1"/>
  <c r="K62" i="9"/>
  <c r="H62" i="9"/>
  <c r="J62" i="9"/>
  <c r="Q62" i="9" s="1"/>
  <c r="I62" i="9"/>
  <c r="G62" i="9"/>
  <c r="V61" i="11"/>
  <c r="T61" i="11"/>
  <c r="V61" i="9"/>
  <c r="T61" i="9"/>
  <c r="S61" i="11"/>
  <c r="U60" i="11"/>
  <c r="S61" i="9"/>
  <c r="U60" i="9"/>
  <c r="X60" i="9" s="1"/>
  <c r="X59" i="11"/>
  <c r="Q61" i="9"/>
  <c r="P61" i="11"/>
  <c r="P61" i="9"/>
  <c r="R60" i="9"/>
  <c r="R60" i="11"/>
  <c r="D63" i="9"/>
  <c r="E62" i="9"/>
  <c r="F64" i="9"/>
  <c r="O62" i="9" l="1"/>
  <c r="L63" i="9"/>
  <c r="W62" i="9"/>
  <c r="L63" i="11"/>
  <c r="W60" i="11"/>
  <c r="X60" i="11" s="1"/>
  <c r="K63" i="9"/>
  <c r="K63" i="11"/>
  <c r="M63" i="9"/>
  <c r="N63" i="9"/>
  <c r="M63" i="11"/>
  <c r="N63" i="11"/>
  <c r="J63" i="11"/>
  <c r="Q63" i="11" s="1"/>
  <c r="I63" i="11"/>
  <c r="H63" i="11"/>
  <c r="G63" i="11"/>
  <c r="O63" i="11" s="1"/>
  <c r="J63" i="9"/>
  <c r="Q63" i="9" s="1"/>
  <c r="G63" i="9"/>
  <c r="I63" i="9"/>
  <c r="H63" i="9"/>
  <c r="V62" i="9"/>
  <c r="T62" i="9"/>
  <c r="V62" i="11"/>
  <c r="U61" i="11"/>
  <c r="S62" i="11"/>
  <c r="P62" i="11"/>
  <c r="T62" i="11"/>
  <c r="S62" i="9"/>
  <c r="U61" i="9"/>
  <c r="X61" i="9" s="1"/>
  <c r="P62" i="9"/>
  <c r="R61" i="9"/>
  <c r="R61" i="11"/>
  <c r="E63" i="9"/>
  <c r="D64" i="9"/>
  <c r="F65" i="9"/>
  <c r="O63" i="9" l="1"/>
  <c r="L64" i="11"/>
  <c r="W61" i="11"/>
  <c r="L64" i="9"/>
  <c r="W63" i="9"/>
  <c r="K64" i="11"/>
  <c r="N64" i="9"/>
  <c r="M64" i="9"/>
  <c r="N64" i="11"/>
  <c r="M64" i="11"/>
  <c r="J64" i="11"/>
  <c r="Q64" i="11" s="1"/>
  <c r="I64" i="11"/>
  <c r="H64" i="11"/>
  <c r="G64" i="11"/>
  <c r="K64" i="9"/>
  <c r="J64" i="9"/>
  <c r="I64" i="9"/>
  <c r="H64" i="9"/>
  <c r="G64" i="9"/>
  <c r="T63" i="9"/>
  <c r="V63" i="9"/>
  <c r="T63" i="11"/>
  <c r="S63" i="9"/>
  <c r="U62" i="9"/>
  <c r="X62" i="9" s="1"/>
  <c r="V63" i="11"/>
  <c r="S63" i="11"/>
  <c r="U62" i="11"/>
  <c r="X61" i="11"/>
  <c r="P63" i="11"/>
  <c r="P63" i="9"/>
  <c r="R62" i="9"/>
  <c r="R62" i="11"/>
  <c r="E64" i="9"/>
  <c r="D65" i="9"/>
  <c r="F66" i="9"/>
  <c r="O64" i="11" l="1"/>
  <c r="O64" i="9"/>
  <c r="L65" i="9"/>
  <c r="W64" i="9"/>
  <c r="L65" i="11"/>
  <c r="W62" i="11"/>
  <c r="X62" i="11" s="1"/>
  <c r="K65" i="9"/>
  <c r="K65" i="11"/>
  <c r="M65" i="9"/>
  <c r="N65" i="9"/>
  <c r="M65" i="11"/>
  <c r="N65" i="11"/>
  <c r="J65" i="11"/>
  <c r="Q65" i="11" s="1"/>
  <c r="I65" i="11"/>
  <c r="H65" i="11"/>
  <c r="G65" i="11"/>
  <c r="J65" i="9"/>
  <c r="Q65" i="9" s="1"/>
  <c r="I65" i="9"/>
  <c r="H65" i="9"/>
  <c r="G65" i="9"/>
  <c r="T64" i="11"/>
  <c r="V64" i="9"/>
  <c r="T64" i="9"/>
  <c r="V64" i="11"/>
  <c r="U63" i="11"/>
  <c r="S64" i="11"/>
  <c r="U63" i="9"/>
  <c r="X63" i="9" s="1"/>
  <c r="S64" i="9"/>
  <c r="Q64" i="9"/>
  <c r="P64" i="11"/>
  <c r="P64" i="9"/>
  <c r="R63" i="9"/>
  <c r="R63" i="11"/>
  <c r="E65" i="9"/>
  <c r="D66" i="9"/>
  <c r="F67" i="9"/>
  <c r="O65" i="11" l="1"/>
  <c r="O65" i="9"/>
  <c r="L66" i="11"/>
  <c r="W63" i="11"/>
  <c r="X63" i="11" s="1"/>
  <c r="L66" i="9"/>
  <c r="W65" i="9"/>
  <c r="K66" i="9"/>
  <c r="N66" i="9"/>
  <c r="M66" i="9"/>
  <c r="K66" i="11"/>
  <c r="N66" i="11"/>
  <c r="M66" i="11"/>
  <c r="J66" i="11"/>
  <c r="Q66" i="11" s="1"/>
  <c r="I66" i="11"/>
  <c r="H66" i="11"/>
  <c r="G66" i="11"/>
  <c r="J66" i="9"/>
  <c r="I66" i="9"/>
  <c r="H66" i="9"/>
  <c r="G66" i="9"/>
  <c r="V65" i="9"/>
  <c r="T65" i="9"/>
  <c r="T65" i="11"/>
  <c r="V65" i="11"/>
  <c r="S65" i="11"/>
  <c r="U64" i="11"/>
  <c r="U64" i="9"/>
  <c r="X64" i="9" s="1"/>
  <c r="S65" i="9"/>
  <c r="R64" i="9"/>
  <c r="P65" i="11"/>
  <c r="P65" i="9"/>
  <c r="R65" i="9" s="1"/>
  <c r="R64" i="11"/>
  <c r="E66" i="9"/>
  <c r="D67" i="9"/>
  <c r="F68" i="9"/>
  <c r="O66" i="11" l="1"/>
  <c r="O66" i="9"/>
  <c r="L67" i="11"/>
  <c r="W64" i="11"/>
  <c r="X64" i="11" s="1"/>
  <c r="L67" i="9"/>
  <c r="W66" i="9"/>
  <c r="M67" i="9"/>
  <c r="N67" i="9"/>
  <c r="K67" i="11"/>
  <c r="M67" i="11"/>
  <c r="N67" i="11"/>
  <c r="J67" i="11"/>
  <c r="Q67" i="11" s="1"/>
  <c r="I67" i="11"/>
  <c r="H67" i="11"/>
  <c r="G67" i="11"/>
  <c r="J67" i="9"/>
  <c r="K67" i="9"/>
  <c r="I67" i="9"/>
  <c r="H67" i="9"/>
  <c r="G67" i="9"/>
  <c r="V66" i="9"/>
  <c r="T66" i="11"/>
  <c r="T66" i="9"/>
  <c r="V66" i="11"/>
  <c r="U65" i="11"/>
  <c r="S66" i="11"/>
  <c r="U65" i="9"/>
  <c r="X65" i="9" s="1"/>
  <c r="S66" i="9"/>
  <c r="P66" i="11"/>
  <c r="Q66" i="9"/>
  <c r="P66" i="9"/>
  <c r="R65" i="11"/>
  <c r="D68" i="9"/>
  <c r="E67" i="9"/>
  <c r="F69" i="9"/>
  <c r="O67" i="11" l="1"/>
  <c r="O67" i="9"/>
  <c r="L68" i="9"/>
  <c r="W67" i="9"/>
  <c r="L68" i="11"/>
  <c r="W65" i="11"/>
  <c r="X65" i="11" s="1"/>
  <c r="N68" i="9"/>
  <c r="M68" i="9"/>
  <c r="K68" i="11"/>
  <c r="N68" i="11"/>
  <c r="M68" i="11"/>
  <c r="J68" i="11"/>
  <c r="Q68" i="11" s="1"/>
  <c r="I68" i="11"/>
  <c r="H68" i="11"/>
  <c r="G68" i="11"/>
  <c r="J68" i="9"/>
  <c r="Q68" i="9" s="1"/>
  <c r="K68" i="9"/>
  <c r="I68" i="9"/>
  <c r="H68" i="9"/>
  <c r="G68" i="9"/>
  <c r="V67" i="9"/>
  <c r="T67" i="9"/>
  <c r="V67" i="11"/>
  <c r="T67" i="11"/>
  <c r="S67" i="11"/>
  <c r="U66" i="11"/>
  <c r="U66" i="9"/>
  <c r="X66" i="9" s="1"/>
  <c r="S67" i="9"/>
  <c r="Q67" i="9"/>
  <c r="P67" i="11"/>
  <c r="P67" i="9"/>
  <c r="R66" i="9"/>
  <c r="R66" i="11"/>
  <c r="E68" i="9"/>
  <c r="D69" i="9"/>
  <c r="F70" i="9"/>
  <c r="O68" i="11" l="1"/>
  <c r="O68" i="9"/>
  <c r="L69" i="9"/>
  <c r="W68" i="9"/>
  <c r="L69" i="11"/>
  <c r="W66" i="11"/>
  <c r="X66" i="11" s="1"/>
  <c r="K69" i="9"/>
  <c r="M69" i="9"/>
  <c r="N69" i="9"/>
  <c r="K69" i="11"/>
  <c r="M69" i="11"/>
  <c r="N69" i="11"/>
  <c r="J69" i="11"/>
  <c r="Q69" i="11" s="1"/>
  <c r="I69" i="11"/>
  <c r="H69" i="11"/>
  <c r="G69" i="11"/>
  <c r="O69" i="11" s="1"/>
  <c r="J69" i="9"/>
  <c r="I69" i="9"/>
  <c r="H69" i="9"/>
  <c r="G69" i="9"/>
  <c r="V68" i="9"/>
  <c r="T68" i="9"/>
  <c r="V68" i="11"/>
  <c r="T68" i="11"/>
  <c r="U67" i="9"/>
  <c r="X67" i="9" s="1"/>
  <c r="S68" i="9"/>
  <c r="U67" i="11"/>
  <c r="S68" i="11"/>
  <c r="P68" i="11"/>
  <c r="P68" i="9"/>
  <c r="R67" i="9"/>
  <c r="R67" i="11"/>
  <c r="D70" i="9"/>
  <c r="E69" i="9"/>
  <c r="F71" i="9"/>
  <c r="O69" i="9" l="1"/>
  <c r="L70" i="11"/>
  <c r="W67" i="11"/>
  <c r="X67" i="11" s="1"/>
  <c r="L70" i="9"/>
  <c r="W69" i="9"/>
  <c r="K70" i="11"/>
  <c r="N70" i="9"/>
  <c r="M70" i="9"/>
  <c r="N70" i="11"/>
  <c r="M70" i="11"/>
  <c r="J70" i="11"/>
  <c r="Q70" i="11" s="1"/>
  <c r="I70" i="11"/>
  <c r="H70" i="11"/>
  <c r="G70" i="11"/>
  <c r="J70" i="9"/>
  <c r="Q70" i="9" s="1"/>
  <c r="K70" i="9"/>
  <c r="I70" i="9"/>
  <c r="H70" i="9"/>
  <c r="G70" i="9"/>
  <c r="T69" i="9"/>
  <c r="V69" i="9"/>
  <c r="V69" i="11"/>
  <c r="T69" i="11"/>
  <c r="S69" i="11"/>
  <c r="U68" i="11"/>
  <c r="U68" i="9"/>
  <c r="X68" i="9" s="1"/>
  <c r="S69" i="9"/>
  <c r="Q69" i="9"/>
  <c r="P69" i="11"/>
  <c r="P69" i="9"/>
  <c r="R68" i="9"/>
  <c r="R68" i="11"/>
  <c r="E70" i="9"/>
  <c r="D71" i="9"/>
  <c r="F72" i="9"/>
  <c r="O70" i="11" l="1"/>
  <c r="O70" i="9"/>
  <c r="L71" i="9"/>
  <c r="W70" i="9"/>
  <c r="L71" i="11"/>
  <c r="W68" i="11"/>
  <c r="X68" i="11" s="1"/>
  <c r="K71" i="9"/>
  <c r="M71" i="9"/>
  <c r="N71" i="9"/>
  <c r="K71" i="11"/>
  <c r="M71" i="11"/>
  <c r="N71" i="11"/>
  <c r="J71" i="11"/>
  <c r="Q71" i="11" s="1"/>
  <c r="I71" i="11"/>
  <c r="H71" i="11"/>
  <c r="G71" i="11"/>
  <c r="O71" i="11" s="1"/>
  <c r="J71" i="9"/>
  <c r="Q71" i="9" s="1"/>
  <c r="I71" i="9"/>
  <c r="H71" i="9"/>
  <c r="G71" i="9"/>
  <c r="V70" i="11"/>
  <c r="V70" i="9"/>
  <c r="T70" i="9"/>
  <c r="T70" i="11"/>
  <c r="S70" i="11"/>
  <c r="U69" i="11"/>
  <c r="U69" i="9"/>
  <c r="X69" i="9" s="1"/>
  <c r="S70" i="9"/>
  <c r="P70" i="11"/>
  <c r="P70" i="9"/>
  <c r="R69" i="9"/>
  <c r="R69" i="11"/>
  <c r="D72" i="9"/>
  <c r="E71" i="9"/>
  <c r="F73" i="9"/>
  <c r="O71" i="9" l="1"/>
  <c r="L72" i="11"/>
  <c r="W69" i="11"/>
  <c r="X69" i="11" s="1"/>
  <c r="L72" i="9"/>
  <c r="W71" i="9"/>
  <c r="K72" i="9"/>
  <c r="N72" i="9"/>
  <c r="M72" i="9"/>
  <c r="K72" i="11"/>
  <c r="N72" i="11"/>
  <c r="M72" i="11"/>
  <c r="J72" i="11"/>
  <c r="Q72" i="11" s="1"/>
  <c r="I72" i="11"/>
  <c r="H72" i="11"/>
  <c r="G72" i="11"/>
  <c r="J72" i="9"/>
  <c r="Q72" i="9" s="1"/>
  <c r="I72" i="9"/>
  <c r="H72" i="9"/>
  <c r="G72" i="9"/>
  <c r="T71" i="9"/>
  <c r="V71" i="11"/>
  <c r="V71" i="9"/>
  <c r="T71" i="11"/>
  <c r="S71" i="11"/>
  <c r="U70" i="11"/>
  <c r="U70" i="9"/>
  <c r="X70" i="9" s="1"/>
  <c r="S71" i="9"/>
  <c r="P71" i="11"/>
  <c r="P71" i="9"/>
  <c r="R71" i="9" s="1"/>
  <c r="R70" i="9"/>
  <c r="R70" i="11"/>
  <c r="D73" i="9"/>
  <c r="E72" i="9"/>
  <c r="F74" i="9"/>
  <c r="O72" i="11" l="1"/>
  <c r="O72" i="9"/>
  <c r="L73" i="11"/>
  <c r="W70" i="11"/>
  <c r="X70" i="11" s="1"/>
  <c r="L73" i="9"/>
  <c r="W72" i="9"/>
  <c r="K73" i="9"/>
  <c r="M73" i="9"/>
  <c r="N73" i="9"/>
  <c r="K73" i="11"/>
  <c r="M73" i="11"/>
  <c r="N73" i="11"/>
  <c r="J73" i="11"/>
  <c r="Q73" i="11" s="1"/>
  <c r="I73" i="11"/>
  <c r="H73" i="11"/>
  <c r="G73" i="11"/>
  <c r="J73" i="9"/>
  <c r="Q73" i="9" s="1"/>
  <c r="I73" i="9"/>
  <c r="H73" i="9"/>
  <c r="G73" i="9"/>
  <c r="V72" i="9"/>
  <c r="T72" i="9"/>
  <c r="V72" i="11"/>
  <c r="T72" i="11"/>
  <c r="U71" i="11"/>
  <c r="S72" i="11"/>
  <c r="U71" i="9"/>
  <c r="X71" i="9" s="1"/>
  <c r="S72" i="9"/>
  <c r="P72" i="11"/>
  <c r="P72" i="9"/>
  <c r="R71" i="11"/>
  <c r="E73" i="9"/>
  <c r="D74" i="9"/>
  <c r="F75" i="9"/>
  <c r="O73" i="11" l="1"/>
  <c r="O73" i="9"/>
  <c r="L74" i="11"/>
  <c r="W71" i="11"/>
  <c r="X71" i="11" s="1"/>
  <c r="L74" i="9"/>
  <c r="W73" i="9"/>
  <c r="N74" i="9"/>
  <c r="M74" i="9"/>
  <c r="K74" i="11"/>
  <c r="N74" i="11"/>
  <c r="M74" i="11"/>
  <c r="J74" i="11"/>
  <c r="Q74" i="11" s="1"/>
  <c r="I74" i="11"/>
  <c r="H74" i="11"/>
  <c r="G74" i="11"/>
  <c r="J74" i="9"/>
  <c r="Q74" i="9" s="1"/>
  <c r="K74" i="9"/>
  <c r="I74" i="9"/>
  <c r="H74" i="9"/>
  <c r="G74" i="9"/>
  <c r="V73" i="9"/>
  <c r="T73" i="9"/>
  <c r="T73" i="11"/>
  <c r="V73" i="11"/>
  <c r="U72" i="9"/>
  <c r="X72" i="9" s="1"/>
  <c r="S73" i="9"/>
  <c r="S73" i="11"/>
  <c r="U72" i="11"/>
  <c r="P73" i="11"/>
  <c r="P73" i="9"/>
  <c r="R72" i="9"/>
  <c r="R72" i="11"/>
  <c r="E74" i="9"/>
  <c r="D75" i="9"/>
  <c r="F76" i="9"/>
  <c r="O74" i="11" l="1"/>
  <c r="O74" i="9"/>
  <c r="L75" i="9"/>
  <c r="W74" i="9"/>
  <c r="L75" i="11"/>
  <c r="W72" i="11"/>
  <c r="X72" i="11" s="1"/>
  <c r="K75" i="9"/>
  <c r="M75" i="9"/>
  <c r="N75" i="9"/>
  <c r="K75" i="11"/>
  <c r="M75" i="11"/>
  <c r="N75" i="11"/>
  <c r="J75" i="11"/>
  <c r="Q75" i="11" s="1"/>
  <c r="I75" i="11"/>
  <c r="H75" i="11"/>
  <c r="G75" i="11"/>
  <c r="O75" i="11" s="1"/>
  <c r="J75" i="9"/>
  <c r="Q75" i="9" s="1"/>
  <c r="I75" i="9"/>
  <c r="H75" i="9"/>
  <c r="G75" i="9"/>
  <c r="V74" i="9"/>
  <c r="T74" i="11"/>
  <c r="T74" i="9"/>
  <c r="V74" i="11"/>
  <c r="U73" i="11"/>
  <c r="S74" i="11"/>
  <c r="U73" i="9"/>
  <c r="X73" i="9" s="1"/>
  <c r="S74" i="9"/>
  <c r="P74" i="11"/>
  <c r="P74" i="9"/>
  <c r="R73" i="9"/>
  <c r="R73" i="11"/>
  <c r="D76" i="9"/>
  <c r="E75" i="9"/>
  <c r="F77" i="9"/>
  <c r="O75" i="9" l="1"/>
  <c r="L76" i="11"/>
  <c r="W73" i="11"/>
  <c r="X73" i="11" s="1"/>
  <c r="L76" i="9"/>
  <c r="W75" i="9"/>
  <c r="K76" i="11"/>
  <c r="K76" i="9"/>
  <c r="N76" i="9"/>
  <c r="M76" i="9"/>
  <c r="N76" i="11"/>
  <c r="M76" i="11"/>
  <c r="J76" i="11"/>
  <c r="Q76" i="11" s="1"/>
  <c r="I76" i="11"/>
  <c r="H76" i="11"/>
  <c r="G76" i="11"/>
  <c r="J76" i="9"/>
  <c r="Q76" i="9" s="1"/>
  <c r="I76" i="9"/>
  <c r="H76" i="9"/>
  <c r="G76" i="9"/>
  <c r="V75" i="11"/>
  <c r="V75" i="9"/>
  <c r="T75" i="9"/>
  <c r="P75" i="11"/>
  <c r="T75" i="11"/>
  <c r="S75" i="9"/>
  <c r="U74" i="9"/>
  <c r="X74" i="9" s="1"/>
  <c r="U74" i="11"/>
  <c r="S75" i="11"/>
  <c r="P75" i="9"/>
  <c r="R74" i="9"/>
  <c r="R74" i="11"/>
  <c r="D77" i="9"/>
  <c r="E76" i="9"/>
  <c r="F78" i="9"/>
  <c r="O76" i="11" l="1"/>
  <c r="O76" i="9"/>
  <c r="L77" i="9"/>
  <c r="W76" i="9"/>
  <c r="L77" i="11"/>
  <c r="W74" i="11"/>
  <c r="X74" i="11" s="1"/>
  <c r="K77" i="9"/>
  <c r="M77" i="9"/>
  <c r="N77" i="9"/>
  <c r="K77" i="11"/>
  <c r="M77" i="11"/>
  <c r="N77" i="11"/>
  <c r="J77" i="11"/>
  <c r="Q77" i="11" s="1"/>
  <c r="I77" i="11"/>
  <c r="H77" i="11"/>
  <c r="G77" i="11"/>
  <c r="O77" i="11" s="1"/>
  <c r="J77" i="9"/>
  <c r="Q77" i="9" s="1"/>
  <c r="I77" i="9"/>
  <c r="H77" i="9"/>
  <c r="G77" i="9"/>
  <c r="V76" i="9"/>
  <c r="V76" i="11"/>
  <c r="T76" i="9"/>
  <c r="U75" i="11"/>
  <c r="S76" i="11"/>
  <c r="U75" i="9"/>
  <c r="X75" i="9" s="1"/>
  <c r="S76" i="9"/>
  <c r="T76" i="11"/>
  <c r="P76" i="11"/>
  <c r="P76" i="9"/>
  <c r="R75" i="9"/>
  <c r="R75" i="11"/>
  <c r="E77" i="9"/>
  <c r="D78" i="9"/>
  <c r="F79" i="9"/>
  <c r="O77" i="9" l="1"/>
  <c r="L78" i="11"/>
  <c r="W75" i="11"/>
  <c r="X75" i="11" s="1"/>
  <c r="L78" i="9"/>
  <c r="W77" i="9"/>
  <c r="K78" i="9"/>
  <c r="N78" i="9"/>
  <c r="M78" i="9"/>
  <c r="K78" i="11"/>
  <c r="N78" i="11"/>
  <c r="M78" i="11"/>
  <c r="J78" i="11"/>
  <c r="Q78" i="11" s="1"/>
  <c r="I78" i="11"/>
  <c r="H78" i="11"/>
  <c r="G78" i="11"/>
  <c r="J78" i="9"/>
  <c r="Q78" i="9" s="1"/>
  <c r="I78" i="9"/>
  <c r="H78" i="9"/>
  <c r="T77" i="9"/>
  <c r="G78" i="9"/>
  <c r="V77" i="9"/>
  <c r="V77" i="11"/>
  <c r="T77" i="11"/>
  <c r="U76" i="9"/>
  <c r="X76" i="9" s="1"/>
  <c r="S77" i="9"/>
  <c r="S77" i="11"/>
  <c r="U76" i="11"/>
  <c r="P77" i="11"/>
  <c r="P77" i="9"/>
  <c r="R76" i="9"/>
  <c r="R76" i="11"/>
  <c r="E78" i="9"/>
  <c r="D79" i="9"/>
  <c r="F80" i="9"/>
  <c r="O78" i="11" l="1"/>
  <c r="O78" i="9"/>
  <c r="L79" i="11"/>
  <c r="W76" i="11"/>
  <c r="X76" i="11" s="1"/>
  <c r="L79" i="9"/>
  <c r="W78" i="9"/>
  <c r="K79" i="9"/>
  <c r="M79" i="9"/>
  <c r="N79" i="9"/>
  <c r="K79" i="11"/>
  <c r="M79" i="11"/>
  <c r="N79" i="11"/>
  <c r="J79" i="11"/>
  <c r="Q79" i="11" s="1"/>
  <c r="I79" i="11"/>
  <c r="H79" i="11"/>
  <c r="G79" i="11"/>
  <c r="J79" i="9"/>
  <c r="Q79" i="9" s="1"/>
  <c r="I79" i="9"/>
  <c r="H79" i="9"/>
  <c r="V78" i="9"/>
  <c r="G79" i="9"/>
  <c r="T78" i="11"/>
  <c r="T78" i="9"/>
  <c r="V78" i="11"/>
  <c r="U77" i="11"/>
  <c r="S78" i="11"/>
  <c r="U77" i="9"/>
  <c r="X77" i="9" s="1"/>
  <c r="S78" i="9"/>
  <c r="P78" i="11"/>
  <c r="P78" i="9"/>
  <c r="R77" i="9"/>
  <c r="R77" i="11"/>
  <c r="E79" i="9"/>
  <c r="D80" i="9"/>
  <c r="F81" i="9"/>
  <c r="O79" i="11" l="1"/>
  <c r="O79" i="9"/>
  <c r="L80" i="11"/>
  <c r="W77" i="11"/>
  <c r="X77" i="11" s="1"/>
  <c r="L80" i="9"/>
  <c r="W79" i="9"/>
  <c r="K80" i="9"/>
  <c r="N80" i="9"/>
  <c r="M80" i="9"/>
  <c r="K80" i="11"/>
  <c r="N80" i="11"/>
  <c r="M80" i="11"/>
  <c r="J80" i="11"/>
  <c r="Q80" i="11" s="1"/>
  <c r="I80" i="11"/>
  <c r="H80" i="11"/>
  <c r="G80" i="11"/>
  <c r="J80" i="9"/>
  <c r="I80" i="9"/>
  <c r="H80" i="9"/>
  <c r="V79" i="9"/>
  <c r="G80" i="9"/>
  <c r="V79" i="11"/>
  <c r="T79" i="11"/>
  <c r="T79" i="9"/>
  <c r="S79" i="11"/>
  <c r="U78" i="11"/>
  <c r="U78" i="9"/>
  <c r="X78" i="9" s="1"/>
  <c r="S79" i="9"/>
  <c r="P79" i="11"/>
  <c r="P79" i="9"/>
  <c r="R78" i="9"/>
  <c r="R78" i="11"/>
  <c r="D81" i="9"/>
  <c r="E80" i="9"/>
  <c r="F82" i="9"/>
  <c r="O80" i="11" l="1"/>
  <c r="O80" i="9"/>
  <c r="L81" i="11"/>
  <c r="W78" i="11"/>
  <c r="L81" i="9"/>
  <c r="W80" i="9"/>
  <c r="M81" i="9"/>
  <c r="N81" i="9"/>
  <c r="K81" i="11"/>
  <c r="M81" i="11"/>
  <c r="N81" i="11"/>
  <c r="J81" i="11"/>
  <c r="Q81" i="11" s="1"/>
  <c r="I81" i="11"/>
  <c r="H81" i="11"/>
  <c r="G81" i="11"/>
  <c r="J81" i="9"/>
  <c r="Q81" i="9" s="1"/>
  <c r="K81" i="9"/>
  <c r="I81" i="9"/>
  <c r="H81" i="9"/>
  <c r="G81" i="9"/>
  <c r="V80" i="9"/>
  <c r="T80" i="9"/>
  <c r="V80" i="11"/>
  <c r="U79" i="11"/>
  <c r="S80" i="11"/>
  <c r="P80" i="11"/>
  <c r="T80" i="11"/>
  <c r="X78" i="11"/>
  <c r="U79" i="9"/>
  <c r="X79" i="9" s="1"/>
  <c r="S80" i="9"/>
  <c r="Q80" i="9"/>
  <c r="P80" i="9"/>
  <c r="R79" i="9"/>
  <c r="R79" i="11"/>
  <c r="E81" i="9"/>
  <c r="D82" i="9"/>
  <c r="F83" i="9"/>
  <c r="O81" i="11" l="1"/>
  <c r="O81" i="9"/>
  <c r="L82" i="9"/>
  <c r="W81" i="9"/>
  <c r="L82" i="11"/>
  <c r="W79" i="11"/>
  <c r="X79" i="11" s="1"/>
  <c r="K82" i="11"/>
  <c r="N82" i="9"/>
  <c r="M82" i="9"/>
  <c r="N82" i="11"/>
  <c r="M82" i="11"/>
  <c r="J82" i="11"/>
  <c r="Q82" i="11" s="1"/>
  <c r="I82" i="11"/>
  <c r="H82" i="11"/>
  <c r="G82" i="11"/>
  <c r="J82" i="9"/>
  <c r="Q82" i="9" s="1"/>
  <c r="K82" i="9"/>
  <c r="I82" i="9"/>
  <c r="H82" i="9"/>
  <c r="G82" i="9"/>
  <c r="V81" i="9"/>
  <c r="V81" i="11"/>
  <c r="T81" i="9"/>
  <c r="T81" i="11"/>
  <c r="U80" i="9"/>
  <c r="X80" i="9" s="1"/>
  <c r="S81" i="9"/>
  <c r="S81" i="11"/>
  <c r="U80" i="11"/>
  <c r="P81" i="11"/>
  <c r="P81" i="9"/>
  <c r="R80" i="9"/>
  <c r="R80" i="11"/>
  <c r="E82" i="9"/>
  <c r="D83" i="9"/>
  <c r="F84" i="9"/>
  <c r="O82" i="11" l="1"/>
  <c r="O82" i="9"/>
  <c r="L83" i="9"/>
  <c r="W82" i="9"/>
  <c r="L83" i="11"/>
  <c r="W80" i="11"/>
  <c r="X80" i="11" s="1"/>
  <c r="K83" i="9"/>
  <c r="M83" i="9"/>
  <c r="N83" i="9"/>
  <c r="K83" i="11"/>
  <c r="M83" i="11"/>
  <c r="N83" i="11"/>
  <c r="J83" i="11"/>
  <c r="Q83" i="11" s="1"/>
  <c r="I83" i="11"/>
  <c r="H83" i="11"/>
  <c r="G83" i="11"/>
  <c r="O83" i="11" s="1"/>
  <c r="J83" i="9"/>
  <c r="Q83" i="9" s="1"/>
  <c r="I83" i="9"/>
  <c r="H83" i="9"/>
  <c r="G83" i="9"/>
  <c r="V82" i="9"/>
  <c r="T82" i="9"/>
  <c r="T82" i="11"/>
  <c r="V82" i="11"/>
  <c r="U81" i="11"/>
  <c r="S82" i="11"/>
  <c r="U81" i="9"/>
  <c r="X81" i="9" s="1"/>
  <c r="S82" i="9"/>
  <c r="P82" i="11"/>
  <c r="P82" i="9"/>
  <c r="R81" i="9"/>
  <c r="R81" i="11"/>
  <c r="D84" i="9"/>
  <c r="E83" i="9"/>
  <c r="F85" i="9"/>
  <c r="O83" i="9" l="1"/>
  <c r="L84" i="11"/>
  <c r="W81" i="11"/>
  <c r="L84" i="9"/>
  <c r="W83" i="9"/>
  <c r="K84" i="9"/>
  <c r="N84" i="9"/>
  <c r="M84" i="9"/>
  <c r="K84" i="11"/>
  <c r="N84" i="11"/>
  <c r="M84" i="11"/>
  <c r="J84" i="11"/>
  <c r="I84" i="11"/>
  <c r="H84" i="11"/>
  <c r="G84" i="11"/>
  <c r="J84" i="9"/>
  <c r="Q84" i="9" s="1"/>
  <c r="I84" i="9"/>
  <c r="H84" i="9"/>
  <c r="G84" i="9"/>
  <c r="V83" i="9"/>
  <c r="T83" i="9"/>
  <c r="T83" i="11"/>
  <c r="V83" i="11"/>
  <c r="S83" i="11"/>
  <c r="U82" i="11"/>
  <c r="S83" i="9"/>
  <c r="U82" i="9"/>
  <c r="X82" i="9" s="1"/>
  <c r="X81" i="11"/>
  <c r="P83" i="11"/>
  <c r="P83" i="9"/>
  <c r="R82" i="9"/>
  <c r="R82" i="11"/>
  <c r="E84" i="9"/>
  <c r="D85" i="9"/>
  <c r="F86" i="9"/>
  <c r="O84" i="11" l="1"/>
  <c r="O84" i="9"/>
  <c r="L85" i="11"/>
  <c r="W82" i="11"/>
  <c r="X82" i="11" s="1"/>
  <c r="L85" i="9"/>
  <c r="W84" i="9"/>
  <c r="K85" i="9"/>
  <c r="K85" i="11"/>
  <c r="M85" i="9"/>
  <c r="N85" i="9"/>
  <c r="M85" i="11"/>
  <c r="N85" i="11"/>
  <c r="J85" i="11"/>
  <c r="Q85" i="11" s="1"/>
  <c r="I85" i="11"/>
  <c r="H85" i="11"/>
  <c r="G85" i="11"/>
  <c r="J85" i="9"/>
  <c r="I85" i="9"/>
  <c r="H85" i="9"/>
  <c r="T84" i="9"/>
  <c r="G85" i="9"/>
  <c r="V84" i="9"/>
  <c r="V84" i="11"/>
  <c r="P84" i="11"/>
  <c r="T84" i="11"/>
  <c r="S84" i="9"/>
  <c r="U83" i="9"/>
  <c r="X83" i="9" s="1"/>
  <c r="U83" i="11"/>
  <c r="S84" i="11"/>
  <c r="Q84" i="11"/>
  <c r="P84" i="9"/>
  <c r="R84" i="9" s="1"/>
  <c r="R83" i="9"/>
  <c r="R83" i="11"/>
  <c r="D86" i="9"/>
  <c r="E85" i="9"/>
  <c r="F87" i="9"/>
  <c r="O85" i="11" l="1"/>
  <c r="O85" i="9"/>
  <c r="L86" i="11"/>
  <c r="W83" i="11"/>
  <c r="X83" i="11" s="1"/>
  <c r="L86" i="9"/>
  <c r="W85" i="9"/>
  <c r="N86" i="9"/>
  <c r="M86" i="9"/>
  <c r="K86" i="11"/>
  <c r="N86" i="11"/>
  <c r="M86" i="11"/>
  <c r="J86" i="11"/>
  <c r="Q86" i="11" s="1"/>
  <c r="I86" i="11"/>
  <c r="H86" i="11"/>
  <c r="G86" i="11"/>
  <c r="J86" i="9"/>
  <c r="Q86" i="9" s="1"/>
  <c r="K86" i="9"/>
  <c r="I86" i="9"/>
  <c r="H86" i="9"/>
  <c r="T85" i="9"/>
  <c r="G86" i="9"/>
  <c r="V85" i="9"/>
  <c r="V85" i="11"/>
  <c r="T85" i="11"/>
  <c r="S85" i="9"/>
  <c r="U84" i="9"/>
  <c r="X84" i="9" s="1"/>
  <c r="S85" i="11"/>
  <c r="U84" i="11"/>
  <c r="P85" i="11"/>
  <c r="Q85" i="9"/>
  <c r="P85" i="9"/>
  <c r="R84" i="11"/>
  <c r="D87" i="9"/>
  <c r="E86" i="9"/>
  <c r="F88" i="9"/>
  <c r="O86" i="11" l="1"/>
  <c r="O86" i="9"/>
  <c r="L87" i="9"/>
  <c r="W86" i="9"/>
  <c r="L87" i="11"/>
  <c r="W84" i="11"/>
  <c r="X84" i="11" s="1"/>
  <c r="M87" i="9"/>
  <c r="N87" i="9"/>
  <c r="K87" i="11"/>
  <c r="M87" i="11"/>
  <c r="N87" i="11"/>
  <c r="J87" i="11"/>
  <c r="Q87" i="11" s="1"/>
  <c r="I87" i="11"/>
  <c r="H87" i="11"/>
  <c r="G87" i="11"/>
  <c r="J87" i="9"/>
  <c r="Q87" i="9" s="1"/>
  <c r="K87" i="9"/>
  <c r="I87" i="9"/>
  <c r="H87" i="9"/>
  <c r="G87" i="9"/>
  <c r="V86" i="9"/>
  <c r="T86" i="9"/>
  <c r="V86" i="11"/>
  <c r="T86" i="11"/>
  <c r="U85" i="9"/>
  <c r="X85" i="9" s="1"/>
  <c r="S86" i="9"/>
  <c r="S86" i="11"/>
  <c r="U85" i="11"/>
  <c r="P86" i="11"/>
  <c r="P86" i="9"/>
  <c r="R85" i="9"/>
  <c r="R85" i="11"/>
  <c r="D88" i="9"/>
  <c r="E87" i="9"/>
  <c r="F89" i="9"/>
  <c r="O87" i="11" l="1"/>
  <c r="O87" i="9"/>
  <c r="L88" i="9"/>
  <c r="W87" i="9"/>
  <c r="L88" i="11"/>
  <c r="W85" i="11"/>
  <c r="X85" i="11" s="1"/>
  <c r="N88" i="9"/>
  <c r="M88" i="9"/>
  <c r="K88" i="11"/>
  <c r="N88" i="11"/>
  <c r="M88" i="11"/>
  <c r="J88" i="11"/>
  <c r="I88" i="11"/>
  <c r="H88" i="11"/>
  <c r="G88" i="11"/>
  <c r="J88" i="9"/>
  <c r="Q88" i="9" s="1"/>
  <c r="K88" i="9"/>
  <c r="I88" i="9"/>
  <c r="H88" i="9"/>
  <c r="G88" i="9"/>
  <c r="T87" i="9"/>
  <c r="V87" i="9"/>
  <c r="T87" i="11"/>
  <c r="V87" i="11"/>
  <c r="S87" i="11"/>
  <c r="U86" i="11"/>
  <c r="U86" i="9"/>
  <c r="X86" i="9" s="1"/>
  <c r="S87" i="9"/>
  <c r="P87" i="11"/>
  <c r="P87" i="9"/>
  <c r="R86" i="9"/>
  <c r="R86" i="11"/>
  <c r="D89" i="9"/>
  <c r="E88" i="9"/>
  <c r="F90" i="9"/>
  <c r="O88" i="11" l="1"/>
  <c r="O88" i="9"/>
  <c r="L89" i="9"/>
  <c r="W88" i="9"/>
  <c r="L89" i="11"/>
  <c r="W86" i="11"/>
  <c r="X86" i="11" s="1"/>
  <c r="M89" i="9"/>
  <c r="N89" i="9"/>
  <c r="K89" i="11"/>
  <c r="M89" i="11"/>
  <c r="N89" i="11"/>
  <c r="J89" i="11"/>
  <c r="Q89" i="11" s="1"/>
  <c r="I89" i="11"/>
  <c r="H89" i="11"/>
  <c r="G89" i="11"/>
  <c r="J89" i="9"/>
  <c r="Q89" i="9" s="1"/>
  <c r="K89" i="9"/>
  <c r="I89" i="9"/>
  <c r="H89" i="9"/>
  <c r="G89" i="9"/>
  <c r="V88" i="9"/>
  <c r="T88" i="9"/>
  <c r="T88" i="11"/>
  <c r="V88" i="11"/>
  <c r="U87" i="11"/>
  <c r="S88" i="11"/>
  <c r="U87" i="9"/>
  <c r="X87" i="9" s="1"/>
  <c r="S88" i="9"/>
  <c r="Q88" i="11"/>
  <c r="P88" i="11"/>
  <c r="P88" i="9"/>
  <c r="R87" i="9"/>
  <c r="R87" i="11"/>
  <c r="D90" i="9"/>
  <c r="E89" i="9"/>
  <c r="F91" i="9"/>
  <c r="O89" i="11" l="1"/>
  <c r="O89" i="9"/>
  <c r="L90" i="11"/>
  <c r="W87" i="11"/>
  <c r="L90" i="9"/>
  <c r="W89" i="9"/>
  <c r="K90" i="9"/>
  <c r="K90" i="11"/>
  <c r="N90" i="9"/>
  <c r="M90" i="9"/>
  <c r="N90" i="11"/>
  <c r="M90" i="11"/>
  <c r="J90" i="11"/>
  <c r="Q90" i="11" s="1"/>
  <c r="I90" i="11"/>
  <c r="H90" i="11"/>
  <c r="G90" i="11"/>
  <c r="J90" i="9"/>
  <c r="Q90" i="9" s="1"/>
  <c r="I90" i="9"/>
  <c r="H90" i="9"/>
  <c r="G90" i="9"/>
  <c r="T89" i="11"/>
  <c r="V89" i="11"/>
  <c r="V89" i="9"/>
  <c r="T89" i="9"/>
  <c r="S89" i="11"/>
  <c r="U88" i="11"/>
  <c r="U88" i="9"/>
  <c r="X88" i="9" s="1"/>
  <c r="S89" i="9"/>
  <c r="X87" i="11"/>
  <c r="P89" i="11"/>
  <c r="P89" i="9"/>
  <c r="R88" i="9"/>
  <c r="R88" i="11"/>
  <c r="E90" i="9"/>
  <c r="D91" i="9"/>
  <c r="F92" i="9"/>
  <c r="O90" i="11" l="1"/>
  <c r="O90" i="9"/>
  <c r="L91" i="11"/>
  <c r="W88" i="11"/>
  <c r="L91" i="9"/>
  <c r="W90" i="9"/>
  <c r="K91" i="9"/>
  <c r="M91" i="9"/>
  <c r="N91" i="9"/>
  <c r="K91" i="11"/>
  <c r="M91" i="11"/>
  <c r="N91" i="11"/>
  <c r="J91" i="11"/>
  <c r="Q91" i="11" s="1"/>
  <c r="I91" i="11"/>
  <c r="H91" i="11"/>
  <c r="G91" i="11"/>
  <c r="J91" i="9"/>
  <c r="Q91" i="9" s="1"/>
  <c r="I91" i="9"/>
  <c r="H91" i="9"/>
  <c r="G91" i="9"/>
  <c r="T90" i="11"/>
  <c r="V90" i="9"/>
  <c r="T90" i="9"/>
  <c r="V90" i="11"/>
  <c r="U89" i="11"/>
  <c r="S90" i="11"/>
  <c r="U89" i="9"/>
  <c r="X89" i="9" s="1"/>
  <c r="S90" i="9"/>
  <c r="X88" i="11"/>
  <c r="P90" i="11"/>
  <c r="P90" i="9"/>
  <c r="R89" i="9"/>
  <c r="R89" i="11"/>
  <c r="D92" i="9"/>
  <c r="E91" i="9"/>
  <c r="F93" i="9"/>
  <c r="O91" i="11" l="1"/>
  <c r="O91" i="9"/>
  <c r="L92" i="11"/>
  <c r="W89" i="11"/>
  <c r="X89" i="11" s="1"/>
  <c r="L92" i="9"/>
  <c r="W91" i="9"/>
  <c r="K92" i="9"/>
  <c r="K92" i="11"/>
  <c r="N92" i="9"/>
  <c r="M92" i="9"/>
  <c r="N92" i="11"/>
  <c r="M92" i="11"/>
  <c r="J92" i="11"/>
  <c r="Q92" i="11" s="1"/>
  <c r="I92" i="11"/>
  <c r="H92" i="11"/>
  <c r="G92" i="11"/>
  <c r="J92" i="9"/>
  <c r="Q92" i="9" s="1"/>
  <c r="I92" i="9"/>
  <c r="H92" i="9"/>
  <c r="G92" i="9"/>
  <c r="T91" i="9"/>
  <c r="V91" i="9"/>
  <c r="T91" i="11"/>
  <c r="V91" i="11"/>
  <c r="S91" i="9"/>
  <c r="U90" i="9"/>
  <c r="X90" i="9" s="1"/>
  <c r="U90" i="11"/>
  <c r="S91" i="11"/>
  <c r="P91" i="11"/>
  <c r="P91" i="9"/>
  <c r="R90" i="9"/>
  <c r="R90" i="11"/>
  <c r="E92" i="9"/>
  <c r="D93" i="9"/>
  <c r="F94" i="9"/>
  <c r="O92" i="11" l="1"/>
  <c r="O92" i="9"/>
  <c r="L93" i="11"/>
  <c r="W90" i="11"/>
  <c r="X90" i="11" s="1"/>
  <c r="L93" i="9"/>
  <c r="W92" i="9"/>
  <c r="K93" i="9"/>
  <c r="M93" i="9"/>
  <c r="N93" i="9"/>
  <c r="K93" i="11"/>
  <c r="M93" i="11"/>
  <c r="N93" i="11"/>
  <c r="J93" i="11"/>
  <c r="Q93" i="11" s="1"/>
  <c r="I93" i="11"/>
  <c r="H93" i="11"/>
  <c r="G93" i="11"/>
  <c r="O93" i="11" s="1"/>
  <c r="J93" i="9"/>
  <c r="Q93" i="9" s="1"/>
  <c r="I93" i="9"/>
  <c r="H93" i="9"/>
  <c r="T92" i="9"/>
  <c r="G93" i="9"/>
  <c r="V92" i="9"/>
  <c r="T92" i="11"/>
  <c r="V92" i="11"/>
  <c r="U91" i="11"/>
  <c r="S92" i="11"/>
  <c r="S92" i="9"/>
  <c r="U91" i="9"/>
  <c r="X91" i="9" s="1"/>
  <c r="P92" i="11"/>
  <c r="P92" i="9"/>
  <c r="R92" i="9" s="1"/>
  <c r="R91" i="9"/>
  <c r="R91" i="11"/>
  <c r="D94" i="9"/>
  <c r="E93" i="9"/>
  <c r="F95" i="9"/>
  <c r="O93" i="9" l="1"/>
  <c r="L94" i="11"/>
  <c r="W91" i="11"/>
  <c r="L94" i="9"/>
  <c r="W93" i="9"/>
  <c r="T93" i="11"/>
  <c r="N94" i="9"/>
  <c r="M94" i="9"/>
  <c r="K94" i="11"/>
  <c r="N94" i="11"/>
  <c r="M94" i="11"/>
  <c r="J94" i="11"/>
  <c r="Q94" i="11" s="1"/>
  <c r="I94" i="11"/>
  <c r="H94" i="11"/>
  <c r="G94" i="11"/>
  <c r="J94" i="9"/>
  <c r="Q94" i="9" s="1"/>
  <c r="K94" i="9"/>
  <c r="I94" i="9"/>
  <c r="H94" i="9"/>
  <c r="G94" i="9"/>
  <c r="V93" i="9"/>
  <c r="T93" i="9"/>
  <c r="V93" i="11"/>
  <c r="X91" i="11"/>
  <c r="S93" i="9"/>
  <c r="U92" i="9"/>
  <c r="X92" i="9" s="1"/>
  <c r="S93" i="11"/>
  <c r="U92" i="11"/>
  <c r="P93" i="11"/>
  <c r="P93" i="9"/>
  <c r="R92" i="11"/>
  <c r="D95" i="9"/>
  <c r="E94" i="9"/>
  <c r="F96" i="9"/>
  <c r="O94" i="11" l="1"/>
  <c r="O94" i="9"/>
  <c r="L95" i="9"/>
  <c r="W94" i="9"/>
  <c r="L95" i="11"/>
  <c r="W92" i="11"/>
  <c r="X92" i="11" s="1"/>
  <c r="K95" i="9"/>
  <c r="M95" i="9"/>
  <c r="N95" i="9"/>
  <c r="K95" i="11"/>
  <c r="M95" i="11"/>
  <c r="N95" i="11"/>
  <c r="J95" i="11"/>
  <c r="Q95" i="11" s="1"/>
  <c r="I95" i="11"/>
  <c r="H95" i="11"/>
  <c r="G95" i="11"/>
  <c r="J95" i="9"/>
  <c r="Q95" i="9" s="1"/>
  <c r="I95" i="9"/>
  <c r="H95" i="9"/>
  <c r="V94" i="9"/>
  <c r="G95" i="9"/>
  <c r="T94" i="9"/>
  <c r="T94" i="11"/>
  <c r="V94" i="11"/>
  <c r="S94" i="11"/>
  <c r="U93" i="11"/>
  <c r="S94" i="9"/>
  <c r="U93" i="9"/>
  <c r="X93" i="9" s="1"/>
  <c r="P94" i="11"/>
  <c r="P94" i="9"/>
  <c r="R93" i="9"/>
  <c r="R93" i="11"/>
  <c r="D96" i="9"/>
  <c r="E95" i="9"/>
  <c r="F97" i="9"/>
  <c r="O95" i="11" l="1"/>
  <c r="O95" i="9"/>
  <c r="L96" i="11"/>
  <c r="W93" i="11"/>
  <c r="X93" i="11" s="1"/>
  <c r="L96" i="9"/>
  <c r="W95" i="9"/>
  <c r="K96" i="9"/>
  <c r="N96" i="9"/>
  <c r="M96" i="9"/>
  <c r="K96" i="11"/>
  <c r="N96" i="11"/>
  <c r="M96" i="11"/>
  <c r="J96" i="11"/>
  <c r="Q96" i="11" s="1"/>
  <c r="I96" i="11"/>
  <c r="H96" i="11"/>
  <c r="G96" i="11"/>
  <c r="O96" i="11" s="1"/>
  <c r="J96" i="9"/>
  <c r="Q96" i="9" s="1"/>
  <c r="I96" i="9"/>
  <c r="H96" i="9"/>
  <c r="G96" i="9"/>
  <c r="T95" i="11"/>
  <c r="T95" i="9"/>
  <c r="V95" i="9"/>
  <c r="V95" i="11"/>
  <c r="S95" i="11"/>
  <c r="U94" i="11"/>
  <c r="S95" i="9"/>
  <c r="U94" i="9"/>
  <c r="X94" i="9" s="1"/>
  <c r="P95" i="11"/>
  <c r="P95" i="9"/>
  <c r="R94" i="9"/>
  <c r="R94" i="11"/>
  <c r="E96" i="9"/>
  <c r="D97" i="9"/>
  <c r="F98" i="9"/>
  <c r="O96" i="9" l="1"/>
  <c r="L97" i="11"/>
  <c r="W94" i="11"/>
  <c r="L97" i="9"/>
  <c r="W96" i="9"/>
  <c r="K97" i="9"/>
  <c r="M97" i="9"/>
  <c r="N97" i="9"/>
  <c r="K97" i="11"/>
  <c r="M97" i="11"/>
  <c r="N97" i="11"/>
  <c r="J97" i="11"/>
  <c r="Q97" i="11" s="1"/>
  <c r="I97" i="11"/>
  <c r="H97" i="11"/>
  <c r="G97" i="11"/>
  <c r="J97" i="9"/>
  <c r="Q97" i="9" s="1"/>
  <c r="I97" i="9"/>
  <c r="H97" i="9"/>
  <c r="T96" i="9"/>
  <c r="G97" i="9"/>
  <c r="V96" i="9"/>
  <c r="T96" i="11"/>
  <c r="V96" i="11"/>
  <c r="X94" i="11"/>
  <c r="U95" i="11"/>
  <c r="S96" i="11"/>
  <c r="U95" i="9"/>
  <c r="X95" i="9" s="1"/>
  <c r="S96" i="9"/>
  <c r="P96" i="11"/>
  <c r="P96" i="9"/>
  <c r="R95" i="9"/>
  <c r="R95" i="11"/>
  <c r="E97" i="9"/>
  <c r="D98" i="9"/>
  <c r="F99" i="9"/>
  <c r="O97" i="11" l="1"/>
  <c r="O97" i="9"/>
  <c r="L98" i="11"/>
  <c r="W95" i="11"/>
  <c r="X95" i="11" s="1"/>
  <c r="L98" i="9"/>
  <c r="W97" i="9"/>
  <c r="K98" i="11"/>
  <c r="N98" i="9"/>
  <c r="M98" i="9"/>
  <c r="N98" i="11"/>
  <c r="M98" i="11"/>
  <c r="J98" i="11"/>
  <c r="Q98" i="11" s="1"/>
  <c r="I98" i="11"/>
  <c r="H98" i="11"/>
  <c r="G98" i="11"/>
  <c r="K98" i="9"/>
  <c r="J98" i="9"/>
  <c r="Q98" i="9" s="1"/>
  <c r="I98" i="9"/>
  <c r="H98" i="9"/>
  <c r="G98" i="9"/>
  <c r="T97" i="11"/>
  <c r="V97" i="9"/>
  <c r="T97" i="9"/>
  <c r="V97" i="11"/>
  <c r="S97" i="11"/>
  <c r="U96" i="11"/>
  <c r="U96" i="9"/>
  <c r="X96" i="9" s="1"/>
  <c r="S97" i="9"/>
  <c r="P97" i="11"/>
  <c r="P97" i="9"/>
  <c r="R96" i="9"/>
  <c r="R96" i="11"/>
  <c r="E98" i="9"/>
  <c r="D99" i="9"/>
  <c r="F100" i="9"/>
  <c r="O98" i="11" l="1"/>
  <c r="O98" i="9"/>
  <c r="L99" i="9"/>
  <c r="W98" i="9"/>
  <c r="L99" i="11"/>
  <c r="W96" i="11"/>
  <c r="X96" i="11" s="1"/>
  <c r="M99" i="9"/>
  <c r="N99" i="9"/>
  <c r="K99" i="11"/>
  <c r="M99" i="11"/>
  <c r="N99" i="11"/>
  <c r="J99" i="11"/>
  <c r="I99" i="11"/>
  <c r="H99" i="11"/>
  <c r="G99" i="11"/>
  <c r="J99" i="9"/>
  <c r="K99" i="9"/>
  <c r="I99" i="9"/>
  <c r="H99" i="9"/>
  <c r="G99" i="9"/>
  <c r="V98" i="9"/>
  <c r="T98" i="9"/>
  <c r="V98" i="11"/>
  <c r="T98" i="11"/>
  <c r="U97" i="11"/>
  <c r="S98" i="11"/>
  <c r="U97" i="9"/>
  <c r="X97" i="9" s="1"/>
  <c r="S98" i="9"/>
  <c r="P98" i="11"/>
  <c r="P98" i="9"/>
  <c r="R97" i="9"/>
  <c r="R97" i="11"/>
  <c r="D100" i="9"/>
  <c r="E99" i="9"/>
  <c r="F101" i="9"/>
  <c r="O99" i="11" l="1"/>
  <c r="O99" i="9"/>
  <c r="L100" i="9"/>
  <c r="W99" i="9"/>
  <c r="L100" i="11"/>
  <c r="W97" i="11"/>
  <c r="X97" i="11" s="1"/>
  <c r="V99" i="11"/>
  <c r="N100" i="9"/>
  <c r="M100" i="9"/>
  <c r="K100" i="11"/>
  <c r="N100" i="11"/>
  <c r="M100" i="11"/>
  <c r="J100" i="11"/>
  <c r="Q100" i="11" s="1"/>
  <c r="I100" i="11"/>
  <c r="H100" i="11"/>
  <c r="G100" i="11"/>
  <c r="O100" i="11" s="1"/>
  <c r="K100" i="9"/>
  <c r="J100" i="9"/>
  <c r="Q100" i="9" s="1"/>
  <c r="I100" i="9"/>
  <c r="H100" i="9"/>
  <c r="G100" i="9"/>
  <c r="T99" i="11"/>
  <c r="V99" i="9"/>
  <c r="T99" i="9"/>
  <c r="S99" i="11"/>
  <c r="U98" i="11"/>
  <c r="U98" i="9"/>
  <c r="X98" i="9" s="1"/>
  <c r="S99" i="9"/>
  <c r="Q99" i="9"/>
  <c r="Q99" i="11"/>
  <c r="P99" i="11"/>
  <c r="P99" i="9"/>
  <c r="R98" i="9"/>
  <c r="R98" i="11"/>
  <c r="E100" i="9"/>
  <c r="D101" i="9"/>
  <c r="F102" i="9"/>
  <c r="O100" i="9" l="1"/>
  <c r="L101" i="11"/>
  <c r="W98" i="11"/>
  <c r="X98" i="11" s="1"/>
  <c r="L101" i="9"/>
  <c r="W100" i="9"/>
  <c r="K101" i="9"/>
  <c r="M101" i="9"/>
  <c r="N101" i="9"/>
  <c r="K101" i="11"/>
  <c r="M101" i="11"/>
  <c r="N101" i="11"/>
  <c r="J101" i="11"/>
  <c r="Q101" i="11" s="1"/>
  <c r="I101" i="11"/>
  <c r="H101" i="11"/>
  <c r="G101" i="11"/>
  <c r="O101" i="11" s="1"/>
  <c r="V100" i="11"/>
  <c r="J101" i="9"/>
  <c r="Q101" i="9" s="1"/>
  <c r="I101" i="9"/>
  <c r="H101" i="9"/>
  <c r="V100" i="9"/>
  <c r="G101" i="9"/>
  <c r="T100" i="11"/>
  <c r="T100" i="9"/>
  <c r="U99" i="11"/>
  <c r="S100" i="11"/>
  <c r="U99" i="9"/>
  <c r="X99" i="9" s="1"/>
  <c r="S100" i="9"/>
  <c r="P100" i="11"/>
  <c r="P100" i="9"/>
  <c r="R99" i="9"/>
  <c r="R99" i="11"/>
  <c r="D102" i="9"/>
  <c r="E101" i="9"/>
  <c r="F103" i="9"/>
  <c r="O101" i="9" l="1"/>
  <c r="L102" i="11"/>
  <c r="W99" i="11"/>
  <c r="L102" i="9"/>
  <c r="W101" i="9"/>
  <c r="N102" i="9"/>
  <c r="M102" i="9"/>
  <c r="K102" i="11"/>
  <c r="N102" i="11"/>
  <c r="M102" i="11"/>
  <c r="J102" i="11"/>
  <c r="Q102" i="11" s="1"/>
  <c r="I102" i="11"/>
  <c r="H102" i="11"/>
  <c r="G102" i="11"/>
  <c r="V101" i="11"/>
  <c r="T101" i="11"/>
  <c r="J102" i="9"/>
  <c r="Q102" i="9" s="1"/>
  <c r="K102" i="9"/>
  <c r="I102" i="9"/>
  <c r="H102" i="9"/>
  <c r="G102" i="9"/>
  <c r="V101" i="9"/>
  <c r="T101" i="9"/>
  <c r="X99" i="11"/>
  <c r="S101" i="11"/>
  <c r="U100" i="11"/>
  <c r="U100" i="9"/>
  <c r="X100" i="9" s="1"/>
  <c r="S101" i="9"/>
  <c r="P101" i="11"/>
  <c r="P101" i="9"/>
  <c r="R101" i="9" s="1"/>
  <c r="R100" i="9"/>
  <c r="R100" i="11"/>
  <c r="E102" i="9"/>
  <c r="D103" i="9"/>
  <c r="F104" i="9"/>
  <c r="O102" i="11" l="1"/>
  <c r="O102" i="9"/>
  <c r="L103" i="11"/>
  <c r="W100" i="11"/>
  <c r="X100" i="11" s="1"/>
  <c r="L103" i="9"/>
  <c r="W102" i="9"/>
  <c r="T102" i="11"/>
  <c r="M103" i="9"/>
  <c r="N103" i="9"/>
  <c r="K103" i="11"/>
  <c r="M103" i="11"/>
  <c r="N103" i="11"/>
  <c r="J103" i="11"/>
  <c r="Q103" i="11" s="1"/>
  <c r="I103" i="11"/>
  <c r="H103" i="11"/>
  <c r="G103" i="11"/>
  <c r="O103" i="11" s="1"/>
  <c r="J103" i="9"/>
  <c r="Q103" i="9" s="1"/>
  <c r="K103" i="9"/>
  <c r="I103" i="9"/>
  <c r="H103" i="9"/>
  <c r="G103" i="9"/>
  <c r="V102" i="11"/>
  <c r="V102" i="9"/>
  <c r="T102" i="9"/>
  <c r="S102" i="11"/>
  <c r="U101" i="11"/>
  <c r="U101" i="9"/>
  <c r="X101" i="9" s="1"/>
  <c r="S102" i="9"/>
  <c r="P102" i="11"/>
  <c r="P102" i="9"/>
  <c r="R101" i="11"/>
  <c r="D104" i="9"/>
  <c r="E103" i="9"/>
  <c r="F105" i="9"/>
  <c r="O103" i="9" l="1"/>
  <c r="L104" i="9"/>
  <c r="W103" i="9"/>
  <c r="L104" i="11"/>
  <c r="W101" i="11"/>
  <c r="X101" i="11" s="1"/>
  <c r="K104" i="9"/>
  <c r="N104" i="9"/>
  <c r="M104" i="9"/>
  <c r="K104" i="11"/>
  <c r="N104" i="11"/>
  <c r="M104" i="11"/>
  <c r="J104" i="11"/>
  <c r="Q104" i="11" s="1"/>
  <c r="I104" i="11"/>
  <c r="H104" i="11"/>
  <c r="G104" i="11"/>
  <c r="J104" i="9"/>
  <c r="Q104" i="9" s="1"/>
  <c r="I104" i="9"/>
  <c r="T103" i="9"/>
  <c r="H104" i="9"/>
  <c r="G104" i="9"/>
  <c r="T103" i="11"/>
  <c r="V103" i="11"/>
  <c r="V103" i="9"/>
  <c r="S103" i="11"/>
  <c r="U102" i="11"/>
  <c r="U102" i="9"/>
  <c r="X102" i="9" s="1"/>
  <c r="S103" i="9"/>
  <c r="P103" i="11"/>
  <c r="P103" i="9"/>
  <c r="R103" i="9" s="1"/>
  <c r="R102" i="9"/>
  <c r="R102" i="11"/>
  <c r="D105" i="9"/>
  <c r="E104" i="9"/>
  <c r="F106" i="9"/>
  <c r="O104" i="11" l="1"/>
  <c r="O104" i="9"/>
  <c r="L105" i="11"/>
  <c r="W102" i="11"/>
  <c r="L105" i="9"/>
  <c r="W104" i="9"/>
  <c r="M105" i="9"/>
  <c r="N105" i="9"/>
  <c r="K105" i="11"/>
  <c r="M105" i="11"/>
  <c r="N105" i="11"/>
  <c r="J105" i="11"/>
  <c r="Q105" i="11" s="1"/>
  <c r="I105" i="11"/>
  <c r="H105" i="11"/>
  <c r="G105" i="11"/>
  <c r="K105" i="9"/>
  <c r="J105" i="9"/>
  <c r="Q105" i="9" s="1"/>
  <c r="I105" i="9"/>
  <c r="H105" i="9"/>
  <c r="G105" i="9"/>
  <c r="V104" i="11"/>
  <c r="V104" i="9"/>
  <c r="T104" i="9"/>
  <c r="U103" i="11"/>
  <c r="S104" i="11"/>
  <c r="P104" i="11"/>
  <c r="T104" i="11"/>
  <c r="U103" i="9"/>
  <c r="X103" i="9" s="1"/>
  <c r="S104" i="9"/>
  <c r="X102" i="11"/>
  <c r="P104" i="9"/>
  <c r="R104" i="9" s="1"/>
  <c r="R103" i="11"/>
  <c r="E105" i="9"/>
  <c r="D106" i="9"/>
  <c r="F107" i="9"/>
  <c r="O105" i="11" l="1"/>
  <c r="O105" i="9"/>
  <c r="L106" i="11"/>
  <c r="W103" i="11"/>
  <c r="X103" i="11" s="1"/>
  <c r="L106" i="9"/>
  <c r="W105" i="9"/>
  <c r="K106" i="9"/>
  <c r="K106" i="11"/>
  <c r="N106" i="9"/>
  <c r="M106" i="9"/>
  <c r="N106" i="11"/>
  <c r="M106" i="11"/>
  <c r="J106" i="11"/>
  <c r="Q106" i="11" s="1"/>
  <c r="I106" i="11"/>
  <c r="H106" i="11"/>
  <c r="G106" i="11"/>
  <c r="J106" i="9"/>
  <c r="Q106" i="9" s="1"/>
  <c r="I106" i="9"/>
  <c r="H106" i="9"/>
  <c r="G106" i="9"/>
  <c r="T105" i="9"/>
  <c r="T105" i="11"/>
  <c r="V105" i="9"/>
  <c r="V105" i="11"/>
  <c r="S105" i="11"/>
  <c r="U104" i="11"/>
  <c r="U104" i="9"/>
  <c r="X104" i="9" s="1"/>
  <c r="S105" i="9"/>
  <c r="P105" i="11"/>
  <c r="P105" i="9"/>
  <c r="R105" i="9" s="1"/>
  <c r="R104" i="11"/>
  <c r="E106" i="9"/>
  <c r="D107" i="9"/>
  <c r="F108" i="9"/>
  <c r="O106" i="11" l="1"/>
  <c r="O106" i="9"/>
  <c r="L107" i="11"/>
  <c r="W104" i="11"/>
  <c r="X104" i="11" s="1"/>
  <c r="L107" i="9"/>
  <c r="W106" i="9"/>
  <c r="K107" i="9"/>
  <c r="M107" i="9"/>
  <c r="N107" i="9"/>
  <c r="K107" i="11"/>
  <c r="M107" i="11"/>
  <c r="N107" i="11"/>
  <c r="J107" i="11"/>
  <c r="Q107" i="11" s="1"/>
  <c r="I107" i="11"/>
  <c r="H107" i="11"/>
  <c r="G107" i="11"/>
  <c r="O107" i="11" s="1"/>
  <c r="J107" i="9"/>
  <c r="Q107" i="9" s="1"/>
  <c r="I107" i="9"/>
  <c r="H107" i="9"/>
  <c r="G107" i="9"/>
  <c r="V106" i="9"/>
  <c r="T106" i="9"/>
  <c r="V106" i="11"/>
  <c r="T106" i="11"/>
  <c r="U105" i="11"/>
  <c r="S106" i="11"/>
  <c r="U105" i="9"/>
  <c r="X105" i="9" s="1"/>
  <c r="S106" i="9"/>
  <c r="P106" i="11"/>
  <c r="P106" i="9"/>
  <c r="R105" i="11"/>
  <c r="D108" i="9"/>
  <c r="E107" i="9"/>
  <c r="F109" i="9"/>
  <c r="O107" i="9" l="1"/>
  <c r="L108" i="11"/>
  <c r="W105" i="11"/>
  <c r="X105" i="11" s="1"/>
  <c r="L108" i="9"/>
  <c r="W107" i="9"/>
  <c r="K108" i="11"/>
  <c r="N108" i="9"/>
  <c r="M108" i="9"/>
  <c r="N108" i="11"/>
  <c r="M108" i="11"/>
  <c r="J108" i="11"/>
  <c r="Q108" i="11" s="1"/>
  <c r="I108" i="11"/>
  <c r="H108" i="11"/>
  <c r="G108" i="11"/>
  <c r="O108" i="11" s="1"/>
  <c r="K108" i="9"/>
  <c r="J108" i="9"/>
  <c r="Q108" i="9" s="1"/>
  <c r="I108" i="9"/>
  <c r="H108" i="9"/>
  <c r="G108" i="9"/>
  <c r="V107" i="9"/>
  <c r="T107" i="9"/>
  <c r="T107" i="11"/>
  <c r="V107" i="11"/>
  <c r="S107" i="11"/>
  <c r="U106" i="11"/>
  <c r="S107" i="9"/>
  <c r="U106" i="9"/>
  <c r="X106" i="9" s="1"/>
  <c r="P107" i="11"/>
  <c r="P107" i="9"/>
  <c r="R106" i="9"/>
  <c r="R106" i="11"/>
  <c r="E108" i="9"/>
  <c r="D109" i="9"/>
  <c r="F110" i="9"/>
  <c r="O108" i="9" l="1"/>
  <c r="L109" i="9"/>
  <c r="W108" i="9"/>
  <c r="L109" i="11"/>
  <c r="W106" i="11"/>
  <c r="X106" i="11" s="1"/>
  <c r="K109" i="9"/>
  <c r="M109" i="9"/>
  <c r="N109" i="9"/>
  <c r="K109" i="11"/>
  <c r="M109" i="11"/>
  <c r="N109" i="11"/>
  <c r="J109" i="11"/>
  <c r="Q109" i="11" s="1"/>
  <c r="I109" i="11"/>
  <c r="H109" i="11"/>
  <c r="G109" i="11"/>
  <c r="J109" i="9"/>
  <c r="Q109" i="9" s="1"/>
  <c r="I109" i="9"/>
  <c r="H109" i="9"/>
  <c r="G109" i="9"/>
  <c r="T108" i="11"/>
  <c r="V108" i="9"/>
  <c r="T108" i="9"/>
  <c r="V108" i="11"/>
  <c r="U107" i="11"/>
  <c r="S108" i="11"/>
  <c r="S108" i="9"/>
  <c r="U107" i="9"/>
  <c r="X107" i="9" s="1"/>
  <c r="P108" i="11"/>
  <c r="P108" i="9"/>
  <c r="R108" i="9" s="1"/>
  <c r="R107" i="9"/>
  <c r="R107" i="11"/>
  <c r="D110" i="9"/>
  <c r="E109" i="9"/>
  <c r="F111" i="9"/>
  <c r="O109" i="11" l="1"/>
  <c r="O109" i="9"/>
  <c r="L110" i="11"/>
  <c r="W107" i="11"/>
  <c r="X107" i="11" s="1"/>
  <c r="L110" i="9"/>
  <c r="W109" i="9"/>
  <c r="K110" i="11"/>
  <c r="N110" i="9"/>
  <c r="M110" i="9"/>
  <c r="N110" i="11"/>
  <c r="M110" i="11"/>
  <c r="J110" i="11"/>
  <c r="Q110" i="11" s="1"/>
  <c r="I110" i="11"/>
  <c r="H110" i="11"/>
  <c r="G110" i="11"/>
  <c r="J110" i="9"/>
  <c r="Q110" i="9" s="1"/>
  <c r="K110" i="9"/>
  <c r="I110" i="9"/>
  <c r="H110" i="9"/>
  <c r="G110" i="9"/>
  <c r="V109" i="9"/>
  <c r="T109" i="9"/>
  <c r="V109" i="11"/>
  <c r="S109" i="11"/>
  <c r="U108" i="11"/>
  <c r="P109" i="11"/>
  <c r="T109" i="11"/>
  <c r="U108" i="9"/>
  <c r="X108" i="9" s="1"/>
  <c r="S109" i="9"/>
  <c r="P109" i="9"/>
  <c r="R109" i="9" s="1"/>
  <c r="R108" i="11"/>
  <c r="D111" i="9"/>
  <c r="E110" i="9"/>
  <c r="O110" i="11" l="1"/>
  <c r="O110" i="9"/>
  <c r="L111" i="9"/>
  <c r="W110" i="9"/>
  <c r="L111" i="11"/>
  <c r="W108" i="11"/>
  <c r="X108" i="11" s="1"/>
  <c r="K111" i="9"/>
  <c r="W111" i="9" s="1"/>
  <c r="K111" i="11"/>
  <c r="W109" i="11" s="1"/>
  <c r="M111" i="9"/>
  <c r="N111" i="9"/>
  <c r="M111" i="11"/>
  <c r="N111" i="11"/>
  <c r="J111" i="11"/>
  <c r="I111" i="11"/>
  <c r="H111" i="11"/>
  <c r="G111" i="11"/>
  <c r="O111" i="11" s="1"/>
  <c r="J111" i="9"/>
  <c r="I111" i="9"/>
  <c r="H111" i="9"/>
  <c r="G111" i="9"/>
  <c r="T110" i="9"/>
  <c r="V110" i="11"/>
  <c r="V110" i="9"/>
  <c r="T110" i="11"/>
  <c r="S110" i="11"/>
  <c r="U109" i="11"/>
  <c r="U109" i="9"/>
  <c r="X109" i="9" s="1"/>
  <c r="S110" i="9"/>
  <c r="P110" i="11"/>
  <c r="P110" i="9"/>
  <c r="R110" i="9" s="1"/>
  <c r="R109" i="11"/>
  <c r="E111" i="9"/>
  <c r="O111" i="9" l="1"/>
  <c r="V111" i="9"/>
  <c r="V111" i="11"/>
  <c r="V10" i="11" s="1"/>
  <c r="F32" i="14" s="1"/>
  <c r="S111" i="11"/>
  <c r="U110" i="11"/>
  <c r="U111" i="11"/>
  <c r="T111" i="11"/>
  <c r="T10" i="11" s="1"/>
  <c r="F31" i="14" s="1"/>
  <c r="U110" i="9"/>
  <c r="X110" i="9" s="1"/>
  <c r="S111" i="9"/>
  <c r="S10" i="9" s="1"/>
  <c r="D30" i="14" s="1"/>
  <c r="T111" i="9"/>
  <c r="T10" i="9" s="1"/>
  <c r="D31" i="14" s="1"/>
  <c r="U111" i="9"/>
  <c r="X109" i="11"/>
  <c r="V10" i="9"/>
  <c r="D32" i="14" s="1"/>
  <c r="P111" i="11"/>
  <c r="P10" i="11" s="1"/>
  <c r="Q111" i="11"/>
  <c r="Q10" i="11" s="1"/>
  <c r="P111" i="9"/>
  <c r="P10" i="9" s="1"/>
  <c r="Q111" i="9"/>
  <c r="Q10" i="9" s="1"/>
  <c r="W10" i="9"/>
  <c r="D34" i="14" s="1"/>
  <c r="R110" i="11"/>
  <c r="J31" i="14" l="1"/>
  <c r="L30" i="14"/>
  <c r="H30" i="14"/>
  <c r="L32" i="14"/>
  <c r="H32" i="14"/>
  <c r="J32" i="14"/>
  <c r="H31" i="14"/>
  <c r="L31" i="14"/>
  <c r="H34" i="14"/>
  <c r="L34" i="14"/>
  <c r="U10" i="11"/>
  <c r="F33" i="14" s="1"/>
  <c r="W10" i="11"/>
  <c r="F34" i="14" s="1"/>
  <c r="J34" i="14" s="1"/>
  <c r="X111" i="9"/>
  <c r="U10" i="9"/>
  <c r="D33" i="14" s="1"/>
  <c r="R111" i="9"/>
  <c r="X110" i="11"/>
  <c r="R111" i="11"/>
  <c r="X111" i="11"/>
  <c r="S10" i="11"/>
  <c r="F30" i="14" s="1"/>
  <c r="J30" i="14" s="1"/>
  <c r="R10" i="11" l="1"/>
  <c r="D22" i="14" s="1"/>
  <c r="E14" i="14" s="1"/>
  <c r="R7" i="11"/>
  <c r="R10" i="9"/>
  <c r="D20" i="14" s="1"/>
  <c r="E12" i="14" s="1"/>
  <c r="R7" i="9"/>
  <c r="H33" i="14"/>
  <c r="I32" i="14" s="1"/>
  <c r="L33" i="14"/>
  <c r="M33" i="14" s="1"/>
  <c r="J33" i="14"/>
  <c r="K30" i="14" s="1"/>
  <c r="I34" i="14"/>
  <c r="G38" i="25"/>
  <c r="D29" i="14"/>
  <c r="D12" i="14" s="1"/>
  <c r="X10" i="9"/>
  <c r="D38" i="25" s="1"/>
  <c r="X10" i="11"/>
  <c r="F38" i="25" s="1"/>
  <c r="F29" i="14"/>
  <c r="D14" i="14" s="1"/>
  <c r="I33" i="14" l="1"/>
  <c r="E38" i="25"/>
  <c r="I31" i="14"/>
  <c r="I30" i="14"/>
  <c r="M34" i="14"/>
  <c r="K31" i="14"/>
  <c r="K32" i="14"/>
  <c r="K33" i="14"/>
  <c r="K34" i="14"/>
  <c r="M30" i="14"/>
  <c r="M31" i="14"/>
  <c r="M32" i="14"/>
  <c r="G13" i="14"/>
  <c r="G15" i="14"/>
  <c r="F14" i="14"/>
  <c r="G14" i="14"/>
  <c r="F15" i="14"/>
  <c r="F13" i="14"/>
  <c r="L38" i="25"/>
  <c r="P38" i="25"/>
  <c r="N38" i="25"/>
  <c r="Q38" i="25"/>
  <c r="O38" i="25"/>
  <c r="M38" i="25"/>
  <c r="S38" i="25"/>
  <c r="R38" i="25"/>
  <c r="H14" i="14" l="1"/>
  <c r="E72" i="17" s="1"/>
  <c r="I14" i="14"/>
  <c r="H13" i="14"/>
  <c r="D72" i="17" s="1"/>
  <c r="I13" i="14"/>
  <c r="I15" i="14"/>
  <c r="H15" i="14"/>
  <c r="F72" i="17" s="1"/>
  <c r="W38" i="25"/>
  <c r="X38" i="25"/>
  <c r="Y38" i="25"/>
  <c r="V3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CHEORS DELL 04</author>
  </authors>
  <commentList>
    <comment ref="AI34" authorId="0" shapeId="0" xr:uid="{82B68F2F-3711-4BD8-A54E-8D4148807CAE}">
      <text>
        <r>
          <rPr>
            <b/>
            <sz val="9"/>
            <color indexed="81"/>
            <rFont val="Tahoma"/>
            <family val="2"/>
          </rPr>
          <t>CHEORS DELL 04:</t>
        </r>
        <r>
          <rPr>
            <sz val="9"/>
            <color indexed="81"/>
            <rFont val="Tahoma"/>
            <family val="2"/>
          </rPr>
          <t xml:space="preserve">
Used to convert 100 days transition probability per day wise.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<sst xmlns="http://schemas.openxmlformats.org/spreadsheetml/2006/main" count="2176" uniqueCount="427">
  <si>
    <t>Name of Publication</t>
  </si>
  <si>
    <t>Cost-effectiveness analysis of chlorhexidine_x0002_alcohol versus povidone iodine-alcohol solution in the prevention of intravascular_x0002_catheter-related bloodstream infections in France</t>
  </si>
  <si>
    <t>Model Version:</t>
  </si>
  <si>
    <t>Version 1</t>
  </si>
  <si>
    <t>Date of Model:</t>
  </si>
  <si>
    <t>Objectives</t>
  </si>
  <si>
    <t>Population</t>
  </si>
  <si>
    <t>The model allows performing analyses based on efficacy data for:</t>
  </si>
  <si>
    <t>For all patients included in CLEAN</t>
  </si>
  <si>
    <t>Intervention</t>
  </si>
  <si>
    <t>The intervention considered in the model is 2% chlorhexidine-70% isopropyl alcohol (chlorhexidine-alcohol).i.e CGH T1</t>
  </si>
  <si>
    <t>Comparators</t>
  </si>
  <si>
    <t>Outcomes</t>
  </si>
  <si>
    <t>After analysing the results it can be concluded that the CHG-T1 solution is more effective at the same cost than the PVI-T1,CGH-T4 and PVI-T4 solution.</t>
  </si>
  <si>
    <t>Data sources</t>
  </si>
  <si>
    <t>Patient data was collected from CLEAN database.</t>
  </si>
  <si>
    <t>Cost data</t>
  </si>
  <si>
    <t>The following cost categories are included in the model:</t>
  </si>
  <si>
    <t xml:space="preserve">Drug acquisition cost </t>
  </si>
  <si>
    <t>Treatment Cost</t>
  </si>
  <si>
    <t>ICU Cost</t>
  </si>
  <si>
    <t>Resource Cost</t>
  </si>
  <si>
    <t>Cell Key</t>
  </si>
  <si>
    <t>Model Background</t>
  </si>
  <si>
    <t>Model Input</t>
  </si>
  <si>
    <t>Model Calculation</t>
  </si>
  <si>
    <t>General  Settings</t>
  </si>
  <si>
    <t>Currency</t>
  </si>
  <si>
    <t>€</t>
  </si>
  <si>
    <t>Country</t>
  </si>
  <si>
    <t>Mean</t>
  </si>
  <si>
    <t>Age</t>
  </si>
  <si>
    <t>PVI T1</t>
  </si>
  <si>
    <t>PVI T4</t>
  </si>
  <si>
    <t>CHG T1</t>
  </si>
  <si>
    <t>CHG T4</t>
  </si>
  <si>
    <t>Comparators to be included</t>
  </si>
  <si>
    <t>Yes</t>
  </si>
  <si>
    <t>Include Adverse events?</t>
  </si>
  <si>
    <t>Summary</t>
  </si>
  <si>
    <t>Regimens</t>
  </si>
  <si>
    <t>Treatment cycle  (days)</t>
  </si>
  <si>
    <t>Total</t>
  </si>
  <si>
    <t>Drug Acquisition</t>
  </si>
  <si>
    <t>Semipermeable transparent dressing</t>
  </si>
  <si>
    <t>Number of days</t>
  </si>
  <si>
    <t>Total Cost</t>
  </si>
  <si>
    <t xml:space="preserve">Direct cost of treating CRBSI </t>
  </si>
  <si>
    <t>Patients without CRBSI</t>
  </si>
  <si>
    <t>Additional ICU Length of stay (LOS) due to CRBSI</t>
  </si>
  <si>
    <t>Resource Used Cost</t>
  </si>
  <si>
    <t>Adverse Event (Dermatitis)</t>
  </si>
  <si>
    <t>Catheter removal</t>
  </si>
  <si>
    <t>Four standard dressings</t>
  </si>
  <si>
    <t>catheter insertion</t>
  </si>
  <si>
    <t>Dermatitis</t>
  </si>
  <si>
    <t>Transition Probability per day</t>
  </si>
  <si>
    <t>Transition Probability for 100 days</t>
  </si>
  <si>
    <t>State 1</t>
  </si>
  <si>
    <t>State 2</t>
  </si>
  <si>
    <t>State 3</t>
  </si>
  <si>
    <t>State 4</t>
  </si>
  <si>
    <t>State 5</t>
  </si>
  <si>
    <t>State 6</t>
  </si>
  <si>
    <t>State 7</t>
  </si>
  <si>
    <t>State 8</t>
  </si>
  <si>
    <t>Parameters</t>
  </si>
  <si>
    <t>This sheet contains all model parameters, along with their associated bounds of uncertainty.</t>
  </si>
  <si>
    <t>Assumed for SE where uncertainty unreported</t>
  </si>
  <si>
    <t>of the mean value.</t>
  </si>
  <si>
    <t>Param count</t>
  </si>
  <si>
    <t>Parameter name</t>
  </si>
  <si>
    <t>SE</t>
  </si>
  <si>
    <t>RAND</t>
  </si>
  <si>
    <t>Dist</t>
  </si>
  <si>
    <t>Lower</t>
  </si>
  <si>
    <t>Upper</t>
  </si>
  <si>
    <t>Control</t>
  </si>
  <si>
    <t>Use in OWSA?</t>
  </si>
  <si>
    <t>Patient characteristics (All Patient)</t>
  </si>
  <si>
    <t>No</t>
  </si>
  <si>
    <t xml:space="preserve"> Antiseptic solutions cost</t>
  </si>
  <si>
    <t>Adverse event cost</t>
  </si>
  <si>
    <t>Resource Use cost</t>
  </si>
  <si>
    <t>Cost for Catheres charged</t>
  </si>
  <si>
    <t>Pairwise cost -effectiveness results (intervention vs. each comparator)</t>
  </si>
  <si>
    <t>CHG T1 vs. comparator</t>
  </si>
  <si>
    <t>Treatment arm</t>
  </si>
  <si>
    <t xml:space="preserve">CRBSI </t>
  </si>
  <si>
    <t>Incremental CRBSI Avoided</t>
  </si>
  <si>
    <t>Disaggregate results - costs</t>
  </si>
  <si>
    <t>CGH T1 vs PVI T1</t>
  </si>
  <si>
    <t>CGH T1 vs CGH T4</t>
  </si>
  <si>
    <t>CGH T1 vs PVI T4</t>
  </si>
  <si>
    <t>% increment</t>
  </si>
  <si>
    <t>Drug acquisition cost</t>
  </si>
  <si>
    <t>Adverse Event Cost</t>
  </si>
  <si>
    <t>CRBSI Patient</t>
  </si>
  <si>
    <t>Costs</t>
  </si>
  <si>
    <t>Cycle</t>
  </si>
  <si>
    <t>Days</t>
  </si>
  <si>
    <t>Year</t>
  </si>
  <si>
    <t>noAE/noCRBSI/noCTnew</t>
  </si>
  <si>
    <t>noAE/noCRBSI/Ctnew</t>
  </si>
  <si>
    <t>noAE/CRBSI/noCTnew</t>
  </si>
  <si>
    <t>noAE/CRBSI/Ctnew</t>
  </si>
  <si>
    <t>AE/noCRBSI/noCTnew</t>
  </si>
  <si>
    <t>G+S</t>
  </si>
  <si>
    <t>Discharge</t>
  </si>
  <si>
    <t>Death</t>
  </si>
  <si>
    <t>Check</t>
  </si>
  <si>
    <t>Total CRBSI Patient</t>
  </si>
  <si>
    <t>Tp</t>
  </si>
  <si>
    <t>France</t>
  </si>
  <si>
    <t>Perspective</t>
  </si>
  <si>
    <t>Health State Occupancy</t>
  </si>
  <si>
    <t>Results</t>
  </si>
  <si>
    <t>Disaggregate results - CRBSI</t>
  </si>
  <si>
    <t>Sheet Key</t>
  </si>
  <si>
    <t>multicentre, randomised, controlled trial (CLEAN).</t>
  </si>
  <si>
    <t>A global model with a France base case has been developed to perform a cost-effectiveness analysis of skin antiseptic solutions (chlorhexidine-alcohol(CHG) versus povidone</t>
  </si>
  <si>
    <t>iodine-alcohol solution (PVI) for the prevention of intravascularcatheter-related bloodstream infections (CRBSI) in intensive care unit (ICU).The model is based on an open-label,</t>
  </si>
  <si>
    <t>Reference</t>
  </si>
  <si>
    <t>Assumptions</t>
  </si>
  <si>
    <t>Transition Probabilities(CHG T1)</t>
  </si>
  <si>
    <t>Transition Probabilities(PVI T1)</t>
  </si>
  <si>
    <t>Transition Probabilities(CHG T4)</t>
  </si>
  <si>
    <t>Transition Probabilities(PVI T4)</t>
  </si>
  <si>
    <t>Rank</t>
  </si>
  <si>
    <t>UB</t>
  </si>
  <si>
    <t>CGH T4</t>
  </si>
  <si>
    <t>Parameter</t>
  </si>
  <si>
    <t>Lower Bound Results</t>
  </si>
  <si>
    <t>Upper Bound Results</t>
  </si>
  <si>
    <t>ICER-LB</t>
  </si>
  <si>
    <t>ICER-UB</t>
  </si>
  <si>
    <t>ICER</t>
  </si>
  <si>
    <t>ICER Diff</t>
  </si>
  <si>
    <t>ICU Cost without CRBSI</t>
  </si>
  <si>
    <t>Transition from state 1 to state 1 (CHG T1)</t>
  </si>
  <si>
    <t>Transition from state 1 to state 2 (CHG T1)</t>
  </si>
  <si>
    <t>Transition from state 1 to state 4 (CHG T1)</t>
  </si>
  <si>
    <t>Transition from state 2 to state 1 (CHG T1)</t>
  </si>
  <si>
    <t>Transition from state 2 to state 2 (CHG T1)</t>
  </si>
  <si>
    <t>Transition from state 2 to state 4 (CHG T1)</t>
  </si>
  <si>
    <t>Transition from state 4 to state 1 (CHG T1)</t>
  </si>
  <si>
    <t>Transition from state 4 to state 2 (CHG T1)</t>
  </si>
  <si>
    <t>Transition from state 1 to state 1 (PVI T1)</t>
  </si>
  <si>
    <t>Transition from state 1 to state 2 (PVI T1)</t>
  </si>
  <si>
    <t>Transition from state 1 to state 3 (PVI T1)</t>
  </si>
  <si>
    <t>Transition from state 1 to state 4 (PVI T1)</t>
  </si>
  <si>
    <t>Transition from state 2 to state 1 (PVI T1)</t>
  </si>
  <si>
    <t>Transition from state 2 to state 2 (PVI T1)</t>
  </si>
  <si>
    <t>Transition from state 2 to state 3 (PVI T1)</t>
  </si>
  <si>
    <t>Transition from state 2 to state 4 (PVI T1)</t>
  </si>
  <si>
    <t>Transition from state 3 to state 1 (PVI T1)</t>
  </si>
  <si>
    <t>Transition from state 3 to state 2 (PVI T1)</t>
  </si>
  <si>
    <t>Transition from state 4 to state 1 (PVI T1)</t>
  </si>
  <si>
    <t>Transition from state 4 to state 2 (PVI T1)</t>
  </si>
  <si>
    <t>Transition from state 1 to state 1 (CHG T4)</t>
  </si>
  <si>
    <t>Transition from state 1 to state 2 (CHG T4)</t>
  </si>
  <si>
    <t>Transition from state 1 to state 3 (CHG T4)</t>
  </si>
  <si>
    <t>Transition from state 1 to state 4 (CHG T4)</t>
  </si>
  <si>
    <t>Transition from state 2 to state 1 (CHG T4)</t>
  </si>
  <si>
    <t>Transition from state 2 to state 2 (CHG T4)</t>
  </si>
  <si>
    <t>Transition from state 2 to state 3 (CHG T4)</t>
  </si>
  <si>
    <t>Transition from state 2 to state 4 (CHG T4)</t>
  </si>
  <si>
    <t>Transition from state 3 to state 1 (CHG T4)</t>
  </si>
  <si>
    <t>Transition from state 3 to state 2 (CHG T4)</t>
  </si>
  <si>
    <t>Transition from state 4 to state 1 (CHG T4)</t>
  </si>
  <si>
    <t>Transition from state 4 to state 2 (CHG T4)</t>
  </si>
  <si>
    <t>Transition from state 1 to state 1 (PVI T4)</t>
  </si>
  <si>
    <t>Transition from state 1 to state 2 (PVI T4)</t>
  </si>
  <si>
    <t>Transition from state 1 to state 3 (PVI T4)</t>
  </si>
  <si>
    <t>Transition from state 1 to state 4 (PVI T4)</t>
  </si>
  <si>
    <t>Transition from state 2 to state 1 (PVI T4)</t>
  </si>
  <si>
    <t>Transition from state 2 to state 2 (PVI T4)</t>
  </si>
  <si>
    <t>Transition from state 2 to state 3 (PVI T4)</t>
  </si>
  <si>
    <t>Transition from state 2 to state 4 (PVI T4)</t>
  </si>
  <si>
    <t>Transition from state 3 to state 1 (PVI T4)</t>
  </si>
  <si>
    <t>Transition from state 3 to state 2 (PVI T4)</t>
  </si>
  <si>
    <t>Transition from state 4 to state 1 (PVI T4)</t>
  </si>
  <si>
    <t>Transition from state 4 to state 2 (PVI T4)</t>
  </si>
  <si>
    <t>LB</t>
  </si>
  <si>
    <t xml:space="preserve">The cost of a CRBSI event is independent from the outcome (survival or death or discharge): Statistical unit is the “global” patient. </t>
  </si>
  <si>
    <t xml:space="preserve">Catheter colonization had no costs (after the diagnosis) or adverse outcomes (colonization has been initially excluded from the model because it is not a “health-state”). The costs for diagnosis are negligible compared to costs related to additional ICU LOS due to CRBSI. The related costs to replace a catheter suspected to be colonized (and causing CRBSI) will be absorbed in the health-states CT new. </t>
  </si>
  <si>
    <t>The estimated cost per ICU day at the University Hospital of Poitiers is estimated for each compared intervention.</t>
  </si>
  <si>
    <t xml:space="preserve"> If AE is dermatitis, the G+S (semipermeable transparent dressing) unit cost for CHG T1/T4 groups is identical to PVI T1/T4 groups.</t>
  </si>
  <si>
    <t>Censored data for the "ICU Discharge" state, if the infection is observed two days after discharge from the ICU, we consider that this infection occurred the day of discharge from the ICU.</t>
  </si>
  <si>
    <t>"G+S” State: Ability to integrate a potentially observable output "AE/no CRBSI/no CT New" (with probability for semipermeable transparent dressing). The considered AE is contact dermatitis.</t>
  </si>
  <si>
    <t>User Value</t>
  </si>
  <si>
    <t>Default Value</t>
  </si>
  <si>
    <t>Model Use</t>
  </si>
  <si>
    <t>OWSA Results of CHG T1 vs Comparators</t>
  </si>
  <si>
    <t>Country Name</t>
  </si>
  <si>
    <t>Date</t>
  </si>
  <si>
    <t>Model Version</t>
  </si>
  <si>
    <t>Input Name</t>
  </si>
  <si>
    <t>Input Value</t>
  </si>
  <si>
    <t>Lower Value</t>
  </si>
  <si>
    <t>Upper Value</t>
  </si>
  <si>
    <t>Transition Probabilities</t>
  </si>
  <si>
    <t>OWSA Base case most significant variable</t>
  </si>
  <si>
    <t>Compared to CHG T1</t>
  </si>
  <si>
    <t>April 22, 2021_v1.0</t>
  </si>
  <si>
    <t>Hospital Setting</t>
  </si>
  <si>
    <t>An eight-health state semi-Markov state transition model which is majorly divided into three states for understanding purposes:-</t>
  </si>
  <si>
    <t>Dissolving States</t>
  </si>
  <si>
    <t>1)</t>
  </si>
  <si>
    <t>2)</t>
  </si>
  <si>
    <t>3)</t>
  </si>
  <si>
    <t>In hospital setting there are six states:-</t>
  </si>
  <si>
    <t>State1.</t>
  </si>
  <si>
    <t xml:space="preserve"> noAE/noCRBSI/noCTnew</t>
  </si>
  <si>
    <t xml:space="preserve"> noAE/CRBSI/Ctnew</t>
  </si>
  <si>
    <t>State4.</t>
  </si>
  <si>
    <t>State5.</t>
  </si>
  <si>
    <t xml:space="preserve"> AE/noCRBSI/noCTnew</t>
  </si>
  <si>
    <t>State6.</t>
  </si>
  <si>
    <t xml:space="preserve"> G+S</t>
  </si>
  <si>
    <t>State2.</t>
  </si>
  <si>
    <t>State3.</t>
  </si>
  <si>
    <t>*</t>
  </si>
  <si>
    <t>Use in PSA</t>
  </si>
  <si>
    <t>PSA</t>
  </si>
  <si>
    <t>Willingness to Pay</t>
  </si>
  <si>
    <t>No of iterations</t>
  </si>
  <si>
    <t>Live result</t>
  </si>
  <si>
    <t>Total CRBSI</t>
  </si>
  <si>
    <t>Incremental Cost</t>
  </si>
  <si>
    <t>CRBSI Avoided</t>
  </si>
  <si>
    <t>CHG T1 vs CHG T4</t>
  </si>
  <si>
    <t>CHG T1 vs PVI T1</t>
  </si>
  <si>
    <t>CHG T1 vs PVI T4</t>
  </si>
  <si>
    <t>Incremental Results</t>
  </si>
  <si>
    <t>Sl no</t>
  </si>
  <si>
    <t>NMB</t>
  </si>
  <si>
    <t>Most cost effective</t>
  </si>
  <si>
    <t>α</t>
  </si>
  <si>
    <t>β</t>
  </si>
  <si>
    <t>No of parameters in PSA</t>
  </si>
  <si>
    <t>No of parameters in OWSA</t>
  </si>
  <si>
    <t>Drichlet</t>
  </si>
  <si>
    <t>Gamma</t>
  </si>
  <si>
    <t>The straight arrow coming down from state 6 that is G+S represents that transition is possible to any other state from this state except state 5.</t>
  </si>
  <si>
    <t xml:space="preserve">Note :- </t>
  </si>
  <si>
    <t>Transition between the states within the hospital setting</t>
  </si>
  <si>
    <t>User-modifiable Input</t>
  </si>
  <si>
    <t>Input Used/Calculations</t>
  </si>
  <si>
    <t>Model Output</t>
  </si>
  <si>
    <t>Model Details</t>
  </si>
  <si>
    <t>Model Overview</t>
  </si>
  <si>
    <t>Costs(€)</t>
  </si>
  <si>
    <t>Incremental Costs(€)</t>
  </si>
  <si>
    <t>ICER(€/CRBSI Avoided)</t>
  </si>
  <si>
    <t>CHG T1(€)</t>
  </si>
  <si>
    <t>PVI T1(€)</t>
  </si>
  <si>
    <t>CHG T4(€)</t>
  </si>
  <si>
    <t>PVI T4(€)</t>
  </si>
  <si>
    <t>Incremental(€)</t>
  </si>
  <si>
    <t>Transition from state 6 to state 6 (CHG T1)</t>
  </si>
  <si>
    <t>Transition from state 6 to state 6 (PVI T1)</t>
  </si>
  <si>
    <t>Transition from state 3 to state 3 (CHG T4)</t>
  </si>
  <si>
    <t>Transition from state 3 to state 4 (CHG T4)</t>
  </si>
  <si>
    <t>Transition from state 4 to state 3 (CHG T4)</t>
  </si>
  <si>
    <t>Transition from state 4 to state 4 (CHG T4)</t>
  </si>
  <si>
    <t>Transition from state 6 to state 6 (CHG T4)</t>
  </si>
  <si>
    <t>Transition from state 6 to state 6 (PVI T4)</t>
  </si>
  <si>
    <t>Model structure</t>
  </si>
  <si>
    <t>Model Settings</t>
  </si>
  <si>
    <t xml:space="preserve"> Cost</t>
  </si>
  <si>
    <t>Input Used</t>
  </si>
  <si>
    <t>Adverse Event</t>
  </si>
  <si>
    <t>[Prof Olivier Mimoz et al.]</t>
  </si>
  <si>
    <t>[Carole  Schwebel et al.]</t>
  </si>
  <si>
    <t>[reported by University Hospital of Poitiers]</t>
  </si>
  <si>
    <t>Patient Flow CHG T1</t>
  </si>
  <si>
    <t>Patient Flow CHG T4</t>
  </si>
  <si>
    <t>Patient Flow PVI T4</t>
  </si>
  <si>
    <t>Patient Flow PVI T1</t>
  </si>
  <si>
    <t>Calculation</t>
  </si>
  <si>
    <t>State 1 to State 2</t>
  </si>
  <si>
    <t>State 1 to State 1</t>
  </si>
  <si>
    <t>State 2 to State 1</t>
  </si>
  <si>
    <t>State 3 to State 1</t>
  </si>
  <si>
    <t>State 4 to State 1</t>
  </si>
  <si>
    <t>State 5 to State 1</t>
  </si>
  <si>
    <t>State 6 to State 1</t>
  </si>
  <si>
    <t>State 7 to State 1</t>
  </si>
  <si>
    <t>State 8 to State 1</t>
  </si>
  <si>
    <t>State 1 to State 3</t>
  </si>
  <si>
    <t>State 1 to State 4</t>
  </si>
  <si>
    <t>State 1 to State 5</t>
  </si>
  <si>
    <t>State 1 to State 6</t>
  </si>
  <si>
    <t>State 1 to State 7</t>
  </si>
  <si>
    <t>State 1 to State 8</t>
  </si>
  <si>
    <t>State 3 to State 2</t>
  </si>
  <si>
    <t>State 2 to State 2</t>
  </si>
  <si>
    <t>State 4 to State 2</t>
  </si>
  <si>
    <t>State 5 to State 2</t>
  </si>
  <si>
    <t>State 6 to State 2</t>
  </si>
  <si>
    <t>State 7 to State 2</t>
  </si>
  <si>
    <t>State 8 to State 2</t>
  </si>
  <si>
    <t>State 2 to State 3</t>
  </si>
  <si>
    <t>State 3 to State 3</t>
  </si>
  <si>
    <t>State 4 to State 3</t>
  </si>
  <si>
    <t>State 5 to State 3</t>
  </si>
  <si>
    <t>State 6 to State 3</t>
  </si>
  <si>
    <t>State 7 to State 3</t>
  </si>
  <si>
    <t>State 8 to State 3</t>
  </si>
  <si>
    <t>State 2 to State 4</t>
  </si>
  <si>
    <t>State 3 to State 4</t>
  </si>
  <si>
    <t>State 4 to State 4</t>
  </si>
  <si>
    <t>State 5 to State 4</t>
  </si>
  <si>
    <t>State 6 to State 4</t>
  </si>
  <si>
    <t>State 7 to State 4</t>
  </si>
  <si>
    <t>State 8 to State 4</t>
  </si>
  <si>
    <t>State 2 to State 5</t>
  </si>
  <si>
    <t>State 3 to State 5</t>
  </si>
  <si>
    <t>State 4 to State 5</t>
  </si>
  <si>
    <t>State 5 to State 5</t>
  </si>
  <si>
    <t>State 6 to State 5</t>
  </si>
  <si>
    <t>State 7 to State 5</t>
  </si>
  <si>
    <t>State 8 to State 5</t>
  </si>
  <si>
    <t>[Franck Maunoury et al.]</t>
  </si>
  <si>
    <t>State 2 to State 6</t>
  </si>
  <si>
    <t>State 3 to State 6</t>
  </si>
  <si>
    <t>State 4 to State 6</t>
  </si>
  <si>
    <t>State 5 to State 6</t>
  </si>
  <si>
    <t>State 6 to State 6</t>
  </si>
  <si>
    <t>State 7 to State 6</t>
  </si>
  <si>
    <t>State 8 to State 6</t>
  </si>
  <si>
    <t>State 2 to State 7</t>
  </si>
  <si>
    <t>State 3 to State 7</t>
  </si>
  <si>
    <t>State 4 to State 7</t>
  </si>
  <si>
    <t>State 5 to State 7</t>
  </si>
  <si>
    <t>State 6 to State 7</t>
  </si>
  <si>
    <t>State 7 to State 7</t>
  </si>
  <si>
    <t>State 8 to State 7</t>
  </si>
  <si>
    <t>State 2 to State 8</t>
  </si>
  <si>
    <t>State 3 to State 8</t>
  </si>
  <si>
    <t>State 4 to State 8</t>
  </si>
  <si>
    <t>State 5 to State 8</t>
  </si>
  <si>
    <t>State 6 to State 8</t>
  </si>
  <si>
    <t>State 7 to State 8</t>
  </si>
  <si>
    <t>State 8 to State 8</t>
  </si>
  <si>
    <t>OWSA</t>
  </si>
  <si>
    <t>Base Case</t>
  </si>
  <si>
    <t>Intervention dominant</t>
  </si>
  <si>
    <t xml:space="preserve"> </t>
  </si>
  <si>
    <t>Transition from state 1 to state 6 (CHG T1)</t>
  </si>
  <si>
    <t>Transition from state 2 to state 6 (CHG T1)</t>
  </si>
  <si>
    <t>Transition from state 4 to state 6 (CHG T1)</t>
  </si>
  <si>
    <t>Transition from state 5 to state 1 (CHG T1)</t>
  </si>
  <si>
    <t>Transition from state 5 to state 2 (CHG T1)</t>
  </si>
  <si>
    <t>Transition from state 5 to state 4 (CHG T1)</t>
  </si>
  <si>
    <t>Transition from state 6 to state 5 (CHG T1)</t>
  </si>
  <si>
    <t>Transition from state 8 to state 1 (CHG T1)</t>
  </si>
  <si>
    <t>Transition from state 8 to state 2 (CHG T1)</t>
  </si>
  <si>
    <t>Transition from state 8 to state 4 (CHG T1)</t>
  </si>
  <si>
    <t>Transition from state 8 to state 6 (CHG T1)</t>
  </si>
  <si>
    <t>Transition from state 1 to state 6 (PVI T1)</t>
  </si>
  <si>
    <t>Transition from state 2 to state 6 (PVI T1)</t>
  </si>
  <si>
    <t>Transition from state 3 to state 6 (PVI T1)</t>
  </si>
  <si>
    <t>Transition from state 4 to state 6 (PVI T1)</t>
  </si>
  <si>
    <t>Transition from state 5 to state 1 (PVI T1)</t>
  </si>
  <si>
    <t>Transition from state 5 to state 2 (PVI T1)</t>
  </si>
  <si>
    <t>Transition from state 5 to state 3 (PVI T1)</t>
  </si>
  <si>
    <t>Transition from state 5 to state 4 (PVI T1)</t>
  </si>
  <si>
    <t>Transition from state 6 to state 5 (PVI T1)</t>
  </si>
  <si>
    <t>Transition from state 8 to state 1 (PVI T1)</t>
  </si>
  <si>
    <t>Transition from state 8 to state 2 (PVI T1)</t>
  </si>
  <si>
    <t>Transition from state 8 to state 3 (PVI T1)</t>
  </si>
  <si>
    <t>Transition from state 8 to state 4 (PVI T1)</t>
  </si>
  <si>
    <t>Transition from state 8 to state 6 (PVI T1)</t>
  </si>
  <si>
    <t>Transition from state 1 to state 6 (CHG T4)</t>
  </si>
  <si>
    <t>Transition from state 2 to state 6 (CHG T4)</t>
  </si>
  <si>
    <t>Transition from state 3 to state 6 (CHG T4)</t>
  </si>
  <si>
    <t>Transition from state 4 to state 6 (CHG T4)</t>
  </si>
  <si>
    <t>Transition from state 5 to state 1 (CHG T4)</t>
  </si>
  <si>
    <t>Transition from state 5 to state 2 (CHG T4)</t>
  </si>
  <si>
    <t>Transition from state 5 to state 3 (CHG T4)</t>
  </si>
  <si>
    <t>Transition from state 5 to state 4 (CHG T4)</t>
  </si>
  <si>
    <t>Transition from state 6 to state 5 (CHG T4)</t>
  </si>
  <si>
    <t>Transition from state 8 to state 1 (CHG T4)</t>
  </si>
  <si>
    <t>Transition from state 8 to state 2 (CHG T4)</t>
  </si>
  <si>
    <t>Transition from state 8 to state 3 (CHG T4)</t>
  </si>
  <si>
    <t>Transition from state 8 to state 4 (CHG T4)</t>
  </si>
  <si>
    <t>Transition from state 8 to state 6 (CHG T4)</t>
  </si>
  <si>
    <t>Transition from state 1 to state 6 (PVI T4)</t>
  </si>
  <si>
    <t>Transition from state 2 to state 6 (PVI T4)</t>
  </si>
  <si>
    <t>Transition from state 3 to state 3 (PVI T4)</t>
  </si>
  <si>
    <t>Transition from state 3 to state 4 (PVI T4)</t>
  </si>
  <si>
    <t>Transition from state 3 to state 6 (PVI T4)</t>
  </si>
  <si>
    <t>Transition from state 4 to state 3 (PVI T4)</t>
  </si>
  <si>
    <t>Transition from state 4 to state 4 (PVI T4)</t>
  </si>
  <si>
    <t>Transition from state 4 to state 6 (PVI T4)</t>
  </si>
  <si>
    <t>Transition from state 5 to state 1 (PVI T4)</t>
  </si>
  <si>
    <t>Transition from state 5 to state 2 (PVI T4)</t>
  </si>
  <si>
    <t>Transition from state 5 to state 3 (PVI T4)</t>
  </si>
  <si>
    <t>Transition from state 5 to state 4 (PVI T4)</t>
  </si>
  <si>
    <t>Transition from state 6 to state 5 (PVI T4)</t>
  </si>
  <si>
    <t>Transition from state 8 to state 1 (PVI T4)</t>
  </si>
  <si>
    <t>Transition from state 8 to state 2 (PVI T4)</t>
  </si>
  <si>
    <t>Transition from state 8 to state 3 (PVI T4)</t>
  </si>
  <si>
    <t>Transition from state 8 to state 4 (PVI T4)</t>
  </si>
  <si>
    <t>Transition from state 8 to state 6 (PVI T4)</t>
  </si>
  <si>
    <t>Catheter insertion</t>
  </si>
  <si>
    <t>Time Horizon and Cycle Length</t>
  </si>
  <si>
    <t xml:space="preserve">Economic Evaluation of Chlorhexidine Alcohol for patient treated with Catheter-related bloodstream infection </t>
  </si>
  <si>
    <t>year</t>
  </si>
  <si>
    <t>Year of Analysis</t>
  </si>
  <si>
    <t>Note:-</t>
  </si>
  <si>
    <t>Report Export</t>
  </si>
  <si>
    <t>Version Control</t>
  </si>
  <si>
    <t>Version No.</t>
  </si>
  <si>
    <t xml:space="preserve">Date </t>
  </si>
  <si>
    <t>Description</t>
  </si>
  <si>
    <t>Parameter Overview</t>
  </si>
  <si>
    <t>Parameter List with Description</t>
  </si>
  <si>
    <t>Parameter Name</t>
  </si>
  <si>
    <t>Input Cell Reference</t>
  </si>
  <si>
    <t>We assumed all catheters were inserted or removed within the ICU.</t>
  </si>
  <si>
    <t>Healthcare perspective is used in the model.</t>
  </si>
  <si>
    <t>The comparators are:-5% povidone iodine-69% ethanol (povidone iodine-alcohol).i.e PVI T1,PVI T4,CGH T4.</t>
  </si>
  <si>
    <t>Hundred days and one day respectively.</t>
  </si>
  <si>
    <t>Health states including CRBSIs were assumed to last a single day because it was not technically possible to identify the termination of a CRBSI in the patient database. However, the costs of treating the complete episode, as well as the total costs associated with the extra length of stay due to the CRBSI were accounted on the day when the CRBSI was diagnosed.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</si>
</sst>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quot;* #,##0.00_);_(&quot;$&quot;* \(#,##0.00\);_(&quot;$&quot;* &quot;-&quot;??_);_(@_)"/>
    <numFmt numFmtId="43" formatCode="_(* #,##0.00_);_(* \(#,##0.00\);_(* &quot;-&quot;??_);_(@_)"/>
    <numFmt numFmtId="164" formatCode="#,##0.000"/>
    <numFmt numFmtId="165" formatCode="0.00000"/>
    <numFmt numFmtId="166" formatCode="0.0000000"/>
    <numFmt numFmtId="167" formatCode="0.0000"/>
    <numFmt numFmtId="168" formatCode="0.000000"/>
    <numFmt numFmtId="169" formatCode="_(&quot;$&quot;* #,##0_);_(&quot;$&quot;* \(#,##0\);_(&quot;$&quot;* &quot;-&quot;??_);_(@_)"/>
    <numFmt numFmtId="170" formatCode="0.000"/>
    <numFmt numFmtId="171" formatCode="[$-409]mmmm\ d\,\ yyyy;@"/>
    <numFmt numFmtId="172" formatCode="#,##0.00000"/>
    <numFmt numFmtId="173" formatCode="#,##0.0000"/>
  </numFmts>
  <fonts count="28" x14ac:knownFonts="1">
    <font>
      <sz val="11"/>
      <color theme="1"/>
      <name val="Calibri"/>
      <family val="2"/>
      <scheme val="minor"/>
    </font>
    <font>
      <b/>
      <sz val="14"/>
      <color theme="1"/>
      <name val="Calibri"/>
      <family val="2"/>
      <scheme val="minor"/>
    </font>
    <font>
      <sz val="8"/>
      <name val="Calibri"/>
      <family val="2"/>
      <scheme val="minor"/>
    </font>
    <font>
      <sz val="11"/>
      <color theme="1"/>
      <name val="Arial"/>
      <family val="2"/>
    </font>
    <font>
      <sz val="10"/>
      <name val="Arial"/>
      <family val="2"/>
    </font>
    <font>
      <sz val="11"/>
      <color theme="1"/>
      <name val="Calibri"/>
      <family val="2"/>
      <scheme val="minor"/>
    </font>
    <font>
      <b/>
      <sz val="16"/>
      <color theme="1"/>
      <name val="Arial"/>
      <family val="2"/>
    </font>
    <font>
      <sz val="11"/>
      <color rgb="FFFF6600"/>
      <name val="Arial"/>
      <family val="2"/>
    </font>
    <font>
      <b/>
      <sz val="11"/>
      <color theme="1"/>
      <name val="Calibri"/>
      <family val="2"/>
      <scheme val="minor"/>
    </font>
    <font>
      <sz val="11"/>
      <name val="Calibri"/>
      <family val="2"/>
      <scheme val="minor"/>
    </font>
    <font>
      <b/>
      <sz val="16"/>
      <color theme="1"/>
      <name val="Calibri"/>
      <family val="2"/>
      <scheme val="minor"/>
    </font>
    <font>
      <b/>
      <sz val="12"/>
      <color theme="1"/>
      <name val="Calibri"/>
      <family val="2"/>
      <scheme val="minor"/>
    </font>
    <font>
      <sz val="11"/>
      <color theme="0"/>
      <name val="Calibri"/>
      <family val="2"/>
      <scheme val="minor"/>
    </font>
    <font>
      <sz val="9"/>
      <color theme="1"/>
      <name val="Arial Rounded MT Bold"/>
      <family val="2"/>
    </font>
    <font>
      <b/>
      <sz val="15"/>
      <color theme="1"/>
      <name val="Calibri"/>
      <family val="2"/>
      <scheme val="minor"/>
    </font>
    <font>
      <b/>
      <sz val="28"/>
      <color theme="1"/>
      <name val="Calibri"/>
      <family val="2"/>
      <scheme val="minor"/>
    </font>
    <font>
      <b/>
      <sz val="9"/>
      <color theme="0"/>
      <name val="Arial Rounded MT Bold"/>
      <family val="2"/>
    </font>
    <font>
      <b/>
      <sz val="11"/>
      <name val="Calibri"/>
      <family val="2"/>
      <scheme val="minor"/>
    </font>
    <font>
      <b/>
      <sz val="10"/>
      <name val="Calibri"/>
      <family val="2"/>
      <scheme val="minor"/>
    </font>
    <font>
      <sz val="9"/>
      <color indexed="81"/>
      <name val="Tahoma"/>
      <family val="2"/>
    </font>
    <font>
      <b/>
      <sz val="9"/>
      <color indexed="81"/>
      <name val="Tahoma"/>
      <family val="2"/>
    </font>
    <font>
      <sz val="11"/>
      <color rgb="FF000000"/>
      <name val="Calibri"/>
      <family val="2"/>
      <scheme val="minor"/>
    </font>
    <font>
      <b/>
      <sz val="11"/>
      <color rgb="FF000000"/>
      <name val="Calibri"/>
      <family val="2"/>
      <scheme val="minor"/>
    </font>
    <font>
      <b/>
      <sz val="18"/>
      <color theme="1"/>
      <name val="Calibri"/>
      <family val="2"/>
      <scheme val="minor"/>
    </font>
    <font>
      <b/>
      <sz val="20"/>
      <color theme="1"/>
      <name val="Calibri"/>
      <family val="2"/>
      <scheme val="minor"/>
    </font>
    <font>
      <i/>
      <sz val="9"/>
      <color theme="1"/>
      <name val="Calibri"/>
      <family val="2"/>
      <scheme val="minor"/>
    </font>
    <font>
      <sz val="11"/>
      <color rgb="FF000000"/>
      <name val="Calibri"/>
      <family val="2"/>
    </font>
    <font>
      <b/>
      <sz val="14"/>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4"/>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bgColor indexed="64"/>
      </patternFill>
    </fill>
    <fill>
      <patternFill patternType="solid">
        <fgColor theme="6" tint="-0.249977111117893"/>
        <bgColor indexed="64"/>
      </patternFill>
    </fill>
    <fill>
      <patternFill patternType="solid">
        <fgColor rgb="FFCC6600"/>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rgb="FFEE7E32"/>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auto="1"/>
      </left>
      <right style="thin">
        <color auto="1"/>
      </right>
      <top/>
      <bottom style="thin">
        <color indexed="64"/>
      </bottom>
      <diagonal/>
    </border>
    <border>
      <left style="thin">
        <color auto="1"/>
      </left>
      <right style="thin">
        <color auto="1"/>
      </right>
      <top/>
      <bottom/>
      <diagonal/>
    </border>
    <border>
      <left/>
      <right/>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thin">
        <color indexed="64"/>
      </bottom>
      <diagonal/>
    </border>
    <border>
      <left/>
      <right/>
      <top/>
      <bottom style="medium">
        <color theme="5"/>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right style="thin">
        <color indexed="64"/>
      </right>
      <top style="thin">
        <color indexed="64"/>
      </top>
      <bottom/>
      <diagonal/>
    </border>
    <border>
      <left style="thin">
        <color rgb="FF000000"/>
      </left>
      <right style="thin">
        <color indexed="64"/>
      </right>
      <top style="thin">
        <color rgb="FF000000"/>
      </top>
      <bottom style="hair">
        <color indexed="64"/>
      </bottom>
      <diagonal/>
    </border>
    <border>
      <left style="thin">
        <color rgb="FF000000"/>
      </left>
      <right style="thin">
        <color indexed="64"/>
      </right>
      <top style="hair">
        <color indexed="64"/>
      </top>
      <bottom style="hair">
        <color indexed="64"/>
      </bottom>
      <diagonal/>
    </border>
    <border>
      <left style="thin">
        <color rgb="FF000000"/>
      </left>
      <right style="thin">
        <color indexed="64"/>
      </right>
      <top/>
      <bottom style="hair">
        <color indexed="64"/>
      </bottom>
      <diagonal/>
    </border>
    <border>
      <left style="thin">
        <color rgb="FF000000"/>
      </left>
      <right style="thin">
        <color indexed="64"/>
      </right>
      <top style="hair">
        <color indexed="64"/>
      </top>
      <bottom style="thin">
        <color rgb="FF000000"/>
      </bottom>
      <diagonal/>
    </border>
    <border>
      <left style="double">
        <color indexed="64"/>
      </left>
      <right style="double">
        <color indexed="64"/>
      </right>
      <top style="double">
        <color indexed="64"/>
      </top>
      <bottom style="double">
        <color indexed="64"/>
      </bottom>
      <diagonal/>
    </border>
    <border>
      <left style="double">
        <color theme="5" tint="-0.249977111117893"/>
      </left>
      <right style="double">
        <color theme="5" tint="-0.249977111117893"/>
      </right>
      <top style="double">
        <color theme="5" tint="-0.249977111117893"/>
      </top>
      <bottom style="double">
        <color theme="5" tint="-0.249977111117893"/>
      </bottom>
      <diagonal/>
    </border>
    <border>
      <left style="medium">
        <color theme="5" tint="-0.249977111117893"/>
      </left>
      <right/>
      <top style="medium">
        <color theme="5" tint="-0.249977111117893"/>
      </top>
      <bottom style="medium">
        <color theme="5" tint="-0.249977111117893"/>
      </bottom>
      <diagonal/>
    </border>
    <border>
      <left/>
      <right/>
      <top style="medium">
        <color theme="5" tint="-0.249977111117893"/>
      </top>
      <bottom style="medium">
        <color theme="5" tint="-0.249977111117893"/>
      </bottom>
      <diagonal/>
    </border>
    <border>
      <left/>
      <right style="medium">
        <color theme="5" tint="-0.249977111117893"/>
      </right>
      <top style="medium">
        <color theme="5" tint="-0.249977111117893"/>
      </top>
      <bottom style="medium">
        <color theme="5" tint="-0.249977111117893"/>
      </bottom>
      <diagonal/>
    </border>
    <border>
      <left/>
      <right style="medium">
        <color theme="5" tint="-0.249977111117893"/>
      </right>
      <top/>
      <bottom/>
      <diagonal/>
    </border>
    <border>
      <left style="medium">
        <color theme="5" tint="-0.249977111117893"/>
      </left>
      <right/>
      <top/>
      <bottom/>
      <diagonal/>
    </border>
    <border>
      <left/>
      <right/>
      <top/>
      <bottom style="medium">
        <color theme="5" tint="-0.249977111117893"/>
      </bottom>
      <diagonal/>
    </border>
    <border>
      <left style="medium">
        <color theme="5" tint="-0.249977111117893"/>
      </left>
      <right/>
      <top/>
      <bottom style="medium">
        <color theme="5" tint="-0.249977111117893"/>
      </bottom>
      <diagonal/>
    </border>
    <border>
      <left style="double">
        <color indexed="64"/>
      </left>
      <right style="double">
        <color indexed="64"/>
      </right>
      <top/>
      <bottom style="double">
        <color indexed="64"/>
      </bottom>
      <diagonal/>
    </border>
    <border>
      <left style="double">
        <color theme="1"/>
      </left>
      <right/>
      <top/>
      <bottom/>
      <diagonal/>
    </border>
    <border>
      <left/>
      <right style="medium">
        <color indexed="64"/>
      </right>
      <top style="thin">
        <color indexed="64"/>
      </top>
      <bottom style="medium">
        <color indexed="64"/>
      </bottom>
      <diagonal/>
    </border>
    <border>
      <left style="medium">
        <color theme="5" tint="-0.249977111117893"/>
      </left>
      <right/>
      <top style="medium">
        <color theme="5" tint="-0.249977111117893"/>
      </top>
      <bottom/>
      <diagonal/>
    </border>
    <border>
      <left/>
      <right/>
      <top style="medium">
        <color theme="5" tint="-0.249977111117893"/>
      </top>
      <bottom/>
      <diagonal/>
    </border>
    <border>
      <left/>
      <right style="medium">
        <color theme="5" tint="-0.249977111117893"/>
      </right>
      <top style="medium">
        <color theme="5" tint="-0.249977111117893"/>
      </top>
      <bottom/>
      <diagonal/>
    </border>
    <border>
      <left style="medium">
        <color indexed="64"/>
      </left>
      <right style="medium">
        <color indexed="64"/>
      </right>
      <top/>
      <bottom style="thin">
        <color auto="1"/>
      </bottom>
      <diagonal/>
    </border>
    <border>
      <left/>
      <right style="medium">
        <color indexed="64"/>
      </right>
      <top/>
      <bottom style="thin">
        <color indexed="64"/>
      </bottom>
      <diagonal/>
    </border>
    <border>
      <left style="medium">
        <color indexed="64"/>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medium">
        <color theme="5" tint="-0.249977111117893"/>
      </right>
      <top/>
      <bottom style="medium">
        <color theme="5" tint="-0.249977111117893"/>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6">
    <xf numFmtId="0" fontId="0" fillId="0" borderId="0"/>
    <xf numFmtId="0" fontId="4" fillId="0" borderId="0"/>
    <xf numFmtId="9" fontId="5" fillId="0" borderId="0" applyFont="0" applyFill="0" applyBorder="0" applyAlignment="0" applyProtection="0"/>
    <xf numFmtId="43" fontId="5" fillId="0" borderId="0" applyFont="0" applyFill="0" applyBorder="0" applyAlignment="0" applyProtection="0"/>
    <xf numFmtId="0" fontId="16" fillId="4" borderId="1">
      <alignment horizontal="center" vertical="center"/>
      <protection locked="0"/>
    </xf>
    <xf numFmtId="44" fontId="5" fillId="0" borderId="0" applyFont="0" applyFill="0" applyBorder="0" applyAlignment="0" applyProtection="0"/>
  </cellStyleXfs>
  <cellXfs count="224">
    <xf numFmtId="0" fontId="0" fillId="0" borderId="0" xfId="0"/>
    <xf numFmtId="0" fontId="0" fillId="2" borderId="0" xfId="0" applyFill="1"/>
    <xf numFmtId="0" fontId="0" fillId="2" borderId="1" xfId="0" applyFill="1" applyBorder="1"/>
    <xf numFmtId="0" fontId="3" fillId="0" borderId="0" xfId="0" applyFont="1" applyAlignment="1">
      <alignment horizontal="left"/>
    </xf>
    <xf numFmtId="0" fontId="3" fillId="0" borderId="0" xfId="0" applyFont="1" applyAlignment="1">
      <alignment horizontal="center" vertical="center"/>
    </xf>
    <xf numFmtId="0" fontId="3" fillId="0" borderId="0" xfId="0" applyFont="1"/>
    <xf numFmtId="1" fontId="3" fillId="0" borderId="0" xfId="0" applyNumberFormat="1" applyFont="1"/>
    <xf numFmtId="0" fontId="7" fillId="0" borderId="0" xfId="0" applyFont="1"/>
    <xf numFmtId="0" fontId="3" fillId="0" borderId="14" xfId="0" applyFont="1" applyBorder="1"/>
    <xf numFmtId="0" fontId="0" fillId="0" borderId="0" xfId="0" applyAlignment="1">
      <alignment horizontal="left"/>
    </xf>
    <xf numFmtId="0" fontId="8" fillId="2" borderId="1" xfId="0" applyFont="1" applyFill="1" applyBorder="1"/>
    <xf numFmtId="165" fontId="0" fillId="2" borderId="1" xfId="0" applyNumberFormat="1" applyFill="1" applyBorder="1"/>
    <xf numFmtId="0" fontId="0" fillId="2" borderId="0" xfId="0" applyFill="1" applyAlignment="1">
      <alignment horizontal="center"/>
    </xf>
    <xf numFmtId="0" fontId="10" fillId="2" borderId="0" xfId="0" applyFont="1" applyFill="1"/>
    <xf numFmtId="0" fontId="0" fillId="2" borderId="1" xfId="0" applyFill="1" applyBorder="1" applyAlignment="1">
      <alignment horizontal="center" vertical="center"/>
    </xf>
    <xf numFmtId="0" fontId="1" fillId="2" borderId="0" xfId="0" applyFont="1" applyFill="1"/>
    <xf numFmtId="0" fontId="15" fillId="2" borderId="0" xfId="0" applyFont="1" applyFill="1"/>
    <xf numFmtId="0" fontId="8" fillId="2" borderId="0" xfId="0" applyFont="1" applyFill="1"/>
    <xf numFmtId="0" fontId="9" fillId="2" borderId="0" xfId="0" applyFont="1" applyFill="1"/>
    <xf numFmtId="0" fontId="9" fillId="2" borderId="11" xfId="0" applyFont="1" applyFill="1" applyBorder="1" applyAlignment="1">
      <alignment wrapText="1"/>
    </xf>
    <xf numFmtId="0" fontId="9" fillId="2" borderId="12" xfId="0" applyFont="1" applyFill="1" applyBorder="1" applyAlignment="1">
      <alignment wrapText="1"/>
    </xf>
    <xf numFmtId="0" fontId="9" fillId="2" borderId="13" xfId="0" applyFont="1" applyFill="1" applyBorder="1" applyAlignment="1">
      <alignment wrapText="1"/>
    </xf>
    <xf numFmtId="166" fontId="0" fillId="2" borderId="0" xfId="0" applyNumberFormat="1" applyFill="1"/>
    <xf numFmtId="0" fontId="17" fillId="2" borderId="0" xfId="0" applyFont="1" applyFill="1"/>
    <xf numFmtId="2" fontId="9" fillId="2" borderId="0" xfId="0" applyNumberFormat="1" applyFont="1" applyFill="1" applyAlignment="1">
      <alignment horizontal="center"/>
    </xf>
    <xf numFmtId="0" fontId="9" fillId="2" borderId="0" xfId="0" applyFont="1" applyFill="1" applyAlignment="1">
      <alignment vertical="top"/>
    </xf>
    <xf numFmtId="43" fontId="9" fillId="2" borderId="0" xfId="3" applyFont="1" applyFill="1" applyBorder="1" applyAlignment="1">
      <alignment vertical="top"/>
    </xf>
    <xf numFmtId="0" fontId="17" fillId="2" borderId="1" xfId="0" applyFont="1" applyFill="1" applyBorder="1"/>
    <xf numFmtId="0" fontId="18" fillId="2" borderId="11" xfId="0" applyFont="1" applyFill="1" applyBorder="1" applyAlignment="1">
      <alignment horizontal="left" wrapText="1"/>
    </xf>
    <xf numFmtId="0" fontId="0" fillId="2" borderId="1" xfId="0" applyFill="1" applyBorder="1" applyAlignment="1">
      <alignment horizontal="left" vertical="center" wrapText="1"/>
    </xf>
    <xf numFmtId="0" fontId="17" fillId="2" borderId="14" xfId="0" applyFont="1" applyFill="1" applyBorder="1"/>
    <xf numFmtId="1" fontId="6" fillId="2" borderId="0" xfId="0" applyNumberFormat="1" applyFont="1" applyFill="1"/>
    <xf numFmtId="0" fontId="3" fillId="2" borderId="0" xfId="0" applyFont="1" applyFill="1" applyAlignment="1">
      <alignment horizontal="left"/>
    </xf>
    <xf numFmtId="0" fontId="3" fillId="2" borderId="0" xfId="0" applyFont="1" applyFill="1" applyAlignment="1">
      <alignment horizontal="center" vertical="center"/>
    </xf>
    <xf numFmtId="1" fontId="0" fillId="2" borderId="0" xfId="0" applyNumberFormat="1" applyFill="1"/>
    <xf numFmtId="0" fontId="0" fillId="2" borderId="0" xfId="0" applyFill="1" applyAlignment="1">
      <alignment horizontal="left"/>
    </xf>
    <xf numFmtId="0" fontId="0" fillId="2" borderId="0" xfId="0" applyFill="1" applyAlignment="1">
      <alignment horizontal="center" vertical="center"/>
    </xf>
    <xf numFmtId="1" fontId="0" fillId="2" borderId="10" xfId="0" applyNumberFormat="1" applyFill="1" applyBorder="1"/>
    <xf numFmtId="0" fontId="0" fillId="2" borderId="0" xfId="0" applyFill="1" applyAlignment="1">
      <alignment horizontal="left" vertical="center"/>
    </xf>
    <xf numFmtId="9" fontId="0" fillId="2" borderId="0" xfId="2" applyFont="1" applyFill="1" applyBorder="1" applyAlignment="1">
      <alignment horizontal="center" vertical="center"/>
    </xf>
    <xf numFmtId="3" fontId="3" fillId="2" borderId="1" xfId="0" applyNumberFormat="1" applyFont="1" applyFill="1" applyBorder="1" applyAlignment="1">
      <alignment horizontal="center" vertical="center" wrapText="1"/>
    </xf>
    <xf numFmtId="0" fontId="0" fillId="2" borderId="14" xfId="0" applyFill="1" applyBorder="1"/>
    <xf numFmtId="1" fontId="8" fillId="2" borderId="0" xfId="0" applyNumberFormat="1" applyFont="1" applyFill="1" applyAlignment="1">
      <alignment horizontal="center" vertical="center" wrapText="1"/>
    </xf>
    <xf numFmtId="1" fontId="8" fillId="2" borderId="1" xfId="0" applyNumberFormat="1" applyFont="1" applyFill="1" applyBorder="1" applyAlignment="1">
      <alignment horizontal="center" vertical="center" wrapText="1"/>
    </xf>
    <xf numFmtId="164" fontId="0" fillId="2" borderId="1" xfId="0" applyNumberFormat="1" applyFill="1" applyBorder="1" applyAlignment="1">
      <alignment horizontal="center" vertical="center" wrapText="1"/>
    </xf>
    <xf numFmtId="0" fontId="11" fillId="2" borderId="0" xfId="0" applyFont="1" applyFill="1"/>
    <xf numFmtId="0" fontId="12" fillId="2" borderId="15" xfId="0" applyFont="1" applyFill="1" applyBorder="1"/>
    <xf numFmtId="0" fontId="14" fillId="2" borderId="15" xfId="0" applyFont="1" applyFill="1" applyBorder="1"/>
    <xf numFmtId="0" fontId="0" fillId="2" borderId="15" xfId="0" applyFill="1" applyBorder="1"/>
    <xf numFmtId="0" fontId="12" fillId="2" borderId="0" xfId="0" applyFont="1" applyFill="1"/>
    <xf numFmtId="0" fontId="14" fillId="2" borderId="0" xfId="0" applyFont="1" applyFill="1"/>
    <xf numFmtId="0" fontId="11" fillId="2" borderId="0" xfId="0" quotePrefix="1" applyFont="1" applyFill="1"/>
    <xf numFmtId="0" fontId="12" fillId="2" borderId="0" xfId="0" applyFont="1" applyFill="1" applyAlignment="1">
      <alignment wrapText="1"/>
    </xf>
    <xf numFmtId="0" fontId="11" fillId="2" borderId="15" xfId="0" applyFont="1" applyFill="1" applyBorder="1"/>
    <xf numFmtId="3" fontId="9" fillId="2" borderId="1" xfId="0" applyNumberFormat="1" applyFont="1" applyFill="1" applyBorder="1" applyAlignment="1">
      <alignment horizontal="center" vertical="center" wrapText="1"/>
    </xf>
    <xf numFmtId="164" fontId="9" fillId="2" borderId="1" xfId="0" applyNumberFormat="1" applyFont="1" applyFill="1" applyBorder="1" applyAlignment="1">
      <alignment horizontal="center" vertical="center" wrapText="1"/>
    </xf>
    <xf numFmtId="2" fontId="0" fillId="2" borderId="1" xfId="0" applyNumberFormat="1" applyFill="1" applyBorder="1"/>
    <xf numFmtId="0" fontId="9" fillId="2" borderId="19" xfId="0" applyFont="1" applyFill="1" applyBorder="1" applyAlignment="1">
      <alignment wrapText="1"/>
    </xf>
    <xf numFmtId="0" fontId="9" fillId="2" borderId="20" xfId="0" applyFont="1" applyFill="1" applyBorder="1" applyAlignment="1">
      <alignment wrapText="1"/>
    </xf>
    <xf numFmtId="0" fontId="9" fillId="2" borderId="21" xfId="0" applyFont="1" applyFill="1" applyBorder="1" applyAlignment="1">
      <alignment wrapText="1"/>
    </xf>
    <xf numFmtId="0" fontId="9" fillId="2" borderId="22" xfId="0" applyFont="1" applyFill="1" applyBorder="1" applyAlignment="1">
      <alignment wrapText="1"/>
    </xf>
    <xf numFmtId="2" fontId="8" fillId="2" borderId="1" xfId="0" applyNumberFormat="1" applyFont="1" applyFill="1" applyBorder="1"/>
    <xf numFmtId="0" fontId="0" fillId="0" borderId="1" xfId="0" applyBorder="1"/>
    <xf numFmtId="0" fontId="21" fillId="0" borderId="0" xfId="0" applyFont="1"/>
    <xf numFmtId="0" fontId="0" fillId="0" borderId="7" xfId="0" applyBorder="1"/>
    <xf numFmtId="2" fontId="0" fillId="0" borderId="1" xfId="0" applyNumberFormat="1" applyBorder="1" applyAlignment="1">
      <alignment horizontal="center" vertical="center"/>
    </xf>
    <xf numFmtId="1" fontId="0" fillId="0" borderId="1" xfId="0" applyNumberFormat="1" applyBorder="1" applyAlignment="1">
      <alignment horizontal="center" vertical="center"/>
    </xf>
    <xf numFmtId="0" fontId="0" fillId="2" borderId="1" xfId="0" applyFill="1" applyBorder="1" applyAlignment="1">
      <alignment vertical="center" wrapText="1"/>
    </xf>
    <xf numFmtId="0" fontId="0" fillId="2" borderId="1" xfId="0" applyFill="1" applyBorder="1" applyAlignment="1">
      <alignment horizontal="center"/>
    </xf>
    <xf numFmtId="0" fontId="0" fillId="6" borderId="23" xfId="0" applyFill="1" applyBorder="1"/>
    <xf numFmtId="0" fontId="0" fillId="6" borderId="23" xfId="0" applyFill="1" applyBorder="1" applyAlignment="1">
      <alignment horizontal="center"/>
    </xf>
    <xf numFmtId="2" fontId="0" fillId="2" borderId="1" xfId="0" applyNumberFormat="1" applyFill="1" applyBorder="1" applyAlignment="1">
      <alignment horizontal="center"/>
    </xf>
    <xf numFmtId="0" fontId="15" fillId="0" borderId="0" xfId="0" applyFont="1"/>
    <xf numFmtId="0" fontId="17" fillId="2" borderId="1" xfId="0" applyFont="1" applyFill="1" applyBorder="1" applyAlignment="1">
      <alignment horizontal="center" vertical="center" wrapText="1"/>
    </xf>
    <xf numFmtId="0" fontId="9" fillId="2" borderId="1" xfId="0" applyFont="1" applyFill="1" applyBorder="1" applyAlignment="1">
      <alignment wrapText="1"/>
    </xf>
    <xf numFmtId="3" fontId="0" fillId="0" borderId="1" xfId="0" applyNumberFormat="1" applyBorder="1"/>
    <xf numFmtId="0" fontId="23" fillId="0" borderId="0" xfId="0" applyFont="1"/>
    <xf numFmtId="0" fontId="0" fillId="0" borderId="0" xfId="0" applyAlignment="1">
      <alignment horizontal="right"/>
    </xf>
    <xf numFmtId="0" fontId="0" fillId="2" borderId="0" xfId="0" applyFill="1" applyAlignment="1">
      <alignment horizontal="right"/>
    </xf>
    <xf numFmtId="168" fontId="0" fillId="2" borderId="1" xfId="0" applyNumberFormat="1" applyFill="1" applyBorder="1"/>
    <xf numFmtId="167" fontId="0" fillId="2" borderId="1" xfId="0" applyNumberFormat="1" applyFill="1" applyBorder="1"/>
    <xf numFmtId="169" fontId="0" fillId="5" borderId="23" xfId="5" applyNumberFormat="1" applyFont="1" applyFill="1" applyBorder="1" applyAlignment="1">
      <alignment horizontal="center" vertical="center"/>
    </xf>
    <xf numFmtId="0" fontId="0" fillId="0" borderId="2" xfId="0" applyBorder="1"/>
    <xf numFmtId="0" fontId="0" fillId="7" borderId="23" xfId="0" applyFill="1" applyBorder="1"/>
    <xf numFmtId="0" fontId="0" fillId="2" borderId="23" xfId="0" applyFill="1" applyBorder="1"/>
    <xf numFmtId="0" fontId="0" fillId="3" borderId="23" xfId="0" applyFill="1" applyBorder="1"/>
    <xf numFmtId="0" fontId="0" fillId="8" borderId="23" xfId="0" applyFill="1" applyBorder="1"/>
    <xf numFmtId="0" fontId="0" fillId="9" borderId="23" xfId="0" applyFill="1" applyBorder="1"/>
    <xf numFmtId="9" fontId="0" fillId="0" borderId="24" xfId="0" applyNumberFormat="1" applyBorder="1" applyAlignment="1">
      <alignment horizontal="center" vertical="center"/>
    </xf>
    <xf numFmtId="0" fontId="0" fillId="10" borderId="23" xfId="0" applyFill="1" applyBorder="1"/>
    <xf numFmtId="0" fontId="13" fillId="11" borderId="25" xfId="0" applyFont="1" applyFill="1" applyBorder="1"/>
    <xf numFmtId="0" fontId="13" fillId="11" borderId="26" xfId="0" applyFont="1" applyFill="1" applyBorder="1"/>
    <xf numFmtId="0" fontId="13" fillId="11" borderId="27" xfId="0" applyFont="1" applyFill="1" applyBorder="1"/>
    <xf numFmtId="0" fontId="0" fillId="0" borderId="28" xfId="0" applyBorder="1"/>
    <xf numFmtId="0" fontId="0" fillId="0" borderId="29" xfId="0" applyBorder="1"/>
    <xf numFmtId="0" fontId="0" fillId="0" borderId="30" xfId="0" applyBorder="1"/>
    <xf numFmtId="0" fontId="24" fillId="0" borderId="0" xfId="0" applyFont="1"/>
    <xf numFmtId="0" fontId="21" fillId="0" borderId="0" xfId="0" applyFont="1" applyAlignment="1">
      <alignment vertical="top"/>
    </xf>
    <xf numFmtId="0" fontId="0" fillId="0" borderId="31" xfId="0" applyBorder="1"/>
    <xf numFmtId="0" fontId="8" fillId="2" borderId="1" xfId="0" applyFont="1" applyFill="1" applyBorder="1" applyAlignment="1">
      <alignment horizontal="center" vertical="center" wrapText="1"/>
    </xf>
    <xf numFmtId="0" fontId="8" fillId="2" borderId="1" xfId="0" applyFont="1" applyFill="1" applyBorder="1" applyAlignment="1">
      <alignment horizontal="center" vertical="center"/>
    </xf>
    <xf numFmtId="0" fontId="8" fillId="2" borderId="1" xfId="0" applyFont="1" applyFill="1" applyBorder="1" applyAlignment="1">
      <alignment horizontal="center"/>
    </xf>
    <xf numFmtId="0" fontId="0" fillId="7" borderId="23" xfId="0" applyFill="1" applyBorder="1" applyAlignment="1">
      <alignment horizontal="center" vertical="center"/>
    </xf>
    <xf numFmtId="0" fontId="0" fillId="2" borderId="23" xfId="0" applyFill="1" applyBorder="1" applyAlignment="1">
      <alignment horizontal="center"/>
    </xf>
    <xf numFmtId="0" fontId="0" fillId="2" borderId="23" xfId="0" applyFill="1" applyBorder="1" applyAlignment="1">
      <alignment horizontal="right"/>
    </xf>
    <xf numFmtId="0" fontId="24" fillId="2" borderId="0" xfId="0" applyFont="1" applyFill="1"/>
    <xf numFmtId="0" fontId="0" fillId="2" borderId="2" xfId="0" applyFill="1" applyBorder="1"/>
    <xf numFmtId="0" fontId="0" fillId="2" borderId="32" xfId="0" applyFill="1" applyBorder="1" applyAlignment="1">
      <alignment horizontal="center"/>
    </xf>
    <xf numFmtId="170" fontId="0" fillId="12" borderId="23" xfId="0" applyNumberFormat="1" applyFill="1" applyBorder="1"/>
    <xf numFmtId="1" fontId="0" fillId="12" borderId="23" xfId="0" applyNumberFormat="1" applyFill="1" applyBorder="1"/>
    <xf numFmtId="0" fontId="17" fillId="2" borderId="7" xfId="0" applyFont="1" applyFill="1" applyBorder="1" applyAlignment="1">
      <alignment horizontal="center" vertical="center" wrapText="1"/>
    </xf>
    <xf numFmtId="0" fontId="17" fillId="2" borderId="18" xfId="0" applyFont="1" applyFill="1" applyBorder="1" applyAlignment="1">
      <alignment horizontal="center" vertical="center"/>
    </xf>
    <xf numFmtId="0" fontId="17" fillId="2" borderId="1" xfId="0" applyFont="1" applyFill="1" applyBorder="1" applyAlignment="1">
      <alignment horizontal="center" vertical="center"/>
    </xf>
    <xf numFmtId="0" fontId="17" fillId="2" borderId="4" xfId="0" applyFont="1" applyFill="1" applyBorder="1" applyAlignment="1">
      <alignment horizontal="center" vertical="center"/>
    </xf>
    <xf numFmtId="1" fontId="0" fillId="12" borderId="23" xfId="0" applyNumberFormat="1" applyFill="1" applyBorder="1" applyAlignment="1">
      <alignment horizontal="right"/>
    </xf>
    <xf numFmtId="4" fontId="8" fillId="2" borderId="1" xfId="0" applyNumberFormat="1" applyFont="1" applyFill="1" applyBorder="1" applyAlignment="1">
      <alignment horizontal="center" vertical="center" wrapText="1"/>
    </xf>
    <xf numFmtId="1" fontId="0" fillId="2" borderId="7" xfId="0" applyNumberFormat="1" applyFill="1" applyBorder="1" applyAlignment="1">
      <alignment horizontal="center" vertical="center" textRotation="90" wrapText="1"/>
    </xf>
    <xf numFmtId="1" fontId="0" fillId="2" borderId="1" xfId="0" applyNumberFormat="1" applyFill="1" applyBorder="1" applyAlignment="1">
      <alignment horizontal="center" vertical="center" textRotation="90" wrapText="1"/>
    </xf>
    <xf numFmtId="0" fontId="13" fillId="2" borderId="0" xfId="0" applyFont="1" applyFill="1"/>
    <xf numFmtId="0" fontId="12" fillId="0" borderId="29" xfId="0" applyFont="1" applyBorder="1"/>
    <xf numFmtId="1" fontId="24" fillId="2" borderId="0" xfId="0" applyNumberFormat="1" applyFont="1" applyFill="1"/>
    <xf numFmtId="0" fontId="0" fillId="2" borderId="2" xfId="0" applyFill="1" applyBorder="1" applyAlignment="1">
      <alignment horizontal="center"/>
    </xf>
    <xf numFmtId="2" fontId="0" fillId="0" borderId="2" xfId="0" applyNumberFormat="1" applyBorder="1" applyAlignment="1">
      <alignment horizontal="center" vertical="center" wrapText="1"/>
    </xf>
    <xf numFmtId="2" fontId="0" fillId="0" borderId="3" xfId="0" applyNumberFormat="1" applyBorder="1" applyAlignment="1">
      <alignment horizontal="center" vertical="center" wrapText="1"/>
    </xf>
    <xf numFmtId="2" fontId="0" fillId="0" borderId="4" xfId="0" applyNumberFormat="1" applyBorder="1" applyAlignment="1">
      <alignment horizontal="center" vertical="center" wrapText="1"/>
    </xf>
    <xf numFmtId="0" fontId="0" fillId="0" borderId="1" xfId="0" applyBorder="1" applyAlignment="1">
      <alignment horizontal="center"/>
    </xf>
    <xf numFmtId="0" fontId="3" fillId="2" borderId="0" xfId="0" applyFont="1" applyFill="1" applyAlignment="1">
      <alignment horizontal="right" vertical="center"/>
    </xf>
    <xf numFmtId="171" fontId="0" fillId="0" borderId="0" xfId="0" applyNumberFormat="1" applyAlignment="1">
      <alignment horizontal="left"/>
    </xf>
    <xf numFmtId="0" fontId="1" fillId="2" borderId="15" xfId="0" applyFont="1" applyFill="1" applyBorder="1" applyAlignment="1">
      <alignment horizontal="left"/>
    </xf>
    <xf numFmtId="0" fontId="1" fillId="2" borderId="0" xfId="0" applyFont="1" applyFill="1" applyAlignment="1">
      <alignment horizontal="left"/>
    </xf>
    <xf numFmtId="0" fontId="24" fillId="0" borderId="0" xfId="0" applyFont="1" applyAlignment="1">
      <alignment vertical="center"/>
    </xf>
    <xf numFmtId="0" fontId="0" fillId="2" borderId="0" xfId="0" applyFill="1" applyAlignment="1">
      <alignment horizontal="left" wrapText="1"/>
    </xf>
    <xf numFmtId="0" fontId="25" fillId="2" borderId="33" xfId="0" applyFont="1" applyFill="1" applyBorder="1"/>
    <xf numFmtId="0" fontId="0" fillId="2" borderId="16" xfId="0" applyFill="1" applyBorder="1" applyAlignment="1">
      <alignment horizontal="center"/>
    </xf>
    <xf numFmtId="0" fontId="0" fillId="2" borderId="8" xfId="0" applyFill="1" applyBorder="1"/>
    <xf numFmtId="0" fontId="12" fillId="2" borderId="29" xfId="0" applyFont="1" applyFill="1" applyBorder="1"/>
    <xf numFmtId="1" fontId="3" fillId="0" borderId="0" xfId="0" applyNumberFormat="1" applyFont="1" applyAlignment="1">
      <alignment horizontal="right"/>
    </xf>
    <xf numFmtId="0" fontId="9" fillId="2" borderId="0" xfId="0" applyFont="1" applyFill="1" applyAlignment="1">
      <alignment wrapText="1"/>
    </xf>
    <xf numFmtId="167" fontId="9" fillId="2" borderId="0" xfId="0" applyNumberFormat="1" applyFont="1" applyFill="1" applyAlignment="1">
      <alignment horizontal="center"/>
    </xf>
    <xf numFmtId="1" fontId="0" fillId="12" borderId="17" xfId="0" applyNumberFormat="1" applyFill="1" applyBorder="1"/>
    <xf numFmtId="170" fontId="0" fillId="12" borderId="17" xfId="0" applyNumberFormat="1" applyFill="1" applyBorder="1"/>
    <xf numFmtId="0" fontId="27" fillId="0" borderId="0" xfId="0" applyFont="1"/>
    <xf numFmtId="0" fontId="8" fillId="2" borderId="0" xfId="0" applyFont="1" applyFill="1" applyAlignment="1">
      <alignment horizontal="center" vertical="center" wrapText="1"/>
    </xf>
    <xf numFmtId="2" fontId="0" fillId="2" borderId="0" xfId="0" applyNumberFormat="1" applyFill="1" applyAlignment="1">
      <alignment horizontal="center" vertical="center"/>
    </xf>
    <xf numFmtId="2" fontId="0" fillId="2" borderId="0" xfId="0" applyNumberFormat="1" applyFill="1" applyAlignment="1">
      <alignment horizontal="center"/>
    </xf>
    <xf numFmtId="172" fontId="0" fillId="2" borderId="1" xfId="0" applyNumberFormat="1" applyFill="1" applyBorder="1" applyAlignment="1">
      <alignment horizontal="center" vertical="center" wrapText="1"/>
    </xf>
    <xf numFmtId="173" fontId="0" fillId="2" borderId="1" xfId="0" applyNumberFormat="1" applyFill="1" applyBorder="1" applyAlignment="1">
      <alignment horizontal="center" vertical="center" wrapText="1"/>
    </xf>
    <xf numFmtId="0" fontId="0" fillId="13" borderId="23" xfId="0" applyFill="1" applyBorder="1"/>
    <xf numFmtId="1" fontId="0" fillId="2" borderId="1" xfId="0" applyNumberFormat="1" applyFill="1" applyBorder="1" applyAlignment="1">
      <alignment horizontal="center" vertical="center" wrapText="1"/>
    </xf>
    <xf numFmtId="172" fontId="9" fillId="2" borderId="1" xfId="0" applyNumberFormat="1" applyFont="1" applyFill="1" applyBorder="1" applyAlignment="1">
      <alignment horizontal="center" vertical="center" wrapText="1"/>
    </xf>
    <xf numFmtId="0" fontId="0" fillId="5" borderId="23" xfId="5" applyNumberFormat="1" applyFont="1" applyFill="1" applyBorder="1" applyAlignment="1">
      <alignment horizontal="center" vertical="center"/>
    </xf>
    <xf numFmtId="0" fontId="0" fillId="0" borderId="35" xfId="0" applyBorder="1"/>
    <xf numFmtId="0" fontId="0" fillId="0" borderId="36" xfId="0" applyBorder="1"/>
    <xf numFmtId="0" fontId="0" fillId="0" borderId="37" xfId="0" applyBorder="1"/>
    <xf numFmtId="0" fontId="14" fillId="0" borderId="30" xfId="0" applyFont="1" applyBorder="1"/>
    <xf numFmtId="0" fontId="8" fillId="0" borderId="5" xfId="0" applyFont="1" applyBorder="1" applyAlignment="1">
      <alignment horizontal="center"/>
    </xf>
    <xf numFmtId="0" fontId="8" fillId="0" borderId="6" xfId="0" applyFont="1" applyBorder="1" applyAlignment="1">
      <alignment horizontal="center"/>
    </xf>
    <xf numFmtId="0" fontId="0" fillId="0" borderId="38" xfId="0" applyBorder="1" applyAlignment="1">
      <alignment horizontal="center" vertical="center"/>
    </xf>
    <xf numFmtId="15" fontId="0" fillId="0" borderId="38" xfId="0" applyNumberFormat="1" applyBorder="1" applyAlignment="1">
      <alignment horizontal="center" vertical="center"/>
    </xf>
    <xf numFmtId="0" fontId="0" fillId="0" borderId="39" xfId="0" applyBorder="1" applyAlignment="1">
      <alignment horizontal="left"/>
    </xf>
    <xf numFmtId="0" fontId="0" fillId="0" borderId="40" xfId="0" applyBorder="1" applyAlignment="1">
      <alignment horizontal="center" vertical="center"/>
    </xf>
    <xf numFmtId="15" fontId="0" fillId="0" borderId="40" xfId="0" applyNumberFormat="1" applyBorder="1" applyAlignment="1">
      <alignment horizontal="center" vertical="center"/>
    </xf>
    <xf numFmtId="0" fontId="0" fillId="0" borderId="41" xfId="0" applyBorder="1" applyAlignment="1">
      <alignment wrapText="1"/>
    </xf>
    <xf numFmtId="0" fontId="0" fillId="0" borderId="40" xfId="0" applyBorder="1"/>
    <xf numFmtId="0" fontId="0" fillId="0" borderId="41" xfId="0" applyBorder="1"/>
    <xf numFmtId="0" fontId="0" fillId="0" borderId="42" xfId="0" applyBorder="1"/>
    <xf numFmtId="0" fontId="0" fillId="0" borderId="34" xfId="0" applyBorder="1"/>
    <xf numFmtId="0" fontId="0" fillId="0" borderId="43" xfId="0" applyBorder="1"/>
    <xf numFmtId="2" fontId="0" fillId="0" borderId="1" xfId="0" applyNumberFormat="1" applyBorder="1"/>
    <xf numFmtId="165" fontId="0" fillId="0" borderId="1" xfId="0" applyNumberFormat="1" applyBorder="1" applyAlignment="1">
      <alignment horizontal="center" vertical="center"/>
    </xf>
    <xf numFmtId="0" fontId="0" fillId="0" borderId="47" xfId="0" applyBorder="1"/>
    <xf numFmtId="0" fontId="0" fillId="0" borderId="48" xfId="0" applyBorder="1" applyAlignment="1">
      <alignment wrapText="1"/>
    </xf>
    <xf numFmtId="0" fontId="0" fillId="0" borderId="49" xfId="0" applyBorder="1"/>
    <xf numFmtId="0" fontId="0" fillId="0" borderId="8" xfId="0" applyBorder="1" applyAlignment="1">
      <alignment horizontal="center"/>
    </xf>
    <xf numFmtId="0" fontId="0" fillId="0" borderId="50" xfId="0" applyBorder="1" applyAlignment="1">
      <alignment wrapText="1"/>
    </xf>
    <xf numFmtId="0" fontId="22" fillId="2" borderId="1" xfId="0" applyFont="1" applyFill="1" applyBorder="1" applyAlignment="1">
      <alignment wrapText="1"/>
    </xf>
    <xf numFmtId="165" fontId="0" fillId="0" borderId="8" xfId="0" applyNumberFormat="1" applyBorder="1" applyAlignment="1">
      <alignment horizontal="center" vertical="center"/>
    </xf>
    <xf numFmtId="2" fontId="0" fillId="0" borderId="8" xfId="0" applyNumberFormat="1" applyBorder="1" applyAlignment="1">
      <alignment horizontal="center" vertical="center"/>
    </xf>
    <xf numFmtId="2" fontId="0" fillId="0" borderId="8" xfId="0" applyNumberFormat="1" applyBorder="1"/>
    <xf numFmtId="0" fontId="0" fillId="0" borderId="54" xfId="0" applyBorder="1"/>
    <xf numFmtId="2" fontId="0" fillId="0" borderId="55" xfId="0" applyNumberFormat="1" applyBorder="1"/>
    <xf numFmtId="0" fontId="0" fillId="0" borderId="56" xfId="0" applyBorder="1" applyAlignment="1">
      <alignment wrapText="1"/>
    </xf>
    <xf numFmtId="0" fontId="22" fillId="2" borderId="47" xfId="0" applyFont="1" applyFill="1" applyBorder="1" applyAlignment="1">
      <alignment wrapText="1"/>
    </xf>
    <xf numFmtId="0" fontId="22" fillId="2" borderId="48" xfId="0" applyFont="1" applyFill="1" applyBorder="1" applyAlignment="1">
      <alignment wrapText="1"/>
    </xf>
    <xf numFmtId="0" fontId="0" fillId="0" borderId="2" xfId="0" applyBorder="1" applyAlignment="1">
      <alignment horizontal="left" vertical="top"/>
    </xf>
    <xf numFmtId="0" fontId="0" fillId="0" borderId="3" xfId="0" applyBorder="1" applyAlignment="1">
      <alignment horizontal="left" vertical="top"/>
    </xf>
    <xf numFmtId="0" fontId="0" fillId="0" borderId="4" xfId="0" applyBorder="1" applyAlignment="1">
      <alignment horizontal="left" vertical="top"/>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2" xfId="0"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0" fillId="2" borderId="2" xfId="0" applyFill="1"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0" fontId="0" fillId="2" borderId="0" xfId="0" applyFill="1" applyAlignment="1">
      <alignment horizontal="center"/>
    </xf>
    <xf numFmtId="0" fontId="0" fillId="2" borderId="1" xfId="0" applyFill="1" applyBorder="1" applyAlignment="1">
      <alignment horizontal="center"/>
    </xf>
    <xf numFmtId="2" fontId="0" fillId="2" borderId="1" xfId="0" applyNumberFormat="1" applyFill="1" applyBorder="1" applyAlignment="1">
      <alignment horizontal="center" vertical="center"/>
    </xf>
    <xf numFmtId="0" fontId="8" fillId="2" borderId="2" xfId="0" applyFont="1" applyFill="1" applyBorder="1" applyAlignment="1">
      <alignment horizontal="center" vertical="center" wrapText="1"/>
    </xf>
    <xf numFmtId="0" fontId="8" fillId="2" borderId="4" xfId="0" applyFont="1" applyFill="1" applyBorder="1" applyAlignment="1">
      <alignment horizontal="center" vertical="center" wrapText="1"/>
    </xf>
    <xf numFmtId="0" fontId="8" fillId="0" borderId="0" xfId="0" applyFont="1" applyAlignment="1">
      <alignment horizontal="center"/>
    </xf>
    <xf numFmtId="0" fontId="17" fillId="2" borderId="2" xfId="0" applyFont="1" applyFill="1" applyBorder="1" applyAlignment="1">
      <alignment horizontal="center" vertical="top" wrapText="1"/>
    </xf>
    <xf numFmtId="0" fontId="17" fillId="2" borderId="4" xfId="0" applyFont="1" applyFill="1" applyBorder="1" applyAlignment="1">
      <alignment horizontal="center" vertical="top" wrapText="1"/>
    </xf>
    <xf numFmtId="0" fontId="0" fillId="0" borderId="1" xfId="0" applyBorder="1" applyAlignment="1">
      <alignment horizontal="center"/>
    </xf>
    <xf numFmtId="0" fontId="0" fillId="0" borderId="7" xfId="0" applyBorder="1" applyAlignment="1">
      <alignment horizontal="center"/>
    </xf>
    <xf numFmtId="1" fontId="0" fillId="2" borderId="7" xfId="0" applyNumberFormat="1" applyFill="1" applyBorder="1" applyAlignment="1">
      <alignment horizontal="center" vertical="center" textRotation="90" wrapText="1"/>
    </xf>
    <xf numFmtId="1" fontId="0" fillId="2" borderId="9" xfId="0" applyNumberFormat="1" applyFill="1" applyBorder="1" applyAlignment="1">
      <alignment horizontal="center" vertical="center" textRotation="90" wrapText="1"/>
    </xf>
    <xf numFmtId="1" fontId="0" fillId="2" borderId="8" xfId="0" applyNumberFormat="1" applyFill="1" applyBorder="1" applyAlignment="1">
      <alignment horizontal="center" vertical="center" textRotation="90" wrapText="1"/>
    </xf>
    <xf numFmtId="0" fontId="8" fillId="2" borderId="2" xfId="0" applyFont="1" applyFill="1" applyBorder="1" applyAlignment="1">
      <alignment horizontal="center"/>
    </xf>
    <xf numFmtId="0" fontId="8" fillId="2" borderId="4" xfId="0" applyFont="1" applyFill="1" applyBorder="1" applyAlignment="1">
      <alignment horizontal="center"/>
    </xf>
    <xf numFmtId="0" fontId="8" fillId="2" borderId="3" xfId="0" applyFont="1" applyFill="1" applyBorder="1" applyAlignment="1">
      <alignment horizontal="center"/>
    </xf>
    <xf numFmtId="0" fontId="22" fillId="2" borderId="47" xfId="0" applyFont="1" applyFill="1" applyBorder="1" applyAlignment="1">
      <alignment wrapText="1"/>
    </xf>
    <xf numFmtId="0" fontId="22" fillId="2" borderId="1" xfId="0" applyFont="1" applyFill="1" applyBorder="1" applyAlignment="1">
      <alignment wrapText="1"/>
    </xf>
    <xf numFmtId="0" fontId="22" fillId="2" borderId="48" xfId="0" applyFont="1" applyFill="1" applyBorder="1" applyAlignment="1">
      <alignment wrapText="1"/>
    </xf>
    <xf numFmtId="0" fontId="22" fillId="2" borderId="44" xfId="0" applyFont="1" applyFill="1" applyBorder="1" applyAlignment="1">
      <alignment wrapText="1"/>
    </xf>
    <xf numFmtId="0" fontId="22" fillId="2" borderId="45" xfId="0" applyFont="1" applyFill="1" applyBorder="1" applyAlignment="1">
      <alignment wrapText="1"/>
    </xf>
    <xf numFmtId="0" fontId="22" fillId="2" borderId="46" xfId="0" applyFont="1" applyFill="1" applyBorder="1" applyAlignment="1">
      <alignment wrapText="1"/>
    </xf>
    <xf numFmtId="0" fontId="22" fillId="2" borderId="51" xfId="0" applyFont="1" applyFill="1" applyBorder="1" applyAlignment="1">
      <alignment wrapText="1"/>
    </xf>
    <xf numFmtId="0" fontId="22" fillId="2" borderId="52" xfId="0" applyFont="1" applyFill="1" applyBorder="1" applyAlignment="1">
      <alignment wrapText="1"/>
    </xf>
    <xf numFmtId="0" fontId="22" fillId="2" borderId="53" xfId="0" applyFont="1" applyFill="1" applyBorder="1" applyAlignment="1">
      <alignment wrapText="1"/>
    </xf>
  </cellXfs>
  <cellStyles count="6">
    <cellStyle name="Comma" xfId="3" builtinId="3"/>
    <cellStyle name="Currency" xfId="5" builtinId="4"/>
    <cellStyle name="Normal" xfId="0" builtinId="0"/>
    <cellStyle name="Normal 3" xfId="1" xr:uid="{CD5AF61B-41C6-4BF7-925A-466BF177BF06}"/>
    <cellStyle name="Percent" xfId="2" builtinId="5"/>
    <cellStyle name="Table_header" xfId="4" xr:uid="{AF7B7E31-D10A-4988-A37F-8611A177B653}"/>
  </cellStyles>
  <dxfs count="6">
    <dxf>
      <font>
        <color auto="1"/>
      </font>
      <fill>
        <patternFill>
          <bgColor theme="5" tint="0.79998168889431442"/>
        </patternFill>
      </fill>
    </dxf>
    <dxf>
      <font>
        <color auto="1"/>
      </font>
      <fill>
        <patternFill>
          <bgColor theme="5" tint="0.79998168889431442"/>
        </patternFill>
      </fill>
    </dxf>
    <dxf>
      <font>
        <color auto="1"/>
      </font>
      <fill>
        <patternFill>
          <bgColor theme="5" tint="0.79998168889431442"/>
        </patternFill>
      </fill>
    </dxf>
    <dxf>
      <font>
        <color auto="1"/>
      </font>
      <fill>
        <patternFill>
          <bgColor theme="5" tint="0.79998168889431442"/>
        </patternFill>
      </fill>
    </dxf>
    <dxf>
      <font>
        <color auto="1"/>
      </font>
      <fill>
        <patternFill>
          <bgColor theme="5" tint="0.79998168889431442"/>
        </patternFill>
      </fill>
    </dxf>
    <dxf>
      <font>
        <color auto="1"/>
      </font>
      <fill>
        <patternFill>
          <bgColor theme="5" tint="0.79998168889431442"/>
        </patternFill>
      </fill>
    </dxf>
  </dxfs>
  <tableStyles count="0" defaultTableStyle="TableStyleMedium2" defaultPivotStyle="PivotStyleLight16"/>
  <colors>
    <mruColors>
      <color rgb="FFCC6600"/>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CHG</a:t>
            </a:r>
            <a:r>
              <a:rPr lang="en-IN" baseline="0"/>
              <a:t> T1 VS PVI T1</a:t>
            </a:r>
          </a:p>
        </c:rich>
      </c:tx>
      <c:layout>
        <c:manualLayout>
          <c:xMode val="edge"/>
          <c:yMode val="edge"/>
          <c:x val="0.29838188976377955"/>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OWSA!$E$20</c:f>
              <c:strCache>
                <c:ptCount val="1"/>
                <c:pt idx="0">
                  <c:v>LB</c:v>
                </c:pt>
              </c:strCache>
            </c:strRef>
          </c:tx>
          <c:spPr>
            <a:solidFill>
              <a:schemeClr val="accent1"/>
            </a:solidFill>
            <a:ln>
              <a:noFill/>
            </a:ln>
            <a:effectLst/>
          </c:spPr>
          <c:invertIfNegative val="0"/>
          <c:cat>
            <c:strRef>
              <c:f>OWSA!$C$21:$C$30</c:f>
              <c:strCache>
                <c:ptCount val="10"/>
                <c:pt idx="0">
                  <c:v>ICU Cost without CRBSI</c:v>
                </c:pt>
                <c:pt idx="1">
                  <c:v>Additional ICU Length of stay (LOS) due to CRBSI</c:v>
                </c:pt>
                <c:pt idx="2">
                  <c:v>Direct cost of treating CRBSI </c:v>
                </c:pt>
                <c:pt idx="3">
                  <c:v>Cost for Catheres charged</c:v>
                </c:pt>
                <c:pt idx="4">
                  <c:v>Transition from state 1 to state 3 (PVI T1)</c:v>
                </c:pt>
                <c:pt idx="5">
                  <c:v>Transition from state 1 to state 4 (PVI T1)</c:v>
                </c:pt>
                <c:pt idx="6">
                  <c:v>Transition from state 1 to state 4 (CHG T1)</c:v>
                </c:pt>
                <c:pt idx="7">
                  <c:v>Transition from state 1 to state 2 (PVI T1)</c:v>
                </c:pt>
                <c:pt idx="8">
                  <c:v>Transition from state 1 to state 2 (CHG T1)</c:v>
                </c:pt>
                <c:pt idx="9">
                  <c:v>Transition from state 1 to state 1 (PVI T1)</c:v>
                </c:pt>
              </c:strCache>
            </c:strRef>
          </c:cat>
          <c:val>
            <c:numRef>
              <c:f>OWSA!$E$21:$E$30</c:f>
              <c:numCache>
                <c:formatCode>General</c:formatCode>
                <c:ptCount val="10"/>
                <c:pt idx="0">
                  <c:v>13014.5893448774</c:v>
                </c:pt>
                <c:pt idx="1">
                  <c:v>13398.559579767776</c:v>
                </c:pt>
                <c:pt idx="2">
                  <c:v>15854.603325758302</c:v>
                </c:pt>
                <c:pt idx="3">
                  <c:v>15974.154250831667</c:v>
                </c:pt>
                <c:pt idx="4">
                  <c:v>15997.959042414537</c:v>
                </c:pt>
                <c:pt idx="5">
                  <c:v>15997.74463385566</c:v>
                </c:pt>
                <c:pt idx="6">
                  <c:v>15991.886635947745</c:v>
                </c:pt>
                <c:pt idx="7">
                  <c:v>15992.665293969674</c:v>
                </c:pt>
                <c:pt idx="8">
                  <c:v>15996.633819106861</c:v>
                </c:pt>
                <c:pt idx="9">
                  <c:v>15992.87004312717</c:v>
                </c:pt>
              </c:numCache>
            </c:numRef>
          </c:val>
          <c:extLst>
            <c:ext xmlns:c16="http://schemas.microsoft.com/office/drawing/2014/chart" uri="{C3380CC4-5D6E-409C-BE32-E72D297353CC}">
              <c16:uniqueId val="{00000000-9B87-4647-921C-FA55095B74A5}"/>
            </c:ext>
          </c:extLst>
        </c:ser>
        <c:ser>
          <c:idx val="1"/>
          <c:order val="1"/>
          <c:tx>
            <c:strRef>
              <c:f>OWSA!$F$20</c:f>
              <c:strCache>
                <c:ptCount val="1"/>
                <c:pt idx="0">
                  <c:v>UB</c:v>
                </c:pt>
              </c:strCache>
            </c:strRef>
          </c:tx>
          <c:spPr>
            <a:solidFill>
              <a:schemeClr val="accent2"/>
            </a:solidFill>
            <a:ln>
              <a:noFill/>
            </a:ln>
            <a:effectLst/>
          </c:spPr>
          <c:invertIfNegative val="0"/>
          <c:cat>
            <c:strRef>
              <c:f>OWSA!$C$21:$C$30</c:f>
              <c:strCache>
                <c:ptCount val="10"/>
                <c:pt idx="0">
                  <c:v>ICU Cost without CRBSI</c:v>
                </c:pt>
                <c:pt idx="1">
                  <c:v>Additional ICU Length of stay (LOS) due to CRBSI</c:v>
                </c:pt>
                <c:pt idx="2">
                  <c:v>Direct cost of treating CRBSI </c:v>
                </c:pt>
                <c:pt idx="3">
                  <c:v>Cost for Catheres charged</c:v>
                </c:pt>
                <c:pt idx="4">
                  <c:v>Transition from state 1 to state 3 (PVI T1)</c:v>
                </c:pt>
                <c:pt idx="5">
                  <c:v>Transition from state 1 to state 4 (PVI T1)</c:v>
                </c:pt>
                <c:pt idx="6">
                  <c:v>Transition from state 1 to state 4 (CHG T1)</c:v>
                </c:pt>
                <c:pt idx="7">
                  <c:v>Transition from state 1 to state 2 (PVI T1)</c:v>
                </c:pt>
                <c:pt idx="8">
                  <c:v>Transition from state 1 to state 2 (CHG T1)</c:v>
                </c:pt>
                <c:pt idx="9">
                  <c:v>Transition from state 1 to state 1 (PVI T1)</c:v>
                </c:pt>
              </c:strCache>
            </c:strRef>
          </c:cat>
          <c:val>
            <c:numRef>
              <c:f>OWSA!$F$21:$F$30</c:f>
              <c:numCache>
                <c:formatCode>General</c:formatCode>
                <c:ptCount val="10"/>
                <c:pt idx="0">
                  <c:v>18974.896076356301</c:v>
                </c:pt>
                <c:pt idx="1">
                  <c:v>18590.925841466029</c:v>
                </c:pt>
                <c:pt idx="2">
                  <c:v>16134.882095475503</c:v>
                </c:pt>
                <c:pt idx="3">
                  <c:v>16015.331170402145</c:v>
                </c:pt>
                <c:pt idx="4">
                  <c:v>15992.107788160611</c:v>
                </c:pt>
                <c:pt idx="5">
                  <c:v>15992.283362501501</c:v>
                </c:pt>
                <c:pt idx="6">
                  <c:v>15997.09571493924</c:v>
                </c:pt>
                <c:pt idx="7">
                  <c:v>15996.449507142574</c:v>
                </c:pt>
                <c:pt idx="8">
                  <c:v>15993.188991204532</c:v>
                </c:pt>
                <c:pt idx="9">
                  <c:v>15996.282160604986</c:v>
                </c:pt>
              </c:numCache>
            </c:numRef>
          </c:val>
          <c:extLst>
            <c:ext xmlns:c16="http://schemas.microsoft.com/office/drawing/2014/chart" uri="{C3380CC4-5D6E-409C-BE32-E72D297353CC}">
              <c16:uniqueId val="{00000001-9B87-4647-921C-FA55095B74A5}"/>
            </c:ext>
          </c:extLst>
        </c:ser>
        <c:dLbls>
          <c:showLegendKey val="0"/>
          <c:showVal val="0"/>
          <c:showCatName val="0"/>
          <c:showSerName val="0"/>
          <c:showPercent val="0"/>
          <c:showBubbleSize val="0"/>
        </c:dLbls>
        <c:gapWidth val="50"/>
        <c:axId val="1903011936"/>
        <c:axId val="1902988224"/>
      </c:barChart>
      <c:catAx>
        <c:axId val="190301193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a:outerShdw sx="1000" sy="1000" algn="ctr" rotWithShape="0">
              <a:srgbClr val="000000"/>
            </a:outerShd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2988224"/>
        <c:crossesAt val="16015.331170402145"/>
        <c:auto val="1"/>
        <c:lblAlgn val="ctr"/>
        <c:lblOffset val="100"/>
        <c:noMultiLvlLbl val="0"/>
      </c:catAx>
      <c:valAx>
        <c:axId val="1902988224"/>
        <c:scaling>
          <c:orientation val="minMax"/>
          <c:min val="12000"/>
        </c:scaling>
        <c:delete val="0"/>
        <c:axPos val="t"/>
        <c:majorGridlines>
          <c:spPr>
            <a:ln w="9525" cap="flat" cmpd="sng" algn="ctr">
              <a:solidFill>
                <a:schemeClr val="tx1">
                  <a:lumMod val="15000"/>
                  <a:lumOff val="85000"/>
                </a:schemeClr>
              </a:solidFill>
              <a:round/>
            </a:ln>
            <a:effectLst>
              <a:outerShdw dist="50800" sx="1000" sy="1000" algn="ctr" rotWithShape="0">
                <a:srgbClr val="000000"/>
              </a:outerShdw>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011936"/>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CHG</a:t>
            </a:r>
            <a:r>
              <a:rPr lang="en-IN" baseline="0"/>
              <a:t> T1 VS CHG T4</a:t>
            </a:r>
          </a:p>
        </c:rich>
      </c:tx>
      <c:layout>
        <c:manualLayout>
          <c:xMode val="edge"/>
          <c:yMode val="edge"/>
          <c:x val="0.29838188976377955"/>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OWSA!$E$36</c:f>
              <c:strCache>
                <c:ptCount val="1"/>
                <c:pt idx="0">
                  <c:v>LB</c:v>
                </c:pt>
              </c:strCache>
            </c:strRef>
          </c:tx>
          <c:spPr>
            <a:solidFill>
              <a:schemeClr val="accent1"/>
            </a:solidFill>
            <a:ln>
              <a:noFill/>
            </a:ln>
            <a:effectLst/>
          </c:spPr>
          <c:invertIfNegative val="0"/>
          <c:cat>
            <c:strRef>
              <c:f>OWSA!$C$37:$C$46</c:f>
              <c:strCache>
                <c:ptCount val="10"/>
                <c:pt idx="0">
                  <c:v>ICU Cost without CRBSI</c:v>
                </c:pt>
                <c:pt idx="1">
                  <c:v>Additional ICU Length of stay (LOS) due to CRBSI</c:v>
                </c:pt>
                <c:pt idx="2">
                  <c:v>Direct cost of treating CRBSI </c:v>
                </c:pt>
                <c:pt idx="3">
                  <c:v>Cost for Catheres charged</c:v>
                </c:pt>
                <c:pt idx="4">
                  <c:v>Transition from state 1 to state 3 (CHG T4)</c:v>
                </c:pt>
                <c:pt idx="5">
                  <c:v>Transition from state 1 to state 4 (CHG T4)</c:v>
                </c:pt>
                <c:pt idx="6">
                  <c:v>Transition from state 1 to state 4 (CHG T1)</c:v>
                </c:pt>
                <c:pt idx="7">
                  <c:v>Transition from state 1 to state 2 (CHG T4)</c:v>
                </c:pt>
                <c:pt idx="8">
                  <c:v>Transition from state 1 to state 2 (CHG T1)</c:v>
                </c:pt>
                <c:pt idx="9">
                  <c:v>Transition from state 1 to state 1 (CHG T4)</c:v>
                </c:pt>
              </c:strCache>
            </c:strRef>
          </c:cat>
          <c:val>
            <c:numRef>
              <c:f>OWSA!$E$37:$E$46</c:f>
              <c:numCache>
                <c:formatCode>General</c:formatCode>
                <c:ptCount val="10"/>
                <c:pt idx="0">
                  <c:v>13032.377606579805</c:v>
                </c:pt>
                <c:pt idx="1">
                  <c:v>13414.683117636596</c:v>
                </c:pt>
                <c:pt idx="2">
                  <c:v>15870.726863627113</c:v>
                </c:pt>
                <c:pt idx="3">
                  <c:v>15990.063098053683</c:v>
                </c:pt>
                <c:pt idx="4">
                  <c:v>16014.115027318405</c:v>
                </c:pt>
                <c:pt idx="5">
                  <c:v>16013.940537359251</c:v>
                </c:pt>
                <c:pt idx="6">
                  <c:v>16007.95315408663</c:v>
                </c:pt>
                <c:pt idx="7">
                  <c:v>16008.76667785268</c:v>
                </c:pt>
                <c:pt idx="8">
                  <c:v>16012.778883397481</c:v>
                </c:pt>
                <c:pt idx="9">
                  <c:v>16008.972682712694</c:v>
                </c:pt>
              </c:numCache>
            </c:numRef>
          </c:val>
          <c:extLst>
            <c:ext xmlns:c16="http://schemas.microsoft.com/office/drawing/2014/chart" uri="{C3380CC4-5D6E-409C-BE32-E72D297353CC}">
              <c16:uniqueId val="{00000000-847E-49C5-8542-A4155C92DE30}"/>
            </c:ext>
          </c:extLst>
        </c:ser>
        <c:ser>
          <c:idx val="1"/>
          <c:order val="1"/>
          <c:tx>
            <c:strRef>
              <c:f>OWSA!$F$36</c:f>
              <c:strCache>
                <c:ptCount val="1"/>
                <c:pt idx="0">
                  <c:v>UB</c:v>
                </c:pt>
              </c:strCache>
            </c:strRef>
          </c:tx>
          <c:spPr>
            <a:solidFill>
              <a:schemeClr val="accent2"/>
            </a:solidFill>
            <a:ln>
              <a:noFill/>
            </a:ln>
            <a:effectLst/>
          </c:spPr>
          <c:invertIfNegative val="0"/>
          <c:cat>
            <c:strRef>
              <c:f>OWSA!$C$37:$C$46</c:f>
              <c:strCache>
                <c:ptCount val="10"/>
                <c:pt idx="0">
                  <c:v>ICU Cost without CRBSI</c:v>
                </c:pt>
                <c:pt idx="1">
                  <c:v>Additional ICU Length of stay (LOS) due to CRBSI</c:v>
                </c:pt>
                <c:pt idx="2">
                  <c:v>Direct cost of treating CRBSI </c:v>
                </c:pt>
                <c:pt idx="3">
                  <c:v>Cost for Catheres charged</c:v>
                </c:pt>
                <c:pt idx="4">
                  <c:v>Transition from state 1 to state 3 (CHG T4)</c:v>
                </c:pt>
                <c:pt idx="5">
                  <c:v>Transition from state 1 to state 4 (CHG T4)</c:v>
                </c:pt>
                <c:pt idx="6">
                  <c:v>Transition from state 1 to state 4 (CHG T1)</c:v>
                </c:pt>
                <c:pt idx="7">
                  <c:v>Transition from state 1 to state 2 (CHG T4)</c:v>
                </c:pt>
                <c:pt idx="8">
                  <c:v>Transition from state 1 to state 2 (CHG T1)</c:v>
                </c:pt>
                <c:pt idx="9">
                  <c:v>Transition from state 1 to state 1 (CHG T4)</c:v>
                </c:pt>
              </c:strCache>
            </c:strRef>
          </c:cat>
          <c:val>
            <c:numRef>
              <c:f>OWSA!$F$37:$F$46</c:f>
              <c:numCache>
                <c:formatCode>General</c:formatCode>
                <c:ptCount val="10"/>
                <c:pt idx="0">
                  <c:v>18989.354890391569</c:v>
                </c:pt>
                <c:pt idx="1">
                  <c:v>18607.049379334792</c:v>
                </c:pt>
                <c:pt idx="2">
                  <c:v>16151.005633344315</c:v>
                </c:pt>
                <c:pt idx="3">
                  <c:v>16031.669398917753</c:v>
                </c:pt>
                <c:pt idx="4">
                  <c:v>16008.204732794706</c:v>
                </c:pt>
                <c:pt idx="5">
                  <c:v>16008.347759858025</c:v>
                </c:pt>
                <c:pt idx="6">
                  <c:v>16013.266304082868</c:v>
                </c:pt>
                <c:pt idx="7">
                  <c:v>16012.591248347233</c:v>
                </c:pt>
                <c:pt idx="8">
                  <c:v>16009.294843116641</c:v>
                </c:pt>
                <c:pt idx="9">
                  <c:v>16012.422878215495</c:v>
                </c:pt>
              </c:numCache>
            </c:numRef>
          </c:val>
          <c:extLst>
            <c:ext xmlns:c16="http://schemas.microsoft.com/office/drawing/2014/chart" uri="{C3380CC4-5D6E-409C-BE32-E72D297353CC}">
              <c16:uniqueId val="{00000001-847E-49C5-8542-A4155C92DE30}"/>
            </c:ext>
          </c:extLst>
        </c:ser>
        <c:dLbls>
          <c:showLegendKey val="0"/>
          <c:showVal val="0"/>
          <c:showCatName val="0"/>
          <c:showSerName val="0"/>
          <c:showPercent val="0"/>
          <c:showBubbleSize val="0"/>
        </c:dLbls>
        <c:gapWidth val="50"/>
        <c:axId val="1903011936"/>
        <c:axId val="1902988224"/>
      </c:barChart>
      <c:catAx>
        <c:axId val="190301193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a:outerShdw sx="1000" sy="1000" algn="ctr" rotWithShape="0">
              <a:srgbClr val="000000"/>
            </a:outerShd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2988224"/>
        <c:crossesAt val="16031.669398917753"/>
        <c:auto val="1"/>
        <c:lblAlgn val="ctr"/>
        <c:lblOffset val="100"/>
        <c:noMultiLvlLbl val="0"/>
      </c:catAx>
      <c:valAx>
        <c:axId val="1902988224"/>
        <c:scaling>
          <c:orientation val="minMax"/>
          <c:min val="12000"/>
        </c:scaling>
        <c:delete val="0"/>
        <c:axPos val="t"/>
        <c:majorGridlines>
          <c:spPr>
            <a:ln w="9525" cap="flat" cmpd="sng" algn="ctr">
              <a:solidFill>
                <a:schemeClr val="tx1">
                  <a:lumMod val="15000"/>
                  <a:lumOff val="85000"/>
                </a:schemeClr>
              </a:solidFill>
              <a:round/>
            </a:ln>
            <a:effectLst>
              <a:outerShdw dist="50800" sx="1000" sy="1000" algn="ctr" rotWithShape="0">
                <a:srgbClr val="000000"/>
              </a:outerShdw>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011936"/>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CHG</a:t>
            </a:r>
            <a:r>
              <a:rPr lang="en-IN" baseline="0"/>
              <a:t> T1 VS PVI T4</a:t>
            </a:r>
          </a:p>
        </c:rich>
      </c:tx>
      <c:layout>
        <c:manualLayout>
          <c:xMode val="edge"/>
          <c:yMode val="edge"/>
          <c:x val="0.29838188976377955"/>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OWSA!$E$52</c:f>
              <c:strCache>
                <c:ptCount val="1"/>
                <c:pt idx="0">
                  <c:v>LB</c:v>
                </c:pt>
              </c:strCache>
            </c:strRef>
          </c:tx>
          <c:spPr>
            <a:solidFill>
              <a:schemeClr val="accent1"/>
            </a:solidFill>
            <a:ln>
              <a:noFill/>
            </a:ln>
            <a:effectLst/>
          </c:spPr>
          <c:invertIfNegative val="0"/>
          <c:cat>
            <c:strRef>
              <c:f>OWSA!$C$53:$C$62</c:f>
              <c:strCache>
                <c:ptCount val="10"/>
                <c:pt idx="0">
                  <c:v>ICU Cost without CRBSI</c:v>
                </c:pt>
                <c:pt idx="1">
                  <c:v>Additional ICU Length of stay (LOS) due to CRBSI</c:v>
                </c:pt>
                <c:pt idx="2">
                  <c:v>Direct cost of treating CRBSI </c:v>
                </c:pt>
                <c:pt idx="3">
                  <c:v>Cost for Catheres charged</c:v>
                </c:pt>
                <c:pt idx="4">
                  <c:v>Transition from state 1 to state 3 (PVI T4)</c:v>
                </c:pt>
                <c:pt idx="5">
                  <c:v>Transition from state 1 to state 4 (PVI T4)</c:v>
                </c:pt>
                <c:pt idx="6">
                  <c:v>Transition from state 1 to state 4 (CHG T1)</c:v>
                </c:pt>
                <c:pt idx="7">
                  <c:v>Transition from state 1 to state 2 (PVI T4)</c:v>
                </c:pt>
                <c:pt idx="8">
                  <c:v>Transition from state 1 to state 2 (CHG T1)</c:v>
                </c:pt>
                <c:pt idx="9">
                  <c:v>Transition from state 1 to state 1 (PVI T4)</c:v>
                </c:pt>
              </c:strCache>
            </c:strRef>
          </c:cat>
          <c:val>
            <c:numRef>
              <c:f>OWSA!$E$53:$E$62</c:f>
              <c:numCache>
                <c:formatCode>General</c:formatCode>
                <c:ptCount val="10"/>
                <c:pt idx="0">
                  <c:v>13080.085148319635</c:v>
                </c:pt>
                <c:pt idx="1">
                  <c:v>13476.000795712793</c:v>
                </c:pt>
                <c:pt idx="2">
                  <c:v>15932.044541703328</c:v>
                </c:pt>
                <c:pt idx="3">
                  <c:v>16050.836933178643</c:v>
                </c:pt>
                <c:pt idx="4">
                  <c:v>16075.552456492051</c:v>
                </c:pt>
                <c:pt idx="5">
                  <c:v>16075.42243122957</c:v>
                </c:pt>
                <c:pt idx="6">
                  <c:v>16069.126330571735</c:v>
                </c:pt>
                <c:pt idx="7">
                  <c:v>16070.039945250332</c:v>
                </c:pt>
                <c:pt idx="8">
                  <c:v>16074.129121811282</c:v>
                </c:pt>
                <c:pt idx="9">
                  <c:v>16070.24903310638</c:v>
                </c:pt>
              </c:numCache>
            </c:numRef>
          </c:val>
          <c:extLst>
            <c:ext xmlns:c16="http://schemas.microsoft.com/office/drawing/2014/chart" uri="{C3380CC4-5D6E-409C-BE32-E72D297353CC}">
              <c16:uniqueId val="{00000000-EA83-42DF-968E-FC3BE2C2BC16}"/>
            </c:ext>
          </c:extLst>
        </c:ser>
        <c:ser>
          <c:idx val="1"/>
          <c:order val="1"/>
          <c:tx>
            <c:strRef>
              <c:f>OWSA!$F$52</c:f>
              <c:strCache>
                <c:ptCount val="1"/>
                <c:pt idx="0">
                  <c:v>UB</c:v>
                </c:pt>
              </c:strCache>
            </c:strRef>
          </c:tx>
          <c:spPr>
            <a:solidFill>
              <a:schemeClr val="accent2"/>
            </a:solidFill>
            <a:ln>
              <a:noFill/>
            </a:ln>
            <a:effectLst/>
          </c:spPr>
          <c:invertIfNegative val="0"/>
          <c:cat>
            <c:strRef>
              <c:f>OWSA!$C$53:$C$62</c:f>
              <c:strCache>
                <c:ptCount val="10"/>
                <c:pt idx="0">
                  <c:v>ICU Cost without CRBSI</c:v>
                </c:pt>
                <c:pt idx="1">
                  <c:v>Additional ICU Length of stay (LOS) due to CRBSI</c:v>
                </c:pt>
                <c:pt idx="2">
                  <c:v>Direct cost of treating CRBSI </c:v>
                </c:pt>
                <c:pt idx="3">
                  <c:v>Cost for Catheres charged</c:v>
                </c:pt>
                <c:pt idx="4">
                  <c:v>Transition from state 1 to state 3 (PVI T4)</c:v>
                </c:pt>
                <c:pt idx="5">
                  <c:v>Transition from state 1 to state 4 (PVI T4)</c:v>
                </c:pt>
                <c:pt idx="6">
                  <c:v>Transition from state 1 to state 4 (CHG T1)</c:v>
                </c:pt>
                <c:pt idx="7">
                  <c:v>Transition from state 1 to state 2 (PVI T4)</c:v>
                </c:pt>
                <c:pt idx="8">
                  <c:v>Transition from state 1 to state 2 (CHG T1)</c:v>
                </c:pt>
                <c:pt idx="9">
                  <c:v>Transition from state 1 to state 1 (PVI T4)</c:v>
                </c:pt>
              </c:strCache>
            </c:strRef>
          </c:cat>
          <c:val>
            <c:numRef>
              <c:f>OWSA!$F$53:$F$62</c:f>
              <c:numCache>
                <c:formatCode>General</c:formatCode>
                <c:ptCount val="10"/>
                <c:pt idx="0">
                  <c:v>19064.28270480418</c:v>
                </c:pt>
                <c:pt idx="1">
                  <c:v>18668.367057411051</c:v>
                </c:pt>
                <c:pt idx="2">
                  <c:v>16212.323311420529</c:v>
                </c:pt>
                <c:pt idx="3">
                  <c:v>16093.530919945206</c:v>
                </c:pt>
                <c:pt idx="4">
                  <c:v>16069.424334280015</c:v>
                </c:pt>
                <c:pt idx="5">
                  <c:v>16069.531043039495</c:v>
                </c:pt>
                <c:pt idx="6">
                  <c:v>16074.703154110452</c:v>
                </c:pt>
                <c:pt idx="7">
                  <c:v>16073.945411197366</c:v>
                </c:pt>
                <c:pt idx="8">
                  <c:v>16070.585769847581</c:v>
                </c:pt>
                <c:pt idx="9">
                  <c:v>16073.774530126448</c:v>
                </c:pt>
              </c:numCache>
            </c:numRef>
          </c:val>
          <c:extLst>
            <c:ext xmlns:c16="http://schemas.microsoft.com/office/drawing/2014/chart" uri="{C3380CC4-5D6E-409C-BE32-E72D297353CC}">
              <c16:uniqueId val="{00000001-EA83-42DF-968E-FC3BE2C2BC16}"/>
            </c:ext>
          </c:extLst>
        </c:ser>
        <c:dLbls>
          <c:showLegendKey val="0"/>
          <c:showVal val="0"/>
          <c:showCatName val="0"/>
          <c:showSerName val="0"/>
          <c:showPercent val="0"/>
          <c:showBubbleSize val="0"/>
        </c:dLbls>
        <c:gapWidth val="50"/>
        <c:axId val="1903011936"/>
        <c:axId val="1902988224"/>
      </c:barChart>
      <c:catAx>
        <c:axId val="190301193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a:outerShdw sx="1000" sy="1000" algn="ctr" rotWithShape="0">
              <a:srgbClr val="000000"/>
            </a:outerShd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2988224"/>
        <c:crossesAt val="16093.530919945206"/>
        <c:auto val="1"/>
        <c:lblAlgn val="ctr"/>
        <c:lblOffset val="100"/>
        <c:noMultiLvlLbl val="0"/>
      </c:catAx>
      <c:valAx>
        <c:axId val="1902988224"/>
        <c:scaling>
          <c:orientation val="minMax"/>
          <c:min val="12000"/>
        </c:scaling>
        <c:delete val="0"/>
        <c:axPos val="t"/>
        <c:majorGridlines>
          <c:spPr>
            <a:ln w="9525" cap="flat" cmpd="sng" algn="ctr">
              <a:solidFill>
                <a:schemeClr val="tx1">
                  <a:lumMod val="15000"/>
                  <a:lumOff val="85000"/>
                </a:schemeClr>
              </a:solidFill>
              <a:round/>
            </a:ln>
            <a:effectLst>
              <a:outerShdw dist="50800" sx="1000" sy="1000" algn="ctr" rotWithShape="0">
                <a:srgbClr val="000000"/>
              </a:outerShdw>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011936"/>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CE</a:t>
            </a:r>
            <a:r>
              <a:rPr lang="en-IN" baseline="0"/>
              <a:t> plane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PSA_1!$N$36</c:f>
              <c:strCache>
                <c:ptCount val="1"/>
                <c:pt idx="0">
                  <c:v>CHG T1 vs PVI T1</c:v>
                </c:pt>
              </c:strCache>
            </c:strRef>
          </c:tx>
          <c:spPr>
            <a:ln w="25400" cap="rnd">
              <a:noFill/>
              <a:round/>
            </a:ln>
            <a:effectLst/>
          </c:spPr>
          <c:marker>
            <c:symbol val="circle"/>
            <c:size val="5"/>
            <c:spPr>
              <a:solidFill>
                <a:schemeClr val="accent1"/>
              </a:solidFill>
              <a:ln w="9525">
                <a:solidFill>
                  <a:schemeClr val="accent1"/>
                </a:solidFill>
              </a:ln>
              <a:effectLst/>
            </c:spPr>
          </c:marker>
          <c:xVal>
            <c:numRef>
              <c:f>PSA_1!$O$40:$O$1039</c:f>
              <c:numCache>
                <c:formatCode>General</c:formatCode>
                <c:ptCount val="1000"/>
                <c:pt idx="0">
                  <c:v>-0.27975586784429496</c:v>
                </c:pt>
                <c:pt idx="1">
                  <c:v>-0.27938536758624799</c:v>
                </c:pt>
                <c:pt idx="2">
                  <c:v>-0.27887014547718358</c:v>
                </c:pt>
                <c:pt idx="3">
                  <c:v>-0.27948810016825665</c:v>
                </c:pt>
                <c:pt idx="4">
                  <c:v>-0.27918544145467872</c:v>
                </c:pt>
                <c:pt idx="5">
                  <c:v>-0.2795686675525817</c:v>
                </c:pt>
                <c:pt idx="6">
                  <c:v>-0.27937184260582582</c:v>
                </c:pt>
                <c:pt idx="7">
                  <c:v>-0.27884871926940613</c:v>
                </c:pt>
                <c:pt idx="8">
                  <c:v>-0.27975794873205606</c:v>
                </c:pt>
                <c:pt idx="9">
                  <c:v>-0.27982918664477074</c:v>
                </c:pt>
                <c:pt idx="10">
                  <c:v>-0.27951291095360442</c:v>
                </c:pt>
                <c:pt idx="11">
                  <c:v>-0.27966056806758444</c:v>
                </c:pt>
                <c:pt idx="12">
                  <c:v>-0.27929722138911828</c:v>
                </c:pt>
                <c:pt idx="13">
                  <c:v>-0.27929865218061889</c:v>
                </c:pt>
                <c:pt idx="14">
                  <c:v>-0.27973025435393717</c:v>
                </c:pt>
                <c:pt idx="15">
                  <c:v>-0.27928970576798284</c:v>
                </c:pt>
                <c:pt idx="16">
                  <c:v>-0.2801768405561823</c:v>
                </c:pt>
                <c:pt idx="17">
                  <c:v>-0.27994937470081882</c:v>
                </c:pt>
                <c:pt idx="18">
                  <c:v>-0.28053738760944291</c:v>
                </c:pt>
                <c:pt idx="19">
                  <c:v>-0.2793838595452206</c:v>
                </c:pt>
                <c:pt idx="20">
                  <c:v>-0.27887165333032571</c:v>
                </c:pt>
                <c:pt idx="21">
                  <c:v>-0.27985231721613568</c:v>
                </c:pt>
                <c:pt idx="22">
                  <c:v>-0.27938540613949403</c:v>
                </c:pt>
                <c:pt idx="23">
                  <c:v>-0.28039913997062393</c:v>
                </c:pt>
                <c:pt idx="24">
                  <c:v>-0.2789755342782223</c:v>
                </c:pt>
                <c:pt idx="25">
                  <c:v>-0.27847090087961313</c:v>
                </c:pt>
                <c:pt idx="26">
                  <c:v>-0.27978710399624185</c:v>
                </c:pt>
                <c:pt idx="27">
                  <c:v>-0.27962264199559017</c:v>
                </c:pt>
                <c:pt idx="28">
                  <c:v>-0.28081077081307249</c:v>
                </c:pt>
                <c:pt idx="29">
                  <c:v>-0.28036695341543327</c:v>
                </c:pt>
                <c:pt idx="30">
                  <c:v>-0.27903287246235986</c:v>
                </c:pt>
                <c:pt idx="31">
                  <c:v>-0.27906185768313818</c:v>
                </c:pt>
                <c:pt idx="32">
                  <c:v>-0.27981709009702882</c:v>
                </c:pt>
                <c:pt idx="33">
                  <c:v>-0.28005628663036719</c:v>
                </c:pt>
                <c:pt idx="34">
                  <c:v>-0.2785529283599143</c:v>
                </c:pt>
                <c:pt idx="35">
                  <c:v>-0.27937073682418667</c:v>
                </c:pt>
                <c:pt idx="36">
                  <c:v>-0.27949038816464633</c:v>
                </c:pt>
                <c:pt idx="37">
                  <c:v>-0.27927514860466796</c:v>
                </c:pt>
                <c:pt idx="38">
                  <c:v>-0.27938844456615697</c:v>
                </c:pt>
                <c:pt idx="39">
                  <c:v>-0.27946798624208369</c:v>
                </c:pt>
                <c:pt idx="40">
                  <c:v>-0.2794720042529657</c:v>
                </c:pt>
                <c:pt idx="41">
                  <c:v>-0.2782561424747757</c:v>
                </c:pt>
                <c:pt idx="42">
                  <c:v>-0.27989015896665059</c:v>
                </c:pt>
                <c:pt idx="43">
                  <c:v>-0.27887520027244617</c:v>
                </c:pt>
                <c:pt idx="44">
                  <c:v>-0.27944299331654354</c:v>
                </c:pt>
                <c:pt idx="45">
                  <c:v>-0.28075856570383928</c:v>
                </c:pt>
                <c:pt idx="46">
                  <c:v>-0.27963680292219428</c:v>
                </c:pt>
                <c:pt idx="47">
                  <c:v>-0.27950493648411345</c:v>
                </c:pt>
                <c:pt idx="48">
                  <c:v>-0.2789661913321928</c:v>
                </c:pt>
                <c:pt idx="49">
                  <c:v>-0.27964665167309966</c:v>
                </c:pt>
                <c:pt idx="50">
                  <c:v>-0.27939273831088052</c:v>
                </c:pt>
                <c:pt idx="51">
                  <c:v>-0.27990434802139175</c:v>
                </c:pt>
                <c:pt idx="52">
                  <c:v>-0.27985210450932707</c:v>
                </c:pt>
                <c:pt idx="53">
                  <c:v>-0.27917675809823261</c:v>
                </c:pt>
                <c:pt idx="54">
                  <c:v>-0.27905525028815237</c:v>
                </c:pt>
                <c:pt idx="55">
                  <c:v>-0.27979405378635314</c:v>
                </c:pt>
                <c:pt idx="56">
                  <c:v>-0.27970857929514037</c:v>
                </c:pt>
                <c:pt idx="57">
                  <c:v>-0.2799161388289213</c:v>
                </c:pt>
                <c:pt idx="58">
                  <c:v>-0.28006302374492065</c:v>
                </c:pt>
                <c:pt idx="59">
                  <c:v>-0.27937879230308171</c:v>
                </c:pt>
                <c:pt idx="60">
                  <c:v>-0.27978830943448185</c:v>
                </c:pt>
                <c:pt idx="61">
                  <c:v>-0.27957142447722538</c:v>
                </c:pt>
                <c:pt idx="62">
                  <c:v>-0.27997303007534691</c:v>
                </c:pt>
                <c:pt idx="63">
                  <c:v>-0.27977608995772663</c:v>
                </c:pt>
                <c:pt idx="64">
                  <c:v>-0.27917437740242845</c:v>
                </c:pt>
                <c:pt idx="65">
                  <c:v>-0.27915280182624425</c:v>
                </c:pt>
                <c:pt idx="66">
                  <c:v>-0.2802100629087706</c:v>
                </c:pt>
                <c:pt idx="67">
                  <c:v>-0.27974482888547825</c:v>
                </c:pt>
                <c:pt idx="68">
                  <c:v>-0.27954516461428014</c:v>
                </c:pt>
                <c:pt idx="69">
                  <c:v>-0.27930122983371397</c:v>
                </c:pt>
                <c:pt idx="70">
                  <c:v>-0.28009988560464028</c:v>
                </c:pt>
                <c:pt idx="71">
                  <c:v>-0.27940390268693094</c:v>
                </c:pt>
                <c:pt idx="72">
                  <c:v>-0.27890140031524469</c:v>
                </c:pt>
                <c:pt idx="73">
                  <c:v>-0.27972019504380774</c:v>
                </c:pt>
                <c:pt idx="74">
                  <c:v>-0.27952941552170352</c:v>
                </c:pt>
                <c:pt idx="75">
                  <c:v>-0.27919718748196976</c:v>
                </c:pt>
                <c:pt idx="76">
                  <c:v>-0.27854125017406572</c:v>
                </c:pt>
                <c:pt idx="77">
                  <c:v>-0.2799834185244221</c:v>
                </c:pt>
                <c:pt idx="78">
                  <c:v>-0.28040633832188944</c:v>
                </c:pt>
                <c:pt idx="79">
                  <c:v>-0.27935614849113888</c:v>
                </c:pt>
                <c:pt idx="80">
                  <c:v>-0.27812941022517146</c:v>
                </c:pt>
                <c:pt idx="81">
                  <c:v>-0.27959478429641982</c:v>
                </c:pt>
                <c:pt idx="82">
                  <c:v>-0.28001550202624093</c:v>
                </c:pt>
                <c:pt idx="83">
                  <c:v>-0.27933904231121431</c:v>
                </c:pt>
                <c:pt idx="84">
                  <c:v>-0.27941026893967102</c:v>
                </c:pt>
                <c:pt idx="85">
                  <c:v>-0.2791107792007157</c:v>
                </c:pt>
                <c:pt idx="86">
                  <c:v>-0.27955300512857806</c:v>
                </c:pt>
                <c:pt idx="87">
                  <c:v>-0.28009755772821143</c:v>
                </c:pt>
                <c:pt idx="88">
                  <c:v>-0.27964126806068867</c:v>
                </c:pt>
                <c:pt idx="89">
                  <c:v>-0.28006366080064293</c:v>
                </c:pt>
                <c:pt idx="90">
                  <c:v>-0.28004652463644675</c:v>
                </c:pt>
                <c:pt idx="91">
                  <c:v>-0.27906128340929248</c:v>
                </c:pt>
                <c:pt idx="92">
                  <c:v>-0.27960044450154276</c:v>
                </c:pt>
                <c:pt idx="93">
                  <c:v>-0.27948678196276167</c:v>
                </c:pt>
                <c:pt idx="94">
                  <c:v>-0.27921028963275307</c:v>
                </c:pt>
                <c:pt idx="95">
                  <c:v>-0.27952726982301079</c:v>
                </c:pt>
                <c:pt idx="96">
                  <c:v>-0.27953599294000842</c:v>
                </c:pt>
                <c:pt idx="97">
                  <c:v>-0.27944928709015027</c:v>
                </c:pt>
                <c:pt idx="98">
                  <c:v>-0.27993060343567355</c:v>
                </c:pt>
                <c:pt idx="99">
                  <c:v>-0.27884746731565235</c:v>
                </c:pt>
                <c:pt idx="100">
                  <c:v>-0.27933585641315228</c:v>
                </c:pt>
                <c:pt idx="101">
                  <c:v>-0.27986723611440556</c:v>
                </c:pt>
                <c:pt idx="102">
                  <c:v>-0.28015444377018162</c:v>
                </c:pt>
                <c:pt idx="103">
                  <c:v>-0.27986703154300974</c:v>
                </c:pt>
                <c:pt idx="104">
                  <c:v>-0.27918421157674111</c:v>
                </c:pt>
                <c:pt idx="105">
                  <c:v>-0.28004974640835956</c:v>
                </c:pt>
                <c:pt idx="106">
                  <c:v>-0.27969610554751712</c:v>
                </c:pt>
                <c:pt idx="107">
                  <c:v>-0.2795030356168573</c:v>
                </c:pt>
                <c:pt idx="108">
                  <c:v>-0.27863126703616348</c:v>
                </c:pt>
                <c:pt idx="109">
                  <c:v>-0.2807351622020452</c:v>
                </c:pt>
                <c:pt idx="110">
                  <c:v>-0.27900995702908593</c:v>
                </c:pt>
                <c:pt idx="111">
                  <c:v>-0.28010437013228295</c:v>
                </c:pt>
                <c:pt idx="112">
                  <c:v>-0.27975402268421223</c:v>
                </c:pt>
                <c:pt idx="113">
                  <c:v>-0.27910336973085914</c:v>
                </c:pt>
                <c:pt idx="114">
                  <c:v>-0.27993459985672797</c:v>
                </c:pt>
                <c:pt idx="115">
                  <c:v>-0.27950139774057081</c:v>
                </c:pt>
                <c:pt idx="116">
                  <c:v>-0.27968383588682533</c:v>
                </c:pt>
                <c:pt idx="117">
                  <c:v>-0.27916686154169201</c:v>
                </c:pt>
                <c:pt idx="118">
                  <c:v>-0.2791356671426507</c:v>
                </c:pt>
                <c:pt idx="119">
                  <c:v>-0.27906429800644905</c:v>
                </c:pt>
                <c:pt idx="120">
                  <c:v>-0.27961573627318026</c:v>
                </c:pt>
                <c:pt idx="121">
                  <c:v>-0.27886017772026039</c:v>
                </c:pt>
                <c:pt idx="122">
                  <c:v>-0.28057005854378758</c:v>
                </c:pt>
                <c:pt idx="123">
                  <c:v>-0.27901907023304373</c:v>
                </c:pt>
                <c:pt idx="124">
                  <c:v>-0.27850381151607395</c:v>
                </c:pt>
                <c:pt idx="125">
                  <c:v>-0.27910382990096516</c:v>
                </c:pt>
                <c:pt idx="126">
                  <c:v>-0.27986829731980567</c:v>
                </c:pt>
                <c:pt idx="127">
                  <c:v>-0.27958912986151829</c:v>
                </c:pt>
                <c:pt idx="128">
                  <c:v>-0.27994611394785973</c:v>
                </c:pt>
                <c:pt idx="129">
                  <c:v>-0.27961170271468605</c:v>
                </c:pt>
                <c:pt idx="130">
                  <c:v>-0.27996811122514886</c:v>
                </c:pt>
                <c:pt idx="131">
                  <c:v>-0.28004412388537181</c:v>
                </c:pt>
                <c:pt idx="132">
                  <c:v>-0.27894145409775661</c:v>
                </c:pt>
                <c:pt idx="133">
                  <c:v>-0.27939771779823686</c:v>
                </c:pt>
                <c:pt idx="134">
                  <c:v>-0.27942926196056161</c:v>
                </c:pt>
                <c:pt idx="135">
                  <c:v>-0.27924599178841403</c:v>
                </c:pt>
                <c:pt idx="136">
                  <c:v>-0.27968715609911998</c:v>
                </c:pt>
                <c:pt idx="137">
                  <c:v>-0.28118264918341052</c:v>
                </c:pt>
                <c:pt idx="138">
                  <c:v>-0.27975915870629564</c:v>
                </c:pt>
                <c:pt idx="139">
                  <c:v>-0.27866858891853652</c:v>
                </c:pt>
                <c:pt idx="140">
                  <c:v>-0.27967852659182701</c:v>
                </c:pt>
                <c:pt idx="141">
                  <c:v>-0.27949658854062631</c:v>
                </c:pt>
                <c:pt idx="142">
                  <c:v>-0.27965859071655164</c:v>
                </c:pt>
                <c:pt idx="143">
                  <c:v>-0.28016556462028708</c:v>
                </c:pt>
                <c:pt idx="144">
                  <c:v>-0.27995112851265103</c:v>
                </c:pt>
                <c:pt idx="145">
                  <c:v>-0.27970750023856084</c:v>
                </c:pt>
                <c:pt idx="146">
                  <c:v>-0.27923082576393332</c:v>
                </c:pt>
                <c:pt idx="147">
                  <c:v>-0.27961878113800742</c:v>
                </c:pt>
                <c:pt idx="148">
                  <c:v>-0.2788779537383127</c:v>
                </c:pt>
                <c:pt idx="149">
                  <c:v>-0.2788027600490548</c:v>
                </c:pt>
                <c:pt idx="150">
                  <c:v>-0.27972172015215213</c:v>
                </c:pt>
                <c:pt idx="151">
                  <c:v>-0.27861280462113447</c:v>
                </c:pt>
                <c:pt idx="152">
                  <c:v>-0.27960365979926327</c:v>
                </c:pt>
                <c:pt idx="153">
                  <c:v>-0.27902358316091203</c:v>
                </c:pt>
                <c:pt idx="154">
                  <c:v>-0.27949352127964633</c:v>
                </c:pt>
                <c:pt idx="155">
                  <c:v>-0.27983321579101306</c:v>
                </c:pt>
                <c:pt idx="156">
                  <c:v>-0.27987218250827683</c:v>
                </c:pt>
                <c:pt idx="157">
                  <c:v>-0.27960842474223135</c:v>
                </c:pt>
                <c:pt idx="158">
                  <c:v>-0.27969673224356706</c:v>
                </c:pt>
                <c:pt idx="159">
                  <c:v>-0.27942560379723203</c:v>
                </c:pt>
                <c:pt idx="160">
                  <c:v>-0.2788513576680749</c:v>
                </c:pt>
                <c:pt idx="161">
                  <c:v>-0.28006638872162215</c:v>
                </c:pt>
                <c:pt idx="162">
                  <c:v>-0.28009634935820127</c:v>
                </c:pt>
                <c:pt idx="163">
                  <c:v>-0.27983104242020396</c:v>
                </c:pt>
                <c:pt idx="164">
                  <c:v>-0.27992403850544656</c:v>
                </c:pt>
                <c:pt idx="165">
                  <c:v>-0.2806326068112367</c:v>
                </c:pt>
                <c:pt idx="166">
                  <c:v>-0.28084417279301011</c:v>
                </c:pt>
                <c:pt idx="167">
                  <c:v>-0.28008272532609868</c:v>
                </c:pt>
                <c:pt idx="168">
                  <c:v>-0.2797087950049677</c:v>
                </c:pt>
                <c:pt idx="169">
                  <c:v>-0.27983455483258257</c:v>
                </c:pt>
                <c:pt idx="170">
                  <c:v>-0.27923965319423305</c:v>
                </c:pt>
                <c:pt idx="171">
                  <c:v>-0.27988769329980956</c:v>
                </c:pt>
                <c:pt idx="172">
                  <c:v>-0.27938835984817478</c:v>
                </c:pt>
                <c:pt idx="173">
                  <c:v>-0.27967487317624817</c:v>
                </c:pt>
                <c:pt idx="174">
                  <c:v>-0.27968136917286657</c:v>
                </c:pt>
                <c:pt idx="175">
                  <c:v>-0.27858775325219687</c:v>
                </c:pt>
                <c:pt idx="176">
                  <c:v>-0.2790889778007567</c:v>
                </c:pt>
                <c:pt idx="177">
                  <c:v>-0.2804221982063595</c:v>
                </c:pt>
                <c:pt idx="178">
                  <c:v>-0.27965909960297242</c:v>
                </c:pt>
                <c:pt idx="179">
                  <c:v>-0.27965855450073163</c:v>
                </c:pt>
                <c:pt idx="180">
                  <c:v>-0.27978876026190314</c:v>
                </c:pt>
                <c:pt idx="181">
                  <c:v>-0.28069112205998303</c:v>
                </c:pt>
                <c:pt idx="182">
                  <c:v>-0.27841411772265112</c:v>
                </c:pt>
                <c:pt idx="183">
                  <c:v>-0.27947563811094556</c:v>
                </c:pt>
                <c:pt idx="184">
                  <c:v>-0.27985893915899307</c:v>
                </c:pt>
                <c:pt idx="185">
                  <c:v>-0.27939435349236064</c:v>
                </c:pt>
                <c:pt idx="186">
                  <c:v>-0.27988458650332948</c:v>
                </c:pt>
                <c:pt idx="187">
                  <c:v>-0.27941463878466399</c:v>
                </c:pt>
                <c:pt idx="188">
                  <c:v>-0.28016303766255368</c:v>
                </c:pt>
                <c:pt idx="189">
                  <c:v>-0.27880079307554984</c:v>
                </c:pt>
                <c:pt idx="190">
                  <c:v>-0.27925583339098581</c:v>
                </c:pt>
                <c:pt idx="191">
                  <c:v>-0.27944388227441008</c:v>
                </c:pt>
                <c:pt idx="192">
                  <c:v>-0.27925166410777702</c:v>
                </c:pt>
                <c:pt idx="193">
                  <c:v>-0.27905380335677021</c:v>
                </c:pt>
                <c:pt idx="194">
                  <c:v>-0.27929072851441983</c:v>
                </c:pt>
                <c:pt idx="195">
                  <c:v>-0.27919564321215917</c:v>
                </c:pt>
                <c:pt idx="196">
                  <c:v>-0.27964272706808146</c:v>
                </c:pt>
                <c:pt idx="197">
                  <c:v>-0.27961500748452206</c:v>
                </c:pt>
                <c:pt idx="198">
                  <c:v>-0.27951510694771509</c:v>
                </c:pt>
                <c:pt idx="199">
                  <c:v>-0.27907600202499649</c:v>
                </c:pt>
                <c:pt idx="200">
                  <c:v>-0.27945041250242253</c:v>
                </c:pt>
                <c:pt idx="201">
                  <c:v>-0.27958874897868224</c:v>
                </c:pt>
                <c:pt idx="202">
                  <c:v>-0.27940631688371265</c:v>
                </c:pt>
                <c:pt idx="203">
                  <c:v>-0.27917908722281171</c:v>
                </c:pt>
                <c:pt idx="204">
                  <c:v>-0.27874518340630638</c:v>
                </c:pt>
                <c:pt idx="205">
                  <c:v>-0.27917160430398147</c:v>
                </c:pt>
                <c:pt idx="206">
                  <c:v>-0.28014315779543797</c:v>
                </c:pt>
                <c:pt idx="207">
                  <c:v>-0.27901500471519713</c:v>
                </c:pt>
                <c:pt idx="208">
                  <c:v>-0.2791261976310192</c:v>
                </c:pt>
                <c:pt idx="209">
                  <c:v>-0.28001557000569066</c:v>
                </c:pt>
                <c:pt idx="210">
                  <c:v>-0.2787519103023105</c:v>
                </c:pt>
                <c:pt idx="211">
                  <c:v>-0.27968966748234392</c:v>
                </c:pt>
                <c:pt idx="212">
                  <c:v>-0.27962185621569924</c:v>
                </c:pt>
                <c:pt idx="213">
                  <c:v>-0.27904103771259448</c:v>
                </c:pt>
                <c:pt idx="214">
                  <c:v>-0.27914318354954137</c:v>
                </c:pt>
                <c:pt idx="215">
                  <c:v>-0.27968532490041109</c:v>
                </c:pt>
                <c:pt idx="216">
                  <c:v>-0.27883136462370384</c:v>
                </c:pt>
                <c:pt idx="217">
                  <c:v>-0.2799450867105332</c:v>
                </c:pt>
                <c:pt idx="218">
                  <c:v>-0.27900803610177238</c:v>
                </c:pt>
                <c:pt idx="219">
                  <c:v>-0.27967653888845845</c:v>
                </c:pt>
                <c:pt idx="220">
                  <c:v>-0.27974581430836676</c:v>
                </c:pt>
                <c:pt idx="221">
                  <c:v>-0.27935990358848872</c:v>
                </c:pt>
                <c:pt idx="222">
                  <c:v>-0.27952819042122035</c:v>
                </c:pt>
                <c:pt idx="223">
                  <c:v>-0.27925176495696047</c:v>
                </c:pt>
                <c:pt idx="224">
                  <c:v>-0.27967964091248088</c:v>
                </c:pt>
                <c:pt idx="225">
                  <c:v>-0.27965934698718298</c:v>
                </c:pt>
                <c:pt idx="226">
                  <c:v>-0.27969170292707657</c:v>
                </c:pt>
                <c:pt idx="227">
                  <c:v>-0.27897660227535537</c:v>
                </c:pt>
                <c:pt idx="228">
                  <c:v>-0.28001390353989541</c:v>
                </c:pt>
                <c:pt idx="229">
                  <c:v>-0.27997993916719821</c:v>
                </c:pt>
                <c:pt idx="230">
                  <c:v>-0.27916045189599814</c:v>
                </c:pt>
                <c:pt idx="231">
                  <c:v>-0.27886075541532973</c:v>
                </c:pt>
                <c:pt idx="232">
                  <c:v>-0.2792433639092996</c:v>
                </c:pt>
                <c:pt idx="233">
                  <c:v>-0.2794925336287396</c:v>
                </c:pt>
                <c:pt idx="234">
                  <c:v>-0.27880665481119304</c:v>
                </c:pt>
                <c:pt idx="235">
                  <c:v>-0.27967251778462177</c:v>
                </c:pt>
                <c:pt idx="236">
                  <c:v>-0.27889783322305139</c:v>
                </c:pt>
                <c:pt idx="237">
                  <c:v>-0.27852912657475382</c:v>
                </c:pt>
                <c:pt idx="238">
                  <c:v>-0.28006116149527782</c:v>
                </c:pt>
                <c:pt idx="239">
                  <c:v>-0.27996707887771211</c:v>
                </c:pt>
                <c:pt idx="240">
                  <c:v>-0.28010481457321135</c:v>
                </c:pt>
                <c:pt idx="241">
                  <c:v>-0.27998640095386573</c:v>
                </c:pt>
                <c:pt idx="242">
                  <c:v>-0.2802986823470387</c:v>
                </c:pt>
                <c:pt idx="243">
                  <c:v>-0.28044811144030302</c:v>
                </c:pt>
                <c:pt idx="244">
                  <c:v>-0.28036824184160747</c:v>
                </c:pt>
                <c:pt idx="245">
                  <c:v>-0.28066932596584349</c:v>
                </c:pt>
                <c:pt idx="246">
                  <c:v>-0.27914233177831593</c:v>
                </c:pt>
                <c:pt idx="247">
                  <c:v>-0.27946991124736786</c:v>
                </c:pt>
                <c:pt idx="248">
                  <c:v>-0.27864073048428384</c:v>
                </c:pt>
                <c:pt idx="249">
                  <c:v>-0.27998864736522611</c:v>
                </c:pt>
                <c:pt idx="250">
                  <c:v>-0.279939897762568</c:v>
                </c:pt>
                <c:pt idx="251">
                  <c:v>-0.27954860585607355</c:v>
                </c:pt>
                <c:pt idx="252">
                  <c:v>-0.28005882916990799</c:v>
                </c:pt>
                <c:pt idx="253">
                  <c:v>-0.27978247598105621</c:v>
                </c:pt>
                <c:pt idx="254">
                  <c:v>-0.27961580300608702</c:v>
                </c:pt>
                <c:pt idx="255">
                  <c:v>-0.27896629122806715</c:v>
                </c:pt>
                <c:pt idx="256">
                  <c:v>-0.28013121731402757</c:v>
                </c:pt>
                <c:pt idx="257">
                  <c:v>-0.27993608575040174</c:v>
                </c:pt>
                <c:pt idx="258">
                  <c:v>-0.27863944784669525</c:v>
                </c:pt>
                <c:pt idx="259">
                  <c:v>-0.28021230728401181</c:v>
                </c:pt>
                <c:pt idx="260">
                  <c:v>-0.28031564506527917</c:v>
                </c:pt>
                <c:pt idx="261">
                  <c:v>-0.28036346086271124</c:v>
                </c:pt>
                <c:pt idx="262">
                  <c:v>-0.27932499867611071</c:v>
                </c:pt>
                <c:pt idx="263">
                  <c:v>-0.28008707337817107</c:v>
                </c:pt>
                <c:pt idx="264">
                  <c:v>-0.27978103624091533</c:v>
                </c:pt>
                <c:pt idx="265">
                  <c:v>-0.27995143448901216</c:v>
                </c:pt>
                <c:pt idx="266">
                  <c:v>-0.2798879032989614</c:v>
                </c:pt>
                <c:pt idx="267">
                  <c:v>-0.27939728012771115</c:v>
                </c:pt>
                <c:pt idx="268">
                  <c:v>-0.2790242080157499</c:v>
                </c:pt>
                <c:pt idx="269">
                  <c:v>-0.27959391354984275</c:v>
                </c:pt>
                <c:pt idx="270">
                  <c:v>-0.27982913233218842</c:v>
                </c:pt>
                <c:pt idx="271">
                  <c:v>-0.2790346185268906</c:v>
                </c:pt>
                <c:pt idx="272">
                  <c:v>-0.28019086275317051</c:v>
                </c:pt>
                <c:pt idx="273">
                  <c:v>-0.28014858298651102</c:v>
                </c:pt>
                <c:pt idx="274">
                  <c:v>-0.27996179892050943</c:v>
                </c:pt>
                <c:pt idx="275">
                  <c:v>-0.27892269083290833</c:v>
                </c:pt>
                <c:pt idx="276">
                  <c:v>-0.27980012168535251</c:v>
                </c:pt>
                <c:pt idx="277">
                  <c:v>-0.27901461669448036</c:v>
                </c:pt>
                <c:pt idx="278">
                  <c:v>-0.28025269218507853</c:v>
                </c:pt>
                <c:pt idx="279">
                  <c:v>-0.28077796264152333</c:v>
                </c:pt>
                <c:pt idx="280">
                  <c:v>-0.27937275103155634</c:v>
                </c:pt>
                <c:pt idx="281">
                  <c:v>-0.27974017317692434</c:v>
                </c:pt>
                <c:pt idx="282">
                  <c:v>-0.27870133468904223</c:v>
                </c:pt>
                <c:pt idx="283">
                  <c:v>-0.27985274129308479</c:v>
                </c:pt>
                <c:pt idx="284">
                  <c:v>-0.28029397398323463</c:v>
                </c:pt>
                <c:pt idx="285">
                  <c:v>-0.27954835228034958</c:v>
                </c:pt>
                <c:pt idx="286">
                  <c:v>-0.27978196719328186</c:v>
                </c:pt>
                <c:pt idx="287">
                  <c:v>-0.28072344988991904</c:v>
                </c:pt>
                <c:pt idx="288">
                  <c:v>-0.27960979996603086</c:v>
                </c:pt>
                <c:pt idx="289">
                  <c:v>-0.27930115664231558</c:v>
                </c:pt>
                <c:pt idx="290">
                  <c:v>-0.27917614548877767</c:v>
                </c:pt>
                <c:pt idx="291">
                  <c:v>-0.27919669155589255</c:v>
                </c:pt>
                <c:pt idx="292">
                  <c:v>-0.27921545952963089</c:v>
                </c:pt>
                <c:pt idx="293">
                  <c:v>-0.27924513797702777</c:v>
                </c:pt>
                <c:pt idx="294">
                  <c:v>-0.27994683680349375</c:v>
                </c:pt>
                <c:pt idx="295">
                  <c:v>-0.27952720851095025</c:v>
                </c:pt>
                <c:pt idx="296">
                  <c:v>-0.27975930463230902</c:v>
                </c:pt>
                <c:pt idx="297">
                  <c:v>-0.27997253798753563</c:v>
                </c:pt>
                <c:pt idx="298">
                  <c:v>-0.27948995121844589</c:v>
                </c:pt>
                <c:pt idx="299">
                  <c:v>-0.2794291426136517</c:v>
                </c:pt>
                <c:pt idx="300">
                  <c:v>-0.27978087783844929</c:v>
                </c:pt>
                <c:pt idx="301">
                  <c:v>-0.2789894463724486</c:v>
                </c:pt>
                <c:pt idx="302">
                  <c:v>-0.2790507452156713</c:v>
                </c:pt>
                <c:pt idx="303">
                  <c:v>-0.27990343259030281</c:v>
                </c:pt>
                <c:pt idx="304">
                  <c:v>-0.27959556069971991</c:v>
                </c:pt>
                <c:pt idx="305">
                  <c:v>-0.27976543821950928</c:v>
                </c:pt>
                <c:pt idx="306">
                  <c:v>-0.28004251614066478</c:v>
                </c:pt>
                <c:pt idx="307">
                  <c:v>-0.27902767995457778</c:v>
                </c:pt>
                <c:pt idx="308">
                  <c:v>-0.27918500736810048</c:v>
                </c:pt>
                <c:pt idx="309">
                  <c:v>-0.28063705029564578</c:v>
                </c:pt>
                <c:pt idx="310">
                  <c:v>-0.27960642628355503</c:v>
                </c:pt>
                <c:pt idx="311">
                  <c:v>-0.28026997116591645</c:v>
                </c:pt>
                <c:pt idx="312">
                  <c:v>-0.27933171647071853</c:v>
                </c:pt>
                <c:pt idx="313">
                  <c:v>-0.27958068059231256</c:v>
                </c:pt>
                <c:pt idx="314">
                  <c:v>-0.27964805215410438</c:v>
                </c:pt>
                <c:pt idx="315">
                  <c:v>-0.27957006832341025</c:v>
                </c:pt>
                <c:pt idx="316">
                  <c:v>-0.27894064089493253</c:v>
                </c:pt>
                <c:pt idx="317">
                  <c:v>-0.27933194137398754</c:v>
                </c:pt>
                <c:pt idx="318">
                  <c:v>-0.27917069350473123</c:v>
                </c:pt>
                <c:pt idx="319">
                  <c:v>-0.28058298932171943</c:v>
                </c:pt>
                <c:pt idx="320">
                  <c:v>-0.2795626287146834</c:v>
                </c:pt>
                <c:pt idx="321">
                  <c:v>-0.27923667650498207</c:v>
                </c:pt>
                <c:pt idx="322">
                  <c:v>-0.2791304424845652</c:v>
                </c:pt>
                <c:pt idx="323">
                  <c:v>-0.28033966306287417</c:v>
                </c:pt>
                <c:pt idx="324">
                  <c:v>-0.27950372440627358</c:v>
                </c:pt>
                <c:pt idx="325">
                  <c:v>-0.28062605555290421</c:v>
                </c:pt>
                <c:pt idx="326">
                  <c:v>-0.27887984537110122</c:v>
                </c:pt>
                <c:pt idx="327">
                  <c:v>-0.2783909063065112</c:v>
                </c:pt>
                <c:pt idx="328">
                  <c:v>-0.27920608858366092</c:v>
                </c:pt>
                <c:pt idx="329">
                  <c:v>-0.27886232277359846</c:v>
                </c:pt>
                <c:pt idx="330">
                  <c:v>-0.27919850862524742</c:v>
                </c:pt>
                <c:pt idx="331">
                  <c:v>-0.27950946565040902</c:v>
                </c:pt>
                <c:pt idx="332">
                  <c:v>-0.2790160896750592</c:v>
                </c:pt>
                <c:pt idx="333">
                  <c:v>-0.27895766765991459</c:v>
                </c:pt>
                <c:pt idx="334">
                  <c:v>-0.2798959042353959</c:v>
                </c:pt>
                <c:pt idx="335">
                  <c:v>-0.27969862651361554</c:v>
                </c:pt>
                <c:pt idx="336">
                  <c:v>-0.27886525955612518</c:v>
                </c:pt>
                <c:pt idx="337">
                  <c:v>-0.2798436468027139</c:v>
                </c:pt>
                <c:pt idx="338">
                  <c:v>-0.28052542864618413</c:v>
                </c:pt>
                <c:pt idx="339">
                  <c:v>-0.27983962756219194</c:v>
                </c:pt>
                <c:pt idx="340">
                  <c:v>-0.27931946003311303</c:v>
                </c:pt>
                <c:pt idx="341">
                  <c:v>-0.27945333139846784</c:v>
                </c:pt>
                <c:pt idx="342">
                  <c:v>-0.28024272291136598</c:v>
                </c:pt>
                <c:pt idx="343">
                  <c:v>-0.28033727823118659</c:v>
                </c:pt>
                <c:pt idx="344">
                  <c:v>-0.27936109956227007</c:v>
                </c:pt>
                <c:pt idx="345">
                  <c:v>-0.27993339316774135</c:v>
                </c:pt>
                <c:pt idx="346">
                  <c:v>-0.27815545821428089</c:v>
                </c:pt>
                <c:pt idx="347">
                  <c:v>-0.27925057402948306</c:v>
                </c:pt>
                <c:pt idx="348">
                  <c:v>-0.28004821664342516</c:v>
                </c:pt>
                <c:pt idx="349">
                  <c:v>-0.2795150152725655</c:v>
                </c:pt>
                <c:pt idx="350">
                  <c:v>-0.27961084753429089</c:v>
                </c:pt>
                <c:pt idx="351">
                  <c:v>-0.27952477826134092</c:v>
                </c:pt>
                <c:pt idx="352">
                  <c:v>-0.28017963533208579</c:v>
                </c:pt>
                <c:pt idx="353">
                  <c:v>-0.28018164760510078</c:v>
                </c:pt>
                <c:pt idx="354">
                  <c:v>-0.27874388028018382</c:v>
                </c:pt>
                <c:pt idx="355">
                  <c:v>-0.27979469214283659</c:v>
                </c:pt>
                <c:pt idx="356">
                  <c:v>-0.2794004251468557</c:v>
                </c:pt>
                <c:pt idx="357">
                  <c:v>-0.27961981550592518</c:v>
                </c:pt>
                <c:pt idx="358">
                  <c:v>-0.27959349467115335</c:v>
                </c:pt>
                <c:pt idx="359">
                  <c:v>-0.27877476459054773</c:v>
                </c:pt>
                <c:pt idx="360">
                  <c:v>-0.27904153758082706</c:v>
                </c:pt>
                <c:pt idx="361">
                  <c:v>-0.27952668860060714</c:v>
                </c:pt>
                <c:pt idx="362">
                  <c:v>-0.28002182758277527</c:v>
                </c:pt>
                <c:pt idx="363">
                  <c:v>-0.28088168520815904</c:v>
                </c:pt>
                <c:pt idx="364">
                  <c:v>-0.27951723434566622</c:v>
                </c:pt>
                <c:pt idx="365">
                  <c:v>-0.27854602877502732</c:v>
                </c:pt>
                <c:pt idx="366">
                  <c:v>-0.28024411769112212</c:v>
                </c:pt>
                <c:pt idx="367">
                  <c:v>-0.28019379477163286</c:v>
                </c:pt>
                <c:pt idx="368">
                  <c:v>-0.27866914858035996</c:v>
                </c:pt>
                <c:pt idx="369">
                  <c:v>-0.27931154778551071</c:v>
                </c:pt>
                <c:pt idx="370">
                  <c:v>-0.27897295014693846</c:v>
                </c:pt>
                <c:pt idx="371">
                  <c:v>-0.27972441323465203</c:v>
                </c:pt>
                <c:pt idx="372">
                  <c:v>-0.27946833740346166</c:v>
                </c:pt>
                <c:pt idx="373">
                  <c:v>-0.27966479300675362</c:v>
                </c:pt>
                <c:pt idx="374">
                  <c:v>-0.28018678513731177</c:v>
                </c:pt>
                <c:pt idx="375">
                  <c:v>-0.2795021627017098</c:v>
                </c:pt>
                <c:pt idx="376">
                  <c:v>-0.27924487570098366</c:v>
                </c:pt>
                <c:pt idx="377">
                  <c:v>-0.2789056393874102</c:v>
                </c:pt>
                <c:pt idx="378">
                  <c:v>-0.27914172982378516</c:v>
                </c:pt>
                <c:pt idx="379">
                  <c:v>-0.27943986890475669</c:v>
                </c:pt>
                <c:pt idx="380">
                  <c:v>-0.28011429543166666</c:v>
                </c:pt>
                <c:pt idx="381">
                  <c:v>-0.27962657804554147</c:v>
                </c:pt>
                <c:pt idx="382">
                  <c:v>-0.27957305522258302</c:v>
                </c:pt>
                <c:pt idx="383">
                  <c:v>-0.27923823952089144</c:v>
                </c:pt>
                <c:pt idx="384">
                  <c:v>-0.27907110600025131</c:v>
                </c:pt>
                <c:pt idx="385">
                  <c:v>-0.28048927101769106</c:v>
                </c:pt>
                <c:pt idx="386">
                  <c:v>-0.27916941044166965</c:v>
                </c:pt>
                <c:pt idx="387">
                  <c:v>-0.27943143687268079</c:v>
                </c:pt>
                <c:pt idx="388">
                  <c:v>-0.27952684831605934</c:v>
                </c:pt>
                <c:pt idx="389">
                  <c:v>-0.28010704013823717</c:v>
                </c:pt>
                <c:pt idx="390">
                  <c:v>-0.27959756474069297</c:v>
                </c:pt>
                <c:pt idx="391">
                  <c:v>-0.28003461102877059</c:v>
                </c:pt>
                <c:pt idx="392">
                  <c:v>-0.2803498298001148</c:v>
                </c:pt>
                <c:pt idx="393">
                  <c:v>-0.28011133355231854</c:v>
                </c:pt>
                <c:pt idx="394">
                  <c:v>-0.2795270028847826</c:v>
                </c:pt>
                <c:pt idx="395">
                  <c:v>-0.27951426534157342</c:v>
                </c:pt>
                <c:pt idx="396">
                  <c:v>-0.28027268894054913</c:v>
                </c:pt>
                <c:pt idx="397">
                  <c:v>-0.28025459460174884</c:v>
                </c:pt>
                <c:pt idx="398">
                  <c:v>-0.28003695200397882</c:v>
                </c:pt>
                <c:pt idx="399">
                  <c:v>-0.27956867452526879</c:v>
                </c:pt>
                <c:pt idx="400">
                  <c:v>-0.27842607359806237</c:v>
                </c:pt>
                <c:pt idx="401">
                  <c:v>-0.28053426781005908</c:v>
                </c:pt>
                <c:pt idx="402">
                  <c:v>-0.27896939067115256</c:v>
                </c:pt>
                <c:pt idx="403">
                  <c:v>-0.27921327638899385</c:v>
                </c:pt>
                <c:pt idx="404">
                  <c:v>-0.27964662617812441</c:v>
                </c:pt>
                <c:pt idx="405">
                  <c:v>-0.27964301093172195</c:v>
                </c:pt>
                <c:pt idx="406">
                  <c:v>-0.27938201669441554</c:v>
                </c:pt>
                <c:pt idx="407">
                  <c:v>-0.27911239267367471</c:v>
                </c:pt>
                <c:pt idx="408">
                  <c:v>-0.27959903527417806</c:v>
                </c:pt>
                <c:pt idx="409">
                  <c:v>-0.2793982495926699</c:v>
                </c:pt>
                <c:pt idx="410">
                  <c:v>-0.28037774605013821</c:v>
                </c:pt>
                <c:pt idx="411">
                  <c:v>-0.27949240669976438</c:v>
                </c:pt>
                <c:pt idx="412">
                  <c:v>-0.27983918882749859</c:v>
                </c:pt>
                <c:pt idx="413">
                  <c:v>-0.27937585843601753</c:v>
                </c:pt>
                <c:pt idx="414">
                  <c:v>-0.27998778536240521</c:v>
                </c:pt>
                <c:pt idx="415">
                  <c:v>-0.27863705921305781</c:v>
                </c:pt>
                <c:pt idx="416">
                  <c:v>-0.27889951263642476</c:v>
                </c:pt>
                <c:pt idx="417">
                  <c:v>-0.2789529393916742</c:v>
                </c:pt>
                <c:pt idx="418">
                  <c:v>-0.28025550985548586</c:v>
                </c:pt>
                <c:pt idx="419">
                  <c:v>-0.28012569199036053</c:v>
                </c:pt>
                <c:pt idx="420">
                  <c:v>-0.27806512410882422</c:v>
                </c:pt>
                <c:pt idx="421">
                  <c:v>-0.27932544396055614</c:v>
                </c:pt>
                <c:pt idx="422">
                  <c:v>-0.27964662691081932</c:v>
                </c:pt>
                <c:pt idx="423">
                  <c:v>-0.27999063549950332</c:v>
                </c:pt>
                <c:pt idx="424">
                  <c:v>-0.2798685934606181</c:v>
                </c:pt>
                <c:pt idx="425">
                  <c:v>-0.28009917408531726</c:v>
                </c:pt>
                <c:pt idx="426">
                  <c:v>-0.27934102713747277</c:v>
                </c:pt>
                <c:pt idx="427">
                  <c:v>-0.27921627676755234</c:v>
                </c:pt>
                <c:pt idx="428">
                  <c:v>-0.27976112382618434</c:v>
                </c:pt>
                <c:pt idx="429">
                  <c:v>-0.27887321543561405</c:v>
                </c:pt>
                <c:pt idx="430">
                  <c:v>-0.27924014759044502</c:v>
                </c:pt>
                <c:pt idx="431">
                  <c:v>-0.27993384138568922</c:v>
                </c:pt>
                <c:pt idx="432">
                  <c:v>-0.27947160645782665</c:v>
                </c:pt>
                <c:pt idx="433">
                  <c:v>-0.27912862624786516</c:v>
                </c:pt>
                <c:pt idx="434">
                  <c:v>-0.27996747212763018</c:v>
                </c:pt>
                <c:pt idx="435">
                  <c:v>-0.2790482532937707</c:v>
                </c:pt>
                <c:pt idx="436">
                  <c:v>-0.27862857640119643</c:v>
                </c:pt>
                <c:pt idx="437">
                  <c:v>-0.27958789815372831</c:v>
                </c:pt>
                <c:pt idx="438">
                  <c:v>-0.27993799434178435</c:v>
                </c:pt>
                <c:pt idx="439">
                  <c:v>-0.28004862882146186</c:v>
                </c:pt>
                <c:pt idx="440">
                  <c:v>-0.27996815272493414</c:v>
                </c:pt>
                <c:pt idx="441">
                  <c:v>-0.27937606473611021</c:v>
                </c:pt>
                <c:pt idx="442">
                  <c:v>-0.27975219735956669</c:v>
                </c:pt>
                <c:pt idx="443">
                  <c:v>-0.27962306883222898</c:v>
                </c:pt>
                <c:pt idx="444">
                  <c:v>-0.2801036317347696</c:v>
                </c:pt>
                <c:pt idx="445">
                  <c:v>-0.27932455253314425</c:v>
                </c:pt>
                <c:pt idx="446">
                  <c:v>-0.27939772758896908</c:v>
                </c:pt>
                <c:pt idx="447">
                  <c:v>-0.2799576189380848</c:v>
                </c:pt>
                <c:pt idx="448">
                  <c:v>-0.27954599458613372</c:v>
                </c:pt>
                <c:pt idx="449">
                  <c:v>-0.28015101798903819</c:v>
                </c:pt>
                <c:pt idx="450">
                  <c:v>-0.27841842079104762</c:v>
                </c:pt>
                <c:pt idx="451">
                  <c:v>-0.27868310757737713</c:v>
                </c:pt>
                <c:pt idx="452">
                  <c:v>-0.27921196291059436</c:v>
                </c:pt>
                <c:pt idx="453">
                  <c:v>-0.27978254590889329</c:v>
                </c:pt>
                <c:pt idx="454">
                  <c:v>-0.28027729994495043</c:v>
                </c:pt>
                <c:pt idx="455">
                  <c:v>-0.27990033609233667</c:v>
                </c:pt>
                <c:pt idx="456">
                  <c:v>-0.27985568211322764</c:v>
                </c:pt>
                <c:pt idx="457">
                  <c:v>-0.2799915177831892</c:v>
                </c:pt>
                <c:pt idx="458">
                  <c:v>-0.27885094137752586</c:v>
                </c:pt>
                <c:pt idx="459">
                  <c:v>-0.27827048096737672</c:v>
                </c:pt>
                <c:pt idx="460">
                  <c:v>-0.27942412210027567</c:v>
                </c:pt>
                <c:pt idx="461">
                  <c:v>-0.27958947418791402</c:v>
                </c:pt>
                <c:pt idx="462">
                  <c:v>-0.27901034215782816</c:v>
                </c:pt>
                <c:pt idx="463">
                  <c:v>-0.28071523530274645</c:v>
                </c:pt>
                <c:pt idx="464">
                  <c:v>-0.2806172729772104</c:v>
                </c:pt>
                <c:pt idx="465">
                  <c:v>-0.28033795621473334</c:v>
                </c:pt>
                <c:pt idx="466">
                  <c:v>-0.27958050830378745</c:v>
                </c:pt>
                <c:pt idx="467">
                  <c:v>-0.27898564926369462</c:v>
                </c:pt>
                <c:pt idx="468">
                  <c:v>-0.27919227129901036</c:v>
                </c:pt>
                <c:pt idx="469">
                  <c:v>-0.28071929037183529</c:v>
                </c:pt>
                <c:pt idx="470">
                  <c:v>-0.27962538445736762</c:v>
                </c:pt>
                <c:pt idx="471">
                  <c:v>-0.27929166665137717</c:v>
                </c:pt>
                <c:pt idx="472">
                  <c:v>-0.27974547481576961</c:v>
                </c:pt>
                <c:pt idx="473">
                  <c:v>-0.27955925556975669</c:v>
                </c:pt>
                <c:pt idx="474">
                  <c:v>-0.28002960425019852</c:v>
                </c:pt>
                <c:pt idx="475">
                  <c:v>-0.27933424380808802</c:v>
                </c:pt>
                <c:pt idx="476">
                  <c:v>-0.27818350510787615</c:v>
                </c:pt>
                <c:pt idx="477">
                  <c:v>-0.28014009204086965</c:v>
                </c:pt>
                <c:pt idx="478">
                  <c:v>-0.2790287958725689</c:v>
                </c:pt>
                <c:pt idx="479">
                  <c:v>-0.27994015052819421</c:v>
                </c:pt>
                <c:pt idx="480">
                  <c:v>-0.27954834448940769</c:v>
                </c:pt>
                <c:pt idx="481">
                  <c:v>-0.2789754579385364</c:v>
                </c:pt>
                <c:pt idx="482">
                  <c:v>-0.27945580205858378</c:v>
                </c:pt>
                <c:pt idx="483">
                  <c:v>-0.27889789025732625</c:v>
                </c:pt>
                <c:pt idx="484">
                  <c:v>-0.27906394712603555</c:v>
                </c:pt>
                <c:pt idx="485">
                  <c:v>-0.27896647989355328</c:v>
                </c:pt>
                <c:pt idx="486">
                  <c:v>-0.27977180032865312</c:v>
                </c:pt>
                <c:pt idx="487">
                  <c:v>-0.27989422495192828</c:v>
                </c:pt>
                <c:pt idx="488">
                  <c:v>-0.27908035518009011</c:v>
                </c:pt>
                <c:pt idx="489">
                  <c:v>-0.2800493798608642</c:v>
                </c:pt>
                <c:pt idx="490">
                  <c:v>-0.28035662576977816</c:v>
                </c:pt>
                <c:pt idx="491">
                  <c:v>-0.27932007067257092</c:v>
                </c:pt>
                <c:pt idx="492">
                  <c:v>-0.28012931345039049</c:v>
                </c:pt>
                <c:pt idx="493">
                  <c:v>-0.27894681281996425</c:v>
                </c:pt>
                <c:pt idx="494">
                  <c:v>-0.27991591776749647</c:v>
                </c:pt>
                <c:pt idx="495">
                  <c:v>-0.27945599270772414</c:v>
                </c:pt>
                <c:pt idx="496">
                  <c:v>-0.27841971127830301</c:v>
                </c:pt>
                <c:pt idx="497">
                  <c:v>-0.27931445851340519</c:v>
                </c:pt>
                <c:pt idx="498">
                  <c:v>-0.28032709068707529</c:v>
                </c:pt>
                <c:pt idx="499">
                  <c:v>-0.27964049606886676</c:v>
                </c:pt>
                <c:pt idx="500">
                  <c:v>-0.27929713028326786</c:v>
                </c:pt>
                <c:pt idx="501">
                  <c:v>-0.27989230459009173</c:v>
                </c:pt>
                <c:pt idx="502">
                  <c:v>-0.27973802054275976</c:v>
                </c:pt>
                <c:pt idx="503">
                  <c:v>-0.27915746705618016</c:v>
                </c:pt>
                <c:pt idx="504">
                  <c:v>-0.27937429655776791</c:v>
                </c:pt>
                <c:pt idx="505">
                  <c:v>-0.27931926326747714</c:v>
                </c:pt>
                <c:pt idx="506">
                  <c:v>-0.27938837591813492</c:v>
                </c:pt>
                <c:pt idx="507">
                  <c:v>-0.27884657467207163</c:v>
                </c:pt>
                <c:pt idx="508">
                  <c:v>-0.27963130899936639</c:v>
                </c:pt>
                <c:pt idx="509">
                  <c:v>-0.27937328186938604</c:v>
                </c:pt>
                <c:pt idx="510">
                  <c:v>-0.28001717901089762</c:v>
                </c:pt>
                <c:pt idx="511">
                  <c:v>-0.28082612496301063</c:v>
                </c:pt>
                <c:pt idx="512">
                  <c:v>-0.27961816750659285</c:v>
                </c:pt>
                <c:pt idx="513">
                  <c:v>-0.27906013147382047</c:v>
                </c:pt>
                <c:pt idx="514">
                  <c:v>-0.2799859403618683</c:v>
                </c:pt>
                <c:pt idx="515">
                  <c:v>-0.27984796426786918</c:v>
                </c:pt>
                <c:pt idx="516">
                  <c:v>-0.27953734962163279</c:v>
                </c:pt>
                <c:pt idx="517">
                  <c:v>-0.27986890804938869</c:v>
                </c:pt>
                <c:pt idx="518">
                  <c:v>-0.27989484169869605</c:v>
                </c:pt>
                <c:pt idx="519">
                  <c:v>-0.2793763945103267</c:v>
                </c:pt>
                <c:pt idx="520">
                  <c:v>-0.27894279160597613</c:v>
                </c:pt>
                <c:pt idx="521">
                  <c:v>-0.27977529466722006</c:v>
                </c:pt>
                <c:pt idx="522">
                  <c:v>-0.27902321707567168</c:v>
                </c:pt>
                <c:pt idx="523">
                  <c:v>-0.27916213174403237</c:v>
                </c:pt>
                <c:pt idx="524">
                  <c:v>-0.27926272420982323</c:v>
                </c:pt>
                <c:pt idx="525">
                  <c:v>-0.27954897005320001</c:v>
                </c:pt>
                <c:pt idx="526">
                  <c:v>-0.27951090315405513</c:v>
                </c:pt>
                <c:pt idx="527">
                  <c:v>-0.27986947438784016</c:v>
                </c:pt>
                <c:pt idx="528">
                  <c:v>-0.27946932130824753</c:v>
                </c:pt>
                <c:pt idx="529">
                  <c:v>-0.27951383236027572</c:v>
                </c:pt>
                <c:pt idx="530">
                  <c:v>-0.28029094974016178</c:v>
                </c:pt>
                <c:pt idx="531">
                  <c:v>-0.27943700493877788</c:v>
                </c:pt>
                <c:pt idx="532">
                  <c:v>-0.27958535893937486</c:v>
                </c:pt>
                <c:pt idx="533">
                  <c:v>-0.27927088797262478</c:v>
                </c:pt>
                <c:pt idx="534">
                  <c:v>-0.27960031898025584</c:v>
                </c:pt>
                <c:pt idx="535">
                  <c:v>-0.27913454096034263</c:v>
                </c:pt>
                <c:pt idx="536">
                  <c:v>-0.28008500308460182</c:v>
                </c:pt>
                <c:pt idx="537">
                  <c:v>-0.28036255818871791</c:v>
                </c:pt>
                <c:pt idx="538">
                  <c:v>-0.28009983209259792</c:v>
                </c:pt>
                <c:pt idx="539">
                  <c:v>-0.27929056781486272</c:v>
                </c:pt>
                <c:pt idx="540">
                  <c:v>-0.28007225942546976</c:v>
                </c:pt>
                <c:pt idx="541">
                  <c:v>-0.27919057048803653</c:v>
                </c:pt>
                <c:pt idx="542">
                  <c:v>-0.28035375740664403</c:v>
                </c:pt>
                <c:pt idx="543">
                  <c:v>-0.27886019950442054</c:v>
                </c:pt>
                <c:pt idx="544">
                  <c:v>-0.27929880915606575</c:v>
                </c:pt>
                <c:pt idx="545">
                  <c:v>-0.27898045500033308</c:v>
                </c:pt>
                <c:pt idx="546">
                  <c:v>-0.28021782091245429</c:v>
                </c:pt>
                <c:pt idx="547">
                  <c:v>-0.2790065157488606</c:v>
                </c:pt>
                <c:pt idx="548">
                  <c:v>-0.27826628222269545</c:v>
                </c:pt>
                <c:pt idx="549">
                  <c:v>-0.27925952041138757</c:v>
                </c:pt>
                <c:pt idx="550">
                  <c:v>-0.2792138078613754</c:v>
                </c:pt>
                <c:pt idx="551">
                  <c:v>-0.27937202806043737</c:v>
                </c:pt>
                <c:pt idx="552">
                  <c:v>-0.2796311102352782</c:v>
                </c:pt>
                <c:pt idx="553">
                  <c:v>-0.27931539461492727</c:v>
                </c:pt>
                <c:pt idx="554">
                  <c:v>-0.27996809503155795</c:v>
                </c:pt>
                <c:pt idx="555">
                  <c:v>-0.28059829888962795</c:v>
                </c:pt>
                <c:pt idx="556">
                  <c:v>-0.2795815864994865</c:v>
                </c:pt>
                <c:pt idx="557">
                  <c:v>-0.27915451963211446</c:v>
                </c:pt>
                <c:pt idx="558">
                  <c:v>-0.27939625773532129</c:v>
                </c:pt>
                <c:pt idx="559">
                  <c:v>-0.27904739010664681</c:v>
                </c:pt>
                <c:pt idx="560">
                  <c:v>-0.28012019913740294</c:v>
                </c:pt>
                <c:pt idx="561">
                  <c:v>-0.27985791657229109</c:v>
                </c:pt>
                <c:pt idx="562">
                  <c:v>-0.27940330743510078</c:v>
                </c:pt>
                <c:pt idx="563">
                  <c:v>-0.27920822606351769</c:v>
                </c:pt>
                <c:pt idx="564">
                  <c:v>-0.28039477921436495</c:v>
                </c:pt>
                <c:pt idx="565">
                  <c:v>-0.27986745691682868</c:v>
                </c:pt>
                <c:pt idx="566">
                  <c:v>-0.28060683475822634</c:v>
                </c:pt>
                <c:pt idx="567">
                  <c:v>-0.27976208639219535</c:v>
                </c:pt>
                <c:pt idx="568">
                  <c:v>-0.2801647466424626</c:v>
                </c:pt>
                <c:pt idx="569">
                  <c:v>-0.27881774440195928</c:v>
                </c:pt>
                <c:pt idx="570">
                  <c:v>-0.27906595916859367</c:v>
                </c:pt>
                <c:pt idx="571">
                  <c:v>-0.2801735872006953</c:v>
                </c:pt>
                <c:pt idx="572">
                  <c:v>-0.27912416713918453</c:v>
                </c:pt>
                <c:pt idx="573">
                  <c:v>-0.2791736253362247</c:v>
                </c:pt>
                <c:pt idx="574">
                  <c:v>-0.28024235693027044</c:v>
                </c:pt>
                <c:pt idx="575">
                  <c:v>-0.28019696235124558</c:v>
                </c:pt>
                <c:pt idx="576">
                  <c:v>-0.27993051575669936</c:v>
                </c:pt>
                <c:pt idx="577">
                  <c:v>-0.27996165018639685</c:v>
                </c:pt>
                <c:pt idx="578">
                  <c:v>-0.27981941555098422</c:v>
                </c:pt>
                <c:pt idx="579">
                  <c:v>-0.27944464376823352</c:v>
                </c:pt>
                <c:pt idx="580">
                  <c:v>-0.2807256470384335</c:v>
                </c:pt>
                <c:pt idx="581">
                  <c:v>-0.27973515404930083</c:v>
                </c:pt>
                <c:pt idx="582">
                  <c:v>-0.27906736613452643</c:v>
                </c:pt>
                <c:pt idx="583">
                  <c:v>-0.27963419981314486</c:v>
                </c:pt>
                <c:pt idx="584">
                  <c:v>-0.27952434078985045</c:v>
                </c:pt>
                <c:pt idx="585">
                  <c:v>-0.28027730895287517</c:v>
                </c:pt>
                <c:pt idx="586">
                  <c:v>-0.28006010609447973</c:v>
                </c:pt>
                <c:pt idx="587">
                  <c:v>-0.27904019799383606</c:v>
                </c:pt>
                <c:pt idx="588">
                  <c:v>-0.27935915405439893</c:v>
                </c:pt>
                <c:pt idx="589">
                  <c:v>-0.27996803603739173</c:v>
                </c:pt>
                <c:pt idx="590">
                  <c:v>-0.27922818299982555</c:v>
                </c:pt>
                <c:pt idx="591">
                  <c:v>-0.27897421972354297</c:v>
                </c:pt>
                <c:pt idx="592">
                  <c:v>-0.27981959687917823</c:v>
                </c:pt>
                <c:pt idx="593">
                  <c:v>-0.27862683746742023</c:v>
                </c:pt>
                <c:pt idx="594">
                  <c:v>-0.279009313774498</c:v>
                </c:pt>
                <c:pt idx="595">
                  <c:v>-0.27963465208606997</c:v>
                </c:pt>
                <c:pt idx="596">
                  <c:v>-0.27965967793746227</c:v>
                </c:pt>
                <c:pt idx="597">
                  <c:v>-0.27868090379859289</c:v>
                </c:pt>
                <c:pt idx="598">
                  <c:v>-0.27886707164442981</c:v>
                </c:pt>
                <c:pt idx="599">
                  <c:v>-0.28009508528382798</c:v>
                </c:pt>
                <c:pt idx="600">
                  <c:v>-0.27945985267208084</c:v>
                </c:pt>
                <c:pt idx="601">
                  <c:v>-0.27959550467044203</c:v>
                </c:pt>
                <c:pt idx="602">
                  <c:v>-0.27970643564088071</c:v>
                </c:pt>
                <c:pt idx="603">
                  <c:v>-0.27957631421769469</c:v>
                </c:pt>
                <c:pt idx="604">
                  <c:v>-0.27985774661440632</c:v>
                </c:pt>
                <c:pt idx="605">
                  <c:v>-0.27948791840405651</c:v>
                </c:pt>
                <c:pt idx="606">
                  <c:v>-0.27900406626064578</c:v>
                </c:pt>
                <c:pt idx="607">
                  <c:v>-0.27931518773469732</c:v>
                </c:pt>
                <c:pt idx="608">
                  <c:v>-0.27939076618763847</c:v>
                </c:pt>
                <c:pt idx="609">
                  <c:v>-0.27976831490776977</c:v>
                </c:pt>
                <c:pt idx="610">
                  <c:v>-0.27935584430450167</c:v>
                </c:pt>
                <c:pt idx="611">
                  <c:v>-0.27978222792994489</c:v>
                </c:pt>
                <c:pt idx="612">
                  <c:v>-0.2796529215050757</c:v>
                </c:pt>
                <c:pt idx="613">
                  <c:v>-0.28031511094090633</c:v>
                </c:pt>
                <c:pt idx="614">
                  <c:v>-0.27932946567534878</c:v>
                </c:pt>
                <c:pt idx="615">
                  <c:v>-0.27922338369730182</c:v>
                </c:pt>
                <c:pt idx="616">
                  <c:v>-0.27927841694691913</c:v>
                </c:pt>
                <c:pt idx="617">
                  <c:v>-0.27971159203888052</c:v>
                </c:pt>
                <c:pt idx="618">
                  <c:v>-0.28042398230893673</c:v>
                </c:pt>
                <c:pt idx="619">
                  <c:v>-0.27930660810566466</c:v>
                </c:pt>
                <c:pt idx="620">
                  <c:v>-0.27942016262534919</c:v>
                </c:pt>
                <c:pt idx="621">
                  <c:v>-0.27997942738549109</c:v>
                </c:pt>
                <c:pt idx="622">
                  <c:v>-0.28002927290851998</c:v>
                </c:pt>
                <c:pt idx="623">
                  <c:v>-0.27990698122750179</c:v>
                </c:pt>
                <c:pt idx="624">
                  <c:v>-0.27961421656655772</c:v>
                </c:pt>
                <c:pt idx="625">
                  <c:v>-0.27932199975843397</c:v>
                </c:pt>
                <c:pt idx="626">
                  <c:v>-0.27873267834009507</c:v>
                </c:pt>
                <c:pt idx="627">
                  <c:v>-0.27904810343166442</c:v>
                </c:pt>
                <c:pt idx="628">
                  <c:v>-0.27931974273068361</c:v>
                </c:pt>
                <c:pt idx="629">
                  <c:v>-0.27965798066423242</c:v>
                </c:pt>
                <c:pt idx="630">
                  <c:v>-0.27942045040157371</c:v>
                </c:pt>
                <c:pt idx="631">
                  <c:v>-0.2794817930483311</c:v>
                </c:pt>
                <c:pt idx="632">
                  <c:v>-0.27986071091386144</c:v>
                </c:pt>
                <c:pt idx="633">
                  <c:v>-0.27898842959117665</c:v>
                </c:pt>
                <c:pt idx="634">
                  <c:v>-0.27974697000944726</c:v>
                </c:pt>
                <c:pt idx="635">
                  <c:v>-0.27970433626413027</c:v>
                </c:pt>
                <c:pt idx="636">
                  <c:v>-0.27944865305603439</c:v>
                </c:pt>
                <c:pt idx="637">
                  <c:v>-0.28015324253409946</c:v>
                </c:pt>
                <c:pt idx="638">
                  <c:v>-0.2791681779542412</c:v>
                </c:pt>
                <c:pt idx="639">
                  <c:v>-0.2801153663999113</c:v>
                </c:pt>
                <c:pt idx="640">
                  <c:v>-0.27896619507418108</c:v>
                </c:pt>
                <c:pt idx="641">
                  <c:v>-0.27959450352031434</c:v>
                </c:pt>
                <c:pt idx="642">
                  <c:v>-0.27953469977905221</c:v>
                </c:pt>
                <c:pt idx="643">
                  <c:v>-0.27931982074464423</c:v>
                </c:pt>
                <c:pt idx="644">
                  <c:v>-0.28003001982142106</c:v>
                </c:pt>
                <c:pt idx="645">
                  <c:v>-0.27892610401688045</c:v>
                </c:pt>
                <c:pt idx="646">
                  <c:v>-0.28043871778657259</c:v>
                </c:pt>
                <c:pt idx="647">
                  <c:v>-0.27854765023338912</c:v>
                </c:pt>
                <c:pt idx="648">
                  <c:v>-0.27984896083194444</c:v>
                </c:pt>
                <c:pt idx="649">
                  <c:v>-0.27903687642365427</c:v>
                </c:pt>
                <c:pt idx="650">
                  <c:v>-0.27946939319546293</c:v>
                </c:pt>
                <c:pt idx="651">
                  <c:v>-0.27908260968399479</c:v>
                </c:pt>
                <c:pt idx="652">
                  <c:v>-0.27950649525806648</c:v>
                </c:pt>
                <c:pt idx="653">
                  <c:v>-0.27951523515968768</c:v>
                </c:pt>
                <c:pt idx="654">
                  <c:v>-0.27957711895439674</c:v>
                </c:pt>
                <c:pt idx="655">
                  <c:v>-0.2797548248848204</c:v>
                </c:pt>
                <c:pt idx="656">
                  <c:v>-0.27986363491571531</c:v>
                </c:pt>
                <c:pt idx="657">
                  <c:v>-0.27996706587533848</c:v>
                </c:pt>
                <c:pt idx="658">
                  <c:v>-0.27853835520677739</c:v>
                </c:pt>
                <c:pt idx="659">
                  <c:v>-0.2795611376754924</c:v>
                </c:pt>
                <c:pt idx="660">
                  <c:v>-0.27912777623683804</c:v>
                </c:pt>
                <c:pt idx="661">
                  <c:v>-0.27992953369781615</c:v>
                </c:pt>
                <c:pt idx="662">
                  <c:v>-0.28023243043243962</c:v>
                </c:pt>
                <c:pt idx="663">
                  <c:v>-0.27854514599962632</c:v>
                </c:pt>
                <c:pt idx="664">
                  <c:v>-0.27966053349833542</c:v>
                </c:pt>
                <c:pt idx="665">
                  <c:v>-0.27961274876821474</c:v>
                </c:pt>
                <c:pt idx="666">
                  <c:v>-0.27926069750091798</c:v>
                </c:pt>
                <c:pt idx="667">
                  <c:v>-0.2789277799458012</c:v>
                </c:pt>
                <c:pt idx="668">
                  <c:v>-0.28054468576305003</c:v>
                </c:pt>
                <c:pt idx="669">
                  <c:v>-0.27915816399600479</c:v>
                </c:pt>
                <c:pt idx="670">
                  <c:v>-0.27914697415657896</c:v>
                </c:pt>
                <c:pt idx="671">
                  <c:v>-0.28037902941545478</c:v>
                </c:pt>
                <c:pt idx="672">
                  <c:v>-0.27999290725458914</c:v>
                </c:pt>
                <c:pt idx="673">
                  <c:v>-0.27972556187584519</c:v>
                </c:pt>
                <c:pt idx="674">
                  <c:v>-0.27929396729305345</c:v>
                </c:pt>
                <c:pt idx="675">
                  <c:v>-0.27867082435902391</c:v>
                </c:pt>
                <c:pt idx="676">
                  <c:v>-0.2798454783020673</c:v>
                </c:pt>
                <c:pt idx="677">
                  <c:v>-0.27995550349213993</c:v>
                </c:pt>
                <c:pt idx="678">
                  <c:v>-0.27990186662159644</c:v>
                </c:pt>
                <c:pt idx="679">
                  <c:v>-0.27912878570812849</c:v>
                </c:pt>
                <c:pt idx="680">
                  <c:v>-0.2802253236452964</c:v>
                </c:pt>
                <c:pt idx="681">
                  <c:v>-0.27920289655035802</c:v>
                </c:pt>
                <c:pt idx="682">
                  <c:v>-0.27907923719441252</c:v>
                </c:pt>
                <c:pt idx="683">
                  <c:v>-0.2799926380017056</c:v>
                </c:pt>
                <c:pt idx="684">
                  <c:v>-0.2793742959478932</c:v>
                </c:pt>
                <c:pt idx="685">
                  <c:v>-0.2796282934437625</c:v>
                </c:pt>
                <c:pt idx="686">
                  <c:v>-0.27956775729472882</c:v>
                </c:pt>
                <c:pt idx="687">
                  <c:v>-0.27989561128438878</c:v>
                </c:pt>
                <c:pt idx="688">
                  <c:v>-0.2793048872986047</c:v>
                </c:pt>
                <c:pt idx="689">
                  <c:v>-0.27923018444845682</c:v>
                </c:pt>
                <c:pt idx="690">
                  <c:v>-0.2793983047048062</c:v>
                </c:pt>
                <c:pt idx="691">
                  <c:v>-0.27979815011988318</c:v>
                </c:pt>
                <c:pt idx="692">
                  <c:v>-0.27895272058853227</c:v>
                </c:pt>
                <c:pt idx="693">
                  <c:v>-0.27982991210786878</c:v>
                </c:pt>
                <c:pt idx="694">
                  <c:v>-0.2794931300225898</c:v>
                </c:pt>
                <c:pt idx="695">
                  <c:v>-0.27868231139849498</c:v>
                </c:pt>
                <c:pt idx="696">
                  <c:v>-0.28034645986440287</c:v>
                </c:pt>
                <c:pt idx="697">
                  <c:v>-0.27908696583836645</c:v>
                </c:pt>
                <c:pt idx="698">
                  <c:v>-0.28036199440445297</c:v>
                </c:pt>
                <c:pt idx="699">
                  <c:v>-0.27985085693773826</c:v>
                </c:pt>
                <c:pt idx="700">
                  <c:v>-0.27940591567445505</c:v>
                </c:pt>
                <c:pt idx="701">
                  <c:v>-0.27897794548150356</c:v>
                </c:pt>
                <c:pt idx="702">
                  <c:v>-0.27952883183420851</c:v>
                </c:pt>
                <c:pt idx="703">
                  <c:v>-0.2790817354665035</c:v>
                </c:pt>
                <c:pt idx="704">
                  <c:v>-0.27844691914496589</c:v>
                </c:pt>
                <c:pt idx="705">
                  <c:v>-0.27881803037764397</c:v>
                </c:pt>
                <c:pt idx="706">
                  <c:v>-0.27917670848359644</c:v>
                </c:pt>
                <c:pt idx="707">
                  <c:v>-0.279905842463678</c:v>
                </c:pt>
                <c:pt idx="708">
                  <c:v>-0.27937765179331386</c:v>
                </c:pt>
                <c:pt idx="709">
                  <c:v>-0.27974798013696944</c:v>
                </c:pt>
                <c:pt idx="710">
                  <c:v>-0.27999404377269521</c:v>
                </c:pt>
                <c:pt idx="711">
                  <c:v>-0.28012410115367936</c:v>
                </c:pt>
                <c:pt idx="712">
                  <c:v>-0.2795280706027472</c:v>
                </c:pt>
                <c:pt idx="713">
                  <c:v>-0.27927619085109689</c:v>
                </c:pt>
                <c:pt idx="714">
                  <c:v>-0.28019132808854652</c:v>
                </c:pt>
                <c:pt idx="715">
                  <c:v>-0.27943809174668777</c:v>
                </c:pt>
                <c:pt idx="716">
                  <c:v>-0.27994544171410862</c:v>
                </c:pt>
                <c:pt idx="717">
                  <c:v>-0.27964172841118384</c:v>
                </c:pt>
                <c:pt idx="718">
                  <c:v>-0.2796270954707526</c:v>
                </c:pt>
                <c:pt idx="719">
                  <c:v>-0.28039517010463177</c:v>
                </c:pt>
                <c:pt idx="720">
                  <c:v>-0.27904471349202598</c:v>
                </c:pt>
                <c:pt idx="721">
                  <c:v>-0.27988554387804043</c:v>
                </c:pt>
                <c:pt idx="722">
                  <c:v>-0.27948259206793791</c:v>
                </c:pt>
                <c:pt idx="723">
                  <c:v>-0.27942390925127569</c:v>
                </c:pt>
                <c:pt idx="724">
                  <c:v>-0.27963111301381949</c:v>
                </c:pt>
                <c:pt idx="725">
                  <c:v>-0.27983373473771023</c:v>
                </c:pt>
                <c:pt idx="726">
                  <c:v>-0.27988860515739888</c:v>
                </c:pt>
                <c:pt idx="727">
                  <c:v>-0.27924660915583033</c:v>
                </c:pt>
                <c:pt idx="728">
                  <c:v>-0.27954778658336121</c:v>
                </c:pt>
                <c:pt idx="729">
                  <c:v>-0.27937130987911818</c:v>
                </c:pt>
                <c:pt idx="730">
                  <c:v>-0.27995312551638096</c:v>
                </c:pt>
                <c:pt idx="731">
                  <c:v>-0.28082217044192215</c:v>
                </c:pt>
                <c:pt idx="732">
                  <c:v>-0.2801867919149662</c:v>
                </c:pt>
                <c:pt idx="733">
                  <c:v>-0.27940153843658821</c:v>
                </c:pt>
                <c:pt idx="734">
                  <c:v>-0.27948449680493226</c:v>
                </c:pt>
                <c:pt idx="735">
                  <c:v>-0.279382069352622</c:v>
                </c:pt>
                <c:pt idx="736">
                  <c:v>-0.27998361144581319</c:v>
                </c:pt>
                <c:pt idx="737">
                  <c:v>-0.27906718151540011</c:v>
                </c:pt>
                <c:pt idx="738">
                  <c:v>-0.27899526279427089</c:v>
                </c:pt>
                <c:pt idx="739">
                  <c:v>-0.27974289114896178</c:v>
                </c:pt>
                <c:pt idx="740">
                  <c:v>-0.27983111053556164</c:v>
                </c:pt>
                <c:pt idx="741">
                  <c:v>-0.27935339396125414</c:v>
                </c:pt>
                <c:pt idx="742">
                  <c:v>-0.28020246419834749</c:v>
                </c:pt>
                <c:pt idx="743">
                  <c:v>-0.27916971958495462</c:v>
                </c:pt>
                <c:pt idx="744">
                  <c:v>-0.27864449161812344</c:v>
                </c:pt>
                <c:pt idx="745">
                  <c:v>-0.27966256114431243</c:v>
                </c:pt>
                <c:pt idx="746">
                  <c:v>-0.27987636592325782</c:v>
                </c:pt>
                <c:pt idx="747">
                  <c:v>-0.2797540032380863</c:v>
                </c:pt>
                <c:pt idx="748">
                  <c:v>-0.27847544744376718</c:v>
                </c:pt>
                <c:pt idx="749">
                  <c:v>-0.27992732974736112</c:v>
                </c:pt>
                <c:pt idx="750">
                  <c:v>-0.27867024234680127</c:v>
                </c:pt>
                <c:pt idx="751">
                  <c:v>-0.2790639800682253</c:v>
                </c:pt>
                <c:pt idx="752">
                  <c:v>-0.28005434640583204</c:v>
                </c:pt>
                <c:pt idx="753">
                  <c:v>-0.2794122602096506</c:v>
                </c:pt>
                <c:pt idx="754">
                  <c:v>-0.27945619236701269</c:v>
                </c:pt>
                <c:pt idx="755">
                  <c:v>-0.27949548790729006</c:v>
                </c:pt>
                <c:pt idx="756">
                  <c:v>-0.28035280366430027</c:v>
                </c:pt>
                <c:pt idx="757">
                  <c:v>-0.27960262699659333</c:v>
                </c:pt>
                <c:pt idx="758">
                  <c:v>-0.27894100993131932</c:v>
                </c:pt>
                <c:pt idx="759">
                  <c:v>-0.2791904232214808</c:v>
                </c:pt>
                <c:pt idx="760">
                  <c:v>-0.28005306373257166</c:v>
                </c:pt>
                <c:pt idx="761">
                  <c:v>-0.27934974490736586</c:v>
                </c:pt>
                <c:pt idx="762">
                  <c:v>-0.27958237648556583</c:v>
                </c:pt>
                <c:pt idx="763">
                  <c:v>-0.28046974247897649</c:v>
                </c:pt>
                <c:pt idx="764">
                  <c:v>-0.2795078218313426</c:v>
                </c:pt>
                <c:pt idx="765">
                  <c:v>-0.27972797389271364</c:v>
                </c:pt>
                <c:pt idx="766">
                  <c:v>-0.27948770021799418</c:v>
                </c:pt>
                <c:pt idx="767">
                  <c:v>-0.28075534348460618</c:v>
                </c:pt>
                <c:pt idx="768">
                  <c:v>-0.27903834611295464</c:v>
                </c:pt>
                <c:pt idx="769">
                  <c:v>-0.27999347070836367</c:v>
                </c:pt>
                <c:pt idx="770">
                  <c:v>-0.27930199136080147</c:v>
                </c:pt>
                <c:pt idx="771">
                  <c:v>-0.27971663616842035</c:v>
                </c:pt>
                <c:pt idx="772">
                  <c:v>-0.27908227415171216</c:v>
                </c:pt>
                <c:pt idx="773">
                  <c:v>-0.27865221209114932</c:v>
                </c:pt>
                <c:pt idx="774">
                  <c:v>-0.2783508660729439</c:v>
                </c:pt>
                <c:pt idx="775">
                  <c:v>-0.27880403565587852</c:v>
                </c:pt>
                <c:pt idx="776">
                  <c:v>-0.28003864165982573</c:v>
                </c:pt>
                <c:pt idx="777">
                  <c:v>-0.27915348506749449</c:v>
                </c:pt>
                <c:pt idx="778">
                  <c:v>-0.27974616629227622</c:v>
                </c:pt>
                <c:pt idx="779">
                  <c:v>-0.27974857083275984</c:v>
                </c:pt>
                <c:pt idx="780">
                  <c:v>-0.27902134942870249</c:v>
                </c:pt>
                <c:pt idx="781">
                  <c:v>-0.28075095871732525</c:v>
                </c:pt>
                <c:pt idx="782">
                  <c:v>-0.28017551726044365</c:v>
                </c:pt>
                <c:pt idx="783">
                  <c:v>-0.28039052226993988</c:v>
                </c:pt>
                <c:pt idx="784">
                  <c:v>-0.27908603197667869</c:v>
                </c:pt>
                <c:pt idx="785">
                  <c:v>-0.27879454914534718</c:v>
                </c:pt>
                <c:pt idx="786">
                  <c:v>-0.27979085928875758</c:v>
                </c:pt>
                <c:pt idx="787">
                  <c:v>-0.27947662990208144</c:v>
                </c:pt>
                <c:pt idx="788">
                  <c:v>-0.27990161887193465</c:v>
                </c:pt>
                <c:pt idx="789">
                  <c:v>-0.27962133261233701</c:v>
                </c:pt>
                <c:pt idx="790">
                  <c:v>-0.27959898020865492</c:v>
                </c:pt>
                <c:pt idx="791">
                  <c:v>-0.27920648772913736</c:v>
                </c:pt>
                <c:pt idx="792">
                  <c:v>-0.27876312305599449</c:v>
                </c:pt>
                <c:pt idx="793">
                  <c:v>-0.2793110600491584</c:v>
                </c:pt>
                <c:pt idx="794">
                  <c:v>-0.27884056225164866</c:v>
                </c:pt>
                <c:pt idx="795">
                  <c:v>-0.28010168384070433</c:v>
                </c:pt>
                <c:pt idx="796">
                  <c:v>-0.28007835501358924</c:v>
                </c:pt>
                <c:pt idx="797">
                  <c:v>-0.28033450644843916</c:v>
                </c:pt>
                <c:pt idx="798">
                  <c:v>-0.28000070767920482</c:v>
                </c:pt>
                <c:pt idx="799">
                  <c:v>-0.27953811351687496</c:v>
                </c:pt>
                <c:pt idx="800">
                  <c:v>-0.27960215069195171</c:v>
                </c:pt>
                <c:pt idx="801">
                  <c:v>-0.27961421566451283</c:v>
                </c:pt>
                <c:pt idx="802">
                  <c:v>-0.27966695328456814</c:v>
                </c:pt>
                <c:pt idx="803">
                  <c:v>-0.27968605137576608</c:v>
                </c:pt>
                <c:pt idx="804">
                  <c:v>-0.27920358766037567</c:v>
                </c:pt>
                <c:pt idx="805">
                  <c:v>-0.27944799732290371</c:v>
                </c:pt>
                <c:pt idx="806">
                  <c:v>-0.27919311807696445</c:v>
                </c:pt>
                <c:pt idx="807">
                  <c:v>-0.28021980949355918</c:v>
                </c:pt>
                <c:pt idx="808">
                  <c:v>-0.27906456785835976</c:v>
                </c:pt>
                <c:pt idx="809">
                  <c:v>-0.27988208348070776</c:v>
                </c:pt>
                <c:pt idx="810">
                  <c:v>-0.27917211496056593</c:v>
                </c:pt>
                <c:pt idx="811">
                  <c:v>-0.27988415284414447</c:v>
                </c:pt>
                <c:pt idx="812">
                  <c:v>-0.28015322391619046</c:v>
                </c:pt>
                <c:pt idx="813">
                  <c:v>-0.27999078334349814</c:v>
                </c:pt>
                <c:pt idx="814">
                  <c:v>-0.2800700520401137</c:v>
                </c:pt>
                <c:pt idx="815">
                  <c:v>-0.27991143384489525</c:v>
                </c:pt>
                <c:pt idx="816">
                  <c:v>-0.27954641513248102</c:v>
                </c:pt>
                <c:pt idx="817">
                  <c:v>-0.27935711972442523</c:v>
                </c:pt>
                <c:pt idx="818">
                  <c:v>-0.27991626063739294</c:v>
                </c:pt>
                <c:pt idx="819">
                  <c:v>-0.2795963939975814</c:v>
                </c:pt>
                <c:pt idx="820">
                  <c:v>-0.2797067860406971</c:v>
                </c:pt>
                <c:pt idx="821">
                  <c:v>-0.279742529922827</c:v>
                </c:pt>
                <c:pt idx="822">
                  <c:v>-0.27919426586061646</c:v>
                </c:pt>
                <c:pt idx="823">
                  <c:v>-0.27995551648408767</c:v>
                </c:pt>
                <c:pt idx="824">
                  <c:v>-0.280241122931431</c:v>
                </c:pt>
                <c:pt idx="825">
                  <c:v>-0.27944507609239233</c:v>
                </c:pt>
                <c:pt idx="826">
                  <c:v>-0.27958131005327047</c:v>
                </c:pt>
                <c:pt idx="827">
                  <c:v>-0.27998794211770295</c:v>
                </c:pt>
                <c:pt idx="828">
                  <c:v>-0.28024913909634852</c:v>
                </c:pt>
                <c:pt idx="829">
                  <c:v>-0.27961471991270959</c:v>
                </c:pt>
                <c:pt idx="830">
                  <c:v>-0.27900493621648104</c:v>
                </c:pt>
                <c:pt idx="831">
                  <c:v>-0.27907343103204707</c:v>
                </c:pt>
                <c:pt idx="832">
                  <c:v>-0.27910569223160508</c:v>
                </c:pt>
                <c:pt idx="833">
                  <c:v>-0.27916292448416791</c:v>
                </c:pt>
                <c:pt idx="834">
                  <c:v>-0.27934669203219553</c:v>
                </c:pt>
                <c:pt idx="835">
                  <c:v>-0.27909696622877045</c:v>
                </c:pt>
                <c:pt idx="836">
                  <c:v>-0.27982239705160283</c:v>
                </c:pt>
                <c:pt idx="837">
                  <c:v>-0.27986920456444531</c:v>
                </c:pt>
                <c:pt idx="838">
                  <c:v>-0.27968642788931508</c:v>
                </c:pt>
                <c:pt idx="839">
                  <c:v>-0.27894687607139657</c:v>
                </c:pt>
                <c:pt idx="840">
                  <c:v>-0.27999800455091017</c:v>
                </c:pt>
                <c:pt idx="841">
                  <c:v>-0.28008949304846764</c:v>
                </c:pt>
                <c:pt idx="842">
                  <c:v>-0.27944492990053604</c:v>
                </c:pt>
                <c:pt idx="843">
                  <c:v>-0.28016354514437458</c:v>
                </c:pt>
                <c:pt idx="844">
                  <c:v>-0.27917003429089504</c:v>
                </c:pt>
                <c:pt idx="845">
                  <c:v>-0.27986616723373292</c:v>
                </c:pt>
                <c:pt idx="846">
                  <c:v>-0.27856205857321847</c:v>
                </c:pt>
                <c:pt idx="847">
                  <c:v>-0.27966064861247308</c:v>
                </c:pt>
                <c:pt idx="848">
                  <c:v>-0.27921745434812861</c:v>
                </c:pt>
                <c:pt idx="849">
                  <c:v>-0.27893037194065662</c:v>
                </c:pt>
                <c:pt idx="850">
                  <c:v>-0.27974820460139915</c:v>
                </c:pt>
                <c:pt idx="851">
                  <c:v>-0.2804425137245351</c:v>
                </c:pt>
                <c:pt idx="852">
                  <c:v>-0.27907503215490204</c:v>
                </c:pt>
                <c:pt idx="853">
                  <c:v>-0.2795244817489666</c:v>
                </c:pt>
                <c:pt idx="854">
                  <c:v>-0.2792688017108419</c:v>
                </c:pt>
                <c:pt idx="855">
                  <c:v>-0.27978600520278729</c:v>
                </c:pt>
                <c:pt idx="856">
                  <c:v>-0.27871190526787604</c:v>
                </c:pt>
                <c:pt idx="857">
                  <c:v>-0.27876033647535114</c:v>
                </c:pt>
                <c:pt idx="858">
                  <c:v>-0.28041263507889369</c:v>
                </c:pt>
                <c:pt idx="859">
                  <c:v>-0.28019438159400034</c:v>
                </c:pt>
                <c:pt idx="860">
                  <c:v>-0.28004453088864689</c:v>
                </c:pt>
                <c:pt idx="861">
                  <c:v>-0.28042531941364357</c:v>
                </c:pt>
                <c:pt idx="862">
                  <c:v>-0.27983848107273446</c:v>
                </c:pt>
                <c:pt idx="863">
                  <c:v>-0.27882605636429447</c:v>
                </c:pt>
                <c:pt idx="864">
                  <c:v>-0.27961163990465288</c:v>
                </c:pt>
                <c:pt idx="865">
                  <c:v>-0.27990430229704732</c:v>
                </c:pt>
                <c:pt idx="866">
                  <c:v>-0.27884710921250666</c:v>
                </c:pt>
                <c:pt idx="867">
                  <c:v>-0.27933839426733209</c:v>
                </c:pt>
                <c:pt idx="868">
                  <c:v>-0.27895245598669627</c:v>
                </c:pt>
                <c:pt idx="869">
                  <c:v>-0.27993668813208517</c:v>
                </c:pt>
                <c:pt idx="870">
                  <c:v>-0.27955743544830247</c:v>
                </c:pt>
                <c:pt idx="871">
                  <c:v>-0.27975446735339515</c:v>
                </c:pt>
                <c:pt idx="872">
                  <c:v>-0.27956928091109001</c:v>
                </c:pt>
                <c:pt idx="873">
                  <c:v>-0.27905101679155331</c:v>
                </c:pt>
                <c:pt idx="874">
                  <c:v>-0.27902056766249528</c:v>
                </c:pt>
                <c:pt idx="875">
                  <c:v>-0.28036005271031239</c:v>
                </c:pt>
                <c:pt idx="876">
                  <c:v>-0.27971616630929896</c:v>
                </c:pt>
                <c:pt idx="877">
                  <c:v>-0.28012681083281599</c:v>
                </c:pt>
                <c:pt idx="878">
                  <c:v>-0.27974350274538207</c:v>
                </c:pt>
                <c:pt idx="879">
                  <c:v>-0.27924484124122073</c:v>
                </c:pt>
                <c:pt idx="880">
                  <c:v>-0.27918069304215698</c:v>
                </c:pt>
                <c:pt idx="881">
                  <c:v>-0.27949905155562793</c:v>
                </c:pt>
                <c:pt idx="882">
                  <c:v>-0.27982674414560182</c:v>
                </c:pt>
                <c:pt idx="883">
                  <c:v>-0.27992380605749823</c:v>
                </c:pt>
                <c:pt idx="884">
                  <c:v>-0.2797001643082988</c:v>
                </c:pt>
                <c:pt idx="885">
                  <c:v>-0.27922671681246058</c:v>
                </c:pt>
                <c:pt idx="886">
                  <c:v>-0.27891906565035063</c:v>
                </c:pt>
                <c:pt idx="887">
                  <c:v>-0.27944151484837099</c:v>
                </c:pt>
                <c:pt idx="888">
                  <c:v>-0.28023983729027513</c:v>
                </c:pt>
                <c:pt idx="889">
                  <c:v>-0.27915152129243936</c:v>
                </c:pt>
                <c:pt idx="890">
                  <c:v>-0.27955412591959095</c:v>
                </c:pt>
                <c:pt idx="891">
                  <c:v>-0.27960141477466571</c:v>
                </c:pt>
                <c:pt idx="892">
                  <c:v>-0.27971638950871625</c:v>
                </c:pt>
                <c:pt idx="893">
                  <c:v>-0.27873895248321789</c:v>
                </c:pt>
                <c:pt idx="894">
                  <c:v>-0.28054220227696325</c:v>
                </c:pt>
                <c:pt idx="895">
                  <c:v>-0.27947220295506825</c:v>
                </c:pt>
                <c:pt idx="896">
                  <c:v>-0.27912417020000202</c:v>
                </c:pt>
                <c:pt idx="897">
                  <c:v>-0.27934692054070498</c:v>
                </c:pt>
                <c:pt idx="898">
                  <c:v>-0.27977418469636661</c:v>
                </c:pt>
                <c:pt idx="899">
                  <c:v>-0.2798754801623935</c:v>
                </c:pt>
                <c:pt idx="900">
                  <c:v>-0.27927448313392955</c:v>
                </c:pt>
                <c:pt idx="901">
                  <c:v>-0.2794163033531728</c:v>
                </c:pt>
                <c:pt idx="902">
                  <c:v>-0.27944278800943334</c:v>
                </c:pt>
                <c:pt idx="903">
                  <c:v>-0.27958778253383265</c:v>
                </c:pt>
                <c:pt idx="904">
                  <c:v>-0.27942285046103588</c:v>
                </c:pt>
                <c:pt idx="905">
                  <c:v>-0.27905208413438631</c:v>
                </c:pt>
                <c:pt idx="906">
                  <c:v>-0.27946680786796918</c:v>
                </c:pt>
                <c:pt idx="907">
                  <c:v>-0.27923805807624391</c:v>
                </c:pt>
                <c:pt idx="908">
                  <c:v>-0.27989823029452743</c:v>
                </c:pt>
                <c:pt idx="909">
                  <c:v>-0.27908671483360004</c:v>
                </c:pt>
                <c:pt idx="910">
                  <c:v>-0.27952632985895054</c:v>
                </c:pt>
                <c:pt idx="911">
                  <c:v>-0.27945374285222224</c:v>
                </c:pt>
                <c:pt idx="912">
                  <c:v>-0.27966705261378277</c:v>
                </c:pt>
                <c:pt idx="913">
                  <c:v>-0.27951522496892733</c:v>
                </c:pt>
                <c:pt idx="914">
                  <c:v>-0.27918971544452109</c:v>
                </c:pt>
                <c:pt idx="915">
                  <c:v>-0.27955068856139664</c:v>
                </c:pt>
                <c:pt idx="916">
                  <c:v>-0.27954421599771417</c:v>
                </c:pt>
                <c:pt idx="917">
                  <c:v>-0.28036189975529535</c:v>
                </c:pt>
                <c:pt idx="918">
                  <c:v>-0.27876334521216695</c:v>
                </c:pt>
                <c:pt idx="919">
                  <c:v>-0.27890309075292896</c:v>
                </c:pt>
                <c:pt idx="920">
                  <c:v>-0.2797134487678351</c:v>
                </c:pt>
                <c:pt idx="921">
                  <c:v>-0.2793840186040969</c:v>
                </c:pt>
                <c:pt idx="922">
                  <c:v>-0.27962547223781775</c:v>
                </c:pt>
                <c:pt idx="923">
                  <c:v>-0.28018425681343828</c:v>
                </c:pt>
                <c:pt idx="924">
                  <c:v>-0.27992802203315492</c:v>
                </c:pt>
                <c:pt idx="925">
                  <c:v>-0.28019811305725517</c:v>
                </c:pt>
                <c:pt idx="926">
                  <c:v>-0.27915489758611933</c:v>
                </c:pt>
                <c:pt idx="927">
                  <c:v>-0.27925461264710461</c:v>
                </c:pt>
                <c:pt idx="928">
                  <c:v>-0.27869536586409149</c:v>
                </c:pt>
                <c:pt idx="929">
                  <c:v>-0.27978786766769426</c:v>
                </c:pt>
                <c:pt idx="930">
                  <c:v>-0.27981862172841399</c:v>
                </c:pt>
                <c:pt idx="931">
                  <c:v>-0.27990368335814042</c:v>
                </c:pt>
                <c:pt idx="932">
                  <c:v>-0.28029134565034364</c:v>
                </c:pt>
                <c:pt idx="933">
                  <c:v>-0.27925825660087433</c:v>
                </c:pt>
                <c:pt idx="934">
                  <c:v>-0.27890974425292558</c:v>
                </c:pt>
                <c:pt idx="935">
                  <c:v>-0.27974531504050659</c:v>
                </c:pt>
                <c:pt idx="936">
                  <c:v>-0.28002176054523364</c:v>
                </c:pt>
                <c:pt idx="937">
                  <c:v>-0.27914848950895654</c:v>
                </c:pt>
                <c:pt idx="938">
                  <c:v>-0.27892188741592483</c:v>
                </c:pt>
                <c:pt idx="939">
                  <c:v>-0.27931169013162693</c:v>
                </c:pt>
                <c:pt idx="940">
                  <c:v>-0.2791571905475454</c:v>
                </c:pt>
                <c:pt idx="941">
                  <c:v>-0.27881347343289486</c:v>
                </c:pt>
                <c:pt idx="942">
                  <c:v>-0.279346085154487</c:v>
                </c:pt>
                <c:pt idx="943">
                  <c:v>-0.27977977964136813</c:v>
                </c:pt>
                <c:pt idx="944">
                  <c:v>-0.27948748945651714</c:v>
                </c:pt>
                <c:pt idx="945">
                  <c:v>-0.27904099278479388</c:v>
                </c:pt>
                <c:pt idx="946">
                  <c:v>-0.27926387354413451</c:v>
                </c:pt>
                <c:pt idx="947">
                  <c:v>-0.28008412050274467</c:v>
                </c:pt>
                <c:pt idx="948">
                  <c:v>-0.27894953829984082</c:v>
                </c:pt>
                <c:pt idx="949">
                  <c:v>-0.27972433904338745</c:v>
                </c:pt>
                <c:pt idx="950">
                  <c:v>-0.27988427280650985</c:v>
                </c:pt>
                <c:pt idx="951">
                  <c:v>-0.27932269168147239</c:v>
                </c:pt>
                <c:pt idx="952">
                  <c:v>-0.27943088723081655</c:v>
                </c:pt>
                <c:pt idx="953">
                  <c:v>-0.27985626516426088</c:v>
                </c:pt>
                <c:pt idx="954">
                  <c:v>-0.28004086423742602</c:v>
                </c:pt>
                <c:pt idx="955">
                  <c:v>-0.27884498323200546</c:v>
                </c:pt>
                <c:pt idx="956">
                  <c:v>-0.28014896895062957</c:v>
                </c:pt>
                <c:pt idx="957">
                  <c:v>-0.28031087754036188</c:v>
                </c:pt>
                <c:pt idx="958">
                  <c:v>-0.27976630656353241</c:v>
                </c:pt>
                <c:pt idx="959">
                  <c:v>-0.27908142439161709</c:v>
                </c:pt>
                <c:pt idx="960">
                  <c:v>-0.27918563866216684</c:v>
                </c:pt>
                <c:pt idx="961">
                  <c:v>-0.27995696765337696</c:v>
                </c:pt>
                <c:pt idx="962">
                  <c:v>-0.27987514966817661</c:v>
                </c:pt>
                <c:pt idx="963">
                  <c:v>-0.27933441117943614</c:v>
                </c:pt>
                <c:pt idx="964">
                  <c:v>-0.27954485687435848</c:v>
                </c:pt>
                <c:pt idx="965">
                  <c:v>-0.27988709971645964</c:v>
                </c:pt>
                <c:pt idx="966">
                  <c:v>-0.27991772048445196</c:v>
                </c:pt>
                <c:pt idx="967">
                  <c:v>-0.27990908991540198</c:v>
                </c:pt>
                <c:pt idx="968">
                  <c:v>-0.27931429207593894</c:v>
                </c:pt>
                <c:pt idx="969">
                  <c:v>-0.2797019780848623</c:v>
                </c:pt>
                <c:pt idx="970">
                  <c:v>-0.27956506905743272</c:v>
                </c:pt>
                <c:pt idx="971">
                  <c:v>-0.27927588365139289</c:v>
                </c:pt>
                <c:pt idx="972">
                  <c:v>-0.27996505511699932</c:v>
                </c:pt>
                <c:pt idx="973">
                  <c:v>-0.27939730065207879</c:v>
                </c:pt>
                <c:pt idx="974">
                  <c:v>-0.27889723030852887</c:v>
                </c:pt>
                <c:pt idx="975">
                  <c:v>-0.2796996077868984</c:v>
                </c:pt>
                <c:pt idx="976">
                  <c:v>-0.27945605211554669</c:v>
                </c:pt>
                <c:pt idx="977">
                  <c:v>-0.2791792373478863</c:v>
                </c:pt>
                <c:pt idx="978">
                  <c:v>-0.27939804833412818</c:v>
                </c:pt>
                <c:pt idx="979">
                  <c:v>-0.27991155454735228</c:v>
                </c:pt>
                <c:pt idx="980">
                  <c:v>-0.27957067462579932</c:v>
                </c:pt>
                <c:pt idx="981">
                  <c:v>-0.27969236168746037</c:v>
                </c:pt>
                <c:pt idx="982">
                  <c:v>-0.28051198135796052</c:v>
                </c:pt>
                <c:pt idx="983">
                  <c:v>-0.27905162945569861</c:v>
                </c:pt>
                <c:pt idx="984">
                  <c:v>-0.28038828243022307</c:v>
                </c:pt>
                <c:pt idx="985">
                  <c:v>-0.28003295449069965</c:v>
                </c:pt>
                <c:pt idx="986">
                  <c:v>-0.27952879378919759</c:v>
                </c:pt>
                <c:pt idx="987">
                  <c:v>-0.27968492408276158</c:v>
                </c:pt>
                <c:pt idx="988">
                  <c:v>-0.27925557653164246</c:v>
                </c:pt>
                <c:pt idx="989">
                  <c:v>-0.27955875407118747</c:v>
                </c:pt>
                <c:pt idx="990">
                  <c:v>-0.27959505813154695</c:v>
                </c:pt>
                <c:pt idx="991">
                  <c:v>-0.28010188423665916</c:v>
                </c:pt>
                <c:pt idx="992">
                  <c:v>-0.27965832900607523</c:v>
                </c:pt>
                <c:pt idx="993">
                  <c:v>-0.27936980595438354</c:v>
                </c:pt>
                <c:pt idx="994">
                  <c:v>-0.27989237951905666</c:v>
                </c:pt>
                <c:pt idx="995">
                  <c:v>-0.2798576545524134</c:v>
                </c:pt>
                <c:pt idx="996">
                  <c:v>-0.27964380985647863</c:v>
                </c:pt>
                <c:pt idx="997">
                  <c:v>-0.27901283763111839</c:v>
                </c:pt>
                <c:pt idx="998">
                  <c:v>-0.27985088858126839</c:v>
                </c:pt>
                <c:pt idx="999">
                  <c:v>-0.27975574557440097</c:v>
                </c:pt>
              </c:numCache>
            </c:numRef>
          </c:xVal>
          <c:yVal>
            <c:numRef>
              <c:f>PSA_1!$N$40:$N$1039</c:f>
              <c:numCache>
                <c:formatCode>General</c:formatCode>
                <c:ptCount val="1000"/>
                <c:pt idx="0">
                  <c:v>-4910.9930761664527</c:v>
                </c:pt>
                <c:pt idx="1">
                  <c:v>-5080.3062985010292</c:v>
                </c:pt>
                <c:pt idx="2">
                  <c:v>-4715.6177262511665</c:v>
                </c:pt>
                <c:pt idx="3">
                  <c:v>-4235.8536955229501</c:v>
                </c:pt>
                <c:pt idx="4">
                  <c:v>-4527.9579102740481</c:v>
                </c:pt>
                <c:pt idx="5">
                  <c:v>-4424.2783433095792</c:v>
                </c:pt>
                <c:pt idx="6">
                  <c:v>-4572.9125037632275</c:v>
                </c:pt>
                <c:pt idx="7">
                  <c:v>-4608.766265338656</c:v>
                </c:pt>
                <c:pt idx="8">
                  <c:v>-5009.6622155732784</c:v>
                </c:pt>
                <c:pt idx="9">
                  <c:v>-4871.6664420899597</c:v>
                </c:pt>
                <c:pt idx="10">
                  <c:v>-5135.0290050107051</c:v>
                </c:pt>
                <c:pt idx="11">
                  <c:v>-3311.3959851761965</c:v>
                </c:pt>
                <c:pt idx="12">
                  <c:v>-4261.8440006573455</c:v>
                </c:pt>
                <c:pt idx="13">
                  <c:v>-4366.8780916913129</c:v>
                </c:pt>
                <c:pt idx="14">
                  <c:v>-4498.9315426657577</c:v>
                </c:pt>
                <c:pt idx="15">
                  <c:v>-4441.6249284017649</c:v>
                </c:pt>
                <c:pt idx="16">
                  <c:v>-4441.0909712339599</c:v>
                </c:pt>
                <c:pt idx="17">
                  <c:v>-4403.1911842519257</c:v>
                </c:pt>
                <c:pt idx="18">
                  <c:v>-4722.1850378732033</c:v>
                </c:pt>
                <c:pt idx="19">
                  <c:v>-3388.0084738651467</c:v>
                </c:pt>
                <c:pt idx="20">
                  <c:v>-4708.6234742323959</c:v>
                </c:pt>
                <c:pt idx="21">
                  <c:v>-3176.1699802104285</c:v>
                </c:pt>
                <c:pt idx="22">
                  <c:v>-3328.0234033773049</c:v>
                </c:pt>
                <c:pt idx="23">
                  <c:v>-4037.0158441366038</c:v>
                </c:pt>
                <c:pt idx="24">
                  <c:v>-3377.7898016507352</c:v>
                </c:pt>
                <c:pt idx="25">
                  <c:v>-5633.4998637012777</c:v>
                </c:pt>
                <c:pt idx="26">
                  <c:v>-4961.3690066792078</c:v>
                </c:pt>
                <c:pt idx="27">
                  <c:v>-4411.9623510210768</c:v>
                </c:pt>
                <c:pt idx="28">
                  <c:v>-4541.7786654940883</c:v>
                </c:pt>
                <c:pt idx="29">
                  <c:v>-4362.8462701346343</c:v>
                </c:pt>
                <c:pt idx="30">
                  <c:v>-4704.681092931085</c:v>
                </c:pt>
                <c:pt idx="31">
                  <c:v>-4043.6305454735793</c:v>
                </c:pt>
                <c:pt idx="32">
                  <c:v>-4537.493767674172</c:v>
                </c:pt>
                <c:pt idx="33">
                  <c:v>-4590.7483312052354</c:v>
                </c:pt>
                <c:pt idx="34">
                  <c:v>-4877.5292459142838</c:v>
                </c:pt>
                <c:pt idx="35">
                  <c:v>-5240.9741498582316</c:v>
                </c:pt>
                <c:pt idx="36">
                  <c:v>-4595.0556097683057</c:v>
                </c:pt>
                <c:pt idx="37">
                  <c:v>-4830.7491527647289</c:v>
                </c:pt>
                <c:pt idx="38">
                  <c:v>-4043.8493845594712</c:v>
                </c:pt>
                <c:pt idx="39">
                  <c:v>-4302.265299509043</c:v>
                </c:pt>
                <c:pt idx="40">
                  <c:v>-4246.6749756141544</c:v>
                </c:pt>
                <c:pt idx="41">
                  <c:v>-4964.9225959761334</c:v>
                </c:pt>
                <c:pt idx="42">
                  <c:v>-4039.3551268825595</c:v>
                </c:pt>
                <c:pt idx="43">
                  <c:v>-4944.9240075614725</c:v>
                </c:pt>
                <c:pt idx="44">
                  <c:v>-3356.887339422251</c:v>
                </c:pt>
                <c:pt idx="45">
                  <c:v>-5115.8048345622265</c:v>
                </c:pt>
                <c:pt idx="46">
                  <c:v>-4561.7201955951732</c:v>
                </c:pt>
                <c:pt idx="47">
                  <c:v>-4208.7051461495357</c:v>
                </c:pt>
                <c:pt idx="48">
                  <c:v>-4027.7868282318359</c:v>
                </c:pt>
                <c:pt idx="49">
                  <c:v>-3871.1339627430152</c:v>
                </c:pt>
                <c:pt idx="50">
                  <c:v>-4295.5219430817688</c:v>
                </c:pt>
                <c:pt idx="51">
                  <c:v>-5141.9240003232208</c:v>
                </c:pt>
                <c:pt idx="52">
                  <c:v>-4480.0961022312986</c:v>
                </c:pt>
                <c:pt idx="53">
                  <c:v>-5736.6766849650267</c:v>
                </c:pt>
                <c:pt idx="54">
                  <c:v>-4653.3383816778805</c:v>
                </c:pt>
                <c:pt idx="55">
                  <c:v>-4472.4571681227371</c:v>
                </c:pt>
                <c:pt idx="56">
                  <c:v>-4955.472647400502</c:v>
                </c:pt>
                <c:pt idx="57">
                  <c:v>-3703.8819659307555</c:v>
                </c:pt>
                <c:pt idx="58">
                  <c:v>-4624.0111108443616</c:v>
                </c:pt>
                <c:pt idx="59">
                  <c:v>-4716.489792899727</c:v>
                </c:pt>
                <c:pt idx="60">
                  <c:v>-3595.8809936482357</c:v>
                </c:pt>
                <c:pt idx="61">
                  <c:v>-4331.3197443960944</c:v>
                </c:pt>
                <c:pt idx="62">
                  <c:v>-4689.740910215487</c:v>
                </c:pt>
                <c:pt idx="63">
                  <c:v>-4205.9954142235165</c:v>
                </c:pt>
                <c:pt idx="64">
                  <c:v>-5143.8520464692738</c:v>
                </c:pt>
                <c:pt idx="65">
                  <c:v>-3510.9631904221224</c:v>
                </c:pt>
                <c:pt idx="66">
                  <c:v>-5042.4123567595689</c:v>
                </c:pt>
                <c:pt idx="67">
                  <c:v>-3565.3879869856228</c:v>
                </c:pt>
                <c:pt idx="68">
                  <c:v>-4484.7290100743139</c:v>
                </c:pt>
                <c:pt idx="69">
                  <c:v>-4039.9890288145871</c:v>
                </c:pt>
                <c:pt idx="70">
                  <c:v>-4555.3579329112181</c:v>
                </c:pt>
                <c:pt idx="71">
                  <c:v>-3783.3172049947043</c:v>
                </c:pt>
                <c:pt idx="72">
                  <c:v>-4624.0922612922368</c:v>
                </c:pt>
                <c:pt idx="73">
                  <c:v>-5124.0693286704081</c:v>
                </c:pt>
                <c:pt idx="74">
                  <c:v>-4494.4621809944038</c:v>
                </c:pt>
                <c:pt idx="75">
                  <c:v>-4756.9362079299353</c:v>
                </c:pt>
                <c:pt idx="76">
                  <c:v>-4791.0865303237988</c:v>
                </c:pt>
                <c:pt idx="77">
                  <c:v>-4756.5683857231888</c:v>
                </c:pt>
                <c:pt idx="78">
                  <c:v>-4175.3590886112397</c:v>
                </c:pt>
                <c:pt idx="79">
                  <c:v>-4747.6093362277588</c:v>
                </c:pt>
                <c:pt idx="80">
                  <c:v>-4161.2505645339279</c:v>
                </c:pt>
                <c:pt idx="81">
                  <c:v>-4440.4261174985641</c:v>
                </c:pt>
                <c:pt idx="82">
                  <c:v>-5053.0486030720895</c:v>
                </c:pt>
                <c:pt idx="83">
                  <c:v>-4347.9010592596042</c:v>
                </c:pt>
                <c:pt idx="84">
                  <c:v>-4769.4333057577878</c:v>
                </c:pt>
                <c:pt idx="85">
                  <c:v>-4138.8561668931616</c:v>
                </c:pt>
                <c:pt idx="86">
                  <c:v>-5064.0509182224414</c:v>
                </c:pt>
                <c:pt idx="87">
                  <c:v>-4433.280504231856</c:v>
                </c:pt>
                <c:pt idx="88">
                  <c:v>-5238.1867841491621</c:v>
                </c:pt>
                <c:pt idx="89">
                  <c:v>-4686.4048895462874</c:v>
                </c:pt>
                <c:pt idx="90">
                  <c:v>-4180.9189599300953</c:v>
                </c:pt>
                <c:pt idx="91">
                  <c:v>-4124.2501357758847</c:v>
                </c:pt>
                <c:pt idx="92">
                  <c:v>-4067.6874976289346</c:v>
                </c:pt>
                <c:pt idx="93">
                  <c:v>-4603.5526501690892</c:v>
                </c:pt>
                <c:pt idx="94">
                  <c:v>-4838.4511269394552</c:v>
                </c:pt>
                <c:pt idx="95">
                  <c:v>-4887.8800720519175</c:v>
                </c:pt>
                <c:pt idx="96">
                  <c:v>-4422.0322923476015</c:v>
                </c:pt>
                <c:pt idx="97">
                  <c:v>-4222.1015590624993</c:v>
                </c:pt>
                <c:pt idx="98">
                  <c:v>-3779.5379021288136</c:v>
                </c:pt>
                <c:pt idx="99">
                  <c:v>-5741.7659083102426</c:v>
                </c:pt>
                <c:pt idx="100">
                  <c:v>-4014.6238306856176</c:v>
                </c:pt>
                <c:pt idx="101">
                  <c:v>-4340.0884223051835</c:v>
                </c:pt>
                <c:pt idx="102">
                  <c:v>-4406.4729210667774</c:v>
                </c:pt>
                <c:pt idx="103">
                  <c:v>-3777.2965510209342</c:v>
                </c:pt>
                <c:pt idx="104">
                  <c:v>-4621.5801476430534</c:v>
                </c:pt>
                <c:pt idx="105">
                  <c:v>-4208.1211592635391</c:v>
                </c:pt>
                <c:pt idx="106">
                  <c:v>-3561.5288149809003</c:v>
                </c:pt>
                <c:pt idx="107">
                  <c:v>-4559.559180987786</c:v>
                </c:pt>
                <c:pt idx="108">
                  <c:v>-4231.5074028154904</c:v>
                </c:pt>
                <c:pt idx="109">
                  <c:v>-4285.2551130967313</c:v>
                </c:pt>
                <c:pt idx="110">
                  <c:v>-4374.8677622486575</c:v>
                </c:pt>
                <c:pt idx="111">
                  <c:v>-4671.4042013800881</c:v>
                </c:pt>
                <c:pt idx="112">
                  <c:v>-4781.3343795780511</c:v>
                </c:pt>
                <c:pt idx="113">
                  <c:v>-4300.9417361346405</c:v>
                </c:pt>
                <c:pt idx="114">
                  <c:v>-5460.6308669057798</c:v>
                </c:pt>
                <c:pt idx="115">
                  <c:v>-4338.0398998664914</c:v>
                </c:pt>
                <c:pt idx="116">
                  <c:v>-5318.5403176663731</c:v>
                </c:pt>
                <c:pt idx="117">
                  <c:v>-4460.7476272396761</c:v>
                </c:pt>
                <c:pt idx="118">
                  <c:v>-3622.9220237134741</c:v>
                </c:pt>
                <c:pt idx="119">
                  <c:v>-5700.8375773769712</c:v>
                </c:pt>
                <c:pt idx="120">
                  <c:v>-4380.2758186191677</c:v>
                </c:pt>
                <c:pt idx="121">
                  <c:v>-4244.4818596564528</c:v>
                </c:pt>
                <c:pt idx="122">
                  <c:v>-4910.4574635008776</c:v>
                </c:pt>
                <c:pt idx="123">
                  <c:v>-5804.2372874612702</c:v>
                </c:pt>
                <c:pt idx="124">
                  <c:v>-4190.4826217880545</c:v>
                </c:pt>
                <c:pt idx="125">
                  <c:v>-5314.1054355945653</c:v>
                </c:pt>
                <c:pt idx="126">
                  <c:v>-4809.5922848651426</c:v>
                </c:pt>
                <c:pt idx="127">
                  <c:v>-3623.415090041306</c:v>
                </c:pt>
                <c:pt idx="128">
                  <c:v>-4554.5541499028441</c:v>
                </c:pt>
                <c:pt idx="129">
                  <c:v>-4581.4514846337588</c:v>
                </c:pt>
                <c:pt idx="130">
                  <c:v>-5406.9709937979969</c:v>
                </c:pt>
                <c:pt idx="131">
                  <c:v>-3607.3550986510299</c:v>
                </c:pt>
                <c:pt idx="132">
                  <c:v>-4478.0433200308344</c:v>
                </c:pt>
                <c:pt idx="133">
                  <c:v>-4307.3789084350137</c:v>
                </c:pt>
                <c:pt idx="134">
                  <c:v>-4741.3588684730694</c:v>
                </c:pt>
                <c:pt idx="135">
                  <c:v>-4127.1692042942741</c:v>
                </c:pt>
                <c:pt idx="136">
                  <c:v>-3713.4954641058266</c:v>
                </c:pt>
                <c:pt idx="137">
                  <c:v>-4474.2754421139798</c:v>
                </c:pt>
                <c:pt idx="138">
                  <c:v>-5034.3080300174461</c:v>
                </c:pt>
                <c:pt idx="139">
                  <c:v>-4429.2304721704568</c:v>
                </c:pt>
                <c:pt idx="140">
                  <c:v>-3617.4493332069669</c:v>
                </c:pt>
                <c:pt idx="141">
                  <c:v>-4639.0874134413207</c:v>
                </c:pt>
                <c:pt idx="142">
                  <c:v>-5371.2445454544468</c:v>
                </c:pt>
                <c:pt idx="143">
                  <c:v>-4829.2589528115477</c:v>
                </c:pt>
                <c:pt idx="144">
                  <c:v>-4914.9860206274479</c:v>
                </c:pt>
                <c:pt idx="145">
                  <c:v>-4122.2695831486726</c:v>
                </c:pt>
                <c:pt idx="146">
                  <c:v>-4375.3686492435572</c:v>
                </c:pt>
                <c:pt idx="147">
                  <c:v>-4727.2517952664166</c:v>
                </c:pt>
                <c:pt idx="148">
                  <c:v>-4366.8740525469348</c:v>
                </c:pt>
                <c:pt idx="149">
                  <c:v>-3939.0682835747193</c:v>
                </c:pt>
                <c:pt idx="150">
                  <c:v>-4478.5085865451365</c:v>
                </c:pt>
                <c:pt idx="151">
                  <c:v>-5339.2711145184039</c:v>
                </c:pt>
                <c:pt idx="152">
                  <c:v>-3567.4815091307091</c:v>
                </c:pt>
                <c:pt idx="153">
                  <c:v>-3817.7326779650157</c:v>
                </c:pt>
                <c:pt idx="154">
                  <c:v>-4754.6068347023556</c:v>
                </c:pt>
                <c:pt idx="155">
                  <c:v>-3581.1917974258786</c:v>
                </c:pt>
                <c:pt idx="156">
                  <c:v>-4207.7183913702629</c:v>
                </c:pt>
                <c:pt idx="157">
                  <c:v>-4796.9322099274304</c:v>
                </c:pt>
                <c:pt idx="158">
                  <c:v>-4804.9924001291347</c:v>
                </c:pt>
                <c:pt idx="159">
                  <c:v>-4307.0057018078951</c:v>
                </c:pt>
                <c:pt idx="160">
                  <c:v>-5026.5215713315902</c:v>
                </c:pt>
                <c:pt idx="161">
                  <c:v>-4258.4864258912476</c:v>
                </c:pt>
                <c:pt idx="162">
                  <c:v>-5381.1009332172798</c:v>
                </c:pt>
                <c:pt idx="163">
                  <c:v>-5388.2511363695885</c:v>
                </c:pt>
                <c:pt idx="164">
                  <c:v>-3792.917624895912</c:v>
                </c:pt>
                <c:pt idx="165">
                  <c:v>-4378.6771236030163</c:v>
                </c:pt>
                <c:pt idx="166">
                  <c:v>-4235.9391095072497</c:v>
                </c:pt>
                <c:pt idx="167">
                  <c:v>-4168.1529830286472</c:v>
                </c:pt>
                <c:pt idx="168">
                  <c:v>-3705.6065763138631</c:v>
                </c:pt>
                <c:pt idx="169">
                  <c:v>-4077.0385822075623</c:v>
                </c:pt>
                <c:pt idx="170">
                  <c:v>-3885.8372582550819</c:v>
                </c:pt>
                <c:pt idx="171">
                  <c:v>-3533.6306691224117</c:v>
                </c:pt>
                <c:pt idx="172">
                  <c:v>-6047.7156782560123</c:v>
                </c:pt>
                <c:pt idx="173">
                  <c:v>-5252.1330078084684</c:v>
                </c:pt>
                <c:pt idx="174">
                  <c:v>-3392.7778593846715</c:v>
                </c:pt>
                <c:pt idx="175">
                  <c:v>-4559.5507799876905</c:v>
                </c:pt>
                <c:pt idx="176">
                  <c:v>-3848.0477931888399</c:v>
                </c:pt>
                <c:pt idx="177">
                  <c:v>-4352.0810909564971</c:v>
                </c:pt>
                <c:pt idx="178">
                  <c:v>-4690.6606057150093</c:v>
                </c:pt>
                <c:pt idx="179">
                  <c:v>-4727.0685413157335</c:v>
                </c:pt>
                <c:pt idx="180">
                  <c:v>-4541.3388112886023</c:v>
                </c:pt>
                <c:pt idx="181">
                  <c:v>-4317.3989459911809</c:v>
                </c:pt>
                <c:pt idx="182">
                  <c:v>-4050.246944020204</c:v>
                </c:pt>
                <c:pt idx="183">
                  <c:v>-4050.3490643835921</c:v>
                </c:pt>
                <c:pt idx="184">
                  <c:v>-4456.5851780958656</c:v>
                </c:pt>
                <c:pt idx="185">
                  <c:v>-4725.0770231756487</c:v>
                </c:pt>
                <c:pt idx="186">
                  <c:v>-5094.5750772166939</c:v>
                </c:pt>
                <c:pt idx="187">
                  <c:v>-4510.388403165869</c:v>
                </c:pt>
                <c:pt idx="188">
                  <c:v>-5587.6839780620448</c:v>
                </c:pt>
                <c:pt idx="189">
                  <c:v>-3835.6542233239816</c:v>
                </c:pt>
                <c:pt idx="190">
                  <c:v>-4395.0712048843434</c:v>
                </c:pt>
                <c:pt idx="191">
                  <c:v>-4311.0682963954387</c:v>
                </c:pt>
                <c:pt idx="192">
                  <c:v>-4646.4387047111322</c:v>
                </c:pt>
                <c:pt idx="193">
                  <c:v>-4951.8185967061418</c:v>
                </c:pt>
                <c:pt idx="194">
                  <c:v>-4263.9534631860752</c:v>
                </c:pt>
                <c:pt idx="195">
                  <c:v>-4382.1967792640662</c:v>
                </c:pt>
                <c:pt idx="196">
                  <c:v>-4511.5837184152078</c:v>
                </c:pt>
                <c:pt idx="197">
                  <c:v>-4189.7483417425537</c:v>
                </c:pt>
                <c:pt idx="198">
                  <c:v>-3742.1803782831248</c:v>
                </c:pt>
                <c:pt idx="199">
                  <c:v>-5318.2834797999003</c:v>
                </c:pt>
                <c:pt idx="200">
                  <c:v>-5267.6068801199399</c:v>
                </c:pt>
                <c:pt idx="201">
                  <c:v>-4076.1277011679085</c:v>
                </c:pt>
                <c:pt idx="202">
                  <c:v>-3922.1127343343196</c:v>
                </c:pt>
                <c:pt idx="203">
                  <c:v>-3620.8654234855294</c:v>
                </c:pt>
                <c:pt idx="204">
                  <c:v>-4132.5175830928529</c:v>
                </c:pt>
                <c:pt idx="205">
                  <c:v>-3383.6139254464033</c:v>
                </c:pt>
                <c:pt idx="206">
                  <c:v>-4573.1555393108974</c:v>
                </c:pt>
                <c:pt idx="207">
                  <c:v>-4521.8468226457007</c:v>
                </c:pt>
                <c:pt idx="208">
                  <c:v>-5326.6994848857485</c:v>
                </c:pt>
                <c:pt idx="209">
                  <c:v>-4289.3591422223435</c:v>
                </c:pt>
                <c:pt idx="210">
                  <c:v>-4401.6163943836418</c:v>
                </c:pt>
                <c:pt idx="211">
                  <c:v>-4619.9433101782088</c:v>
                </c:pt>
                <c:pt idx="212">
                  <c:v>-4041.6354665678809</c:v>
                </c:pt>
                <c:pt idx="213">
                  <c:v>-5072.8269478033326</c:v>
                </c:pt>
                <c:pt idx="214">
                  <c:v>-4064.347958277247</c:v>
                </c:pt>
                <c:pt idx="215">
                  <c:v>-4831.4888244533377</c:v>
                </c:pt>
                <c:pt idx="216">
                  <c:v>-4170.4404179630237</c:v>
                </c:pt>
                <c:pt idx="217">
                  <c:v>-3650.791682849278</c:v>
                </c:pt>
                <c:pt idx="218">
                  <c:v>-4719.5706767152242</c:v>
                </c:pt>
                <c:pt idx="219">
                  <c:v>-5650.1373554534857</c:v>
                </c:pt>
                <c:pt idx="220">
                  <c:v>-5183.766772215904</c:v>
                </c:pt>
                <c:pt idx="221">
                  <c:v>-3058.0282097901745</c:v>
                </c:pt>
                <c:pt idx="222">
                  <c:v>-3867.0880029932778</c:v>
                </c:pt>
                <c:pt idx="223">
                  <c:v>-4880.0342280367458</c:v>
                </c:pt>
                <c:pt idx="224">
                  <c:v>-4373.6221054370344</c:v>
                </c:pt>
                <c:pt idx="225">
                  <c:v>-4800.3005221169242</c:v>
                </c:pt>
                <c:pt idx="226">
                  <c:v>-4268.3971894728347</c:v>
                </c:pt>
                <c:pt idx="227">
                  <c:v>-4013.481043174972</c:v>
                </c:pt>
                <c:pt idx="228">
                  <c:v>-4933.9191640974732</c:v>
                </c:pt>
                <c:pt idx="229">
                  <c:v>-5770.6609030854179</c:v>
                </c:pt>
                <c:pt idx="230">
                  <c:v>-4748.9800683667891</c:v>
                </c:pt>
                <c:pt idx="231">
                  <c:v>-5174.7280866629699</c:v>
                </c:pt>
                <c:pt idx="232">
                  <c:v>-4949.0195012980057</c:v>
                </c:pt>
                <c:pt idx="233">
                  <c:v>-5182.0317299951839</c:v>
                </c:pt>
                <c:pt idx="234">
                  <c:v>-4624.791852637607</c:v>
                </c:pt>
                <c:pt idx="235">
                  <c:v>-4875.5517880873685</c:v>
                </c:pt>
                <c:pt idx="236">
                  <c:v>-4237.542219864361</c:v>
                </c:pt>
                <c:pt idx="237">
                  <c:v>-3493.9656815564376</c:v>
                </c:pt>
                <c:pt idx="238">
                  <c:v>-4557.7948123305941</c:v>
                </c:pt>
                <c:pt idx="239">
                  <c:v>-4432.3053470055311</c:v>
                </c:pt>
                <c:pt idx="240">
                  <c:v>-4723.4011927381052</c:v>
                </c:pt>
                <c:pt idx="241">
                  <c:v>-4521.7240409421447</c:v>
                </c:pt>
                <c:pt idx="242">
                  <c:v>-4057.0131050142591</c:v>
                </c:pt>
                <c:pt idx="243">
                  <c:v>-3438.0903533519559</c:v>
                </c:pt>
                <c:pt idx="244">
                  <c:v>-4734.1746016809902</c:v>
                </c:pt>
                <c:pt idx="245">
                  <c:v>-4240.8679391249952</c:v>
                </c:pt>
                <c:pt idx="246">
                  <c:v>-4796.0958829067422</c:v>
                </c:pt>
                <c:pt idx="247">
                  <c:v>-5334.9705078271054</c:v>
                </c:pt>
                <c:pt idx="248">
                  <c:v>-3802.2827652359047</c:v>
                </c:pt>
                <c:pt idx="249">
                  <c:v>-4250.2412600327661</c:v>
                </c:pt>
                <c:pt idx="250">
                  <c:v>-4728.4442245434566</c:v>
                </c:pt>
                <c:pt idx="251">
                  <c:v>-4439.6550350759953</c:v>
                </c:pt>
                <c:pt idx="252">
                  <c:v>-4300.1068857082064</c:v>
                </c:pt>
                <c:pt idx="253">
                  <c:v>-4276.6561858479927</c:v>
                </c:pt>
                <c:pt idx="254">
                  <c:v>-4153.0718592423527</c:v>
                </c:pt>
                <c:pt idx="255">
                  <c:v>-4092.4469162653204</c:v>
                </c:pt>
                <c:pt idx="256">
                  <c:v>-5565.1844950171744</c:v>
                </c:pt>
                <c:pt idx="257">
                  <c:v>-4880.1247564956739</c:v>
                </c:pt>
                <c:pt idx="258">
                  <c:v>-3741.0912599662315</c:v>
                </c:pt>
                <c:pt idx="259">
                  <c:v>-4717.8382065630121</c:v>
                </c:pt>
                <c:pt idx="260">
                  <c:v>-3531.7506035169517</c:v>
                </c:pt>
                <c:pt idx="261">
                  <c:v>-3858.185502520284</c:v>
                </c:pt>
                <c:pt idx="262">
                  <c:v>-4208.8059857663211</c:v>
                </c:pt>
                <c:pt idx="263">
                  <c:v>-5537.238641915601</c:v>
                </c:pt>
                <c:pt idx="264">
                  <c:v>-4353.9395876526978</c:v>
                </c:pt>
                <c:pt idx="265">
                  <c:v>-5499.9910210904636</c:v>
                </c:pt>
                <c:pt idx="266">
                  <c:v>-4121.5015551287852</c:v>
                </c:pt>
                <c:pt idx="267">
                  <c:v>-3157.4503326424647</c:v>
                </c:pt>
                <c:pt idx="268">
                  <c:v>-4915.3224281668736</c:v>
                </c:pt>
                <c:pt idx="269">
                  <c:v>-5263.0030483753999</c:v>
                </c:pt>
                <c:pt idx="270">
                  <c:v>-4790.5132934655394</c:v>
                </c:pt>
                <c:pt idx="271">
                  <c:v>-3965.7558824064563</c:v>
                </c:pt>
                <c:pt idx="272">
                  <c:v>-3554.6562758069749</c:v>
                </c:pt>
                <c:pt idx="273">
                  <c:v>-4270.9299441398543</c:v>
                </c:pt>
                <c:pt idx="274">
                  <c:v>-3949.3843962319515</c:v>
                </c:pt>
                <c:pt idx="275">
                  <c:v>-4159.4527389261439</c:v>
                </c:pt>
                <c:pt idx="276">
                  <c:v>-4697.8489291583755</c:v>
                </c:pt>
                <c:pt idx="277">
                  <c:v>-3693.8317874490112</c:v>
                </c:pt>
                <c:pt idx="278">
                  <c:v>-5397.8371085584931</c:v>
                </c:pt>
                <c:pt idx="279">
                  <c:v>-3445.7749841219866</c:v>
                </c:pt>
                <c:pt idx="280">
                  <c:v>-4787.0755769704283</c:v>
                </c:pt>
                <c:pt idx="281">
                  <c:v>-4029.912544764371</c:v>
                </c:pt>
                <c:pt idx="282">
                  <c:v>-4722.5340354137843</c:v>
                </c:pt>
                <c:pt idx="283">
                  <c:v>-4193.9889911222454</c:v>
                </c:pt>
                <c:pt idx="284">
                  <c:v>-5417.3470550877064</c:v>
                </c:pt>
                <c:pt idx="285">
                  <c:v>-4214.3169482011417</c:v>
                </c:pt>
                <c:pt idx="286">
                  <c:v>-3950.7918827001704</c:v>
                </c:pt>
                <c:pt idx="287">
                  <c:v>-3679.0082835105841</c:v>
                </c:pt>
                <c:pt idx="288">
                  <c:v>-4252.1635274513592</c:v>
                </c:pt>
                <c:pt idx="289">
                  <c:v>-4295.2304568839681</c:v>
                </c:pt>
                <c:pt idx="290">
                  <c:v>-4665.1353868940114</c:v>
                </c:pt>
                <c:pt idx="291">
                  <c:v>-5045.2639042382543</c:v>
                </c:pt>
                <c:pt idx="292">
                  <c:v>-5977.9678292246463</c:v>
                </c:pt>
                <c:pt idx="293">
                  <c:v>-4727.8570977971685</c:v>
                </c:pt>
                <c:pt idx="294">
                  <c:v>-5164.5199621597258</c:v>
                </c:pt>
                <c:pt idx="295">
                  <c:v>-3808.3661364449654</c:v>
                </c:pt>
                <c:pt idx="296">
                  <c:v>-4726.1644562517504</c:v>
                </c:pt>
                <c:pt idx="297">
                  <c:v>-4613.3273341910244</c:v>
                </c:pt>
                <c:pt idx="298">
                  <c:v>-4507.9627130563604</c:v>
                </c:pt>
                <c:pt idx="299">
                  <c:v>-4525.3877025570455</c:v>
                </c:pt>
                <c:pt idx="300">
                  <c:v>-4926.5219764870944</c:v>
                </c:pt>
                <c:pt idx="301">
                  <c:v>-3930.8714792830542</c:v>
                </c:pt>
                <c:pt idx="302">
                  <c:v>-4447.8230025506928</c:v>
                </c:pt>
                <c:pt idx="303">
                  <c:v>-4779.7858779426915</c:v>
                </c:pt>
                <c:pt idx="304">
                  <c:v>-4514.8262664739577</c:v>
                </c:pt>
                <c:pt idx="305">
                  <c:v>-4144.806093484347</c:v>
                </c:pt>
                <c:pt idx="306">
                  <c:v>-3974.9048523440233</c:v>
                </c:pt>
                <c:pt idx="307">
                  <c:v>-3972.775157618189</c:v>
                </c:pt>
                <c:pt idx="308">
                  <c:v>-4073.9164050338095</c:v>
                </c:pt>
                <c:pt idx="309">
                  <c:v>-4090.8868480615001</c:v>
                </c:pt>
                <c:pt idx="310">
                  <c:v>-5085.5110303274159</c:v>
                </c:pt>
                <c:pt idx="311">
                  <c:v>-4655.8865169229848</c:v>
                </c:pt>
                <c:pt idx="312">
                  <c:v>-6097.8291513252043</c:v>
                </c:pt>
                <c:pt idx="313">
                  <c:v>-4516.3684592594382</c:v>
                </c:pt>
                <c:pt idx="314">
                  <c:v>-4660.0022877255251</c:v>
                </c:pt>
                <c:pt idx="315">
                  <c:v>-3979.7055717313469</c:v>
                </c:pt>
                <c:pt idx="316">
                  <c:v>-4804.5784024669301</c:v>
                </c:pt>
                <c:pt idx="317">
                  <c:v>-4133.0799370692366</c:v>
                </c:pt>
                <c:pt idx="318">
                  <c:v>-3969.1920775028448</c:v>
                </c:pt>
                <c:pt idx="319">
                  <c:v>-4382.4386662017332</c:v>
                </c:pt>
                <c:pt idx="320">
                  <c:v>-4694.3195086635078</c:v>
                </c:pt>
                <c:pt idx="321">
                  <c:v>-4056.7326276261902</c:v>
                </c:pt>
                <c:pt idx="322">
                  <c:v>-3392.5744736049865</c:v>
                </c:pt>
                <c:pt idx="323">
                  <c:v>-3872.0136574432108</c:v>
                </c:pt>
                <c:pt idx="324">
                  <c:v>-4256.3999229396595</c:v>
                </c:pt>
                <c:pt idx="325">
                  <c:v>-4805.4089673661147</c:v>
                </c:pt>
                <c:pt idx="326">
                  <c:v>-4483.0952463359845</c:v>
                </c:pt>
                <c:pt idx="327">
                  <c:v>-4494.5690584885524</c:v>
                </c:pt>
                <c:pt idx="328">
                  <c:v>-5014.6135360024527</c:v>
                </c:pt>
                <c:pt idx="329">
                  <c:v>-4074.2226934829578</c:v>
                </c:pt>
                <c:pt idx="330">
                  <c:v>-4140.0859043379114</c:v>
                </c:pt>
                <c:pt idx="331">
                  <c:v>-4592.2639997859023</c:v>
                </c:pt>
                <c:pt idx="332">
                  <c:v>-3663.4680319069921</c:v>
                </c:pt>
                <c:pt idx="333">
                  <c:v>-4589.9810798537237</c:v>
                </c:pt>
                <c:pt idx="334">
                  <c:v>-4182.7747558504961</c:v>
                </c:pt>
                <c:pt idx="335">
                  <c:v>-3666.0759417788067</c:v>
                </c:pt>
                <c:pt idx="336">
                  <c:v>-4995.7916617809096</c:v>
                </c:pt>
                <c:pt idx="337">
                  <c:v>-4223.5898254256044</c:v>
                </c:pt>
                <c:pt idx="338">
                  <c:v>-3953.4105516988311</c:v>
                </c:pt>
                <c:pt idx="339">
                  <c:v>-4493.2503323136607</c:v>
                </c:pt>
                <c:pt idx="340">
                  <c:v>-5573.3637790220055</c:v>
                </c:pt>
                <c:pt idx="341">
                  <c:v>-3818.7758401832125</c:v>
                </c:pt>
                <c:pt idx="342">
                  <c:v>-3771.0967135369792</c:v>
                </c:pt>
                <c:pt idx="343">
                  <c:v>-5188.4053015942718</c:v>
                </c:pt>
                <c:pt idx="344">
                  <c:v>-4573.2618119094277</c:v>
                </c:pt>
                <c:pt idx="345">
                  <c:v>-4651.5932085561035</c:v>
                </c:pt>
                <c:pt idx="346">
                  <c:v>-5846.7978706628837</c:v>
                </c:pt>
                <c:pt idx="347">
                  <c:v>-3639.8224744483941</c:v>
                </c:pt>
                <c:pt idx="348">
                  <c:v>-4701.2786302279383</c:v>
                </c:pt>
                <c:pt idx="349">
                  <c:v>-4206.487834494339</c:v>
                </c:pt>
                <c:pt idx="350">
                  <c:v>-4690.3892889065992</c:v>
                </c:pt>
                <c:pt idx="351">
                  <c:v>-4074.3936111869516</c:v>
                </c:pt>
                <c:pt idx="352">
                  <c:v>-3558.2023719195722</c:v>
                </c:pt>
                <c:pt idx="353">
                  <c:v>-5246.3033413953344</c:v>
                </c:pt>
                <c:pt idx="354">
                  <c:v>-4312.1895110608584</c:v>
                </c:pt>
                <c:pt idx="355">
                  <c:v>-4183.2374503566698</c:v>
                </c:pt>
                <c:pt idx="356">
                  <c:v>-3692.3516571635955</c:v>
                </c:pt>
                <c:pt idx="357">
                  <c:v>-4189.7823662661976</c:v>
                </c:pt>
                <c:pt idx="358">
                  <c:v>-4829.3779785061215</c:v>
                </c:pt>
                <c:pt idx="359">
                  <c:v>-4023.0718878487914</c:v>
                </c:pt>
                <c:pt idx="360">
                  <c:v>-4520.6147368488328</c:v>
                </c:pt>
                <c:pt idx="361">
                  <c:v>-4055.302436021957</c:v>
                </c:pt>
                <c:pt idx="362">
                  <c:v>-4044.9461732211294</c:v>
                </c:pt>
                <c:pt idx="363">
                  <c:v>-3703.5920919671426</c:v>
                </c:pt>
                <c:pt idx="364">
                  <c:v>-4534.83725732534</c:v>
                </c:pt>
                <c:pt idx="365">
                  <c:v>-5040.6571893805394</c:v>
                </c:pt>
                <c:pt idx="366">
                  <c:v>-3875.5903684252607</c:v>
                </c:pt>
                <c:pt idx="367">
                  <c:v>-3595.777621702242</c:v>
                </c:pt>
                <c:pt idx="368">
                  <c:v>-3966.6517139358293</c:v>
                </c:pt>
                <c:pt idx="369">
                  <c:v>-4823.5887789431399</c:v>
                </c:pt>
                <c:pt idx="370">
                  <c:v>-4385.1059473719597</c:v>
                </c:pt>
                <c:pt idx="371">
                  <c:v>-4729.8212376247793</c:v>
                </c:pt>
                <c:pt idx="372">
                  <c:v>-5767.5165008840358</c:v>
                </c:pt>
                <c:pt idx="373">
                  <c:v>-4030.0185818134923</c:v>
                </c:pt>
                <c:pt idx="374">
                  <c:v>-5721.3990542130068</c:v>
                </c:pt>
                <c:pt idx="375">
                  <c:v>-4416.2313049502754</c:v>
                </c:pt>
                <c:pt idx="376">
                  <c:v>-5227.9595844784781</c:v>
                </c:pt>
                <c:pt idx="377">
                  <c:v>-4661.7608966017542</c:v>
                </c:pt>
                <c:pt idx="378">
                  <c:v>-4487.2669492153036</c:v>
                </c:pt>
                <c:pt idx="379">
                  <c:v>-4725.1612236353394</c:v>
                </c:pt>
                <c:pt idx="380">
                  <c:v>-4913.5215966241503</c:v>
                </c:pt>
                <c:pt idx="381">
                  <c:v>-4710.6678857685602</c:v>
                </c:pt>
                <c:pt idx="382">
                  <c:v>-4768.6143550115812</c:v>
                </c:pt>
                <c:pt idx="383">
                  <c:v>-5233.1763206793712</c:v>
                </c:pt>
                <c:pt idx="384">
                  <c:v>-3669.2241349236374</c:v>
                </c:pt>
                <c:pt idx="385">
                  <c:v>-4695.215634786442</c:v>
                </c:pt>
                <c:pt idx="386">
                  <c:v>-3701.1237327378931</c:v>
                </c:pt>
                <c:pt idx="387">
                  <c:v>-4345.783977554127</c:v>
                </c:pt>
                <c:pt idx="388">
                  <c:v>-4821.8497778411402</c:v>
                </c:pt>
                <c:pt idx="389">
                  <c:v>-4214.892722554483</c:v>
                </c:pt>
                <c:pt idx="390">
                  <c:v>-5741.2876677774439</c:v>
                </c:pt>
                <c:pt idx="391">
                  <c:v>-4102.887109224248</c:v>
                </c:pt>
                <c:pt idx="392">
                  <c:v>-4311.7286440396438</c:v>
                </c:pt>
                <c:pt idx="393">
                  <c:v>-4398.9162863309721</c:v>
                </c:pt>
                <c:pt idx="394">
                  <c:v>-3714.5128291668188</c:v>
                </c:pt>
                <c:pt idx="395">
                  <c:v>-4979.2839299613879</c:v>
                </c:pt>
                <c:pt idx="396">
                  <c:v>-5033.324102399838</c:v>
                </c:pt>
                <c:pt idx="397">
                  <c:v>-6226.0317781905815</c:v>
                </c:pt>
                <c:pt idx="398">
                  <c:v>-3861.6025304647483</c:v>
                </c:pt>
                <c:pt idx="399">
                  <c:v>-4679.3991275752142</c:v>
                </c:pt>
                <c:pt idx="400">
                  <c:v>-4722.9008254585988</c:v>
                </c:pt>
                <c:pt idx="401">
                  <c:v>-5186.2128705247469</c:v>
                </c:pt>
                <c:pt idx="402">
                  <c:v>-5019.5222041940124</c:v>
                </c:pt>
                <c:pt idx="403">
                  <c:v>-4994.1039933866523</c:v>
                </c:pt>
                <c:pt idx="404">
                  <c:v>-5466.7503609036339</c:v>
                </c:pt>
                <c:pt idx="405">
                  <c:v>-4001.2877136100851</c:v>
                </c:pt>
                <c:pt idx="406">
                  <c:v>-5120.0987821602539</c:v>
                </c:pt>
                <c:pt idx="407">
                  <c:v>-4778.1479988168812</c:v>
                </c:pt>
                <c:pt idx="408">
                  <c:v>-4076.3699110610614</c:v>
                </c:pt>
                <c:pt idx="409">
                  <c:v>-4050.7542798586037</c:v>
                </c:pt>
                <c:pt idx="410">
                  <c:v>-5206.4981727188133</c:v>
                </c:pt>
                <c:pt idx="411">
                  <c:v>-5023.9309436912881</c:v>
                </c:pt>
                <c:pt idx="412">
                  <c:v>-3763.1531669482702</c:v>
                </c:pt>
                <c:pt idx="413">
                  <c:v>-3583.2712486747287</c:v>
                </c:pt>
                <c:pt idx="414">
                  <c:v>-4435.742272264195</c:v>
                </c:pt>
                <c:pt idx="415">
                  <c:v>-3959.1660285442631</c:v>
                </c:pt>
                <c:pt idx="416">
                  <c:v>-5158.7498039690654</c:v>
                </c:pt>
                <c:pt idx="417">
                  <c:v>-3496.3830925932025</c:v>
                </c:pt>
                <c:pt idx="418">
                  <c:v>-3931.2997312122625</c:v>
                </c:pt>
                <c:pt idx="419">
                  <c:v>-4529.2726572340543</c:v>
                </c:pt>
                <c:pt idx="420">
                  <c:v>-4839.8798862219828</c:v>
                </c:pt>
                <c:pt idx="421">
                  <c:v>-5095.1883568042413</c:v>
                </c:pt>
                <c:pt idx="422">
                  <c:v>-4096.8789980870934</c:v>
                </c:pt>
                <c:pt idx="423">
                  <c:v>-3783.1163874740723</c:v>
                </c:pt>
                <c:pt idx="424">
                  <c:v>-4146.9450409789806</c:v>
                </c:pt>
                <c:pt idx="425">
                  <c:v>-4033.0398197496324</c:v>
                </c:pt>
                <c:pt idx="426">
                  <c:v>-4881.4090945162643</c:v>
                </c:pt>
                <c:pt idx="427">
                  <c:v>-5483.7730288966213</c:v>
                </c:pt>
                <c:pt idx="428">
                  <c:v>-3682.1119176862539</c:v>
                </c:pt>
                <c:pt idx="429">
                  <c:v>-4599.1039262299801</c:v>
                </c:pt>
                <c:pt idx="430">
                  <c:v>-4131.6973434636438</c:v>
                </c:pt>
                <c:pt idx="431">
                  <c:v>-5072.1283457331865</c:v>
                </c:pt>
                <c:pt idx="432">
                  <c:v>-3746.0363966914265</c:v>
                </c:pt>
                <c:pt idx="433">
                  <c:v>-4594.1308826826826</c:v>
                </c:pt>
                <c:pt idx="434">
                  <c:v>-4381.166673009704</c:v>
                </c:pt>
                <c:pt idx="435">
                  <c:v>-4348.8446602245349</c:v>
                </c:pt>
                <c:pt idx="436">
                  <c:v>-4906.2867504565893</c:v>
                </c:pt>
                <c:pt idx="437">
                  <c:v>-4918.0867703978947</c:v>
                </c:pt>
                <c:pt idx="438">
                  <c:v>-5498.4483551921257</c:v>
                </c:pt>
                <c:pt idx="439">
                  <c:v>-4353.9583303422332</c:v>
                </c:pt>
                <c:pt idx="440">
                  <c:v>-4170.3115229605592</c:v>
                </c:pt>
                <c:pt idx="441">
                  <c:v>-4108.1494007599449</c:v>
                </c:pt>
                <c:pt idx="442">
                  <c:v>-3974.9843961244769</c:v>
                </c:pt>
                <c:pt idx="443">
                  <c:v>-4821.5690754894531</c:v>
                </c:pt>
                <c:pt idx="444">
                  <c:v>-5801.685987240875</c:v>
                </c:pt>
                <c:pt idx="445">
                  <c:v>-4539.9314627768272</c:v>
                </c:pt>
                <c:pt idx="446">
                  <c:v>-3874.1694011995005</c:v>
                </c:pt>
                <c:pt idx="447">
                  <c:v>-4977.3792465634142</c:v>
                </c:pt>
                <c:pt idx="448">
                  <c:v>-5203.9435255673452</c:v>
                </c:pt>
                <c:pt idx="449">
                  <c:v>-4827.2175369039887</c:v>
                </c:pt>
                <c:pt idx="450">
                  <c:v>-4274.7300125301754</c:v>
                </c:pt>
                <c:pt idx="451">
                  <c:v>-4398.8379143524126</c:v>
                </c:pt>
                <c:pt idx="452">
                  <c:v>-4447.5620922910293</c:v>
                </c:pt>
                <c:pt idx="453">
                  <c:v>-4879.3133412914503</c:v>
                </c:pt>
                <c:pt idx="454">
                  <c:v>-4738.2845215031666</c:v>
                </c:pt>
                <c:pt idx="455">
                  <c:v>-4655.2939507815536</c:v>
                </c:pt>
                <c:pt idx="456">
                  <c:v>-4856.8540000902594</c:v>
                </c:pt>
                <c:pt idx="457">
                  <c:v>-5214.3123564753114</c:v>
                </c:pt>
                <c:pt idx="458">
                  <c:v>-4078.3763057089182</c:v>
                </c:pt>
                <c:pt idx="459">
                  <c:v>-4128.8652867504825</c:v>
                </c:pt>
                <c:pt idx="460">
                  <c:v>-4676.1075381749506</c:v>
                </c:pt>
                <c:pt idx="461">
                  <c:v>-4763.2195301542179</c:v>
                </c:pt>
                <c:pt idx="462">
                  <c:v>-3968.2129666526853</c:v>
                </c:pt>
                <c:pt idx="463">
                  <c:v>-4730.6098155635336</c:v>
                </c:pt>
                <c:pt idx="464">
                  <c:v>-3348.0436691507657</c:v>
                </c:pt>
                <c:pt idx="465">
                  <c:v>-3951.8620266339331</c:v>
                </c:pt>
                <c:pt idx="466">
                  <c:v>-4370.109453802288</c:v>
                </c:pt>
                <c:pt idx="467">
                  <c:v>-4278.2137754276973</c:v>
                </c:pt>
                <c:pt idx="468">
                  <c:v>-4223.9052926940494</c:v>
                </c:pt>
                <c:pt idx="469">
                  <c:v>-5471.4051264325844</c:v>
                </c:pt>
                <c:pt idx="470">
                  <c:v>-3715.9023585895502</c:v>
                </c:pt>
                <c:pt idx="471">
                  <c:v>-4202.7208254183861</c:v>
                </c:pt>
                <c:pt idx="472">
                  <c:v>-3916.6517238350552</c:v>
                </c:pt>
                <c:pt idx="473">
                  <c:v>-3945.8841551274472</c:v>
                </c:pt>
                <c:pt idx="474">
                  <c:v>-5361.4510561786556</c:v>
                </c:pt>
                <c:pt idx="475">
                  <c:v>-3936.6245110095115</c:v>
                </c:pt>
                <c:pt idx="476">
                  <c:v>-4461.0699093791318</c:v>
                </c:pt>
                <c:pt idx="477">
                  <c:v>-4681.4537259354383</c:v>
                </c:pt>
                <c:pt idx="478">
                  <c:v>-4077.5111709996017</c:v>
                </c:pt>
                <c:pt idx="479">
                  <c:v>-3933.1383102383043</c:v>
                </c:pt>
                <c:pt idx="480">
                  <c:v>-5124.1289554864034</c:v>
                </c:pt>
                <c:pt idx="481">
                  <c:v>-4378.4083728631176</c:v>
                </c:pt>
                <c:pt idx="482">
                  <c:v>-4497.5851704327379</c:v>
                </c:pt>
                <c:pt idx="483">
                  <c:v>-4316.7888385608931</c:v>
                </c:pt>
                <c:pt idx="484">
                  <c:v>-4406.7607152930814</c:v>
                </c:pt>
                <c:pt idx="485">
                  <c:v>-4664.0983227999131</c:v>
                </c:pt>
                <c:pt idx="486">
                  <c:v>-4110.5133586877564</c:v>
                </c:pt>
                <c:pt idx="487">
                  <c:v>-3791.2570290110652</c:v>
                </c:pt>
                <c:pt idx="488">
                  <c:v>-3564.1434685022423</c:v>
                </c:pt>
                <c:pt idx="489">
                  <c:v>-4033.9468302778623</c:v>
                </c:pt>
                <c:pt idx="490">
                  <c:v>-4153.1756528011429</c:v>
                </c:pt>
                <c:pt idx="491">
                  <c:v>-5099.6480035260774</c:v>
                </c:pt>
                <c:pt idx="492">
                  <c:v>-5279.6402971786938</c:v>
                </c:pt>
                <c:pt idx="493">
                  <c:v>-4214.9735258166729</c:v>
                </c:pt>
                <c:pt idx="494">
                  <c:v>-4743.3662239163677</c:v>
                </c:pt>
                <c:pt idx="495">
                  <c:v>-4818.3012246448197</c:v>
                </c:pt>
                <c:pt idx="496">
                  <c:v>-5266.8856584070818</c:v>
                </c:pt>
                <c:pt idx="497">
                  <c:v>-5093.7456523620822</c:v>
                </c:pt>
                <c:pt idx="498">
                  <c:v>-4251.4860753156972</c:v>
                </c:pt>
                <c:pt idx="499">
                  <c:v>-5689.0385532750861</c:v>
                </c:pt>
                <c:pt idx="500">
                  <c:v>-5682.1623696188581</c:v>
                </c:pt>
                <c:pt idx="501">
                  <c:v>-3721.2001171294323</c:v>
                </c:pt>
                <c:pt idx="502">
                  <c:v>-4220.2973339326436</c:v>
                </c:pt>
                <c:pt idx="503">
                  <c:v>-4182.3048199096156</c:v>
                </c:pt>
                <c:pt idx="504">
                  <c:v>-4179.8988228659327</c:v>
                </c:pt>
                <c:pt idx="505">
                  <c:v>-4736.439771119487</c:v>
                </c:pt>
                <c:pt idx="506">
                  <c:v>-5121.2605612614352</c:v>
                </c:pt>
                <c:pt idx="507">
                  <c:v>-3956.6215696380041</c:v>
                </c:pt>
                <c:pt idx="508">
                  <c:v>-4050.6173140543087</c:v>
                </c:pt>
                <c:pt idx="509">
                  <c:v>-5220.3846449061966</c:v>
                </c:pt>
                <c:pt idx="510">
                  <c:v>-4919.2984402629263</c:v>
                </c:pt>
                <c:pt idx="511">
                  <c:v>-3769.1966592073823</c:v>
                </c:pt>
                <c:pt idx="512">
                  <c:v>-3857.8990246011563</c:v>
                </c:pt>
                <c:pt idx="513">
                  <c:v>-4560.9507385542674</c:v>
                </c:pt>
                <c:pt idx="514">
                  <c:v>-4527.1966145330771</c:v>
                </c:pt>
                <c:pt idx="515">
                  <c:v>-5253.5405808273663</c:v>
                </c:pt>
                <c:pt idx="516">
                  <c:v>-4318.486175908256</c:v>
                </c:pt>
                <c:pt idx="517">
                  <c:v>-4979.3701966367189</c:v>
                </c:pt>
                <c:pt idx="518">
                  <c:v>-3854.1442186512613</c:v>
                </c:pt>
                <c:pt idx="519">
                  <c:v>-4187.6040095274748</c:v>
                </c:pt>
                <c:pt idx="520">
                  <c:v>-4169.1575275313153</c:v>
                </c:pt>
                <c:pt idx="521">
                  <c:v>-4603.1015261850789</c:v>
                </c:pt>
                <c:pt idx="522">
                  <c:v>-5353.4359986301533</c:v>
                </c:pt>
                <c:pt idx="523">
                  <c:v>-4044.5470713508203</c:v>
                </c:pt>
                <c:pt idx="524">
                  <c:v>-4443.395823993249</c:v>
                </c:pt>
                <c:pt idx="525">
                  <c:v>-4749.2088216486918</c:v>
                </c:pt>
                <c:pt idx="526">
                  <c:v>-4663.2549546481387</c:v>
                </c:pt>
                <c:pt idx="527">
                  <c:v>-4945.6712099551951</c:v>
                </c:pt>
                <c:pt idx="528">
                  <c:v>-5140.6040553407929</c:v>
                </c:pt>
                <c:pt idx="529">
                  <c:v>-4558.2925652605591</c:v>
                </c:pt>
                <c:pt idx="530">
                  <c:v>-3643.9010518685645</c:v>
                </c:pt>
                <c:pt idx="531">
                  <c:v>-5057.0601725440192</c:v>
                </c:pt>
                <c:pt idx="532">
                  <c:v>-4689.5928548925458</c:v>
                </c:pt>
                <c:pt idx="533">
                  <c:v>-3362.2609813544332</c:v>
                </c:pt>
                <c:pt idx="534">
                  <c:v>-4368.2373378172597</c:v>
                </c:pt>
                <c:pt idx="535">
                  <c:v>-4597.3320501258113</c:v>
                </c:pt>
                <c:pt idx="536">
                  <c:v>-3746.3222980582013</c:v>
                </c:pt>
                <c:pt idx="537">
                  <c:v>-5420.9720223460645</c:v>
                </c:pt>
                <c:pt idx="538">
                  <c:v>-4441.1099207177849</c:v>
                </c:pt>
                <c:pt idx="539">
                  <c:v>-5553.3999197437479</c:v>
                </c:pt>
                <c:pt idx="540">
                  <c:v>-5380.3106534804028</c:v>
                </c:pt>
                <c:pt idx="541">
                  <c:v>-4787.8648762818229</c:v>
                </c:pt>
                <c:pt idx="542">
                  <c:v>-5753.6921170344176</c:v>
                </c:pt>
                <c:pt idx="543">
                  <c:v>-3852.6037824403847</c:v>
                </c:pt>
                <c:pt idx="544">
                  <c:v>-5074.0989641543802</c:v>
                </c:pt>
                <c:pt idx="545">
                  <c:v>-4646.4273952794047</c:v>
                </c:pt>
                <c:pt idx="546">
                  <c:v>-4877.6391738793354</c:v>
                </c:pt>
                <c:pt idx="547">
                  <c:v>-4120.0134832942858</c:v>
                </c:pt>
                <c:pt idx="548">
                  <c:v>-4528.3223463323575</c:v>
                </c:pt>
                <c:pt idx="549">
                  <c:v>-4367.3706541809515</c:v>
                </c:pt>
                <c:pt idx="550">
                  <c:v>-5590.9069081422786</c:v>
                </c:pt>
                <c:pt idx="551">
                  <c:v>-5397.2168741461683</c:v>
                </c:pt>
                <c:pt idx="552">
                  <c:v>-3250.0687281513801</c:v>
                </c:pt>
                <c:pt idx="553">
                  <c:v>-3949.4880139254019</c:v>
                </c:pt>
                <c:pt idx="554">
                  <c:v>-4782.4336869861763</c:v>
                </c:pt>
                <c:pt idx="555">
                  <c:v>-4319.7272844706185</c:v>
                </c:pt>
                <c:pt idx="556">
                  <c:v>-4004.0894286815328</c:v>
                </c:pt>
                <c:pt idx="557">
                  <c:v>-4753.8903562780615</c:v>
                </c:pt>
                <c:pt idx="558">
                  <c:v>-4719.7841752582117</c:v>
                </c:pt>
                <c:pt idx="559">
                  <c:v>-4436.6357104034178</c:v>
                </c:pt>
                <c:pt idx="560">
                  <c:v>-4407.3793589197412</c:v>
                </c:pt>
                <c:pt idx="561">
                  <c:v>-5336.2887026638236</c:v>
                </c:pt>
                <c:pt idx="562">
                  <c:v>-3646.0023332501805</c:v>
                </c:pt>
                <c:pt idx="563">
                  <c:v>-3808.1900482080982</c:v>
                </c:pt>
                <c:pt idx="564">
                  <c:v>-4565.031625896474</c:v>
                </c:pt>
                <c:pt idx="565">
                  <c:v>-3725.5965182025084</c:v>
                </c:pt>
                <c:pt idx="566">
                  <c:v>-3984.5688562183968</c:v>
                </c:pt>
                <c:pt idx="567">
                  <c:v>-4648.5145944811047</c:v>
                </c:pt>
                <c:pt idx="568">
                  <c:v>-5408.3732113980332</c:v>
                </c:pt>
                <c:pt idx="569">
                  <c:v>-4151.2626989880373</c:v>
                </c:pt>
                <c:pt idx="570">
                  <c:v>-5371.5685631795877</c:v>
                </c:pt>
                <c:pt idx="571">
                  <c:v>-5347.5478579387982</c:v>
                </c:pt>
                <c:pt idx="572">
                  <c:v>-5670.984255100595</c:v>
                </c:pt>
                <c:pt idx="573">
                  <c:v>-4664.8720057188038</c:v>
                </c:pt>
                <c:pt idx="574">
                  <c:v>-4270.5336191857623</c:v>
                </c:pt>
                <c:pt idx="575">
                  <c:v>-4760.4624980045974</c:v>
                </c:pt>
                <c:pt idx="576">
                  <c:v>-4633.4210398584564</c:v>
                </c:pt>
                <c:pt idx="577">
                  <c:v>-3705.073002812378</c:v>
                </c:pt>
                <c:pt idx="578">
                  <c:v>-3610.8880470589256</c:v>
                </c:pt>
                <c:pt idx="579">
                  <c:v>-4985.4408216972461</c:v>
                </c:pt>
                <c:pt idx="580">
                  <c:v>-4659.1370190841662</c:v>
                </c:pt>
                <c:pt idx="581">
                  <c:v>-5074.7431594830141</c:v>
                </c:pt>
                <c:pt idx="582">
                  <c:v>-3900.597806668984</c:v>
                </c:pt>
                <c:pt idx="583">
                  <c:v>-5120.267573612713</c:v>
                </c:pt>
                <c:pt idx="584">
                  <c:v>-4134.8106813010345</c:v>
                </c:pt>
                <c:pt idx="585">
                  <c:v>-3981.9492345059734</c:v>
                </c:pt>
                <c:pt idx="586">
                  <c:v>-4855.3771731651777</c:v>
                </c:pt>
                <c:pt idx="587">
                  <c:v>-4220.0652833516651</c:v>
                </c:pt>
                <c:pt idx="588">
                  <c:v>-4037.846504258001</c:v>
                </c:pt>
                <c:pt idx="589">
                  <c:v>-5013.125319357252</c:v>
                </c:pt>
                <c:pt idx="590">
                  <c:v>-5665.8424874491757</c:v>
                </c:pt>
                <c:pt idx="591">
                  <c:v>-4664.0922752760616</c:v>
                </c:pt>
                <c:pt idx="592">
                  <c:v>-3982.1043762847203</c:v>
                </c:pt>
                <c:pt idx="593">
                  <c:v>-3924.9256476913342</c:v>
                </c:pt>
                <c:pt idx="594">
                  <c:v>-4331.8294609965888</c:v>
                </c:pt>
                <c:pt idx="595">
                  <c:v>-4649.942890952274</c:v>
                </c:pt>
                <c:pt idx="596">
                  <c:v>-4266.6793645725229</c:v>
                </c:pt>
                <c:pt idx="597">
                  <c:v>-4410.6245474050393</c:v>
                </c:pt>
                <c:pt idx="598">
                  <c:v>-3993.9714787691191</c:v>
                </c:pt>
                <c:pt idx="599">
                  <c:v>-5451.0141983657559</c:v>
                </c:pt>
                <c:pt idx="600">
                  <c:v>-3897.3218043868474</c:v>
                </c:pt>
                <c:pt idx="601">
                  <c:v>-3342.7578671158844</c:v>
                </c:pt>
                <c:pt idx="602">
                  <c:v>-4537.4657724560275</c:v>
                </c:pt>
                <c:pt idx="603">
                  <c:v>-3611.3371004489964</c:v>
                </c:pt>
                <c:pt idx="604">
                  <c:v>-4075.9231502107068</c:v>
                </c:pt>
                <c:pt idx="605">
                  <c:v>-4640.1016442884393</c:v>
                </c:pt>
                <c:pt idx="606">
                  <c:v>-4198.9759139091511</c:v>
                </c:pt>
                <c:pt idx="607">
                  <c:v>-4988.6485250940241</c:v>
                </c:pt>
                <c:pt idx="608">
                  <c:v>-5455.6386140470586</c:v>
                </c:pt>
                <c:pt idx="609">
                  <c:v>-5033.0821242876264</c:v>
                </c:pt>
                <c:pt idx="610">
                  <c:v>-4789.5377812993011</c:v>
                </c:pt>
                <c:pt idx="611">
                  <c:v>-4062.8617438826059</c:v>
                </c:pt>
                <c:pt idx="612">
                  <c:v>-4263.4363465254373</c:v>
                </c:pt>
                <c:pt idx="613">
                  <c:v>-3991.2035800823578</c:v>
                </c:pt>
                <c:pt idx="614">
                  <c:v>-3243.5569308583599</c:v>
                </c:pt>
                <c:pt idx="615">
                  <c:v>-4723.6561531770276</c:v>
                </c:pt>
                <c:pt idx="616">
                  <c:v>-4325.6677369368626</c:v>
                </c:pt>
                <c:pt idx="617">
                  <c:v>-4224.5127974696534</c:v>
                </c:pt>
                <c:pt idx="618">
                  <c:v>-4515.6659751539191</c:v>
                </c:pt>
                <c:pt idx="619">
                  <c:v>-4255.1329557140125</c:v>
                </c:pt>
                <c:pt idx="620">
                  <c:v>-3990.4249663163209</c:v>
                </c:pt>
                <c:pt idx="621">
                  <c:v>-4769.5575364762917</c:v>
                </c:pt>
                <c:pt idx="622">
                  <c:v>-5178.0403528335792</c:v>
                </c:pt>
                <c:pt idx="623">
                  <c:v>-4052.3577820554892</c:v>
                </c:pt>
                <c:pt idx="624">
                  <c:v>-4160.3104073539689</c:v>
                </c:pt>
                <c:pt idx="625">
                  <c:v>-4413.6976828924744</c:v>
                </c:pt>
                <c:pt idx="626">
                  <c:v>-4388.8420435847402</c:v>
                </c:pt>
                <c:pt idx="627">
                  <c:v>-4436.0706771493824</c:v>
                </c:pt>
                <c:pt idx="628">
                  <c:v>-4351.774465015953</c:v>
                </c:pt>
                <c:pt idx="629">
                  <c:v>-4621.600977796701</c:v>
                </c:pt>
                <c:pt idx="630">
                  <c:v>-4982.5925941086789</c:v>
                </c:pt>
                <c:pt idx="631">
                  <c:v>-5368.0161562094199</c:v>
                </c:pt>
                <c:pt idx="632">
                  <c:v>-3467.2760606998008</c:v>
                </c:pt>
                <c:pt idx="633">
                  <c:v>-4439.8611785665144</c:v>
                </c:pt>
                <c:pt idx="634">
                  <c:v>-4687.9366624554841</c:v>
                </c:pt>
                <c:pt idx="635">
                  <c:v>-3814.5725093175024</c:v>
                </c:pt>
                <c:pt idx="636">
                  <c:v>-4379.6157850261843</c:v>
                </c:pt>
                <c:pt idx="637">
                  <c:v>-4554.6584569753668</c:v>
                </c:pt>
                <c:pt idx="638">
                  <c:v>-4160.5847056166604</c:v>
                </c:pt>
                <c:pt idx="639">
                  <c:v>-4951.5025989855731</c:v>
                </c:pt>
                <c:pt idx="640">
                  <c:v>-4521.1602205831659</c:v>
                </c:pt>
                <c:pt idx="641">
                  <c:v>-4246.0506138717574</c:v>
                </c:pt>
                <c:pt idx="642">
                  <c:v>-4504.1513675161223</c:v>
                </c:pt>
                <c:pt idx="643">
                  <c:v>-3778.3966236956021</c:v>
                </c:pt>
                <c:pt idx="644">
                  <c:v>-5209.136510853572</c:v>
                </c:pt>
                <c:pt idx="645">
                  <c:v>-4597.2603233169193</c:v>
                </c:pt>
                <c:pt idx="646">
                  <c:v>-4463.0213181741492</c:v>
                </c:pt>
                <c:pt idx="647">
                  <c:v>-4526.3879868350232</c:v>
                </c:pt>
                <c:pt idx="648">
                  <c:v>-3710.8142952848975</c:v>
                </c:pt>
                <c:pt idx="649">
                  <c:v>-3689.4501053157655</c:v>
                </c:pt>
                <c:pt idx="650">
                  <c:v>-4677.7643498893085</c:v>
                </c:pt>
                <c:pt idx="651">
                  <c:v>-4358.3885553568834</c:v>
                </c:pt>
                <c:pt idx="652">
                  <c:v>-4229.9126378659075</c:v>
                </c:pt>
                <c:pt idx="653">
                  <c:v>-5079.9588379388133</c:v>
                </c:pt>
                <c:pt idx="654">
                  <c:v>-3651.5997065000429</c:v>
                </c:pt>
                <c:pt idx="655">
                  <c:v>-3691.7952717145236</c:v>
                </c:pt>
                <c:pt idx="656">
                  <c:v>-3730.7761340080287</c:v>
                </c:pt>
                <c:pt idx="657">
                  <c:v>-4909.6101152217761</c:v>
                </c:pt>
                <c:pt idx="658">
                  <c:v>-4814.5623497682118</c:v>
                </c:pt>
                <c:pt idx="659">
                  <c:v>-4124.7691502308571</c:v>
                </c:pt>
                <c:pt idx="660">
                  <c:v>-5591.1625272701767</c:v>
                </c:pt>
                <c:pt idx="661">
                  <c:v>-3821.7452126739972</c:v>
                </c:pt>
                <c:pt idx="662">
                  <c:v>-4165.8396804938602</c:v>
                </c:pt>
                <c:pt idx="663">
                  <c:v>-4123.4568443558255</c:v>
                </c:pt>
                <c:pt idx="664">
                  <c:v>-5035.5711948436219</c:v>
                </c:pt>
                <c:pt idx="665">
                  <c:v>-3551.5161630918346</c:v>
                </c:pt>
                <c:pt idx="666">
                  <c:v>-4383.7222348382147</c:v>
                </c:pt>
                <c:pt idx="667">
                  <c:v>-3540.231671895438</c:v>
                </c:pt>
                <c:pt idx="668">
                  <c:v>-4117.7084998489154</c:v>
                </c:pt>
                <c:pt idx="669">
                  <c:v>-4287.1949899317769</c:v>
                </c:pt>
                <c:pt idx="670">
                  <c:v>-3738.3839283491907</c:v>
                </c:pt>
                <c:pt idx="671">
                  <c:v>-5133.8076992697879</c:v>
                </c:pt>
                <c:pt idx="672">
                  <c:v>-6014.6511513465866</c:v>
                </c:pt>
                <c:pt idx="673">
                  <c:v>-5833.6490471015459</c:v>
                </c:pt>
                <c:pt idx="674">
                  <c:v>-4693.4887181372742</c:v>
                </c:pt>
                <c:pt idx="675">
                  <c:v>-4275.9481625990502</c:v>
                </c:pt>
                <c:pt idx="676">
                  <c:v>-4968.8025853575546</c:v>
                </c:pt>
                <c:pt idx="677">
                  <c:v>-4077.0791499834249</c:v>
                </c:pt>
                <c:pt idx="678">
                  <c:v>-4885.5365095224024</c:v>
                </c:pt>
                <c:pt idx="679">
                  <c:v>-4683.6023266073935</c:v>
                </c:pt>
                <c:pt idx="680">
                  <c:v>-4520.1522251541646</c:v>
                </c:pt>
                <c:pt idx="681">
                  <c:v>-6624.9808049831536</c:v>
                </c:pt>
                <c:pt idx="682">
                  <c:v>-3922.0140557673803</c:v>
                </c:pt>
                <c:pt idx="683">
                  <c:v>-4904.8791456962463</c:v>
                </c:pt>
                <c:pt idx="684">
                  <c:v>-5383.4285626571182</c:v>
                </c:pt>
                <c:pt idx="685">
                  <c:v>-4390.5815427132893</c:v>
                </c:pt>
                <c:pt idx="686">
                  <c:v>-4728.5100249647512</c:v>
                </c:pt>
                <c:pt idx="687">
                  <c:v>-4553.6826194833357</c:v>
                </c:pt>
                <c:pt idx="688">
                  <c:v>-5355.3061376178302</c:v>
                </c:pt>
                <c:pt idx="689">
                  <c:v>-5472.4049859144761</c:v>
                </c:pt>
                <c:pt idx="690">
                  <c:v>-4868.6973139419042</c:v>
                </c:pt>
                <c:pt idx="691">
                  <c:v>-3894.3639061044214</c:v>
                </c:pt>
                <c:pt idx="692">
                  <c:v>-4624.1788977910001</c:v>
                </c:pt>
                <c:pt idx="693">
                  <c:v>-4075.4225565290471</c:v>
                </c:pt>
                <c:pt idx="694">
                  <c:v>-4541.6135923863076</c:v>
                </c:pt>
                <c:pt idx="695">
                  <c:v>-5090.9494662116231</c:v>
                </c:pt>
                <c:pt idx="696">
                  <c:v>-4207.8598313783314</c:v>
                </c:pt>
                <c:pt idx="697">
                  <c:v>-4832.2672302779556</c:v>
                </c:pt>
                <c:pt idx="698">
                  <c:v>-3905.7296817606912</c:v>
                </c:pt>
                <c:pt idx="699">
                  <c:v>-4225.5610063286949</c:v>
                </c:pt>
                <c:pt idx="700">
                  <c:v>-5163.7362398981713</c:v>
                </c:pt>
                <c:pt idx="701">
                  <c:v>-4107.4526000095902</c:v>
                </c:pt>
                <c:pt idx="702">
                  <c:v>-3718.6780315930991</c:v>
                </c:pt>
                <c:pt idx="703">
                  <c:v>-4437.5878154824804</c:v>
                </c:pt>
                <c:pt idx="704">
                  <c:v>-5611.8952973724263</c:v>
                </c:pt>
                <c:pt idx="705">
                  <c:v>-4439.9087040467311</c:v>
                </c:pt>
                <c:pt idx="706">
                  <c:v>-4228.390683285892</c:v>
                </c:pt>
                <c:pt idx="707">
                  <c:v>-4584.5720180092067</c:v>
                </c:pt>
                <c:pt idx="708">
                  <c:v>-4857.0298206350253</c:v>
                </c:pt>
                <c:pt idx="709">
                  <c:v>-3881.7974725417407</c:v>
                </c:pt>
                <c:pt idx="710">
                  <c:v>-4150.2942528859512</c:v>
                </c:pt>
                <c:pt idx="711">
                  <c:v>-5312.4813764462797</c:v>
                </c:pt>
                <c:pt idx="712">
                  <c:v>-3769.0584071305293</c:v>
                </c:pt>
                <c:pt idx="713">
                  <c:v>-5379.2323948075991</c:v>
                </c:pt>
                <c:pt idx="714">
                  <c:v>-4273.2991475613871</c:v>
                </c:pt>
                <c:pt idx="715">
                  <c:v>-4095.1015998871371</c:v>
                </c:pt>
                <c:pt idx="716">
                  <c:v>-4254.872042847559</c:v>
                </c:pt>
                <c:pt idx="717">
                  <c:v>-3752.4332255989648</c:v>
                </c:pt>
                <c:pt idx="718">
                  <c:v>-4920.9673580209364</c:v>
                </c:pt>
                <c:pt idx="719">
                  <c:v>-4118.099182647542</c:v>
                </c:pt>
                <c:pt idx="720">
                  <c:v>-3544.4172433697031</c:v>
                </c:pt>
                <c:pt idx="721">
                  <c:v>-4789.8167782727742</c:v>
                </c:pt>
                <c:pt idx="722">
                  <c:v>-4292.3721130168942</c:v>
                </c:pt>
                <c:pt idx="723">
                  <c:v>-4691.1285233236704</c:v>
                </c:pt>
                <c:pt idx="724">
                  <c:v>-5331.5950702217233</c:v>
                </c:pt>
                <c:pt idx="725">
                  <c:v>-5044.5535527499269</c:v>
                </c:pt>
                <c:pt idx="726">
                  <c:v>-4485.6048811087367</c:v>
                </c:pt>
                <c:pt idx="727">
                  <c:v>-4771.3352012421492</c:v>
                </c:pt>
                <c:pt idx="728">
                  <c:v>-3763.4274692352865</c:v>
                </c:pt>
                <c:pt idx="729">
                  <c:v>-4176.7597036211355</c:v>
                </c:pt>
                <c:pt idx="730">
                  <c:v>-5241.3367873552124</c:v>
                </c:pt>
                <c:pt idx="731">
                  <c:v>-3914.2469321413828</c:v>
                </c:pt>
                <c:pt idx="732">
                  <c:v>-4757.7132576055992</c:v>
                </c:pt>
                <c:pt idx="733">
                  <c:v>-5144.3530290524541</c:v>
                </c:pt>
                <c:pt idx="734">
                  <c:v>-4144.2369959385178</c:v>
                </c:pt>
                <c:pt idx="735">
                  <c:v>-5914.0982218713325</c:v>
                </c:pt>
                <c:pt idx="736">
                  <c:v>-3931.3920612661459</c:v>
                </c:pt>
                <c:pt idx="737">
                  <c:v>-4465.047978518849</c:v>
                </c:pt>
                <c:pt idx="738">
                  <c:v>-4223.2998289698153</c:v>
                </c:pt>
                <c:pt idx="739">
                  <c:v>-5663.6240399430353</c:v>
                </c:pt>
                <c:pt idx="740">
                  <c:v>-4751.7861962849329</c:v>
                </c:pt>
                <c:pt idx="741">
                  <c:v>-3986.7152889024856</c:v>
                </c:pt>
                <c:pt idx="742">
                  <c:v>-4488.3660080991085</c:v>
                </c:pt>
                <c:pt idx="743">
                  <c:v>-4534.7170380260541</c:v>
                </c:pt>
                <c:pt idx="744">
                  <c:v>-4701.7688209410899</c:v>
                </c:pt>
                <c:pt idx="745">
                  <c:v>-4139.9258891881582</c:v>
                </c:pt>
                <c:pt idx="746">
                  <c:v>-3906.5817025405668</c:v>
                </c:pt>
                <c:pt idx="747">
                  <c:v>-3920.1548196259955</c:v>
                </c:pt>
                <c:pt idx="748">
                  <c:v>-4308.090928758118</c:v>
                </c:pt>
                <c:pt idx="749">
                  <c:v>-3627.1103715255649</c:v>
                </c:pt>
                <c:pt idx="750">
                  <c:v>-4811.9619323957777</c:v>
                </c:pt>
                <c:pt idx="751">
                  <c:v>-4184.6306573576785</c:v>
                </c:pt>
                <c:pt idx="752">
                  <c:v>-5224.4621749108865</c:v>
                </c:pt>
                <c:pt idx="753">
                  <c:v>-5857.6056830869566</c:v>
                </c:pt>
                <c:pt idx="754">
                  <c:v>-5301.9805440637829</c:v>
                </c:pt>
                <c:pt idx="755">
                  <c:v>-3337.2661152266519</c:v>
                </c:pt>
                <c:pt idx="756">
                  <c:v>-5462.4754249566231</c:v>
                </c:pt>
                <c:pt idx="757">
                  <c:v>-4311.2117372697758</c:v>
                </c:pt>
                <c:pt idx="758">
                  <c:v>-4156.680205903871</c:v>
                </c:pt>
                <c:pt idx="759">
                  <c:v>-5483.9958443226678</c:v>
                </c:pt>
                <c:pt idx="760">
                  <c:v>-5093.3892145238442</c:v>
                </c:pt>
                <c:pt idx="761">
                  <c:v>-4094.1481390910849</c:v>
                </c:pt>
                <c:pt idx="762">
                  <c:v>-4842.077761923978</c:v>
                </c:pt>
                <c:pt idx="763">
                  <c:v>-5081.7978263861514</c:v>
                </c:pt>
                <c:pt idx="764">
                  <c:v>-4347.1693347635792</c:v>
                </c:pt>
                <c:pt idx="765">
                  <c:v>-4023.2862119758793</c:v>
                </c:pt>
                <c:pt idx="766">
                  <c:v>-4631.9861644599496</c:v>
                </c:pt>
                <c:pt idx="767">
                  <c:v>-5493.1701845293101</c:v>
                </c:pt>
                <c:pt idx="768">
                  <c:v>-5064.5502704234841</c:v>
                </c:pt>
                <c:pt idx="769">
                  <c:v>-4991.7037162335582</c:v>
                </c:pt>
                <c:pt idx="770">
                  <c:v>-4146.8461545424834</c:v>
                </c:pt>
                <c:pt idx="771">
                  <c:v>-4291.5440434936245</c:v>
                </c:pt>
                <c:pt idx="772">
                  <c:v>-5100.3062482641944</c:v>
                </c:pt>
                <c:pt idx="773">
                  <c:v>-4392.6468618205854</c:v>
                </c:pt>
                <c:pt idx="774">
                  <c:v>-4771.5612243339929</c:v>
                </c:pt>
                <c:pt idx="775">
                  <c:v>-4502.1348853986929</c:v>
                </c:pt>
                <c:pt idx="776">
                  <c:v>-3551.0511462737477</c:v>
                </c:pt>
                <c:pt idx="777">
                  <c:v>-3746.3304730347736</c:v>
                </c:pt>
                <c:pt idx="778">
                  <c:v>-4880.1269394163937</c:v>
                </c:pt>
                <c:pt idx="779">
                  <c:v>-5403.5959920187252</c:v>
                </c:pt>
                <c:pt idx="780">
                  <c:v>-3522.4990827610427</c:v>
                </c:pt>
                <c:pt idx="781">
                  <c:v>-5253.1885542568416</c:v>
                </c:pt>
                <c:pt idx="782">
                  <c:v>-5170.0409082597307</c:v>
                </c:pt>
                <c:pt idx="783">
                  <c:v>-4476.721702974537</c:v>
                </c:pt>
                <c:pt idx="784">
                  <c:v>-3968.8477901942242</c:v>
                </c:pt>
                <c:pt idx="785">
                  <c:v>-4772.2562099153838</c:v>
                </c:pt>
                <c:pt idx="786">
                  <c:v>-5252.2694081824593</c:v>
                </c:pt>
                <c:pt idx="787">
                  <c:v>-4684.6975345002666</c:v>
                </c:pt>
                <c:pt idx="788">
                  <c:v>-4392.9727407981954</c:v>
                </c:pt>
                <c:pt idx="789">
                  <c:v>-4061.2650373508695</c:v>
                </c:pt>
                <c:pt idx="790">
                  <c:v>-3824.8068240941047</c:v>
                </c:pt>
                <c:pt idx="791">
                  <c:v>-4093.0115514832451</c:v>
                </c:pt>
                <c:pt idx="792">
                  <c:v>-4391.0145815765882</c:v>
                </c:pt>
                <c:pt idx="793">
                  <c:v>-3943.1252792800806</c:v>
                </c:pt>
                <c:pt idx="794">
                  <c:v>-4227.6293079565148</c:v>
                </c:pt>
                <c:pt idx="795">
                  <c:v>-4874.9913600584568</c:v>
                </c:pt>
                <c:pt idx="796">
                  <c:v>-4464.2019272456309</c:v>
                </c:pt>
                <c:pt idx="797">
                  <c:v>-4303.2569120138305</c:v>
                </c:pt>
                <c:pt idx="798">
                  <c:v>-3513.0583173758314</c:v>
                </c:pt>
                <c:pt idx="799">
                  <c:v>-4242.8124015282574</c:v>
                </c:pt>
                <c:pt idx="800">
                  <c:v>-4392.202805165698</c:v>
                </c:pt>
                <c:pt idx="801">
                  <c:v>-3485.3682295436674</c:v>
                </c:pt>
                <c:pt idx="802">
                  <c:v>-4388.4652517651812</c:v>
                </c:pt>
                <c:pt idx="803">
                  <c:v>-4524.7216361973515</c:v>
                </c:pt>
                <c:pt idx="804">
                  <c:v>-4402.1405882244871</c:v>
                </c:pt>
                <c:pt idx="805">
                  <c:v>-4276.8158590063576</c:v>
                </c:pt>
                <c:pt idx="806">
                  <c:v>-4911.6573378048306</c:v>
                </c:pt>
                <c:pt idx="807">
                  <c:v>-5031.9147100351256</c:v>
                </c:pt>
                <c:pt idx="808">
                  <c:v>-4936.8308009005577</c:v>
                </c:pt>
                <c:pt idx="809">
                  <c:v>-4237.6223790123986</c:v>
                </c:pt>
                <c:pt idx="810">
                  <c:v>-4760.0413194103803</c:v>
                </c:pt>
                <c:pt idx="811">
                  <c:v>-4405.9819276339895</c:v>
                </c:pt>
                <c:pt idx="812">
                  <c:v>-3960.6633477249197</c:v>
                </c:pt>
                <c:pt idx="813">
                  <c:v>-4532.7129784433528</c:v>
                </c:pt>
                <c:pt idx="814">
                  <c:v>-4083.6117213923244</c:v>
                </c:pt>
                <c:pt idx="815">
                  <c:v>-5025.2525080796331</c:v>
                </c:pt>
                <c:pt idx="816">
                  <c:v>-4170.4304145236256</c:v>
                </c:pt>
                <c:pt idx="817">
                  <c:v>-4933.0814451535098</c:v>
                </c:pt>
                <c:pt idx="818">
                  <c:v>-4253.4989358183284</c:v>
                </c:pt>
                <c:pt idx="819">
                  <c:v>-4917.1122890573351</c:v>
                </c:pt>
                <c:pt idx="820">
                  <c:v>-3786.7559306641651</c:v>
                </c:pt>
                <c:pt idx="821">
                  <c:v>-4541.1680139458567</c:v>
                </c:pt>
                <c:pt idx="822">
                  <c:v>-4064.9165664568009</c:v>
                </c:pt>
                <c:pt idx="823">
                  <c:v>-5133.5962474330008</c:v>
                </c:pt>
                <c:pt idx="824">
                  <c:v>-5199.4973089190535</c:v>
                </c:pt>
                <c:pt idx="825">
                  <c:v>-4748.6522816472425</c:v>
                </c:pt>
                <c:pt idx="826">
                  <c:v>-3716.7798065699517</c:v>
                </c:pt>
                <c:pt idx="827">
                  <c:v>-3982.8180308265692</c:v>
                </c:pt>
                <c:pt idx="828">
                  <c:v>-3410.2714972762542</c:v>
                </c:pt>
                <c:pt idx="829">
                  <c:v>-3715.3636076209441</c:v>
                </c:pt>
                <c:pt idx="830">
                  <c:v>-4510.4503036160277</c:v>
                </c:pt>
                <c:pt idx="831">
                  <c:v>-4390.3295278772675</c:v>
                </c:pt>
                <c:pt idx="832">
                  <c:v>-4281.4843278634926</c:v>
                </c:pt>
                <c:pt idx="833">
                  <c:v>-5128.6652775391412</c:v>
                </c:pt>
                <c:pt idx="834">
                  <c:v>-5258.7803925425578</c:v>
                </c:pt>
                <c:pt idx="835">
                  <c:v>-4306.1974858545727</c:v>
                </c:pt>
                <c:pt idx="836">
                  <c:v>-4056.887266442578</c:v>
                </c:pt>
                <c:pt idx="837">
                  <c:v>-5022.8475163534204</c:v>
                </c:pt>
                <c:pt idx="838">
                  <c:v>-4571.819433885843</c:v>
                </c:pt>
                <c:pt idx="839">
                  <c:v>-4796.0396406708569</c:v>
                </c:pt>
                <c:pt idx="840">
                  <c:v>-3632.5336051112172</c:v>
                </c:pt>
                <c:pt idx="841">
                  <c:v>-4745.4129428403321</c:v>
                </c:pt>
                <c:pt idx="842">
                  <c:v>-3935.9681448671818</c:v>
                </c:pt>
                <c:pt idx="843">
                  <c:v>-4234.7591885980401</c:v>
                </c:pt>
                <c:pt idx="844">
                  <c:v>-4851.4287201874231</c:v>
                </c:pt>
                <c:pt idx="845">
                  <c:v>-4984.5665791433439</c:v>
                </c:pt>
                <c:pt idx="846">
                  <c:v>-4764.6329457116335</c:v>
                </c:pt>
                <c:pt idx="847">
                  <c:v>-3948.8714586345395</c:v>
                </c:pt>
                <c:pt idx="848">
                  <c:v>-4285.3869285314377</c:v>
                </c:pt>
                <c:pt idx="849">
                  <c:v>-4136.42460191602</c:v>
                </c:pt>
                <c:pt idx="850">
                  <c:v>-4664.4342032436598</c:v>
                </c:pt>
                <c:pt idx="851">
                  <c:v>-4612.5890307017999</c:v>
                </c:pt>
                <c:pt idx="852">
                  <c:v>-5101.9040808563077</c:v>
                </c:pt>
                <c:pt idx="853">
                  <c:v>-4227.1826605664264</c:v>
                </c:pt>
                <c:pt idx="854">
                  <c:v>-3585.894268632318</c:v>
                </c:pt>
                <c:pt idx="855">
                  <c:v>-4220.4082617558306</c:v>
                </c:pt>
                <c:pt idx="856">
                  <c:v>-4368.903763946033</c:v>
                </c:pt>
                <c:pt idx="857">
                  <c:v>-4296.8991678482525</c:v>
                </c:pt>
                <c:pt idx="858">
                  <c:v>-4175.9710849762268</c:v>
                </c:pt>
                <c:pt idx="859">
                  <c:v>-4663.6625638891819</c:v>
                </c:pt>
                <c:pt idx="860">
                  <c:v>-4742.0762338299191</c:v>
                </c:pt>
                <c:pt idx="861">
                  <c:v>-4614.8313559842609</c:v>
                </c:pt>
                <c:pt idx="862">
                  <c:v>-4428.5014865738176</c:v>
                </c:pt>
                <c:pt idx="863">
                  <c:v>-4830.6495538194631</c:v>
                </c:pt>
                <c:pt idx="864">
                  <c:v>-5720.8052276344497</c:v>
                </c:pt>
                <c:pt idx="865">
                  <c:v>-4348.7396497492609</c:v>
                </c:pt>
                <c:pt idx="866">
                  <c:v>-4398.4953245067245</c:v>
                </c:pt>
                <c:pt idx="867">
                  <c:v>-4684.8152139604827</c:v>
                </c:pt>
                <c:pt idx="868">
                  <c:v>-5067.2214158289353</c:v>
                </c:pt>
                <c:pt idx="869">
                  <c:v>-4827.5868715100169</c:v>
                </c:pt>
                <c:pt idx="870">
                  <c:v>-4531.9011133746226</c:v>
                </c:pt>
                <c:pt idx="871">
                  <c:v>-4537.5164687259094</c:v>
                </c:pt>
                <c:pt idx="872">
                  <c:v>-3925.7059901498869</c:v>
                </c:pt>
                <c:pt idx="873">
                  <c:v>-5053.6707497604348</c:v>
                </c:pt>
                <c:pt idx="874">
                  <c:v>-4628.5492880972433</c:v>
                </c:pt>
                <c:pt idx="875">
                  <c:v>-4641.2120118364037</c:v>
                </c:pt>
                <c:pt idx="876">
                  <c:v>-3803.8270486011588</c:v>
                </c:pt>
                <c:pt idx="877">
                  <c:v>-4406.6894624983997</c:v>
                </c:pt>
                <c:pt idx="878">
                  <c:v>-4924.4179204080465</c:v>
                </c:pt>
                <c:pt idx="879">
                  <c:v>-3754.0565859405197</c:v>
                </c:pt>
                <c:pt idx="880">
                  <c:v>-4549.8527760844318</c:v>
                </c:pt>
                <c:pt idx="881">
                  <c:v>-3996.7618408036487</c:v>
                </c:pt>
                <c:pt idx="882">
                  <c:v>-4222.6828337920342</c:v>
                </c:pt>
                <c:pt idx="883">
                  <c:v>-5370.1669872636194</c:v>
                </c:pt>
                <c:pt idx="884">
                  <c:v>-4513.180893377812</c:v>
                </c:pt>
                <c:pt idx="885">
                  <c:v>-4484.9516772718507</c:v>
                </c:pt>
                <c:pt idx="886">
                  <c:v>-4772.8963843181609</c:v>
                </c:pt>
                <c:pt idx="887">
                  <c:v>-4480.6405296597004</c:v>
                </c:pt>
                <c:pt idx="888">
                  <c:v>-4595.8124164461424</c:v>
                </c:pt>
                <c:pt idx="889">
                  <c:v>-4908.1635678081257</c:v>
                </c:pt>
                <c:pt idx="890">
                  <c:v>-5358.394043008122</c:v>
                </c:pt>
                <c:pt idx="891">
                  <c:v>-4169.4377201685529</c:v>
                </c:pt>
                <c:pt idx="892">
                  <c:v>-4170.2312082137723</c:v>
                </c:pt>
                <c:pt idx="893">
                  <c:v>-4597.9102627414704</c:v>
                </c:pt>
                <c:pt idx="894">
                  <c:v>-5305.0544703312589</c:v>
                </c:pt>
                <c:pt idx="895">
                  <c:v>-3864.651545558103</c:v>
                </c:pt>
                <c:pt idx="896">
                  <c:v>-5881.9717500200441</c:v>
                </c:pt>
                <c:pt idx="897">
                  <c:v>-4434.0639207601071</c:v>
                </c:pt>
                <c:pt idx="898">
                  <c:v>-5006.7184719962806</c:v>
                </c:pt>
                <c:pt idx="899">
                  <c:v>-3772.9802474426324</c:v>
                </c:pt>
                <c:pt idx="900">
                  <c:v>-5898.4100200747944</c:v>
                </c:pt>
                <c:pt idx="901">
                  <c:v>-4749.8923422751141</c:v>
                </c:pt>
                <c:pt idx="902">
                  <c:v>-3774.1388476519842</c:v>
                </c:pt>
                <c:pt idx="903">
                  <c:v>-3517.9387145076425</c:v>
                </c:pt>
                <c:pt idx="904">
                  <c:v>-3870.1799115757458</c:v>
                </c:pt>
                <c:pt idx="905">
                  <c:v>-5003.5193588327493</c:v>
                </c:pt>
                <c:pt idx="906">
                  <c:v>-4341.5264769162877</c:v>
                </c:pt>
                <c:pt idx="907">
                  <c:v>-4110.0429273646678</c:v>
                </c:pt>
                <c:pt idx="908">
                  <c:v>-4817.6219051713051</c:v>
                </c:pt>
                <c:pt idx="909">
                  <c:v>-5404.1769949398822</c:v>
                </c:pt>
                <c:pt idx="910">
                  <c:v>-4314.9072429029547</c:v>
                </c:pt>
                <c:pt idx="911">
                  <c:v>-4724.2168925447841</c:v>
                </c:pt>
                <c:pt idx="912">
                  <c:v>-3986.1934535438031</c:v>
                </c:pt>
                <c:pt idx="913">
                  <c:v>-5297.4479519152828</c:v>
                </c:pt>
                <c:pt idx="914">
                  <c:v>-4823.0567460616094</c:v>
                </c:pt>
                <c:pt idx="915">
                  <c:v>-4694.1285838237382</c:v>
                </c:pt>
                <c:pt idx="916">
                  <c:v>-4401.298265209929</c:v>
                </c:pt>
                <c:pt idx="917">
                  <c:v>-3817.0626568348416</c:v>
                </c:pt>
                <c:pt idx="918">
                  <c:v>-4187.1440480455858</c:v>
                </c:pt>
                <c:pt idx="919">
                  <c:v>-4611.9401028403317</c:v>
                </c:pt>
                <c:pt idx="920">
                  <c:v>-5001.9488314364717</c:v>
                </c:pt>
                <c:pt idx="921">
                  <c:v>-3561.1804504160691</c:v>
                </c:pt>
                <c:pt idx="922">
                  <c:v>-3393.1064244612089</c:v>
                </c:pt>
                <c:pt idx="923">
                  <c:v>-3833.5794207482395</c:v>
                </c:pt>
                <c:pt idx="924">
                  <c:v>-3477.4595640057114</c:v>
                </c:pt>
                <c:pt idx="925">
                  <c:v>-3600.2397736555658</c:v>
                </c:pt>
                <c:pt idx="926">
                  <c:v>-5327.4446370080077</c:v>
                </c:pt>
                <c:pt idx="927">
                  <c:v>-3860.5603430510928</c:v>
                </c:pt>
                <c:pt idx="928">
                  <c:v>-4119.7091392757684</c:v>
                </c:pt>
                <c:pt idx="929">
                  <c:v>-4288.3728248644165</c:v>
                </c:pt>
                <c:pt idx="930">
                  <c:v>-4363.2729783451559</c:v>
                </c:pt>
                <c:pt idx="931">
                  <c:v>-3619.456358074216</c:v>
                </c:pt>
                <c:pt idx="932">
                  <c:v>-4444.6105347715165</c:v>
                </c:pt>
                <c:pt idx="933">
                  <c:v>-3795.9200847989068</c:v>
                </c:pt>
                <c:pt idx="934">
                  <c:v>-4523.8458010771355</c:v>
                </c:pt>
                <c:pt idx="935">
                  <c:v>-5533.5345266924269</c:v>
                </c:pt>
                <c:pt idx="936">
                  <c:v>-4377.9454736471071</c:v>
                </c:pt>
                <c:pt idx="937">
                  <c:v>-3044.0398101747996</c:v>
                </c:pt>
                <c:pt idx="938">
                  <c:v>-4751.2470823989152</c:v>
                </c:pt>
                <c:pt idx="939">
                  <c:v>-4177.8992476795229</c:v>
                </c:pt>
                <c:pt idx="940">
                  <c:v>-3719.7379286283522</c:v>
                </c:pt>
                <c:pt idx="941">
                  <c:v>-4523.9863518241782</c:v>
                </c:pt>
                <c:pt idx="942">
                  <c:v>-5272.1341955765456</c:v>
                </c:pt>
                <c:pt idx="943">
                  <c:v>-4812.853144423203</c:v>
                </c:pt>
                <c:pt idx="944">
                  <c:v>-3918.6875328024107</c:v>
                </c:pt>
                <c:pt idx="945">
                  <c:v>-4842.4354269994419</c:v>
                </c:pt>
                <c:pt idx="946">
                  <c:v>-4105.3871795398154</c:v>
                </c:pt>
                <c:pt idx="947">
                  <c:v>-4069.883525017638</c:v>
                </c:pt>
                <c:pt idx="948">
                  <c:v>-4452.9669854203621</c:v>
                </c:pt>
                <c:pt idx="949">
                  <c:v>-4702.4931390741513</c:v>
                </c:pt>
                <c:pt idx="950">
                  <c:v>-4149.0603282384964</c:v>
                </c:pt>
                <c:pt idx="951">
                  <c:v>-4591.2447502100931</c:v>
                </c:pt>
                <c:pt idx="952">
                  <c:v>-3749.1573033460263</c:v>
                </c:pt>
                <c:pt idx="953">
                  <c:v>-4827.7787192415144</c:v>
                </c:pt>
                <c:pt idx="954">
                  <c:v>-4129.509521599146</c:v>
                </c:pt>
                <c:pt idx="955">
                  <c:v>-4721.9970144774325</c:v>
                </c:pt>
                <c:pt idx="956">
                  <c:v>-4980.5901633979356</c:v>
                </c:pt>
                <c:pt idx="957">
                  <c:v>-4219.4009459268891</c:v>
                </c:pt>
                <c:pt idx="958">
                  <c:v>-4152.969382924668</c:v>
                </c:pt>
                <c:pt idx="959">
                  <c:v>-4977.6115060596148</c:v>
                </c:pt>
                <c:pt idx="960">
                  <c:v>-4266.120075147719</c:v>
                </c:pt>
                <c:pt idx="961">
                  <c:v>-5715.9982021429842</c:v>
                </c:pt>
                <c:pt idx="962">
                  <c:v>-3705.3811730337002</c:v>
                </c:pt>
                <c:pt idx="963">
                  <c:v>-4655.4045038786589</c:v>
                </c:pt>
                <c:pt idx="964">
                  <c:v>-4315.2107221490405</c:v>
                </c:pt>
                <c:pt idx="965">
                  <c:v>-3968.2468246833141</c:v>
                </c:pt>
                <c:pt idx="966">
                  <c:v>-6161.7650338417243</c:v>
                </c:pt>
                <c:pt idx="967">
                  <c:v>-4708.6686739410907</c:v>
                </c:pt>
                <c:pt idx="968">
                  <c:v>-4306.1421202491747</c:v>
                </c:pt>
                <c:pt idx="969">
                  <c:v>-4383.2250995874892</c:v>
                </c:pt>
                <c:pt idx="970">
                  <c:v>-4954.4173359782508</c:v>
                </c:pt>
                <c:pt idx="971">
                  <c:v>-4029.5537177553451</c:v>
                </c:pt>
                <c:pt idx="972">
                  <c:v>-4380.9445747437494</c:v>
                </c:pt>
                <c:pt idx="973">
                  <c:v>-4481.4280046927815</c:v>
                </c:pt>
                <c:pt idx="974">
                  <c:v>-4189.1925007876926</c:v>
                </c:pt>
                <c:pt idx="975">
                  <c:v>-4049.3286341202183</c:v>
                </c:pt>
                <c:pt idx="976">
                  <c:v>-4343.813350131275</c:v>
                </c:pt>
                <c:pt idx="977">
                  <c:v>-4100.4090922228243</c:v>
                </c:pt>
                <c:pt idx="978">
                  <c:v>-4528.5930175860613</c:v>
                </c:pt>
                <c:pt idx="979">
                  <c:v>-3469.5985017350413</c:v>
                </c:pt>
                <c:pt idx="980">
                  <c:v>-4296.8063025878619</c:v>
                </c:pt>
                <c:pt idx="981">
                  <c:v>-4914.5768592552886</c:v>
                </c:pt>
                <c:pt idx="982">
                  <c:v>-5151.0230633316314</c:v>
                </c:pt>
                <c:pt idx="983">
                  <c:v>-4150.0426978362048</c:v>
                </c:pt>
                <c:pt idx="984">
                  <c:v>-4899.6063018280838</c:v>
                </c:pt>
                <c:pt idx="985">
                  <c:v>-4035.426947282016</c:v>
                </c:pt>
                <c:pt idx="986">
                  <c:v>-6268.0421316405609</c:v>
                </c:pt>
                <c:pt idx="987">
                  <c:v>-4499.6922665601687</c:v>
                </c:pt>
                <c:pt idx="988">
                  <c:v>-5512.8906712258595</c:v>
                </c:pt>
                <c:pt idx="989">
                  <c:v>-4315.4137573521512</c:v>
                </c:pt>
                <c:pt idx="990">
                  <c:v>-3776.3799711021984</c:v>
                </c:pt>
                <c:pt idx="991">
                  <c:v>-3559.00184006575</c:v>
                </c:pt>
                <c:pt idx="992">
                  <c:v>-5249.0350538832918</c:v>
                </c:pt>
                <c:pt idx="993">
                  <c:v>-4249.6217386632579</c:v>
                </c:pt>
                <c:pt idx="994">
                  <c:v>-4981.1126044825141</c:v>
                </c:pt>
                <c:pt idx="995">
                  <c:v>-4520.437695491144</c:v>
                </c:pt>
                <c:pt idx="996">
                  <c:v>-4571.6691363979535</c:v>
                </c:pt>
                <c:pt idx="997">
                  <c:v>-5059.2087213615487</c:v>
                </c:pt>
                <c:pt idx="998">
                  <c:v>-4277.5997104656544</c:v>
                </c:pt>
                <c:pt idx="999">
                  <c:v>-4689.1654772983875</c:v>
                </c:pt>
              </c:numCache>
            </c:numRef>
          </c:yVal>
          <c:smooth val="1"/>
          <c:extLst>
            <c:ext xmlns:c16="http://schemas.microsoft.com/office/drawing/2014/chart" uri="{C3380CC4-5D6E-409C-BE32-E72D297353CC}">
              <c16:uniqueId val="{00000000-714D-45B8-9C11-70799D28F05C}"/>
            </c:ext>
          </c:extLst>
        </c:ser>
        <c:ser>
          <c:idx val="2"/>
          <c:order val="2"/>
          <c:tx>
            <c:v>PSA Results Mean</c:v>
          </c:tx>
          <c:spPr>
            <a:ln w="25400" cap="rnd">
              <a:noFill/>
              <a:round/>
            </a:ln>
            <a:effectLst/>
          </c:spPr>
          <c:marker>
            <c:symbol val="circle"/>
            <c:size val="5"/>
            <c:spPr>
              <a:solidFill>
                <a:schemeClr val="accent3"/>
              </a:solidFill>
              <a:ln w="9525">
                <a:solidFill>
                  <a:schemeClr val="accent3"/>
                </a:solidFill>
              </a:ln>
              <a:effectLst/>
            </c:spPr>
          </c:marker>
          <c:xVal>
            <c:numRef>
              <c:f>PSA_1!$O$35</c:f>
              <c:numCache>
                <c:formatCode>General</c:formatCode>
                <c:ptCount val="1"/>
                <c:pt idx="0">
                  <c:v>-0.27955903485684985</c:v>
                </c:pt>
              </c:numCache>
            </c:numRef>
          </c:xVal>
          <c:yVal>
            <c:numRef>
              <c:f>PSA_1!$N$35</c:f>
              <c:numCache>
                <c:formatCode>General</c:formatCode>
                <c:ptCount val="1"/>
                <c:pt idx="0">
                  <c:v>-4484.8758154847937</c:v>
                </c:pt>
              </c:numCache>
            </c:numRef>
          </c:yVal>
          <c:smooth val="1"/>
          <c:extLst>
            <c:ext xmlns:c16="http://schemas.microsoft.com/office/drawing/2014/chart" uri="{C3380CC4-5D6E-409C-BE32-E72D297353CC}">
              <c16:uniqueId val="{00000007-714D-45B8-9C11-70799D28F05C}"/>
            </c:ext>
          </c:extLst>
        </c:ser>
        <c:ser>
          <c:idx val="3"/>
          <c:order val="3"/>
          <c:tx>
            <c:v>Deterministic Result</c:v>
          </c:tx>
          <c:spPr>
            <a:ln w="25400" cap="rnd">
              <a:noFill/>
              <a:round/>
            </a:ln>
            <a:effectLst/>
          </c:spPr>
          <c:marker>
            <c:symbol val="circle"/>
            <c:size val="5"/>
            <c:spPr>
              <a:solidFill>
                <a:schemeClr val="accent4"/>
              </a:solidFill>
              <a:ln w="9525">
                <a:solidFill>
                  <a:schemeClr val="accent4"/>
                </a:solidFill>
              </a:ln>
              <a:effectLst/>
            </c:spPr>
          </c:marker>
          <c:xVal>
            <c:numRef>
              <c:f>PSA_1!$O$38</c:f>
              <c:numCache>
                <c:formatCode>General</c:formatCode>
                <c:ptCount val="1"/>
                <c:pt idx="0">
                  <c:v>-0.27974753171369726</c:v>
                </c:pt>
              </c:numCache>
            </c:numRef>
          </c:xVal>
          <c:yVal>
            <c:numRef>
              <c:f>PSA_1!$N$38</c:f>
              <c:numCache>
                <c:formatCode>General</c:formatCode>
                <c:ptCount val="1"/>
                <c:pt idx="0">
                  <c:v>-4474.4897936907237</c:v>
                </c:pt>
              </c:numCache>
            </c:numRef>
          </c:yVal>
          <c:smooth val="1"/>
          <c:extLst>
            <c:ext xmlns:c16="http://schemas.microsoft.com/office/drawing/2014/chart" uri="{C3380CC4-5D6E-409C-BE32-E72D297353CC}">
              <c16:uniqueId val="{00000008-714D-45B8-9C11-70799D28F05C}"/>
            </c:ext>
          </c:extLst>
        </c:ser>
        <c:dLbls>
          <c:showLegendKey val="0"/>
          <c:showVal val="0"/>
          <c:showCatName val="0"/>
          <c:showSerName val="0"/>
          <c:showPercent val="0"/>
          <c:showBubbleSize val="0"/>
        </c:dLbls>
        <c:axId val="506213727"/>
        <c:axId val="506214143"/>
        <c:extLst>
          <c:ext xmlns:c15="http://schemas.microsoft.com/office/drawing/2012/chart" uri="{02D57815-91ED-43cb-92C2-25804820EDAC}">
            <c15:filteredScatterSeries>
              <c15:ser>
                <c:idx val="1"/>
                <c:order val="1"/>
                <c:tx>
                  <c:strRef>
                    <c:extLst>
                      <c:ext uri="{02D57815-91ED-43cb-92C2-25804820EDAC}">
                        <c15:formulaRef>
                          <c15:sqref>PSA_1!$AI$37</c15:sqref>
                        </c15:formulaRef>
                      </c:ext>
                    </c:extLst>
                    <c:strCache>
                      <c:ptCount val="1"/>
                    </c:strCache>
                  </c:strRef>
                </c:tx>
                <c:spPr>
                  <a:ln w="25400" cap="rnd">
                    <a:no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PSA_1!$AI$38:$AI$40</c15:sqref>
                        </c15:formulaRef>
                      </c:ext>
                    </c:extLst>
                    <c:numCache>
                      <c:formatCode>General</c:formatCode>
                      <c:ptCount val="3"/>
                    </c:numCache>
                  </c:numRef>
                </c:xVal>
                <c:yVal>
                  <c:numRef>
                    <c:extLst>
                      <c:ext uri="{02D57815-91ED-43cb-92C2-25804820EDAC}">
                        <c15:formulaRef>
                          <c15:sqref>PSA_1!$AJ$39:$AJ$40</c15:sqref>
                        </c15:formulaRef>
                      </c:ext>
                    </c:extLst>
                    <c:numCache>
                      <c:formatCode>General</c:formatCode>
                      <c:ptCount val="2"/>
                    </c:numCache>
                  </c:numRef>
                </c:yVal>
                <c:smooth val="1"/>
                <c:extLst>
                  <c:ext xmlns:c16="http://schemas.microsoft.com/office/drawing/2014/chart" uri="{C3380CC4-5D6E-409C-BE32-E72D297353CC}">
                    <c16:uniqueId val="{00000005-714D-45B8-9C11-70799D28F05C}"/>
                  </c:ext>
                </c:extLst>
              </c15:ser>
            </c15:filteredScatterSeries>
          </c:ext>
        </c:extLst>
      </c:scatterChart>
      <c:valAx>
        <c:axId val="506213727"/>
        <c:scaling>
          <c:orientation val="minMax"/>
          <c:max val="-0.25"/>
          <c:min val="-0.3000000000000000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CRBSI Avoided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14143"/>
        <c:crosses val="autoZero"/>
        <c:crossBetween val="midCat"/>
      </c:valAx>
      <c:valAx>
        <c:axId val="506214143"/>
        <c:scaling>
          <c:orientation val="minMax"/>
          <c:max val="0"/>
          <c:min val="-7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Incremental</a:t>
                </a:r>
                <a:r>
                  <a:rPr lang="en-IN" baseline="0"/>
                  <a:t> Costs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1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CE</a:t>
            </a:r>
            <a:r>
              <a:rPr lang="en-IN" baseline="0"/>
              <a:t> plane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PSA_1!$L$36</c:f>
              <c:strCache>
                <c:ptCount val="1"/>
                <c:pt idx="0">
                  <c:v>CHG T1 vs CHG T4</c:v>
                </c:pt>
              </c:strCache>
            </c:strRef>
          </c:tx>
          <c:spPr>
            <a:ln w="25400" cap="rnd">
              <a:noFill/>
              <a:round/>
            </a:ln>
            <a:effectLst/>
          </c:spPr>
          <c:marker>
            <c:symbol val="circle"/>
            <c:size val="5"/>
            <c:spPr>
              <a:solidFill>
                <a:schemeClr val="accent1"/>
              </a:solidFill>
              <a:ln w="9525">
                <a:solidFill>
                  <a:schemeClr val="accent1"/>
                </a:solidFill>
              </a:ln>
              <a:effectLst/>
            </c:spPr>
          </c:marker>
          <c:xVal>
            <c:numRef>
              <c:f>PSA_1!$M$40:$M$1039</c:f>
              <c:numCache>
                <c:formatCode>General</c:formatCode>
                <c:ptCount val="1000"/>
                <c:pt idx="0">
                  <c:v>-0.27748097926007464</c:v>
                </c:pt>
                <c:pt idx="1">
                  <c:v>-0.27610472516142437</c:v>
                </c:pt>
                <c:pt idx="2">
                  <c:v>-0.27675595189142066</c:v>
                </c:pt>
                <c:pt idx="3">
                  <c:v>-0.27626328680696322</c:v>
                </c:pt>
                <c:pt idx="4">
                  <c:v>-0.2763206314495994</c:v>
                </c:pt>
                <c:pt idx="5">
                  <c:v>-0.27714362052161012</c:v>
                </c:pt>
                <c:pt idx="6">
                  <c:v>-0.27635914183430221</c:v>
                </c:pt>
                <c:pt idx="7">
                  <c:v>-0.27646418955647167</c:v>
                </c:pt>
                <c:pt idx="8">
                  <c:v>-0.27742674934266442</c:v>
                </c:pt>
                <c:pt idx="9">
                  <c:v>-0.27766899896906594</c:v>
                </c:pt>
                <c:pt idx="10">
                  <c:v>-0.27625373166050848</c:v>
                </c:pt>
                <c:pt idx="11">
                  <c:v>-0.27726328824145074</c:v>
                </c:pt>
                <c:pt idx="12">
                  <c:v>-0.27706772229047461</c:v>
                </c:pt>
                <c:pt idx="13">
                  <c:v>-0.27624396687136143</c:v>
                </c:pt>
                <c:pt idx="14">
                  <c:v>-0.27713222404287818</c:v>
                </c:pt>
                <c:pt idx="15">
                  <c:v>-0.27657958000944627</c:v>
                </c:pt>
                <c:pt idx="16">
                  <c:v>-0.27740045784079093</c:v>
                </c:pt>
                <c:pt idx="17">
                  <c:v>-0.27637074799882844</c:v>
                </c:pt>
                <c:pt idx="18">
                  <c:v>-0.27674110063605717</c:v>
                </c:pt>
                <c:pt idx="19">
                  <c:v>-0.27697755966838589</c:v>
                </c:pt>
                <c:pt idx="20">
                  <c:v>-0.27632281481961607</c:v>
                </c:pt>
                <c:pt idx="21">
                  <c:v>-0.27651296715113249</c:v>
                </c:pt>
                <c:pt idx="22">
                  <c:v>-0.27687158800525358</c:v>
                </c:pt>
                <c:pt idx="23">
                  <c:v>-0.2765964104090437</c:v>
                </c:pt>
                <c:pt idx="24">
                  <c:v>-0.27659726096317883</c:v>
                </c:pt>
                <c:pt idx="25">
                  <c:v>-0.27631427399637654</c:v>
                </c:pt>
                <c:pt idx="26">
                  <c:v>-0.27660453940388574</c:v>
                </c:pt>
                <c:pt idx="27">
                  <c:v>-0.27647240222077918</c:v>
                </c:pt>
                <c:pt idx="28">
                  <c:v>-0.27685906849675113</c:v>
                </c:pt>
                <c:pt idx="29">
                  <c:v>-0.27540646782947076</c:v>
                </c:pt>
                <c:pt idx="30">
                  <c:v>-0.27637797132200326</c:v>
                </c:pt>
                <c:pt idx="31">
                  <c:v>-0.27660639855666025</c:v>
                </c:pt>
                <c:pt idx="32">
                  <c:v>-0.2761296815727976</c:v>
                </c:pt>
                <c:pt idx="33">
                  <c:v>-0.27756491631576263</c:v>
                </c:pt>
                <c:pt idx="34">
                  <c:v>-0.27633879619699131</c:v>
                </c:pt>
                <c:pt idx="35">
                  <c:v>-0.27616122573248414</c:v>
                </c:pt>
                <c:pt idx="36">
                  <c:v>-0.27702607535322221</c:v>
                </c:pt>
                <c:pt idx="37">
                  <c:v>-0.27583387162618944</c:v>
                </c:pt>
                <c:pt idx="38">
                  <c:v>-0.27712362525740986</c:v>
                </c:pt>
                <c:pt idx="39">
                  <c:v>-0.27668814863392377</c:v>
                </c:pt>
                <c:pt idx="40">
                  <c:v>-0.27701994845303612</c:v>
                </c:pt>
                <c:pt idx="41">
                  <c:v>-0.27649910235320163</c:v>
                </c:pt>
                <c:pt idx="42">
                  <c:v>-0.27574777815379836</c:v>
                </c:pt>
                <c:pt idx="43">
                  <c:v>-0.27592759643732101</c:v>
                </c:pt>
                <c:pt idx="44">
                  <c:v>-0.2768579027436775</c:v>
                </c:pt>
                <c:pt idx="45">
                  <c:v>-0.27601643671820375</c:v>
                </c:pt>
                <c:pt idx="46">
                  <c:v>-0.27694084995310209</c:v>
                </c:pt>
                <c:pt idx="47">
                  <c:v>-0.27640599403172028</c:v>
                </c:pt>
                <c:pt idx="48">
                  <c:v>-0.27664969344985701</c:v>
                </c:pt>
                <c:pt idx="49">
                  <c:v>-0.27732106266838019</c:v>
                </c:pt>
                <c:pt idx="50">
                  <c:v>-0.27644866455744788</c:v>
                </c:pt>
                <c:pt idx="51">
                  <c:v>-0.27622126625042642</c:v>
                </c:pt>
                <c:pt idx="52">
                  <c:v>-0.27669734121888978</c:v>
                </c:pt>
                <c:pt idx="53">
                  <c:v>-0.27610323681869486</c:v>
                </c:pt>
                <c:pt idx="54">
                  <c:v>-0.27606219867448256</c:v>
                </c:pt>
                <c:pt idx="55">
                  <c:v>-0.2774987438502341</c:v>
                </c:pt>
                <c:pt idx="56">
                  <c:v>-0.27661098760507363</c:v>
                </c:pt>
                <c:pt idx="57">
                  <c:v>-0.27657361383271906</c:v>
                </c:pt>
                <c:pt idx="58">
                  <c:v>-0.27664362769056361</c:v>
                </c:pt>
                <c:pt idx="59">
                  <c:v>-0.27604820133765196</c:v>
                </c:pt>
                <c:pt idx="60">
                  <c:v>-0.27560362893961576</c:v>
                </c:pt>
                <c:pt idx="61">
                  <c:v>-0.27666543180884129</c:v>
                </c:pt>
                <c:pt idx="62">
                  <c:v>-0.27720419079526282</c:v>
                </c:pt>
                <c:pt idx="63">
                  <c:v>-0.27636161188501396</c:v>
                </c:pt>
                <c:pt idx="64">
                  <c:v>-0.27601184210436935</c:v>
                </c:pt>
                <c:pt idx="65">
                  <c:v>-0.27658437152479853</c:v>
                </c:pt>
                <c:pt idx="66">
                  <c:v>-0.27633122697634627</c:v>
                </c:pt>
                <c:pt idx="67">
                  <c:v>-0.27688288566243113</c:v>
                </c:pt>
                <c:pt idx="68">
                  <c:v>-0.27638975371818153</c:v>
                </c:pt>
                <c:pt idx="69">
                  <c:v>-0.27687156678814084</c:v>
                </c:pt>
                <c:pt idx="70">
                  <c:v>-0.27636923012239478</c:v>
                </c:pt>
                <c:pt idx="71">
                  <c:v>-0.27693736610699793</c:v>
                </c:pt>
                <c:pt idx="72">
                  <c:v>-0.27649995613945355</c:v>
                </c:pt>
                <c:pt idx="73">
                  <c:v>-0.27669380829450263</c:v>
                </c:pt>
                <c:pt idx="74">
                  <c:v>-0.27700891782663173</c:v>
                </c:pt>
                <c:pt idx="75">
                  <c:v>-0.27612607085168028</c:v>
                </c:pt>
                <c:pt idx="76">
                  <c:v>-0.275994747812351</c:v>
                </c:pt>
                <c:pt idx="77">
                  <c:v>-0.27778444487731413</c:v>
                </c:pt>
                <c:pt idx="78">
                  <c:v>-0.27700869437154219</c:v>
                </c:pt>
                <c:pt idx="79">
                  <c:v>-0.27649105682500963</c:v>
                </c:pt>
                <c:pt idx="80">
                  <c:v>-0.27633851839556922</c:v>
                </c:pt>
                <c:pt idx="81">
                  <c:v>-0.27675853311474452</c:v>
                </c:pt>
                <c:pt idx="82">
                  <c:v>-0.27637981726886474</c:v>
                </c:pt>
                <c:pt idx="83">
                  <c:v>-0.27658152857332141</c:v>
                </c:pt>
                <c:pt idx="84">
                  <c:v>-0.27643771602768163</c:v>
                </c:pt>
                <c:pt idx="85">
                  <c:v>-0.27629109912867822</c:v>
                </c:pt>
                <c:pt idx="86">
                  <c:v>-0.27631328205466421</c:v>
                </c:pt>
                <c:pt idx="87">
                  <c:v>-0.2756764133072116</c:v>
                </c:pt>
                <c:pt idx="88">
                  <c:v>-0.27668675742131299</c:v>
                </c:pt>
                <c:pt idx="89">
                  <c:v>-0.27678364110746712</c:v>
                </c:pt>
                <c:pt idx="90">
                  <c:v>-0.27711027017707701</c:v>
                </c:pt>
                <c:pt idx="91">
                  <c:v>-0.27656475848965711</c:v>
                </c:pt>
                <c:pt idx="92">
                  <c:v>-0.27685464793321757</c:v>
                </c:pt>
                <c:pt idx="93">
                  <c:v>-0.27667810748591126</c:v>
                </c:pt>
                <c:pt idx="94">
                  <c:v>-0.27584209251449354</c:v>
                </c:pt>
                <c:pt idx="95">
                  <c:v>-0.27633284128577862</c:v>
                </c:pt>
                <c:pt idx="96">
                  <c:v>-0.27583817090125473</c:v>
                </c:pt>
                <c:pt idx="97">
                  <c:v>-0.27627013202554485</c:v>
                </c:pt>
                <c:pt idx="98">
                  <c:v>-0.27564705304388204</c:v>
                </c:pt>
                <c:pt idx="99">
                  <c:v>-0.2763862032881188</c:v>
                </c:pt>
                <c:pt idx="100">
                  <c:v>-0.2764568035767887</c:v>
                </c:pt>
                <c:pt idx="101">
                  <c:v>-0.27693842363163257</c:v>
                </c:pt>
                <c:pt idx="102">
                  <c:v>-0.2765813698210875</c:v>
                </c:pt>
                <c:pt idx="103">
                  <c:v>-0.27681751651722131</c:v>
                </c:pt>
                <c:pt idx="104">
                  <c:v>-0.27660190544346919</c:v>
                </c:pt>
                <c:pt idx="105">
                  <c:v>-0.27716622233295662</c:v>
                </c:pt>
                <c:pt idx="106">
                  <c:v>-0.27674497440428703</c:v>
                </c:pt>
                <c:pt idx="107">
                  <c:v>-0.27645174654140492</c:v>
                </c:pt>
                <c:pt idx="108">
                  <c:v>-0.27619236436525596</c:v>
                </c:pt>
                <c:pt idx="109">
                  <c:v>-0.27743981901752135</c:v>
                </c:pt>
                <c:pt idx="110">
                  <c:v>-0.27621657338552763</c:v>
                </c:pt>
                <c:pt idx="111">
                  <c:v>-0.27662686820324278</c:v>
                </c:pt>
                <c:pt idx="112">
                  <c:v>-0.27606117319648893</c:v>
                </c:pt>
                <c:pt idx="113">
                  <c:v>-0.27692099825578054</c:v>
                </c:pt>
                <c:pt idx="114">
                  <c:v>-0.27666429222631905</c:v>
                </c:pt>
                <c:pt idx="115">
                  <c:v>-0.27636596873083397</c:v>
                </c:pt>
                <c:pt idx="116">
                  <c:v>-0.276712477929969</c:v>
                </c:pt>
                <c:pt idx="117">
                  <c:v>-0.27640824449388612</c:v>
                </c:pt>
                <c:pt idx="118">
                  <c:v>-0.27672043735010832</c:v>
                </c:pt>
                <c:pt idx="119">
                  <c:v>-0.27622094954831511</c:v>
                </c:pt>
                <c:pt idx="120">
                  <c:v>-0.27638709998015176</c:v>
                </c:pt>
                <c:pt idx="121">
                  <c:v>-0.27545243170181832</c:v>
                </c:pt>
                <c:pt idx="122">
                  <c:v>-0.27665910181538078</c:v>
                </c:pt>
                <c:pt idx="123">
                  <c:v>-0.27615388837357835</c:v>
                </c:pt>
                <c:pt idx="124">
                  <c:v>-0.27579449769543407</c:v>
                </c:pt>
                <c:pt idx="125">
                  <c:v>-0.27531478592234859</c:v>
                </c:pt>
                <c:pt idx="126">
                  <c:v>-0.27633953107463927</c:v>
                </c:pt>
                <c:pt idx="127">
                  <c:v>-0.2759306703632457</c:v>
                </c:pt>
                <c:pt idx="128">
                  <c:v>-0.27694396051577519</c:v>
                </c:pt>
                <c:pt idx="129">
                  <c:v>-0.27642269056157531</c:v>
                </c:pt>
                <c:pt idx="130">
                  <c:v>-0.27663829044382282</c:v>
                </c:pt>
                <c:pt idx="131">
                  <c:v>-0.27688579875226627</c:v>
                </c:pt>
                <c:pt idx="132">
                  <c:v>-0.27622372159141118</c:v>
                </c:pt>
                <c:pt idx="133">
                  <c:v>-0.27657631843696173</c:v>
                </c:pt>
                <c:pt idx="134">
                  <c:v>-0.27519228831893983</c:v>
                </c:pt>
                <c:pt idx="135">
                  <c:v>-0.27694556716084151</c:v>
                </c:pt>
                <c:pt idx="136">
                  <c:v>-0.27607420425143947</c:v>
                </c:pt>
                <c:pt idx="137">
                  <c:v>-0.27731264174851633</c:v>
                </c:pt>
                <c:pt idx="138">
                  <c:v>-0.27622840410722282</c:v>
                </c:pt>
                <c:pt idx="139">
                  <c:v>-0.27655827878521755</c:v>
                </c:pt>
                <c:pt idx="140">
                  <c:v>-0.27555914984987218</c:v>
                </c:pt>
                <c:pt idx="141">
                  <c:v>-0.27577998061819997</c:v>
                </c:pt>
                <c:pt idx="142">
                  <c:v>-0.27636685316069498</c:v>
                </c:pt>
                <c:pt idx="143">
                  <c:v>-0.27695704084477102</c:v>
                </c:pt>
                <c:pt idx="144">
                  <c:v>-0.27562694395726461</c:v>
                </c:pt>
                <c:pt idx="145">
                  <c:v>-0.27636990169078812</c:v>
                </c:pt>
                <c:pt idx="146">
                  <c:v>-0.2763182530167726</c:v>
                </c:pt>
                <c:pt idx="147">
                  <c:v>-0.2769063119130597</c:v>
                </c:pt>
                <c:pt idx="148">
                  <c:v>-0.27667764128223993</c:v>
                </c:pt>
                <c:pt idx="149">
                  <c:v>-0.27653486799603433</c:v>
                </c:pt>
                <c:pt idx="150">
                  <c:v>-0.27650900902810216</c:v>
                </c:pt>
                <c:pt idx="151">
                  <c:v>-0.27658434757372197</c:v>
                </c:pt>
                <c:pt idx="152">
                  <c:v>-0.27655992099317561</c:v>
                </c:pt>
                <c:pt idx="153">
                  <c:v>-0.27647893457474415</c:v>
                </c:pt>
                <c:pt idx="154">
                  <c:v>-0.2764507983003891</c:v>
                </c:pt>
                <c:pt idx="155">
                  <c:v>-0.27697262866374039</c:v>
                </c:pt>
                <c:pt idx="156">
                  <c:v>-0.27631828760855581</c:v>
                </c:pt>
                <c:pt idx="157">
                  <c:v>-0.27582616380459479</c:v>
                </c:pt>
                <c:pt idx="158">
                  <c:v>-0.27663072588492843</c:v>
                </c:pt>
                <c:pt idx="159">
                  <c:v>-0.27709245511232816</c:v>
                </c:pt>
                <c:pt idx="160">
                  <c:v>-0.27629412662507735</c:v>
                </c:pt>
                <c:pt idx="161">
                  <c:v>-0.27725289429132949</c:v>
                </c:pt>
                <c:pt idx="162">
                  <c:v>-0.27629070246149323</c:v>
                </c:pt>
                <c:pt idx="163">
                  <c:v>-0.27732307580593263</c:v>
                </c:pt>
                <c:pt idx="164">
                  <c:v>-0.27626300915440638</c:v>
                </c:pt>
                <c:pt idx="165">
                  <c:v>-0.27617072613984051</c:v>
                </c:pt>
                <c:pt idx="166">
                  <c:v>-0.27673903816431278</c:v>
                </c:pt>
                <c:pt idx="167">
                  <c:v>-0.27691418493051445</c:v>
                </c:pt>
                <c:pt idx="168">
                  <c:v>-0.27601402517615992</c:v>
                </c:pt>
                <c:pt idx="169">
                  <c:v>-0.27667470168134167</c:v>
                </c:pt>
                <c:pt idx="170">
                  <c:v>-0.27640049514975396</c:v>
                </c:pt>
                <c:pt idx="171">
                  <c:v>-0.27550332579235604</c:v>
                </c:pt>
                <c:pt idx="172">
                  <c:v>-0.27640525867188714</c:v>
                </c:pt>
                <c:pt idx="173">
                  <c:v>-0.27670848011664317</c:v>
                </c:pt>
                <c:pt idx="174">
                  <c:v>-0.27660548203796154</c:v>
                </c:pt>
                <c:pt idx="175">
                  <c:v>-0.27588373169596081</c:v>
                </c:pt>
                <c:pt idx="176">
                  <c:v>-0.27705420602408903</c:v>
                </c:pt>
                <c:pt idx="177">
                  <c:v>-0.27725424620671191</c:v>
                </c:pt>
                <c:pt idx="178">
                  <c:v>-0.27589337906458544</c:v>
                </c:pt>
                <c:pt idx="179">
                  <c:v>-0.2763348786110954</c:v>
                </c:pt>
                <c:pt idx="180">
                  <c:v>-0.27693439687836641</c:v>
                </c:pt>
                <c:pt idx="181">
                  <c:v>-0.27699914710706286</c:v>
                </c:pt>
                <c:pt idx="182">
                  <c:v>-0.27592798347560332</c:v>
                </c:pt>
                <c:pt idx="183">
                  <c:v>-0.2771461635483583</c:v>
                </c:pt>
                <c:pt idx="184">
                  <c:v>-0.27689480550510936</c:v>
                </c:pt>
                <c:pt idx="185">
                  <c:v>-0.27635586505865717</c:v>
                </c:pt>
                <c:pt idx="186">
                  <c:v>-0.2770445183005209</c:v>
                </c:pt>
                <c:pt idx="187">
                  <c:v>-0.27629743719313349</c:v>
                </c:pt>
                <c:pt idx="188">
                  <c:v>-0.27606930256217721</c:v>
                </c:pt>
                <c:pt idx="189">
                  <c:v>-0.27532168691869463</c:v>
                </c:pt>
                <c:pt idx="190">
                  <c:v>-0.27602915739258027</c:v>
                </c:pt>
                <c:pt idx="191">
                  <c:v>-0.27649217718248498</c:v>
                </c:pt>
                <c:pt idx="192">
                  <c:v>-0.27608486678834088</c:v>
                </c:pt>
                <c:pt idx="193">
                  <c:v>-0.27573646064646851</c:v>
                </c:pt>
                <c:pt idx="194">
                  <c:v>-0.27670349110613057</c:v>
                </c:pt>
                <c:pt idx="195">
                  <c:v>-0.27580212405111237</c:v>
                </c:pt>
                <c:pt idx="196">
                  <c:v>-0.27605720632442432</c:v>
                </c:pt>
                <c:pt idx="197">
                  <c:v>-0.2764840644247003</c:v>
                </c:pt>
                <c:pt idx="198">
                  <c:v>-0.2764034062042513</c:v>
                </c:pt>
                <c:pt idx="199">
                  <c:v>-0.2762951032079507</c:v>
                </c:pt>
                <c:pt idx="200">
                  <c:v>-0.27634893904278102</c:v>
                </c:pt>
                <c:pt idx="201">
                  <c:v>-0.27680358702243635</c:v>
                </c:pt>
                <c:pt idx="202">
                  <c:v>-0.27584712251520993</c:v>
                </c:pt>
                <c:pt idx="203">
                  <c:v>-0.27627315782505013</c:v>
                </c:pt>
                <c:pt idx="204">
                  <c:v>-0.27580475365933177</c:v>
                </c:pt>
                <c:pt idx="205">
                  <c:v>-0.27529796600283307</c:v>
                </c:pt>
                <c:pt idx="206">
                  <c:v>-0.27661503508058038</c:v>
                </c:pt>
                <c:pt idx="207">
                  <c:v>-0.27697825528921149</c:v>
                </c:pt>
                <c:pt idx="208">
                  <c:v>-0.27681305671111034</c:v>
                </c:pt>
                <c:pt idx="209">
                  <c:v>-0.27718225484022752</c:v>
                </c:pt>
                <c:pt idx="210">
                  <c:v>-0.27645706155666394</c:v>
                </c:pt>
                <c:pt idx="211">
                  <c:v>-0.27660862488145455</c:v>
                </c:pt>
                <c:pt idx="212">
                  <c:v>-0.27607212722994312</c:v>
                </c:pt>
                <c:pt idx="213">
                  <c:v>-0.27642107704635399</c:v>
                </c:pt>
                <c:pt idx="214">
                  <c:v>-0.27664425774440538</c:v>
                </c:pt>
                <c:pt idx="215">
                  <c:v>-0.27592074971555225</c:v>
                </c:pt>
                <c:pt idx="216">
                  <c:v>-0.27615658377591301</c:v>
                </c:pt>
                <c:pt idx="217">
                  <c:v>-0.27690435013006998</c:v>
                </c:pt>
                <c:pt idx="218">
                  <c:v>-0.27623086881027348</c:v>
                </c:pt>
                <c:pt idx="219">
                  <c:v>-0.27632582693363839</c:v>
                </c:pt>
                <c:pt idx="220">
                  <c:v>-0.27641932873021424</c:v>
                </c:pt>
                <c:pt idx="221">
                  <c:v>-0.27537907422442931</c:v>
                </c:pt>
                <c:pt idx="222">
                  <c:v>-0.27677662045510365</c:v>
                </c:pt>
                <c:pt idx="223">
                  <c:v>-0.27618702533491246</c:v>
                </c:pt>
                <c:pt idx="224">
                  <c:v>-0.27681237255672742</c:v>
                </c:pt>
                <c:pt idx="225">
                  <c:v>-0.27630490794359053</c:v>
                </c:pt>
                <c:pt idx="226">
                  <c:v>-0.27587000112654425</c:v>
                </c:pt>
                <c:pt idx="227">
                  <c:v>-0.27622429563969353</c:v>
                </c:pt>
                <c:pt idx="228">
                  <c:v>-0.27687128601641264</c:v>
                </c:pt>
                <c:pt idx="229">
                  <c:v>-0.27653533369966266</c:v>
                </c:pt>
                <c:pt idx="230">
                  <c:v>-0.27632047741914578</c:v>
                </c:pt>
                <c:pt idx="231">
                  <c:v>-0.27659712394848313</c:v>
                </c:pt>
                <c:pt idx="232">
                  <c:v>-0.27710964246139413</c:v>
                </c:pt>
                <c:pt idx="233">
                  <c:v>-0.27703565433454957</c:v>
                </c:pt>
                <c:pt idx="234">
                  <c:v>-0.27642701892799859</c:v>
                </c:pt>
                <c:pt idx="235">
                  <c:v>-0.27645882416191547</c:v>
                </c:pt>
                <c:pt idx="236">
                  <c:v>-0.27724322483231578</c:v>
                </c:pt>
                <c:pt idx="237">
                  <c:v>-0.27645195731194427</c:v>
                </c:pt>
                <c:pt idx="238">
                  <c:v>-0.27738285882125158</c:v>
                </c:pt>
                <c:pt idx="239">
                  <c:v>-0.27600378997332875</c:v>
                </c:pt>
                <c:pt idx="240">
                  <c:v>-0.27672963151075536</c:v>
                </c:pt>
                <c:pt idx="241">
                  <c:v>-0.27725731793487529</c:v>
                </c:pt>
                <c:pt idx="242">
                  <c:v>-0.27659625144467703</c:v>
                </c:pt>
                <c:pt idx="243">
                  <c:v>-0.27733497207440727</c:v>
                </c:pt>
                <c:pt idx="244">
                  <c:v>-0.27657839344365509</c:v>
                </c:pt>
                <c:pt idx="245">
                  <c:v>-0.27727210556841098</c:v>
                </c:pt>
                <c:pt idx="246">
                  <c:v>-0.27517838102698999</c:v>
                </c:pt>
                <c:pt idx="247">
                  <c:v>-0.27639766191550608</c:v>
                </c:pt>
                <c:pt idx="248">
                  <c:v>-0.27656669099972897</c:v>
                </c:pt>
                <c:pt idx="249">
                  <c:v>-0.27657464670462695</c:v>
                </c:pt>
                <c:pt idx="250">
                  <c:v>-0.27697205734840391</c:v>
                </c:pt>
                <c:pt idx="251">
                  <c:v>-0.2765946489965343</c:v>
                </c:pt>
                <c:pt idx="252">
                  <c:v>-0.27620485271374817</c:v>
                </c:pt>
                <c:pt idx="253">
                  <c:v>-0.27710865151570463</c:v>
                </c:pt>
                <c:pt idx="254">
                  <c:v>-0.27613479264014118</c:v>
                </c:pt>
                <c:pt idx="255">
                  <c:v>-0.27689114284945393</c:v>
                </c:pt>
                <c:pt idx="256">
                  <c:v>-0.27600824099277299</c:v>
                </c:pt>
                <c:pt idx="257">
                  <c:v>-0.27683727938603042</c:v>
                </c:pt>
                <c:pt idx="258">
                  <c:v>-0.27606610537083409</c:v>
                </c:pt>
                <c:pt idx="259">
                  <c:v>-0.27748194594359088</c:v>
                </c:pt>
                <c:pt idx="260">
                  <c:v>-0.27658629088598263</c:v>
                </c:pt>
                <c:pt idx="261">
                  <c:v>-0.27655165432510398</c:v>
                </c:pt>
                <c:pt idx="262">
                  <c:v>-0.27581052026575648</c:v>
                </c:pt>
                <c:pt idx="263">
                  <c:v>-0.27605215580108222</c:v>
                </c:pt>
                <c:pt idx="264">
                  <c:v>-0.27719779822360524</c:v>
                </c:pt>
                <c:pt idx="265">
                  <c:v>-0.27693382497079511</c:v>
                </c:pt>
                <c:pt idx="266">
                  <c:v>-0.27734716505970713</c:v>
                </c:pt>
                <c:pt idx="267">
                  <c:v>-0.27585171626079341</c:v>
                </c:pt>
                <c:pt idx="268">
                  <c:v>-0.2766621817254844</c:v>
                </c:pt>
                <c:pt idx="269">
                  <c:v>-0.2766810261739181</c:v>
                </c:pt>
                <c:pt idx="270">
                  <c:v>-0.27604226776565399</c:v>
                </c:pt>
                <c:pt idx="271">
                  <c:v>-0.27589701100177944</c:v>
                </c:pt>
                <c:pt idx="272">
                  <c:v>-0.27679385114000976</c:v>
                </c:pt>
                <c:pt idx="273">
                  <c:v>-0.2766804519467384</c:v>
                </c:pt>
                <c:pt idx="274">
                  <c:v>-0.27699834218542274</c:v>
                </c:pt>
                <c:pt idx="275">
                  <c:v>-0.27700645546603786</c:v>
                </c:pt>
                <c:pt idx="276">
                  <c:v>-0.27639533255016224</c:v>
                </c:pt>
                <c:pt idx="277">
                  <c:v>-0.27609489835746259</c:v>
                </c:pt>
                <c:pt idx="278">
                  <c:v>-0.27671111622938549</c:v>
                </c:pt>
                <c:pt idx="279">
                  <c:v>-0.27650689275992502</c:v>
                </c:pt>
                <c:pt idx="280">
                  <c:v>-0.27595742162735015</c:v>
                </c:pt>
                <c:pt idx="281">
                  <c:v>-0.27684807041324022</c:v>
                </c:pt>
                <c:pt idx="282">
                  <c:v>-0.276305662769737</c:v>
                </c:pt>
                <c:pt idx="283">
                  <c:v>-0.27763893197450507</c:v>
                </c:pt>
                <c:pt idx="284">
                  <c:v>-0.27679797892489311</c:v>
                </c:pt>
                <c:pt idx="285">
                  <c:v>-0.2768355408981451</c:v>
                </c:pt>
                <c:pt idx="286">
                  <c:v>-0.27625582529043713</c:v>
                </c:pt>
                <c:pt idx="287">
                  <c:v>-0.27632195511622826</c:v>
                </c:pt>
                <c:pt idx="288">
                  <c:v>-0.27697995952425003</c:v>
                </c:pt>
                <c:pt idx="289">
                  <c:v>-0.27636012476005145</c:v>
                </c:pt>
                <c:pt idx="290">
                  <c:v>-0.27643068848981167</c:v>
                </c:pt>
                <c:pt idx="291">
                  <c:v>-0.27629790924013531</c:v>
                </c:pt>
                <c:pt idx="292">
                  <c:v>-0.27631988645032535</c:v>
                </c:pt>
                <c:pt idx="293">
                  <c:v>-0.27580272157750807</c:v>
                </c:pt>
                <c:pt idx="294">
                  <c:v>-0.27621386779918244</c:v>
                </c:pt>
                <c:pt idx="295">
                  <c:v>-0.27690110664280176</c:v>
                </c:pt>
                <c:pt idx="296">
                  <c:v>-0.2763770105682064</c:v>
                </c:pt>
                <c:pt idx="297">
                  <c:v>-0.27688525358753602</c:v>
                </c:pt>
                <c:pt idx="298">
                  <c:v>-0.2762639431297208</c:v>
                </c:pt>
                <c:pt idx="299">
                  <c:v>-0.27649112672879239</c:v>
                </c:pt>
                <c:pt idx="300">
                  <c:v>-0.27718063864473752</c:v>
                </c:pt>
                <c:pt idx="301">
                  <c:v>-0.27597994482844057</c:v>
                </c:pt>
                <c:pt idx="302">
                  <c:v>-0.27705774050971388</c:v>
                </c:pt>
                <c:pt idx="303">
                  <c:v>-0.27686214782401353</c:v>
                </c:pt>
                <c:pt idx="304">
                  <c:v>-0.27751607427193092</c:v>
                </c:pt>
                <c:pt idx="305">
                  <c:v>-0.27714939833384278</c:v>
                </c:pt>
                <c:pt idx="306">
                  <c:v>-0.27655595402459221</c:v>
                </c:pt>
                <c:pt idx="307">
                  <c:v>-0.27618575471319906</c:v>
                </c:pt>
                <c:pt idx="308">
                  <c:v>-0.27579486965593569</c:v>
                </c:pt>
                <c:pt idx="309">
                  <c:v>-0.27674582784197266</c:v>
                </c:pt>
                <c:pt idx="310">
                  <c:v>-0.27614633107991871</c:v>
                </c:pt>
                <c:pt idx="311">
                  <c:v>-0.27649790415718645</c:v>
                </c:pt>
                <c:pt idx="312">
                  <c:v>-0.27642956109041028</c:v>
                </c:pt>
                <c:pt idx="313">
                  <c:v>-0.27653336242450388</c:v>
                </c:pt>
                <c:pt idx="314">
                  <c:v>-0.27689112501101354</c:v>
                </c:pt>
                <c:pt idx="315">
                  <c:v>-0.27693021244954996</c:v>
                </c:pt>
                <c:pt idx="316">
                  <c:v>-0.27561579384557899</c:v>
                </c:pt>
                <c:pt idx="317">
                  <c:v>-0.27699255712032433</c:v>
                </c:pt>
                <c:pt idx="318">
                  <c:v>-0.27618309195779389</c:v>
                </c:pt>
                <c:pt idx="319">
                  <c:v>-0.27573269196129246</c:v>
                </c:pt>
                <c:pt idx="320">
                  <c:v>-0.27648052652881372</c:v>
                </c:pt>
                <c:pt idx="321">
                  <c:v>-0.27673916812901267</c:v>
                </c:pt>
                <c:pt idx="322">
                  <c:v>-0.2768245676715414</c:v>
                </c:pt>
                <c:pt idx="323">
                  <c:v>-0.27652863392767246</c:v>
                </c:pt>
                <c:pt idx="324">
                  <c:v>-0.27702902113291705</c:v>
                </c:pt>
                <c:pt idx="325">
                  <c:v>-0.27707581076294019</c:v>
                </c:pt>
                <c:pt idx="326">
                  <c:v>-0.2759646946815425</c:v>
                </c:pt>
                <c:pt idx="327">
                  <c:v>-0.27563583761338684</c:v>
                </c:pt>
                <c:pt idx="328">
                  <c:v>-0.27690245999302865</c:v>
                </c:pt>
                <c:pt idx="329">
                  <c:v>-0.27741035165093342</c:v>
                </c:pt>
                <c:pt idx="330">
                  <c:v>-0.27688795600363891</c:v>
                </c:pt>
                <c:pt idx="331">
                  <c:v>-0.27733068444809461</c:v>
                </c:pt>
                <c:pt idx="332">
                  <c:v>-0.27619154896547438</c:v>
                </c:pt>
                <c:pt idx="333">
                  <c:v>-0.27534637162307563</c:v>
                </c:pt>
                <c:pt idx="334">
                  <c:v>-0.27716463664268187</c:v>
                </c:pt>
                <c:pt idx="335">
                  <c:v>-0.27620969325281886</c:v>
                </c:pt>
                <c:pt idx="336">
                  <c:v>-0.2760057407730101</c:v>
                </c:pt>
                <c:pt idx="337">
                  <c:v>-0.27689469900438146</c:v>
                </c:pt>
                <c:pt idx="338">
                  <c:v>-0.2766473007439102</c:v>
                </c:pt>
                <c:pt idx="339">
                  <c:v>-0.27635847861877572</c:v>
                </c:pt>
                <c:pt idx="340">
                  <c:v>-0.2767474823471584</c:v>
                </c:pt>
                <c:pt idx="341">
                  <c:v>-0.27686675885626855</c:v>
                </c:pt>
                <c:pt idx="342">
                  <c:v>-0.27676682368777139</c:v>
                </c:pt>
                <c:pt idx="343">
                  <c:v>-0.27705738539890723</c:v>
                </c:pt>
                <c:pt idx="344">
                  <c:v>-0.27652132943868724</c:v>
                </c:pt>
                <c:pt idx="345">
                  <c:v>-0.27637315875644108</c:v>
                </c:pt>
                <c:pt idx="346">
                  <c:v>-0.27587180012036217</c:v>
                </c:pt>
                <c:pt idx="347">
                  <c:v>-0.27637997300954742</c:v>
                </c:pt>
                <c:pt idx="348">
                  <c:v>-0.27637326180643651</c:v>
                </c:pt>
                <c:pt idx="349">
                  <c:v>-0.27665739274716661</c:v>
                </c:pt>
                <c:pt idx="350">
                  <c:v>-0.2762004510938999</c:v>
                </c:pt>
                <c:pt idx="351">
                  <c:v>-0.27659099518747277</c:v>
                </c:pt>
                <c:pt idx="352">
                  <c:v>-0.27654595354737865</c:v>
                </c:pt>
                <c:pt idx="353">
                  <c:v>-0.27654689193852544</c:v>
                </c:pt>
                <c:pt idx="354">
                  <c:v>-0.27661341239886672</c:v>
                </c:pt>
                <c:pt idx="355">
                  <c:v>-0.27627211473907065</c:v>
                </c:pt>
                <c:pt idx="356">
                  <c:v>-0.27632812033829557</c:v>
                </c:pt>
                <c:pt idx="357">
                  <c:v>-0.27665496479001594</c:v>
                </c:pt>
                <c:pt idx="358">
                  <c:v>-0.27608100525654122</c:v>
                </c:pt>
                <c:pt idx="359">
                  <c:v>-0.27523185838750763</c:v>
                </c:pt>
                <c:pt idx="360">
                  <c:v>-0.2753493904592399</c:v>
                </c:pt>
                <c:pt idx="361">
                  <c:v>-0.27633472763424249</c:v>
                </c:pt>
                <c:pt idx="362">
                  <c:v>-0.2758874503138331</c:v>
                </c:pt>
                <c:pt idx="363">
                  <c:v>-0.2762017518693286</c:v>
                </c:pt>
                <c:pt idx="364">
                  <c:v>-0.27670875978469733</c:v>
                </c:pt>
                <c:pt idx="365">
                  <c:v>-0.27745912008591245</c:v>
                </c:pt>
                <c:pt idx="366">
                  <c:v>-0.27658685579929643</c:v>
                </c:pt>
                <c:pt idx="367">
                  <c:v>-0.27676753677723365</c:v>
                </c:pt>
                <c:pt idx="368">
                  <c:v>-0.27688701851945063</c:v>
                </c:pt>
                <c:pt idx="369">
                  <c:v>-0.27632500099300739</c:v>
                </c:pt>
                <c:pt idx="370">
                  <c:v>-0.2767498177683031</c:v>
                </c:pt>
                <c:pt idx="371">
                  <c:v>-0.27689660028857166</c:v>
                </c:pt>
                <c:pt idx="372">
                  <c:v>-0.27691277243887646</c:v>
                </c:pt>
                <c:pt idx="373">
                  <c:v>-0.27702556030312142</c:v>
                </c:pt>
                <c:pt idx="374">
                  <c:v>-0.2762187590297035</c:v>
                </c:pt>
                <c:pt idx="375">
                  <c:v>-0.27660474911992794</c:v>
                </c:pt>
                <c:pt idx="376">
                  <c:v>-0.27610750706001241</c:v>
                </c:pt>
                <c:pt idx="377">
                  <c:v>-0.27654528976634152</c:v>
                </c:pt>
                <c:pt idx="378">
                  <c:v>-0.27680379396132504</c:v>
                </c:pt>
                <c:pt idx="379">
                  <c:v>-0.27685616406959523</c:v>
                </c:pt>
                <c:pt idx="380">
                  <c:v>-0.27594869396579258</c:v>
                </c:pt>
                <c:pt idx="381">
                  <c:v>-0.27652689957523591</c:v>
                </c:pt>
                <c:pt idx="382">
                  <c:v>-0.27705456623316838</c:v>
                </c:pt>
                <c:pt idx="383">
                  <c:v>-0.27735157947593347</c:v>
                </c:pt>
                <c:pt idx="384">
                  <c:v>-0.27588252799865887</c:v>
                </c:pt>
                <c:pt idx="385">
                  <c:v>-0.27698746286901288</c:v>
                </c:pt>
                <c:pt idx="386">
                  <c:v>-0.27643451017749276</c:v>
                </c:pt>
                <c:pt idx="387">
                  <c:v>-0.27674840450616289</c:v>
                </c:pt>
                <c:pt idx="388">
                  <c:v>-0.27633601259095431</c:v>
                </c:pt>
                <c:pt idx="389">
                  <c:v>-0.27710527266990848</c:v>
                </c:pt>
                <c:pt idx="390">
                  <c:v>-0.27632620967332</c:v>
                </c:pt>
                <c:pt idx="391">
                  <c:v>-0.27666403769214654</c:v>
                </c:pt>
                <c:pt idx="392">
                  <c:v>-0.27718121833112375</c:v>
                </c:pt>
                <c:pt idx="393">
                  <c:v>-0.27680340808666348</c:v>
                </c:pt>
                <c:pt idx="394">
                  <c:v>-0.27749072719802692</c:v>
                </c:pt>
                <c:pt idx="395">
                  <c:v>-0.2765938659541477</c:v>
                </c:pt>
                <c:pt idx="396">
                  <c:v>-0.27700487558079578</c:v>
                </c:pt>
                <c:pt idx="397">
                  <c:v>-0.27710877880205442</c:v>
                </c:pt>
                <c:pt idx="398">
                  <c:v>-0.27587676490246849</c:v>
                </c:pt>
                <c:pt idx="399">
                  <c:v>-0.27630217568972792</c:v>
                </c:pt>
                <c:pt idx="400">
                  <c:v>-0.2766156381378454</c:v>
                </c:pt>
                <c:pt idx="401">
                  <c:v>-0.27644652959665428</c:v>
                </c:pt>
                <c:pt idx="402">
                  <c:v>-0.27663669453143469</c:v>
                </c:pt>
                <c:pt idx="403">
                  <c:v>-0.27668902271542961</c:v>
                </c:pt>
                <c:pt idx="404">
                  <c:v>-0.27726788169098326</c:v>
                </c:pt>
                <c:pt idx="405">
                  <c:v>-0.27658655044831382</c:v>
                </c:pt>
                <c:pt idx="406">
                  <c:v>-0.27521636867327515</c:v>
                </c:pt>
                <c:pt idx="407">
                  <c:v>-0.27606455018298703</c:v>
                </c:pt>
                <c:pt idx="408">
                  <c:v>-0.27662232222664662</c:v>
                </c:pt>
                <c:pt idx="409">
                  <c:v>-0.27710238811459875</c:v>
                </c:pt>
                <c:pt idx="410">
                  <c:v>-0.27741732321080992</c:v>
                </c:pt>
                <c:pt idx="411">
                  <c:v>-0.27659517175008386</c:v>
                </c:pt>
                <c:pt idx="412">
                  <c:v>-0.27640171505161348</c:v>
                </c:pt>
                <c:pt idx="413">
                  <c:v>-0.27627310208918232</c:v>
                </c:pt>
                <c:pt idx="414">
                  <c:v>-0.27708224578764451</c:v>
                </c:pt>
                <c:pt idx="415">
                  <c:v>-0.27595875898200106</c:v>
                </c:pt>
                <c:pt idx="416">
                  <c:v>-0.2756194319334212</c:v>
                </c:pt>
                <c:pt idx="417">
                  <c:v>-0.27648867299175051</c:v>
                </c:pt>
                <c:pt idx="418">
                  <c:v>-0.2777474669616079</c:v>
                </c:pt>
                <c:pt idx="419">
                  <c:v>-0.27647326567103603</c:v>
                </c:pt>
                <c:pt idx="420">
                  <c:v>-0.27646187469799455</c:v>
                </c:pt>
                <c:pt idx="421">
                  <c:v>-0.27815123310160983</c:v>
                </c:pt>
                <c:pt idx="422">
                  <c:v>-0.27648712214081939</c:v>
                </c:pt>
                <c:pt idx="423">
                  <c:v>-0.27652265970502798</c:v>
                </c:pt>
                <c:pt idx="424">
                  <c:v>-0.27772998747289457</c:v>
                </c:pt>
                <c:pt idx="425">
                  <c:v>-0.27666307632867659</c:v>
                </c:pt>
                <c:pt idx="426">
                  <c:v>-0.275826502173669</c:v>
                </c:pt>
                <c:pt idx="427">
                  <c:v>-0.27606369586958135</c:v>
                </c:pt>
                <c:pt idx="428">
                  <c:v>-0.27623931760947651</c:v>
                </c:pt>
                <c:pt idx="429">
                  <c:v>-0.27591219740483042</c:v>
                </c:pt>
                <c:pt idx="430">
                  <c:v>-0.27634269211099893</c:v>
                </c:pt>
                <c:pt idx="431">
                  <c:v>-0.27693430351461568</c:v>
                </c:pt>
                <c:pt idx="432">
                  <c:v>-0.27619392638776352</c:v>
                </c:pt>
                <c:pt idx="433">
                  <c:v>-0.27662513404916533</c:v>
                </c:pt>
                <c:pt idx="434">
                  <c:v>-0.2767069586976012</c:v>
                </c:pt>
                <c:pt idx="435">
                  <c:v>-0.2765366765329158</c:v>
                </c:pt>
                <c:pt idx="436">
                  <c:v>-0.27601379311892049</c:v>
                </c:pt>
                <c:pt idx="437">
                  <c:v>-0.27629099157956705</c:v>
                </c:pt>
                <c:pt idx="438">
                  <c:v>-0.27767567354373213</c:v>
                </c:pt>
                <c:pt idx="439">
                  <c:v>-0.27724151021915711</c:v>
                </c:pt>
                <c:pt idx="440">
                  <c:v>-0.27716129626786368</c:v>
                </c:pt>
                <c:pt idx="441">
                  <c:v>-0.27636081692332937</c:v>
                </c:pt>
                <c:pt idx="442">
                  <c:v>-0.27635908554000954</c:v>
                </c:pt>
                <c:pt idx="443">
                  <c:v>-0.27660507555736946</c:v>
                </c:pt>
                <c:pt idx="444">
                  <c:v>-0.27642487385839631</c:v>
                </c:pt>
                <c:pt idx="445">
                  <c:v>-0.27659115090326358</c:v>
                </c:pt>
                <c:pt idx="446">
                  <c:v>-0.2759410645867918</c:v>
                </c:pt>
                <c:pt idx="447">
                  <c:v>-0.27694764521958803</c:v>
                </c:pt>
                <c:pt idx="448">
                  <c:v>-0.27652507020581518</c:v>
                </c:pt>
                <c:pt idx="449">
                  <c:v>-0.27580638810808811</c:v>
                </c:pt>
                <c:pt idx="450">
                  <c:v>-0.27668036856625056</c:v>
                </c:pt>
                <c:pt idx="451">
                  <c:v>-0.27551953162985665</c:v>
                </c:pt>
                <c:pt idx="452">
                  <c:v>-0.27589810513218882</c:v>
                </c:pt>
                <c:pt idx="453">
                  <c:v>-0.2771296367144892</c:v>
                </c:pt>
                <c:pt idx="454">
                  <c:v>-0.27690844978788576</c:v>
                </c:pt>
                <c:pt idx="455">
                  <c:v>-0.27711174140582973</c:v>
                </c:pt>
                <c:pt idx="456">
                  <c:v>-0.27703324774599214</c:v>
                </c:pt>
                <c:pt idx="457">
                  <c:v>-0.27679956947112372</c:v>
                </c:pt>
                <c:pt idx="458">
                  <c:v>-0.27576546206796992</c:v>
                </c:pt>
                <c:pt idx="459">
                  <c:v>-0.27694882367408225</c:v>
                </c:pt>
                <c:pt idx="460">
                  <c:v>-0.27562525010989547</c:v>
                </c:pt>
                <c:pt idx="461">
                  <c:v>-0.27706313764988566</c:v>
                </c:pt>
                <c:pt idx="462">
                  <c:v>-0.27557094988369313</c:v>
                </c:pt>
                <c:pt idx="463">
                  <c:v>-0.27707115427660278</c:v>
                </c:pt>
                <c:pt idx="464">
                  <c:v>-0.27664765978918526</c:v>
                </c:pt>
                <c:pt idx="465">
                  <c:v>-0.2766221258496333</c:v>
                </c:pt>
                <c:pt idx="466">
                  <c:v>-0.27653030747464113</c:v>
                </c:pt>
                <c:pt idx="467">
                  <c:v>-0.27662397320469667</c:v>
                </c:pt>
                <c:pt idx="468">
                  <c:v>-0.27658785617690018</c:v>
                </c:pt>
                <c:pt idx="469">
                  <c:v>-0.27684146776775209</c:v>
                </c:pt>
                <c:pt idx="470">
                  <c:v>-0.27660990971715305</c:v>
                </c:pt>
                <c:pt idx="471">
                  <c:v>-0.27680715015589152</c:v>
                </c:pt>
                <c:pt idx="472">
                  <c:v>-0.27658005124853957</c:v>
                </c:pt>
                <c:pt idx="473">
                  <c:v>-0.27643121019861505</c:v>
                </c:pt>
                <c:pt idx="474">
                  <c:v>-0.27605506802717916</c:v>
                </c:pt>
                <c:pt idx="475">
                  <c:v>-0.27694276065072132</c:v>
                </c:pt>
                <c:pt idx="476">
                  <c:v>-0.27650591242353639</c:v>
                </c:pt>
                <c:pt idx="477">
                  <c:v>-0.27622228828865303</c:v>
                </c:pt>
                <c:pt idx="478">
                  <c:v>-0.27593661695242944</c:v>
                </c:pt>
                <c:pt idx="479">
                  <c:v>-0.27671888527335764</c:v>
                </c:pt>
                <c:pt idx="480">
                  <c:v>-0.27705766881639449</c:v>
                </c:pt>
                <c:pt idx="481">
                  <c:v>-0.27602133652280747</c:v>
                </c:pt>
                <c:pt idx="482">
                  <c:v>-0.2760576137500389</c:v>
                </c:pt>
                <c:pt idx="483">
                  <c:v>-0.27634119802883184</c:v>
                </c:pt>
                <c:pt idx="484">
                  <c:v>-0.27565032293270708</c:v>
                </c:pt>
                <c:pt idx="485">
                  <c:v>-0.27699498009705292</c:v>
                </c:pt>
                <c:pt idx="486">
                  <c:v>-0.27567075916554629</c:v>
                </c:pt>
                <c:pt idx="487">
                  <c:v>-0.27633435538621109</c:v>
                </c:pt>
                <c:pt idx="488">
                  <c:v>-0.2760037898805936</c:v>
                </c:pt>
                <c:pt idx="489">
                  <c:v>-0.27722777449721026</c:v>
                </c:pt>
                <c:pt idx="490">
                  <c:v>-0.27589227098857938</c:v>
                </c:pt>
                <c:pt idx="491">
                  <c:v>-0.27608662189396238</c:v>
                </c:pt>
                <c:pt idx="492">
                  <c:v>-0.27621813642194493</c:v>
                </c:pt>
                <c:pt idx="493">
                  <c:v>-0.27657136245376024</c:v>
                </c:pt>
                <c:pt idx="494">
                  <c:v>-0.27634262604536119</c:v>
                </c:pt>
                <c:pt idx="495">
                  <c:v>-0.27672120583634285</c:v>
                </c:pt>
                <c:pt idx="496">
                  <c:v>-0.27660905758127319</c:v>
                </c:pt>
                <c:pt idx="497">
                  <c:v>-0.27697036365131589</c:v>
                </c:pt>
                <c:pt idx="498">
                  <c:v>-0.27602226677344111</c:v>
                </c:pt>
                <c:pt idx="499">
                  <c:v>-0.27712811313564523</c:v>
                </c:pt>
                <c:pt idx="500">
                  <c:v>-0.27690331163361659</c:v>
                </c:pt>
                <c:pt idx="501">
                  <c:v>-0.27662783278119085</c:v>
                </c:pt>
                <c:pt idx="502">
                  <c:v>-0.27682289093860502</c:v>
                </c:pt>
                <c:pt idx="503">
                  <c:v>-0.27627781148330788</c:v>
                </c:pt>
                <c:pt idx="504">
                  <c:v>-0.27605597228544965</c:v>
                </c:pt>
                <c:pt idx="505">
                  <c:v>-0.27705151921073112</c:v>
                </c:pt>
                <c:pt idx="506">
                  <c:v>-0.27740404894795345</c:v>
                </c:pt>
                <c:pt idx="507">
                  <c:v>-0.27697634396759507</c:v>
                </c:pt>
                <c:pt idx="508">
                  <c:v>-0.27593852606480129</c:v>
                </c:pt>
                <c:pt idx="509">
                  <c:v>-0.27598805540321369</c:v>
                </c:pt>
                <c:pt idx="510">
                  <c:v>-0.27703975455231711</c:v>
                </c:pt>
                <c:pt idx="511">
                  <c:v>-0.27682062703688537</c:v>
                </c:pt>
                <c:pt idx="512">
                  <c:v>-0.27633392674136537</c:v>
                </c:pt>
                <c:pt idx="513">
                  <c:v>-0.27525522380083012</c:v>
                </c:pt>
                <c:pt idx="514">
                  <c:v>-0.27688112574113777</c:v>
                </c:pt>
                <c:pt idx="515">
                  <c:v>-0.27581635593986875</c:v>
                </c:pt>
                <c:pt idx="516">
                  <c:v>-0.27680887484347472</c:v>
                </c:pt>
                <c:pt idx="517">
                  <c:v>-0.27651176739012251</c:v>
                </c:pt>
                <c:pt idx="518">
                  <c:v>-0.27644837481641282</c:v>
                </c:pt>
                <c:pt idx="519">
                  <c:v>-0.27649580832724663</c:v>
                </c:pt>
                <c:pt idx="520">
                  <c:v>-0.27646347242711999</c:v>
                </c:pt>
                <c:pt idx="521">
                  <c:v>-0.27758665415912975</c:v>
                </c:pt>
                <c:pt idx="522">
                  <c:v>-0.27651948465482357</c:v>
                </c:pt>
                <c:pt idx="523">
                  <c:v>-0.27669278344271941</c:v>
                </c:pt>
                <c:pt idx="524">
                  <c:v>-0.27606226256639288</c:v>
                </c:pt>
                <c:pt idx="525">
                  <c:v>-0.27608929924422843</c:v>
                </c:pt>
                <c:pt idx="526">
                  <c:v>-0.27692847707885859</c:v>
                </c:pt>
                <c:pt idx="527">
                  <c:v>-0.27651690923835082</c:v>
                </c:pt>
                <c:pt idx="528">
                  <c:v>-0.27724927308926184</c:v>
                </c:pt>
                <c:pt idx="529">
                  <c:v>-0.27617818165000196</c:v>
                </c:pt>
                <c:pt idx="530">
                  <c:v>-0.27636969370148234</c:v>
                </c:pt>
                <c:pt idx="531">
                  <c:v>-0.27721494218265774</c:v>
                </c:pt>
                <c:pt idx="532">
                  <c:v>-0.27711260925577719</c:v>
                </c:pt>
                <c:pt idx="533">
                  <c:v>-0.27666862705571937</c:v>
                </c:pt>
                <c:pt idx="534">
                  <c:v>-0.27603131192888186</c:v>
                </c:pt>
                <c:pt idx="535">
                  <c:v>-0.27602648892068404</c:v>
                </c:pt>
                <c:pt idx="536">
                  <c:v>-0.27613619944589729</c:v>
                </c:pt>
                <c:pt idx="537">
                  <c:v>-0.27604505702860904</c:v>
                </c:pt>
                <c:pt idx="538">
                  <c:v>-0.27668207123187938</c:v>
                </c:pt>
                <c:pt idx="539">
                  <c:v>-0.27608180079315403</c:v>
                </c:pt>
                <c:pt idx="540">
                  <c:v>-0.27641258052889506</c:v>
                </c:pt>
                <c:pt idx="541">
                  <c:v>-0.27657377144682627</c:v>
                </c:pt>
                <c:pt idx="542">
                  <c:v>-0.27653464861769483</c:v>
                </c:pt>
                <c:pt idx="543">
                  <c:v>-0.27663941237154221</c:v>
                </c:pt>
                <c:pt idx="544">
                  <c:v>-0.2758586073159055</c:v>
                </c:pt>
                <c:pt idx="545">
                  <c:v>-0.27697981997004906</c:v>
                </c:pt>
                <c:pt idx="546">
                  <c:v>-0.27642508081172401</c:v>
                </c:pt>
                <c:pt idx="547">
                  <c:v>-0.27641306118282383</c:v>
                </c:pt>
                <c:pt idx="548">
                  <c:v>-0.27601695248409486</c:v>
                </c:pt>
                <c:pt idx="549">
                  <c:v>-0.27695906098746292</c:v>
                </c:pt>
                <c:pt idx="550">
                  <c:v>-0.27676295756141256</c:v>
                </c:pt>
                <c:pt idx="551">
                  <c:v>-0.27676522074532939</c:v>
                </c:pt>
                <c:pt idx="552">
                  <c:v>-0.27620355130296492</c:v>
                </c:pt>
                <c:pt idx="553">
                  <c:v>-0.27592528067717725</c:v>
                </c:pt>
                <c:pt idx="554">
                  <c:v>-0.27691411777754937</c:v>
                </c:pt>
                <c:pt idx="555">
                  <c:v>-0.27588761849601351</c:v>
                </c:pt>
                <c:pt idx="556">
                  <c:v>-0.27700614256703981</c:v>
                </c:pt>
                <c:pt idx="557">
                  <c:v>-0.27621572480715439</c:v>
                </c:pt>
                <c:pt idx="558">
                  <c:v>-0.27640238353679447</c:v>
                </c:pt>
                <c:pt idx="559">
                  <c:v>-0.27661415707713177</c:v>
                </c:pt>
                <c:pt idx="560">
                  <c:v>-0.27677081145303628</c:v>
                </c:pt>
                <c:pt idx="561">
                  <c:v>-0.27585122662776473</c:v>
                </c:pt>
                <c:pt idx="562">
                  <c:v>-0.27632703740754838</c:v>
                </c:pt>
                <c:pt idx="563">
                  <c:v>-0.27670309842398944</c:v>
                </c:pt>
                <c:pt idx="564">
                  <c:v>-0.27674143846445975</c:v>
                </c:pt>
                <c:pt idx="565">
                  <c:v>-0.27626894676593405</c:v>
                </c:pt>
                <c:pt idx="566">
                  <c:v>-0.27658126357152202</c:v>
                </c:pt>
                <c:pt idx="567">
                  <c:v>-0.27693932631308393</c:v>
                </c:pt>
                <c:pt idx="568">
                  <c:v>-0.27757530331674574</c:v>
                </c:pt>
                <c:pt idx="569">
                  <c:v>-0.27644249974567392</c:v>
                </c:pt>
                <c:pt idx="570">
                  <c:v>-0.27651639888490509</c:v>
                </c:pt>
                <c:pt idx="571">
                  <c:v>-0.27628570346158299</c:v>
                </c:pt>
                <c:pt idx="572">
                  <c:v>-0.2766396041007555</c:v>
                </c:pt>
                <c:pt idx="573">
                  <c:v>-0.27681040519767874</c:v>
                </c:pt>
                <c:pt idx="574">
                  <c:v>-0.2763985689129298</c:v>
                </c:pt>
                <c:pt idx="575">
                  <c:v>-0.27678732285639918</c:v>
                </c:pt>
                <c:pt idx="576">
                  <c:v>-0.27676956703134381</c:v>
                </c:pt>
                <c:pt idx="577">
                  <c:v>-0.27744925361360984</c:v>
                </c:pt>
                <c:pt idx="578">
                  <c:v>-0.27635489685641446</c:v>
                </c:pt>
                <c:pt idx="579">
                  <c:v>-0.27695105406742782</c:v>
                </c:pt>
                <c:pt idx="580">
                  <c:v>-0.27672040992260705</c:v>
                </c:pt>
                <c:pt idx="581">
                  <c:v>-0.27621712060874681</c:v>
                </c:pt>
                <c:pt idx="582">
                  <c:v>-0.27633212318145461</c:v>
                </c:pt>
                <c:pt idx="583">
                  <c:v>-0.27605396866275966</c:v>
                </c:pt>
                <c:pt idx="584">
                  <c:v>-0.27630702403035956</c:v>
                </c:pt>
                <c:pt idx="585">
                  <c:v>-0.27678230390427938</c:v>
                </c:pt>
                <c:pt idx="586">
                  <c:v>-0.27683262412609277</c:v>
                </c:pt>
                <c:pt idx="587">
                  <c:v>-0.27663955416304586</c:v>
                </c:pt>
                <c:pt idx="588">
                  <c:v>-0.2772808976929767</c:v>
                </c:pt>
                <c:pt idx="589">
                  <c:v>-0.27632229723505375</c:v>
                </c:pt>
                <c:pt idx="590">
                  <c:v>-0.27614853554578567</c:v>
                </c:pt>
                <c:pt idx="591">
                  <c:v>-0.27696747980748526</c:v>
                </c:pt>
                <c:pt idx="592">
                  <c:v>-0.2762371308645446</c:v>
                </c:pt>
                <c:pt idx="593">
                  <c:v>-0.27627043911767113</c:v>
                </c:pt>
                <c:pt idx="594">
                  <c:v>-0.27647913975802629</c:v>
                </c:pt>
                <c:pt idx="595">
                  <c:v>-0.27656220014458244</c:v>
                </c:pt>
                <c:pt idx="596">
                  <c:v>-0.27650427511590925</c:v>
                </c:pt>
                <c:pt idx="597">
                  <c:v>-0.27629128061451735</c:v>
                </c:pt>
                <c:pt idx="598">
                  <c:v>-0.27634047802176731</c:v>
                </c:pt>
                <c:pt idx="599">
                  <c:v>-0.27611949454351659</c:v>
                </c:pt>
                <c:pt idx="600">
                  <c:v>-0.27544759811148956</c:v>
                </c:pt>
                <c:pt idx="601">
                  <c:v>-0.27684238914124704</c:v>
                </c:pt>
                <c:pt idx="602">
                  <c:v>-0.27618187753083512</c:v>
                </c:pt>
                <c:pt idx="603">
                  <c:v>-0.27583059556422729</c:v>
                </c:pt>
                <c:pt idx="604">
                  <c:v>-0.27657493194727401</c:v>
                </c:pt>
                <c:pt idx="605">
                  <c:v>-0.27631005016681798</c:v>
                </c:pt>
                <c:pt idx="606">
                  <c:v>-0.27661006504113916</c:v>
                </c:pt>
                <c:pt idx="607">
                  <c:v>-0.27630591059389609</c:v>
                </c:pt>
                <c:pt idx="608">
                  <c:v>-0.27715036497786749</c:v>
                </c:pt>
                <c:pt idx="609">
                  <c:v>-0.27738984772352226</c:v>
                </c:pt>
                <c:pt idx="610">
                  <c:v>-0.27680604570275646</c:v>
                </c:pt>
                <c:pt idx="611">
                  <c:v>-0.27663066286936566</c:v>
                </c:pt>
                <c:pt idx="612">
                  <c:v>-0.27656493728838727</c:v>
                </c:pt>
                <c:pt idx="613">
                  <c:v>-0.27653085317246906</c:v>
                </c:pt>
                <c:pt idx="614">
                  <c:v>-0.27600803090687021</c:v>
                </c:pt>
                <c:pt idx="615">
                  <c:v>-0.27662881221872537</c:v>
                </c:pt>
                <c:pt idx="616">
                  <c:v>-0.27670484119810956</c:v>
                </c:pt>
                <c:pt idx="617">
                  <c:v>-0.2765649593501871</c:v>
                </c:pt>
                <c:pt idx="618">
                  <c:v>-0.27662138207158127</c:v>
                </c:pt>
                <c:pt idx="619">
                  <c:v>-0.27603438181083484</c:v>
                </c:pt>
                <c:pt idx="620">
                  <c:v>-0.27636394995830016</c:v>
                </c:pt>
                <c:pt idx="621">
                  <c:v>-0.27708743462993379</c:v>
                </c:pt>
                <c:pt idx="622">
                  <c:v>-0.27710454215400704</c:v>
                </c:pt>
                <c:pt idx="623">
                  <c:v>-0.27629060631016189</c:v>
                </c:pt>
                <c:pt idx="624">
                  <c:v>-0.27709282592243434</c:v>
                </c:pt>
                <c:pt idx="625">
                  <c:v>-0.27623270921433873</c:v>
                </c:pt>
                <c:pt idx="626">
                  <c:v>-0.27656040795252812</c:v>
                </c:pt>
                <c:pt idx="627">
                  <c:v>-0.27660087541337552</c:v>
                </c:pt>
                <c:pt idx="628">
                  <c:v>-0.27523508168921862</c:v>
                </c:pt>
                <c:pt idx="629">
                  <c:v>-0.27736521135241021</c:v>
                </c:pt>
                <c:pt idx="630">
                  <c:v>-0.27681952502439278</c:v>
                </c:pt>
                <c:pt idx="631">
                  <c:v>-0.2765396377351208</c:v>
                </c:pt>
                <c:pt idx="632">
                  <c:v>-0.27656256329659734</c:v>
                </c:pt>
                <c:pt idx="633">
                  <c:v>-0.27632295183156641</c:v>
                </c:pt>
                <c:pt idx="634">
                  <c:v>-0.27718731603842606</c:v>
                </c:pt>
                <c:pt idx="635">
                  <c:v>-0.27678833739319098</c:v>
                </c:pt>
                <c:pt idx="636">
                  <c:v>-0.27658754986100265</c:v>
                </c:pt>
                <c:pt idx="637">
                  <c:v>-0.27737926380219724</c:v>
                </c:pt>
                <c:pt idx="638">
                  <c:v>-0.27594620676412196</c:v>
                </c:pt>
                <c:pt idx="639">
                  <c:v>-0.27664235856459218</c:v>
                </c:pt>
                <c:pt idx="640">
                  <c:v>-0.2758689708397859</c:v>
                </c:pt>
                <c:pt idx="641">
                  <c:v>-0.27572078392722776</c:v>
                </c:pt>
                <c:pt idx="642">
                  <c:v>-0.2760573306391223</c:v>
                </c:pt>
                <c:pt idx="643">
                  <c:v>-0.27640706593289499</c:v>
                </c:pt>
                <c:pt idx="644">
                  <c:v>-0.27699626702266467</c:v>
                </c:pt>
                <c:pt idx="645">
                  <c:v>-0.27664830137820962</c:v>
                </c:pt>
                <c:pt idx="646">
                  <c:v>-0.27657053881810323</c:v>
                </c:pt>
                <c:pt idx="647">
                  <c:v>-0.27652573923452495</c:v>
                </c:pt>
                <c:pt idx="648">
                  <c:v>-0.27590549167558498</c:v>
                </c:pt>
                <c:pt idx="649">
                  <c:v>-0.27605618610252025</c:v>
                </c:pt>
                <c:pt idx="650">
                  <c:v>-0.27714560281105516</c:v>
                </c:pt>
                <c:pt idx="651">
                  <c:v>-0.27585680075835783</c:v>
                </c:pt>
                <c:pt idx="652">
                  <c:v>-0.27669255771158674</c:v>
                </c:pt>
                <c:pt idx="653">
                  <c:v>-0.27660456536351852</c:v>
                </c:pt>
                <c:pt idx="654">
                  <c:v>-0.27665896851695104</c:v>
                </c:pt>
                <c:pt idx="655">
                  <c:v>-0.27591331306075395</c:v>
                </c:pt>
                <c:pt idx="656">
                  <c:v>-0.27707284803579812</c:v>
                </c:pt>
                <c:pt idx="657">
                  <c:v>-0.277411763308542</c:v>
                </c:pt>
                <c:pt idx="658">
                  <c:v>-0.27656098030105469</c:v>
                </c:pt>
                <c:pt idx="659">
                  <c:v>-0.27681074875805356</c:v>
                </c:pt>
                <c:pt idx="660">
                  <c:v>-0.27638691872963683</c:v>
                </c:pt>
                <c:pt idx="661">
                  <c:v>-0.27706348932414593</c:v>
                </c:pt>
                <c:pt idx="662">
                  <c:v>-0.27623997822057234</c:v>
                </c:pt>
                <c:pt idx="663">
                  <c:v>-0.2757518712191509</c:v>
                </c:pt>
                <c:pt idx="664">
                  <c:v>-0.27618047683742963</c:v>
                </c:pt>
                <c:pt idx="665">
                  <c:v>-0.27586067772838585</c:v>
                </c:pt>
                <c:pt idx="666">
                  <c:v>-0.27678479420969593</c:v>
                </c:pt>
                <c:pt idx="667">
                  <c:v>-0.2761779362310538</c:v>
                </c:pt>
                <c:pt idx="668">
                  <c:v>-0.27711360923974415</c:v>
                </c:pt>
                <c:pt idx="669">
                  <c:v>-0.27603050467218881</c:v>
                </c:pt>
                <c:pt idx="670">
                  <c:v>-0.27653949717347359</c:v>
                </c:pt>
                <c:pt idx="671">
                  <c:v>-0.27653105085410468</c:v>
                </c:pt>
                <c:pt idx="672">
                  <c:v>-0.27657483919915193</c:v>
                </c:pt>
                <c:pt idx="673">
                  <c:v>-0.27676487592445265</c:v>
                </c:pt>
                <c:pt idx="674">
                  <c:v>-0.27616067781433018</c:v>
                </c:pt>
                <c:pt idx="675">
                  <c:v>-0.2760178735056199</c:v>
                </c:pt>
                <c:pt idx="676">
                  <c:v>-0.27663629577520776</c:v>
                </c:pt>
                <c:pt idx="677">
                  <c:v>-0.2764115513967258</c:v>
                </c:pt>
                <c:pt idx="678">
                  <c:v>-0.27668164397046824</c:v>
                </c:pt>
                <c:pt idx="679">
                  <c:v>-0.2761007027532445</c:v>
                </c:pt>
                <c:pt idx="680">
                  <c:v>-0.27594970724697021</c:v>
                </c:pt>
                <c:pt idx="681">
                  <c:v>-0.27668194526874623</c:v>
                </c:pt>
                <c:pt idx="682">
                  <c:v>-0.27667030270951376</c:v>
                </c:pt>
                <c:pt idx="683">
                  <c:v>-0.2764273470837797</c:v>
                </c:pt>
                <c:pt idx="684">
                  <c:v>-0.27576334539934422</c:v>
                </c:pt>
                <c:pt idx="685">
                  <c:v>-0.27674660352774305</c:v>
                </c:pt>
                <c:pt idx="686">
                  <c:v>-0.27623069990411031</c:v>
                </c:pt>
                <c:pt idx="687">
                  <c:v>-0.2771877197958903</c:v>
                </c:pt>
                <c:pt idx="688">
                  <c:v>-0.27640869949421953</c:v>
                </c:pt>
                <c:pt idx="689">
                  <c:v>-0.27690844046178731</c:v>
                </c:pt>
                <c:pt idx="690">
                  <c:v>-0.27664951906052138</c:v>
                </c:pt>
                <c:pt idx="691">
                  <c:v>-0.27647013813177312</c:v>
                </c:pt>
                <c:pt idx="692">
                  <c:v>-0.27570803456617032</c:v>
                </c:pt>
                <c:pt idx="693">
                  <c:v>-0.27603893432702464</c:v>
                </c:pt>
                <c:pt idx="694">
                  <c:v>-0.27605407097855017</c:v>
                </c:pt>
                <c:pt idx="695">
                  <c:v>-0.27619922884615311</c:v>
                </c:pt>
                <c:pt idx="696">
                  <c:v>-0.27624523245664301</c:v>
                </c:pt>
                <c:pt idx="697">
                  <c:v>-0.27635373197304436</c:v>
                </c:pt>
                <c:pt idx="698">
                  <c:v>-0.27629368718493608</c:v>
                </c:pt>
                <c:pt idx="699">
                  <c:v>-0.27781837541831755</c:v>
                </c:pt>
                <c:pt idx="700">
                  <c:v>-0.27724270907339266</c:v>
                </c:pt>
                <c:pt idx="701">
                  <c:v>-0.27643538263715073</c:v>
                </c:pt>
                <c:pt idx="702">
                  <c:v>-0.2765551813267777</c:v>
                </c:pt>
                <c:pt idx="703">
                  <c:v>-0.2763888106585265</c:v>
                </c:pt>
                <c:pt idx="704">
                  <c:v>-0.27560452600047458</c:v>
                </c:pt>
                <c:pt idx="705">
                  <c:v>-0.27640874888926004</c:v>
                </c:pt>
                <c:pt idx="706">
                  <c:v>-0.27609469909547091</c:v>
                </c:pt>
                <c:pt idx="707">
                  <c:v>-0.27643505950990666</c:v>
                </c:pt>
                <c:pt idx="708">
                  <c:v>-0.2758108665871658</c:v>
                </c:pt>
                <c:pt idx="709">
                  <c:v>-0.2769743621188816</c:v>
                </c:pt>
                <c:pt idx="710">
                  <c:v>-0.27804422803427187</c:v>
                </c:pt>
                <c:pt idx="711">
                  <c:v>-0.27684168127716835</c:v>
                </c:pt>
                <c:pt idx="712">
                  <c:v>-0.27617870322257676</c:v>
                </c:pt>
                <c:pt idx="713">
                  <c:v>-0.27682467893344498</c:v>
                </c:pt>
                <c:pt idx="714">
                  <c:v>-0.27723959813876708</c:v>
                </c:pt>
                <c:pt idx="715">
                  <c:v>-0.27738331493830459</c:v>
                </c:pt>
                <c:pt idx="716">
                  <c:v>-0.2767534137694565</c:v>
                </c:pt>
                <c:pt idx="717">
                  <c:v>-0.2765677138784649</c:v>
                </c:pt>
                <c:pt idx="718">
                  <c:v>-0.27606511685471335</c:v>
                </c:pt>
                <c:pt idx="719">
                  <c:v>-0.27638595902301133</c:v>
                </c:pt>
                <c:pt idx="720">
                  <c:v>-0.27615965023097322</c:v>
                </c:pt>
                <c:pt idx="721">
                  <c:v>-0.27678727248891433</c:v>
                </c:pt>
                <c:pt idx="722">
                  <c:v>-0.27649441957425669</c:v>
                </c:pt>
                <c:pt idx="723">
                  <c:v>-0.27690726496381945</c:v>
                </c:pt>
                <c:pt idx="724">
                  <c:v>-0.27692772245913388</c:v>
                </c:pt>
                <c:pt idx="725">
                  <c:v>-0.27729193177314471</c:v>
                </c:pt>
                <c:pt idx="726">
                  <c:v>-0.27726191724923477</c:v>
                </c:pt>
                <c:pt idx="727">
                  <c:v>-0.27684153565461445</c:v>
                </c:pt>
                <c:pt idx="728">
                  <c:v>-0.27722415586399352</c:v>
                </c:pt>
                <c:pt idx="729">
                  <c:v>-0.27619138155382361</c:v>
                </c:pt>
                <c:pt idx="730">
                  <c:v>-0.27752147403934979</c:v>
                </c:pt>
                <c:pt idx="731">
                  <c:v>-0.2768467635519658</c:v>
                </c:pt>
                <c:pt idx="732">
                  <c:v>-0.27646352260772611</c:v>
                </c:pt>
                <c:pt idx="733">
                  <c:v>-0.2766192884851244</c:v>
                </c:pt>
                <c:pt idx="734">
                  <c:v>-0.27689828633996316</c:v>
                </c:pt>
                <c:pt idx="735">
                  <c:v>-0.27655170462572543</c:v>
                </c:pt>
                <c:pt idx="736">
                  <c:v>-0.2766319543820982</c:v>
                </c:pt>
                <c:pt idx="737">
                  <c:v>-0.2765417307682676</c:v>
                </c:pt>
                <c:pt idx="738">
                  <c:v>-0.27638749779847349</c:v>
                </c:pt>
                <c:pt idx="739">
                  <c:v>-0.27632728840032228</c:v>
                </c:pt>
                <c:pt idx="740">
                  <c:v>-0.27681058998779384</c:v>
                </c:pt>
                <c:pt idx="741">
                  <c:v>-0.27723056588343253</c:v>
                </c:pt>
                <c:pt idx="742">
                  <c:v>-0.27642708153291251</c:v>
                </c:pt>
                <c:pt idx="743">
                  <c:v>-0.27682341766055496</c:v>
                </c:pt>
                <c:pt idx="744">
                  <c:v>-0.27618404817090869</c:v>
                </c:pt>
                <c:pt idx="745">
                  <c:v>-0.27637550694708013</c:v>
                </c:pt>
                <c:pt idx="746">
                  <c:v>-0.27645912165076736</c:v>
                </c:pt>
                <c:pt idx="747">
                  <c:v>-0.2759988273382965</c:v>
                </c:pt>
                <c:pt idx="748">
                  <c:v>-0.27618300668392382</c:v>
                </c:pt>
                <c:pt idx="749">
                  <c:v>-0.27625539224155249</c:v>
                </c:pt>
                <c:pt idx="750">
                  <c:v>-0.27633929754577202</c:v>
                </c:pt>
                <c:pt idx="751">
                  <c:v>-0.27564473437206383</c:v>
                </c:pt>
                <c:pt idx="752">
                  <c:v>-0.2771172380428597</c:v>
                </c:pt>
                <c:pt idx="753">
                  <c:v>-0.27642367168069304</c:v>
                </c:pt>
                <c:pt idx="754">
                  <c:v>-0.27725747793432254</c:v>
                </c:pt>
                <c:pt idx="755">
                  <c:v>-0.27668147796963904</c:v>
                </c:pt>
                <c:pt idx="756">
                  <c:v>-0.2770467457621123</c:v>
                </c:pt>
                <c:pt idx="757">
                  <c:v>-0.2767759439721369</c:v>
                </c:pt>
                <c:pt idx="758">
                  <c:v>-0.27637669764660699</c:v>
                </c:pt>
                <c:pt idx="759">
                  <c:v>-0.27672266944701407</c:v>
                </c:pt>
                <c:pt idx="760">
                  <c:v>-0.27680818609084523</c:v>
                </c:pt>
                <c:pt idx="761">
                  <c:v>-0.27616445311572391</c:v>
                </c:pt>
                <c:pt idx="762">
                  <c:v>-0.27672760036519994</c:v>
                </c:pt>
                <c:pt idx="763">
                  <c:v>-0.27674470723851075</c:v>
                </c:pt>
                <c:pt idx="764">
                  <c:v>-0.27688246140162409</c:v>
                </c:pt>
                <c:pt idx="765">
                  <c:v>-0.27640156086782974</c:v>
                </c:pt>
                <c:pt idx="766">
                  <c:v>-0.27689794841241344</c:v>
                </c:pt>
                <c:pt idx="767">
                  <c:v>-0.27739848806815892</c:v>
                </c:pt>
                <c:pt idx="768">
                  <c:v>-0.27717931885105473</c:v>
                </c:pt>
                <c:pt idx="769">
                  <c:v>-0.27608770202997868</c:v>
                </c:pt>
                <c:pt idx="770">
                  <c:v>-0.27565722714084129</c:v>
                </c:pt>
                <c:pt idx="771">
                  <c:v>-0.27677888008066431</c:v>
                </c:pt>
                <c:pt idx="772">
                  <c:v>-0.27681284239861748</c:v>
                </c:pt>
                <c:pt idx="773">
                  <c:v>-0.27610527004257313</c:v>
                </c:pt>
                <c:pt idx="774">
                  <c:v>-0.27705579425161764</c:v>
                </c:pt>
                <c:pt idx="775">
                  <c:v>-0.27732081297235467</c:v>
                </c:pt>
                <c:pt idx="776">
                  <c:v>-0.27643301278095245</c:v>
                </c:pt>
                <c:pt idx="777">
                  <c:v>-0.27722921874364326</c:v>
                </c:pt>
                <c:pt idx="778">
                  <c:v>-0.27720036394410064</c:v>
                </c:pt>
                <c:pt idx="779">
                  <c:v>-0.2755788912970667</c:v>
                </c:pt>
                <c:pt idx="780">
                  <c:v>-0.27663898225245476</c:v>
                </c:pt>
                <c:pt idx="781">
                  <c:v>-0.27797777628737885</c:v>
                </c:pt>
                <c:pt idx="782">
                  <c:v>-0.27694185304819829</c:v>
                </c:pt>
                <c:pt idx="783">
                  <c:v>-0.27692675013455015</c:v>
                </c:pt>
                <c:pt idx="784">
                  <c:v>-0.27738026136591298</c:v>
                </c:pt>
                <c:pt idx="785">
                  <c:v>-0.27734749781980694</c:v>
                </c:pt>
                <c:pt idx="786">
                  <c:v>-0.27565637710203572</c:v>
                </c:pt>
                <c:pt idx="787">
                  <c:v>-0.27587220649843047</c:v>
                </c:pt>
                <c:pt idx="788">
                  <c:v>-0.27688183863092763</c:v>
                </c:pt>
                <c:pt idx="789">
                  <c:v>-0.2770322640168178</c:v>
                </c:pt>
                <c:pt idx="790">
                  <c:v>-0.27673892207798656</c:v>
                </c:pt>
                <c:pt idx="791">
                  <c:v>-0.27637178714723276</c:v>
                </c:pt>
                <c:pt idx="792">
                  <c:v>-0.27613086563386435</c:v>
                </c:pt>
                <c:pt idx="793">
                  <c:v>-0.27648606798653386</c:v>
                </c:pt>
                <c:pt idx="794">
                  <c:v>-0.27747525275486962</c:v>
                </c:pt>
                <c:pt idx="795">
                  <c:v>-0.277300471132361</c:v>
                </c:pt>
                <c:pt idx="796">
                  <c:v>-0.27609941584576037</c:v>
                </c:pt>
                <c:pt idx="797">
                  <c:v>-0.27725403215354183</c:v>
                </c:pt>
                <c:pt idx="798">
                  <c:v>-0.2763717062820692</c:v>
                </c:pt>
                <c:pt idx="799">
                  <c:v>-0.2760120122169909</c:v>
                </c:pt>
                <c:pt idx="800">
                  <c:v>-0.27661438748348743</c:v>
                </c:pt>
                <c:pt idx="801">
                  <c:v>-0.27673142438681331</c:v>
                </c:pt>
                <c:pt idx="802">
                  <c:v>-0.27682047254405673</c:v>
                </c:pt>
                <c:pt idx="803">
                  <c:v>-0.27611985276184059</c:v>
                </c:pt>
                <c:pt idx="804">
                  <c:v>-0.27631525232062337</c:v>
                </c:pt>
                <c:pt idx="805">
                  <c:v>-0.27624894726961469</c:v>
                </c:pt>
                <c:pt idx="806">
                  <c:v>-0.27619111695308218</c:v>
                </c:pt>
                <c:pt idx="807">
                  <c:v>-0.2782489934108392</c:v>
                </c:pt>
                <c:pt idx="808">
                  <c:v>-0.27738619039432844</c:v>
                </c:pt>
                <c:pt idx="809">
                  <c:v>-0.27577694037171629</c:v>
                </c:pt>
                <c:pt idx="810">
                  <c:v>-0.27660387526766639</c:v>
                </c:pt>
                <c:pt idx="811">
                  <c:v>-0.27644864088905508</c:v>
                </c:pt>
                <c:pt idx="812">
                  <c:v>-0.27704794480773842</c:v>
                </c:pt>
                <c:pt idx="813">
                  <c:v>-0.27725072985248378</c:v>
                </c:pt>
                <c:pt idx="814">
                  <c:v>-0.27795874011792621</c:v>
                </c:pt>
                <c:pt idx="815">
                  <c:v>-0.27659878433459761</c:v>
                </c:pt>
                <c:pt idx="816">
                  <c:v>-0.27638168053531875</c:v>
                </c:pt>
                <c:pt idx="817">
                  <c:v>-0.27711555960371781</c:v>
                </c:pt>
                <c:pt idx="818">
                  <c:v>-0.27692782758718659</c:v>
                </c:pt>
                <c:pt idx="819">
                  <c:v>-0.27692756868137358</c:v>
                </c:pt>
                <c:pt idx="820">
                  <c:v>-0.27608148607723482</c:v>
                </c:pt>
                <c:pt idx="821">
                  <c:v>-0.27594494416738813</c:v>
                </c:pt>
                <c:pt idx="822">
                  <c:v>-0.27713133720332761</c:v>
                </c:pt>
                <c:pt idx="823">
                  <c:v>-0.27611342300868114</c:v>
                </c:pt>
                <c:pt idx="824">
                  <c:v>-0.27685451977789766</c:v>
                </c:pt>
                <c:pt idx="825">
                  <c:v>-0.27657295343129429</c:v>
                </c:pt>
                <c:pt idx="826">
                  <c:v>-0.27665803830204494</c:v>
                </c:pt>
                <c:pt idx="827">
                  <c:v>-0.27610028486119098</c:v>
                </c:pt>
                <c:pt idx="828">
                  <c:v>-0.27647008970657772</c:v>
                </c:pt>
                <c:pt idx="829">
                  <c:v>-0.27588164342159116</c:v>
                </c:pt>
                <c:pt idx="830">
                  <c:v>-0.27652769874119243</c:v>
                </c:pt>
                <c:pt idx="831">
                  <c:v>-0.27741718837125284</c:v>
                </c:pt>
                <c:pt idx="832">
                  <c:v>-0.27607233677126619</c:v>
                </c:pt>
                <c:pt idx="833">
                  <c:v>-0.27599931838469904</c:v>
                </c:pt>
                <c:pt idx="834">
                  <c:v>-0.27609967860746487</c:v>
                </c:pt>
                <c:pt idx="835">
                  <c:v>-0.27631675124654642</c:v>
                </c:pt>
                <c:pt idx="836">
                  <c:v>-0.27683494828561095</c:v>
                </c:pt>
                <c:pt idx="837">
                  <c:v>-0.27657554369949011</c:v>
                </c:pt>
                <c:pt idx="838">
                  <c:v>-0.27683181504477838</c:v>
                </c:pt>
                <c:pt idx="839">
                  <c:v>-0.27659090181146184</c:v>
                </c:pt>
                <c:pt idx="840">
                  <c:v>-0.27576519282334366</c:v>
                </c:pt>
                <c:pt idx="841">
                  <c:v>-0.27652314324653737</c:v>
                </c:pt>
                <c:pt idx="842">
                  <c:v>-0.27620796285142568</c:v>
                </c:pt>
                <c:pt idx="843">
                  <c:v>-0.27637735852407486</c:v>
                </c:pt>
                <c:pt idx="844">
                  <c:v>-0.27682654178586674</c:v>
                </c:pt>
                <c:pt idx="845">
                  <c:v>-0.27615663560113979</c:v>
                </c:pt>
                <c:pt idx="846">
                  <c:v>-0.2759625478135953</c:v>
                </c:pt>
                <c:pt idx="847">
                  <c:v>-0.27617631237818163</c:v>
                </c:pt>
                <c:pt idx="848">
                  <c:v>-0.27619434995770409</c:v>
                </c:pt>
                <c:pt idx="849">
                  <c:v>-0.27681013274806321</c:v>
                </c:pt>
                <c:pt idx="850">
                  <c:v>-0.27671742605105198</c:v>
                </c:pt>
                <c:pt idx="851">
                  <c:v>-0.27657033556000266</c:v>
                </c:pt>
                <c:pt idx="852">
                  <c:v>-0.27692610217453206</c:v>
                </c:pt>
                <c:pt idx="853">
                  <c:v>-0.27635832449678388</c:v>
                </c:pt>
                <c:pt idx="854">
                  <c:v>-0.27744679457494315</c:v>
                </c:pt>
                <c:pt idx="855">
                  <c:v>-0.27649462837954664</c:v>
                </c:pt>
                <c:pt idx="856">
                  <c:v>-0.27644704836266554</c:v>
                </c:pt>
                <c:pt idx="857">
                  <c:v>-0.27677897104537241</c:v>
                </c:pt>
                <c:pt idx="858">
                  <c:v>-0.27672257949384249</c:v>
                </c:pt>
                <c:pt idx="859">
                  <c:v>-0.27714961074030675</c:v>
                </c:pt>
                <c:pt idx="860">
                  <c:v>-0.27591078814329584</c:v>
                </c:pt>
                <c:pt idx="861">
                  <c:v>-0.27740921569161259</c:v>
                </c:pt>
                <c:pt idx="862">
                  <c:v>-0.27688327397876067</c:v>
                </c:pt>
                <c:pt idx="863">
                  <c:v>-0.27678465472459202</c:v>
                </c:pt>
                <c:pt idx="864">
                  <c:v>-0.2763284161373889</c:v>
                </c:pt>
                <c:pt idx="865">
                  <c:v>-0.27737640141499031</c:v>
                </c:pt>
                <c:pt idx="866">
                  <c:v>-0.27660495909935512</c:v>
                </c:pt>
                <c:pt idx="867">
                  <c:v>-0.27598797134478936</c:v>
                </c:pt>
                <c:pt idx="868">
                  <c:v>-0.27626228668456521</c:v>
                </c:pt>
                <c:pt idx="869">
                  <c:v>-0.27609850711656059</c:v>
                </c:pt>
                <c:pt idx="870">
                  <c:v>-0.2768225201002511</c:v>
                </c:pt>
                <c:pt idx="871">
                  <c:v>-0.27617060910588431</c:v>
                </c:pt>
                <c:pt idx="872">
                  <c:v>-0.27640813035496381</c:v>
                </c:pt>
                <c:pt idx="873">
                  <c:v>-0.27606778889834149</c:v>
                </c:pt>
                <c:pt idx="874">
                  <c:v>-0.27657339570257466</c:v>
                </c:pt>
                <c:pt idx="875">
                  <c:v>-0.27636605850726581</c:v>
                </c:pt>
                <c:pt idx="876">
                  <c:v>-0.27653435793094594</c:v>
                </c:pt>
                <c:pt idx="877">
                  <c:v>-0.2758177766641331</c:v>
                </c:pt>
                <c:pt idx="878">
                  <c:v>-0.27655390404182945</c:v>
                </c:pt>
                <c:pt idx="879">
                  <c:v>-0.27650045097901643</c:v>
                </c:pt>
                <c:pt idx="880">
                  <c:v>-0.27658858413574783</c:v>
                </c:pt>
                <c:pt idx="881">
                  <c:v>-0.27628104446486612</c:v>
                </c:pt>
                <c:pt idx="882">
                  <c:v>-0.2771541492516959</c:v>
                </c:pt>
                <c:pt idx="883">
                  <c:v>-0.27756183958032155</c:v>
                </c:pt>
                <c:pt idx="884">
                  <c:v>-0.2770296766971625</c:v>
                </c:pt>
                <c:pt idx="885">
                  <c:v>-0.27707744472434115</c:v>
                </c:pt>
                <c:pt idx="886">
                  <c:v>-0.27662830817521744</c:v>
                </c:pt>
                <c:pt idx="887">
                  <c:v>-0.27663340080800858</c:v>
                </c:pt>
                <c:pt idx="888">
                  <c:v>-0.27642522380594858</c:v>
                </c:pt>
                <c:pt idx="889">
                  <c:v>-0.27652167698856933</c:v>
                </c:pt>
                <c:pt idx="890">
                  <c:v>-0.27499663968050758</c:v>
                </c:pt>
                <c:pt idx="891">
                  <c:v>-0.27671003817726803</c:v>
                </c:pt>
                <c:pt idx="892">
                  <c:v>-0.27568741026025989</c:v>
                </c:pt>
                <c:pt idx="893">
                  <c:v>-0.27660045189326032</c:v>
                </c:pt>
                <c:pt idx="894">
                  <c:v>-0.27744370884166092</c:v>
                </c:pt>
                <c:pt idx="895">
                  <c:v>-0.27663660479706376</c:v>
                </c:pt>
                <c:pt idx="896">
                  <c:v>-0.27559108657887255</c:v>
                </c:pt>
                <c:pt idx="897">
                  <c:v>-0.27648182234358731</c:v>
                </c:pt>
                <c:pt idx="898">
                  <c:v>-0.27697667672223059</c:v>
                </c:pt>
                <c:pt idx="899">
                  <c:v>-0.27684020406506138</c:v>
                </c:pt>
                <c:pt idx="900">
                  <c:v>-0.27674323314333382</c:v>
                </c:pt>
                <c:pt idx="901">
                  <c:v>-0.27622572685097702</c:v>
                </c:pt>
                <c:pt idx="902">
                  <c:v>-0.27666483055380997</c:v>
                </c:pt>
                <c:pt idx="903">
                  <c:v>-0.27644021778008376</c:v>
                </c:pt>
                <c:pt idx="904">
                  <c:v>-0.27606824082073189</c:v>
                </c:pt>
                <c:pt idx="905">
                  <c:v>-0.27625749364363028</c:v>
                </c:pt>
                <c:pt idx="906">
                  <c:v>-0.27673256868988827</c:v>
                </c:pt>
                <c:pt idx="907">
                  <c:v>-0.27586417294738474</c:v>
                </c:pt>
                <c:pt idx="908">
                  <c:v>-0.27668779794952503</c:v>
                </c:pt>
                <c:pt idx="909">
                  <c:v>-0.27705579073519571</c:v>
                </c:pt>
                <c:pt idx="910">
                  <c:v>-0.27590792629227034</c:v>
                </c:pt>
                <c:pt idx="911">
                  <c:v>-0.27671161133734246</c:v>
                </c:pt>
                <c:pt idx="912">
                  <c:v>-0.27578045505235305</c:v>
                </c:pt>
                <c:pt idx="913">
                  <c:v>-0.27602632265713889</c:v>
                </c:pt>
                <c:pt idx="914">
                  <c:v>-0.27583713629628359</c:v>
                </c:pt>
                <c:pt idx="915">
                  <c:v>-0.27706086858433521</c:v>
                </c:pt>
                <c:pt idx="916">
                  <c:v>-0.27692370418556345</c:v>
                </c:pt>
                <c:pt idx="917">
                  <c:v>-0.27695899279565128</c:v>
                </c:pt>
                <c:pt idx="918">
                  <c:v>-0.27610419884652015</c:v>
                </c:pt>
                <c:pt idx="919">
                  <c:v>-0.2766204085345314</c:v>
                </c:pt>
                <c:pt idx="920">
                  <c:v>-0.27650278664364147</c:v>
                </c:pt>
                <c:pt idx="921">
                  <c:v>-0.27658372129343656</c:v>
                </c:pt>
                <c:pt idx="922">
                  <c:v>-0.27596375267025719</c:v>
                </c:pt>
                <c:pt idx="923">
                  <c:v>-0.27634143738981387</c:v>
                </c:pt>
                <c:pt idx="924">
                  <c:v>-0.27641154208436225</c:v>
                </c:pt>
                <c:pt idx="925">
                  <c:v>-0.27630602889378941</c:v>
                </c:pt>
                <c:pt idx="926">
                  <c:v>-0.27612338609005893</c:v>
                </c:pt>
                <c:pt idx="927">
                  <c:v>-0.27636281664549467</c:v>
                </c:pt>
                <c:pt idx="928">
                  <c:v>-0.2754476079051239</c:v>
                </c:pt>
                <c:pt idx="929">
                  <c:v>-0.27609421331136819</c:v>
                </c:pt>
                <c:pt idx="930">
                  <c:v>-0.27671687767041864</c:v>
                </c:pt>
                <c:pt idx="931">
                  <c:v>-0.27670447614378024</c:v>
                </c:pt>
                <c:pt idx="932">
                  <c:v>-0.27682939023423603</c:v>
                </c:pt>
                <c:pt idx="933">
                  <c:v>-0.27742714393171408</c:v>
                </c:pt>
                <c:pt idx="934">
                  <c:v>-0.27675746270762946</c:v>
                </c:pt>
                <c:pt idx="935">
                  <c:v>-0.2763042217481384</c:v>
                </c:pt>
                <c:pt idx="936">
                  <c:v>-0.27728940170926775</c:v>
                </c:pt>
                <c:pt idx="937">
                  <c:v>-0.27735466330500047</c:v>
                </c:pt>
                <c:pt idx="938">
                  <c:v>-0.2774571639822313</c:v>
                </c:pt>
                <c:pt idx="939">
                  <c:v>-0.27630792276773841</c:v>
                </c:pt>
                <c:pt idx="940">
                  <c:v>-0.27706541622865766</c:v>
                </c:pt>
                <c:pt idx="941">
                  <c:v>-0.27639463540213527</c:v>
                </c:pt>
                <c:pt idx="942">
                  <c:v>-0.27642271555770459</c:v>
                </c:pt>
                <c:pt idx="943">
                  <c:v>-0.2767877224122065</c:v>
                </c:pt>
                <c:pt idx="944">
                  <c:v>-0.27687841436756766</c:v>
                </c:pt>
                <c:pt idx="945">
                  <c:v>-0.27688960544020014</c:v>
                </c:pt>
                <c:pt idx="946">
                  <c:v>-0.2758695873571575</c:v>
                </c:pt>
                <c:pt idx="947">
                  <c:v>-0.27669683415688573</c:v>
                </c:pt>
                <c:pt idx="948">
                  <c:v>-0.27591934162048282</c:v>
                </c:pt>
                <c:pt idx="949">
                  <c:v>-0.27658755545925884</c:v>
                </c:pt>
                <c:pt idx="950">
                  <c:v>-0.27650910482695557</c:v>
                </c:pt>
                <c:pt idx="951">
                  <c:v>-0.27647465546136973</c:v>
                </c:pt>
                <c:pt idx="952">
                  <c:v>-0.27762974026288134</c:v>
                </c:pt>
                <c:pt idx="953">
                  <c:v>-0.27683391089048182</c:v>
                </c:pt>
                <c:pt idx="954">
                  <c:v>-0.27725419135730289</c:v>
                </c:pt>
                <c:pt idx="955">
                  <c:v>-0.2772066757648769</c:v>
                </c:pt>
                <c:pt idx="956">
                  <c:v>-0.27653597530896534</c:v>
                </c:pt>
                <c:pt idx="957">
                  <c:v>-0.27666655850810329</c:v>
                </c:pt>
                <c:pt idx="958">
                  <c:v>-0.27696900835893357</c:v>
                </c:pt>
                <c:pt idx="959">
                  <c:v>-0.2767094788108575</c:v>
                </c:pt>
                <c:pt idx="960">
                  <c:v>-0.27753360766148882</c:v>
                </c:pt>
                <c:pt idx="961">
                  <c:v>-0.27653896714637183</c:v>
                </c:pt>
                <c:pt idx="962">
                  <c:v>-0.27703482085823472</c:v>
                </c:pt>
                <c:pt idx="963">
                  <c:v>-0.27606118371198318</c:v>
                </c:pt>
                <c:pt idx="964">
                  <c:v>-0.27674460607303408</c:v>
                </c:pt>
                <c:pt idx="965">
                  <c:v>-0.27669499648979601</c:v>
                </c:pt>
                <c:pt idx="966">
                  <c:v>-0.27628141424337294</c:v>
                </c:pt>
                <c:pt idx="967">
                  <c:v>-0.27703512837702404</c:v>
                </c:pt>
                <c:pt idx="968">
                  <c:v>-0.27682397258032831</c:v>
                </c:pt>
                <c:pt idx="969">
                  <c:v>-0.27634753401139811</c:v>
                </c:pt>
                <c:pt idx="970">
                  <c:v>-0.27710278853101478</c:v>
                </c:pt>
                <c:pt idx="971">
                  <c:v>-0.2765748938325685</c:v>
                </c:pt>
                <c:pt idx="972">
                  <c:v>-0.27629287998400254</c:v>
                </c:pt>
                <c:pt idx="973">
                  <c:v>-0.27613397661778272</c:v>
                </c:pt>
                <c:pt idx="974">
                  <c:v>-0.27610643844510963</c:v>
                </c:pt>
                <c:pt idx="975">
                  <c:v>-0.27702665668328508</c:v>
                </c:pt>
                <c:pt idx="976">
                  <c:v>-0.27605855447216032</c:v>
                </c:pt>
                <c:pt idx="977">
                  <c:v>-0.27669600286044904</c:v>
                </c:pt>
                <c:pt idx="978">
                  <c:v>-0.27607201805998371</c:v>
                </c:pt>
                <c:pt idx="979">
                  <c:v>-0.27743018523556118</c:v>
                </c:pt>
                <c:pt idx="980">
                  <c:v>-0.27710537813667302</c:v>
                </c:pt>
                <c:pt idx="981">
                  <c:v>-0.27675097729353759</c:v>
                </c:pt>
                <c:pt idx="982">
                  <c:v>-0.27726334114505025</c:v>
                </c:pt>
                <c:pt idx="983">
                  <c:v>-0.27643435419178142</c:v>
                </c:pt>
                <c:pt idx="984">
                  <c:v>-0.27673494185350023</c:v>
                </c:pt>
                <c:pt idx="985">
                  <c:v>-0.2761670716839032</c:v>
                </c:pt>
                <c:pt idx="986">
                  <c:v>-0.27662711882599089</c:v>
                </c:pt>
                <c:pt idx="987">
                  <c:v>-0.2763314519888237</c:v>
                </c:pt>
                <c:pt idx="988">
                  <c:v>-0.27552746700038022</c:v>
                </c:pt>
                <c:pt idx="989">
                  <c:v>-0.27686991442839892</c:v>
                </c:pt>
                <c:pt idx="990">
                  <c:v>-0.27631101542667391</c:v>
                </c:pt>
                <c:pt idx="991">
                  <c:v>-0.27678995093889047</c:v>
                </c:pt>
                <c:pt idx="992">
                  <c:v>-0.27682475022872532</c:v>
                </c:pt>
                <c:pt idx="993">
                  <c:v>-0.27616007799876485</c:v>
                </c:pt>
                <c:pt idx="994">
                  <c:v>-0.27608075281477817</c:v>
                </c:pt>
                <c:pt idx="995">
                  <c:v>-0.27558620739424622</c:v>
                </c:pt>
                <c:pt idx="996">
                  <c:v>-0.27641153962930842</c:v>
                </c:pt>
                <c:pt idx="997">
                  <c:v>-0.27561978619504279</c:v>
                </c:pt>
                <c:pt idx="998">
                  <c:v>-0.27620199114773269</c:v>
                </c:pt>
                <c:pt idx="999">
                  <c:v>-0.27622773318735006</c:v>
                </c:pt>
              </c:numCache>
            </c:numRef>
          </c:xVal>
          <c:yVal>
            <c:numRef>
              <c:f>PSA_1!$L$40:$L$1039</c:f>
              <c:numCache>
                <c:formatCode>General</c:formatCode>
                <c:ptCount val="1000"/>
                <c:pt idx="0">
                  <c:v>-4872.6431402639264</c:v>
                </c:pt>
                <c:pt idx="1">
                  <c:v>-5024.4393968917284</c:v>
                </c:pt>
                <c:pt idx="2">
                  <c:v>-4682.6809306856903</c:v>
                </c:pt>
                <c:pt idx="3">
                  <c:v>-4191.1689202712314</c:v>
                </c:pt>
                <c:pt idx="4">
                  <c:v>-4485.0477756857345</c:v>
                </c:pt>
                <c:pt idx="5">
                  <c:v>-4390.4022932085845</c:v>
                </c:pt>
                <c:pt idx="6">
                  <c:v>-4527.7455478722295</c:v>
                </c:pt>
                <c:pt idx="7">
                  <c:v>-4575.2408130550702</c:v>
                </c:pt>
                <c:pt idx="8">
                  <c:v>-4972.5776472903617</c:v>
                </c:pt>
                <c:pt idx="9">
                  <c:v>-4835.3584637508538</c:v>
                </c:pt>
                <c:pt idx="10">
                  <c:v>-5079.3444655133299</c:v>
                </c:pt>
                <c:pt idx="11">
                  <c:v>-3288.5544718051869</c:v>
                </c:pt>
                <c:pt idx="12">
                  <c:v>-4231.8299004840792</c:v>
                </c:pt>
                <c:pt idx="13">
                  <c:v>-4325.690370241191</c:v>
                </c:pt>
                <c:pt idx="14">
                  <c:v>-4460.7014234938451</c:v>
                </c:pt>
                <c:pt idx="15">
                  <c:v>-4404.2398705690412</c:v>
                </c:pt>
                <c:pt idx="16">
                  <c:v>-4403.7597902811813</c:v>
                </c:pt>
                <c:pt idx="17">
                  <c:v>-4353.9151658076244</c:v>
                </c:pt>
                <c:pt idx="18">
                  <c:v>-4663.7467150813591</c:v>
                </c:pt>
                <c:pt idx="19">
                  <c:v>-3364.7232617018662</c:v>
                </c:pt>
                <c:pt idx="20">
                  <c:v>-4672.2707477787371</c:v>
                </c:pt>
                <c:pt idx="21">
                  <c:v>-3142.2012842014774</c:v>
                </c:pt>
                <c:pt idx="22">
                  <c:v>-3303.5205959894047</c:v>
                </c:pt>
                <c:pt idx="23">
                  <c:v>-3989.2213150505213</c:v>
                </c:pt>
                <c:pt idx="24">
                  <c:v>-3353.9231248410833</c:v>
                </c:pt>
                <c:pt idx="25">
                  <c:v>-5592.433849369203</c:v>
                </c:pt>
                <c:pt idx="26">
                  <c:v>-4909.2238445046805</c:v>
                </c:pt>
                <c:pt idx="27">
                  <c:v>-4368.2965565870491</c:v>
                </c:pt>
                <c:pt idx="28">
                  <c:v>-4483.7599583651536</c:v>
                </c:pt>
                <c:pt idx="29">
                  <c:v>-4292.6989819206792</c:v>
                </c:pt>
                <c:pt idx="30">
                  <c:v>-4663.2381535502882</c:v>
                </c:pt>
                <c:pt idx="31">
                  <c:v>-4013.3963016345187</c:v>
                </c:pt>
                <c:pt idx="32">
                  <c:v>-4483.0690272626962</c:v>
                </c:pt>
                <c:pt idx="33">
                  <c:v>-4555.1634007052999</c:v>
                </c:pt>
                <c:pt idx="34">
                  <c:v>-4840.5001920805462</c:v>
                </c:pt>
                <c:pt idx="35">
                  <c:v>-5186.9616839565551</c:v>
                </c:pt>
                <c:pt idx="36">
                  <c:v>-4560.1896991701342</c:v>
                </c:pt>
                <c:pt idx="37">
                  <c:v>-4777.5077480156015</c:v>
                </c:pt>
                <c:pt idx="38">
                  <c:v>-4013.4962137638322</c:v>
                </c:pt>
                <c:pt idx="39">
                  <c:v>-4264.1252704922372</c:v>
                </c:pt>
                <c:pt idx="40">
                  <c:v>-4213.5507407947989</c:v>
                </c:pt>
                <c:pt idx="41">
                  <c:v>-4935.2819792301216</c:v>
                </c:pt>
                <c:pt idx="42">
                  <c:v>-3983.3602719982682</c:v>
                </c:pt>
                <c:pt idx="43">
                  <c:v>-4896.2972601196834</c:v>
                </c:pt>
                <c:pt idx="44">
                  <c:v>-3329.5439453304671</c:v>
                </c:pt>
                <c:pt idx="45">
                  <c:v>-5035.4341301186978</c:v>
                </c:pt>
                <c:pt idx="46">
                  <c:v>-4521.5753584486756</c:v>
                </c:pt>
                <c:pt idx="47">
                  <c:v>-4165.8048745789038</c:v>
                </c:pt>
                <c:pt idx="48">
                  <c:v>-3998.6498690638364</c:v>
                </c:pt>
                <c:pt idx="49">
                  <c:v>-3843.3247027181205</c:v>
                </c:pt>
                <c:pt idx="50">
                  <c:v>-4254.9102208336371</c:v>
                </c:pt>
                <c:pt idx="51">
                  <c:v>-5079.6667717416622</c:v>
                </c:pt>
                <c:pt idx="52">
                  <c:v>-4433.133647739176</c:v>
                </c:pt>
                <c:pt idx="53">
                  <c:v>-5680.5770499977189</c:v>
                </c:pt>
                <c:pt idx="54">
                  <c:v>-4609.0903607685941</c:v>
                </c:pt>
                <c:pt idx="55">
                  <c:v>-4437.8829871232883</c:v>
                </c:pt>
                <c:pt idx="56">
                  <c:v>-4903.7700368048991</c:v>
                </c:pt>
                <c:pt idx="57">
                  <c:v>-3664.9882912919238</c:v>
                </c:pt>
                <c:pt idx="58">
                  <c:v>-4572.8978984253536</c:v>
                </c:pt>
                <c:pt idx="59">
                  <c:v>-4665.251712946847</c:v>
                </c:pt>
                <c:pt idx="60">
                  <c:v>-3547.8991185292143</c:v>
                </c:pt>
                <c:pt idx="61">
                  <c:v>-4291.0259753243572</c:v>
                </c:pt>
                <c:pt idx="62">
                  <c:v>-4647.4674815655162</c:v>
                </c:pt>
                <c:pt idx="63">
                  <c:v>-4158.7358463036617</c:v>
                </c:pt>
                <c:pt idx="64">
                  <c:v>-5092.6448019420313</c:v>
                </c:pt>
                <c:pt idx="65">
                  <c:v>-3483.3154346522279</c:v>
                </c:pt>
                <c:pt idx="66">
                  <c:v>-4977.4751254265229</c:v>
                </c:pt>
                <c:pt idx="67">
                  <c:v>-3531.9408811053981</c:v>
                </c:pt>
                <c:pt idx="68">
                  <c:v>-4438.4487983353283</c:v>
                </c:pt>
                <c:pt idx="69">
                  <c:v>-4008.2591264901621</c:v>
                </c:pt>
                <c:pt idx="70">
                  <c:v>-4499.310130196076</c:v>
                </c:pt>
                <c:pt idx="71">
                  <c:v>-3754.2351087324441</c:v>
                </c:pt>
                <c:pt idx="72">
                  <c:v>-4588.5889315744462</c:v>
                </c:pt>
                <c:pt idx="73">
                  <c:v>-5072.6035997154904</c:v>
                </c:pt>
                <c:pt idx="74">
                  <c:v>-4458.5722900628371</c:v>
                </c:pt>
                <c:pt idx="75">
                  <c:v>-4708.1536727868697</c:v>
                </c:pt>
                <c:pt idx="76">
                  <c:v>-4751.5069208218083</c:v>
                </c:pt>
                <c:pt idx="77">
                  <c:v>-4722.1392313552606</c:v>
                </c:pt>
                <c:pt idx="78">
                  <c:v>-4128.1376761084994</c:v>
                </c:pt>
                <c:pt idx="79">
                  <c:v>-4701.3902775908336</c:v>
                </c:pt>
                <c:pt idx="80">
                  <c:v>-4135.1422290865194</c:v>
                </c:pt>
                <c:pt idx="81">
                  <c:v>-4401.0757693718933</c:v>
                </c:pt>
                <c:pt idx="82">
                  <c:v>-4992.2218400365473</c:v>
                </c:pt>
                <c:pt idx="83">
                  <c:v>-4309.9990282772305</c:v>
                </c:pt>
                <c:pt idx="84">
                  <c:v>-4723.8594215094454</c:v>
                </c:pt>
                <c:pt idx="85">
                  <c:v>-4101.014353929766</c:v>
                </c:pt>
                <c:pt idx="86">
                  <c:v>-5010.4469719040098</c:v>
                </c:pt>
                <c:pt idx="87">
                  <c:v>-4370.6395886655664</c:v>
                </c:pt>
                <c:pt idx="88">
                  <c:v>-5183.9543903005833</c:v>
                </c:pt>
                <c:pt idx="89">
                  <c:v>-4637.0017538446009</c:v>
                </c:pt>
                <c:pt idx="90">
                  <c:v>-4139.7622698065115</c:v>
                </c:pt>
                <c:pt idx="91">
                  <c:v>-4092.6512639377688</c:v>
                </c:pt>
                <c:pt idx="92">
                  <c:v>-4030.9764621546383</c:v>
                </c:pt>
                <c:pt idx="93">
                  <c:v>-4561.116441360633</c:v>
                </c:pt>
                <c:pt idx="94">
                  <c:v>-4786.9235059908915</c:v>
                </c:pt>
                <c:pt idx="95">
                  <c:v>-4834.9747318509708</c:v>
                </c:pt>
                <c:pt idx="96">
                  <c:v>-4370.4693943347102</c:v>
                </c:pt>
                <c:pt idx="97">
                  <c:v>-4177.588300051535</c:v>
                </c:pt>
                <c:pt idx="98">
                  <c:v>-3728.6120177680805</c:v>
                </c:pt>
                <c:pt idx="99">
                  <c:v>-5694.352025502516</c:v>
                </c:pt>
                <c:pt idx="100">
                  <c:v>-3977.0061562260453</c:v>
                </c:pt>
                <c:pt idx="101">
                  <c:v>-4299.4043977292913</c:v>
                </c:pt>
                <c:pt idx="102">
                  <c:v>-4357.3301778461137</c:v>
                </c:pt>
                <c:pt idx="103">
                  <c:v>-3740.4201973107884</c:v>
                </c:pt>
                <c:pt idx="104">
                  <c:v>-4580.7092023031255</c:v>
                </c:pt>
                <c:pt idx="105">
                  <c:v>-4168.5393909178074</c:v>
                </c:pt>
                <c:pt idx="106">
                  <c:v>-3529.5854751673669</c:v>
                </c:pt>
                <c:pt idx="107">
                  <c:v>-4516.1632525130808</c:v>
                </c:pt>
                <c:pt idx="108">
                  <c:v>-4199.1116540155053</c:v>
                </c:pt>
                <c:pt idx="109">
                  <c:v>-4238.0924508857479</c:v>
                </c:pt>
                <c:pt idx="110">
                  <c:v>-4334.0902991179355</c:v>
                </c:pt>
                <c:pt idx="111">
                  <c:v>-4618.3021196715326</c:v>
                </c:pt>
                <c:pt idx="112">
                  <c:v>-4724.6567822300458</c:v>
                </c:pt>
                <c:pt idx="113">
                  <c:v>-4269.5302682948986</c:v>
                </c:pt>
                <c:pt idx="114">
                  <c:v>-5398.4663446384038</c:v>
                </c:pt>
                <c:pt idx="115">
                  <c:v>-4293.4398683096824</c:v>
                </c:pt>
                <c:pt idx="116">
                  <c:v>-5267.9981723686269</c:v>
                </c:pt>
                <c:pt idx="117">
                  <c:v>-4423.7458278195481</c:v>
                </c:pt>
                <c:pt idx="118">
                  <c:v>-3595.1725074727128</c:v>
                </c:pt>
                <c:pt idx="119">
                  <c:v>-5647.138881666202</c:v>
                </c:pt>
                <c:pt idx="120">
                  <c:v>-4333.7387257187347</c:v>
                </c:pt>
                <c:pt idx="121">
                  <c:v>-4197.8428641842856</c:v>
                </c:pt>
                <c:pt idx="122">
                  <c:v>-4846.7966440656746</c:v>
                </c:pt>
                <c:pt idx="123">
                  <c:v>-5749.4774123172865</c:v>
                </c:pt>
                <c:pt idx="124">
                  <c:v>-4154.0745896371827</c:v>
                </c:pt>
                <c:pt idx="125">
                  <c:v>-5246.4634031583646</c:v>
                </c:pt>
                <c:pt idx="126">
                  <c:v>-4754.1626330513081</c:v>
                </c:pt>
                <c:pt idx="127">
                  <c:v>-3581.5452277538898</c:v>
                </c:pt>
                <c:pt idx="128">
                  <c:v>-4510.7449930907915</c:v>
                </c:pt>
                <c:pt idx="129">
                  <c:v>-4535.6104317666977</c:v>
                </c:pt>
                <c:pt idx="130">
                  <c:v>-5348.0131263004732</c:v>
                </c:pt>
                <c:pt idx="131">
                  <c:v>-3572.6539334272939</c:v>
                </c:pt>
                <c:pt idx="132">
                  <c:v>-4437.854886704823</c:v>
                </c:pt>
                <c:pt idx="133">
                  <c:v>-4268.3002716834162</c:v>
                </c:pt>
                <c:pt idx="134">
                  <c:v>-4675.9700568903281</c:v>
                </c:pt>
                <c:pt idx="135">
                  <c:v>-4094.7660284718731</c:v>
                </c:pt>
                <c:pt idx="136">
                  <c:v>-3670.1336433688975</c:v>
                </c:pt>
                <c:pt idx="137">
                  <c:v>-4417.9254078223348</c:v>
                </c:pt>
                <c:pt idx="138">
                  <c:v>-4974.693440232928</c:v>
                </c:pt>
                <c:pt idx="139">
                  <c:v>-4398.8177208655907</c:v>
                </c:pt>
                <c:pt idx="140">
                  <c:v>-3570.7671878190304</c:v>
                </c:pt>
                <c:pt idx="141">
                  <c:v>-4581.9612229948725</c:v>
                </c:pt>
                <c:pt idx="142">
                  <c:v>-5312.4199973372961</c:v>
                </c:pt>
                <c:pt idx="143">
                  <c:v>-4776.4231268099975</c:v>
                </c:pt>
                <c:pt idx="144">
                  <c:v>-4845.8154021302125</c:v>
                </c:pt>
                <c:pt idx="145">
                  <c:v>-4079.0270040274991</c:v>
                </c:pt>
                <c:pt idx="146">
                  <c:v>-4334.9262804949485</c:v>
                </c:pt>
                <c:pt idx="147">
                  <c:v>-4686.8485191435502</c:v>
                </c:pt>
                <c:pt idx="148">
                  <c:v>-4336.9147992174876</c:v>
                </c:pt>
                <c:pt idx="149">
                  <c:v>-3911.1555715227132</c:v>
                </c:pt>
                <c:pt idx="150">
                  <c:v>-4431.9585680830733</c:v>
                </c:pt>
                <c:pt idx="151">
                  <c:v>-5304.3265368265238</c:v>
                </c:pt>
                <c:pt idx="152">
                  <c:v>-3533.5880255157344</c:v>
                </c:pt>
                <c:pt idx="153">
                  <c:v>-3785.8519810938215</c:v>
                </c:pt>
                <c:pt idx="154">
                  <c:v>-4706.0443557629715</c:v>
                </c:pt>
                <c:pt idx="155">
                  <c:v>-3548.0854679033082</c:v>
                </c:pt>
                <c:pt idx="156">
                  <c:v>-4161.1377475546687</c:v>
                </c:pt>
                <c:pt idx="157">
                  <c:v>-4737.4594143961986</c:v>
                </c:pt>
                <c:pt idx="158">
                  <c:v>-4757.5384326470194</c:v>
                </c:pt>
                <c:pt idx="159">
                  <c:v>-4274.3956367745504</c:v>
                </c:pt>
                <c:pt idx="160">
                  <c:v>-4984.6312187817693</c:v>
                </c:pt>
                <c:pt idx="161">
                  <c:v>-4222.1039025501323</c:v>
                </c:pt>
                <c:pt idx="162">
                  <c:v>-5314.9397567275482</c:v>
                </c:pt>
                <c:pt idx="163">
                  <c:v>-5344.1096752612284</c:v>
                </c:pt>
                <c:pt idx="164">
                  <c:v>-3748.5432415119776</c:v>
                </c:pt>
                <c:pt idx="165">
                  <c:v>-4314.8360781969241</c:v>
                </c:pt>
                <c:pt idx="166">
                  <c:v>-4180.4620359550554</c:v>
                </c:pt>
                <c:pt idx="167">
                  <c:v>-4125.1276248008762</c:v>
                </c:pt>
                <c:pt idx="168">
                  <c:v>-3661.459439582939</c:v>
                </c:pt>
                <c:pt idx="169">
                  <c:v>-4037.0061578516106</c:v>
                </c:pt>
                <c:pt idx="170">
                  <c:v>-3851.4620057174652</c:v>
                </c:pt>
                <c:pt idx="171">
                  <c:v>-3485.5128277325375</c:v>
                </c:pt>
                <c:pt idx="172">
                  <c:v>-5986.2552114652826</c:v>
                </c:pt>
                <c:pt idx="173">
                  <c:v>-5201.1019975614108</c:v>
                </c:pt>
                <c:pt idx="174">
                  <c:v>-3360.3962616937488</c:v>
                </c:pt>
                <c:pt idx="175">
                  <c:v>-4519.3389094087379</c:v>
                </c:pt>
                <c:pt idx="176">
                  <c:v>-3825.6860802843239</c:v>
                </c:pt>
                <c:pt idx="177">
                  <c:v>-4309.2414846255015</c:v>
                </c:pt>
                <c:pt idx="178">
                  <c:v>-4631.9993704009776</c:v>
                </c:pt>
                <c:pt idx="179">
                  <c:v>-4675.1709836380542</c:v>
                </c:pt>
                <c:pt idx="180">
                  <c:v>-4499.7757866212214</c:v>
                </c:pt>
                <c:pt idx="181">
                  <c:v>-4265.497234545177</c:v>
                </c:pt>
                <c:pt idx="182">
                  <c:v>-4018.1704148890985</c:v>
                </c:pt>
                <c:pt idx="183">
                  <c:v>-4022.2597173270315</c:v>
                </c:pt>
                <c:pt idx="184">
                  <c:v>-4411.5142747838327</c:v>
                </c:pt>
                <c:pt idx="185">
                  <c:v>-4676.879270882142</c:v>
                </c:pt>
                <c:pt idx="186">
                  <c:v>-5049.5049452125277</c:v>
                </c:pt>
                <c:pt idx="187">
                  <c:v>-4464.5388270607</c:v>
                </c:pt>
                <c:pt idx="188">
                  <c:v>-5512.4356761609106</c:v>
                </c:pt>
                <c:pt idx="189">
                  <c:v>-3795.1224030964222</c:v>
                </c:pt>
                <c:pt idx="190">
                  <c:v>-4347.553279106336</c:v>
                </c:pt>
                <c:pt idx="191">
                  <c:v>-4270.7319623774838</c:v>
                </c:pt>
                <c:pt idx="192">
                  <c:v>-4599.807450600656</c:v>
                </c:pt>
                <c:pt idx="193">
                  <c:v>-4897.6762270191994</c:v>
                </c:pt>
                <c:pt idx="194">
                  <c:v>-4228.5149551974009</c:v>
                </c:pt>
                <c:pt idx="195">
                  <c:v>-4334.8900287852939</c:v>
                </c:pt>
                <c:pt idx="196">
                  <c:v>-4459.6311967423881</c:v>
                </c:pt>
                <c:pt idx="197">
                  <c:v>-4146.7607530127189</c:v>
                </c:pt>
                <c:pt idx="198">
                  <c:v>-3706.4760987001246</c:v>
                </c:pt>
                <c:pt idx="199">
                  <c:v>-5269.5480442920652</c:v>
                </c:pt>
                <c:pt idx="200">
                  <c:v>-5213.7675541833269</c:v>
                </c:pt>
                <c:pt idx="201">
                  <c:v>-4039.4551380226076</c:v>
                </c:pt>
                <c:pt idx="202">
                  <c:v>-3877.8866118552633</c:v>
                </c:pt>
                <c:pt idx="203">
                  <c:v>-3588.490406681025</c:v>
                </c:pt>
                <c:pt idx="204">
                  <c:v>-4093.0865706849836</c:v>
                </c:pt>
                <c:pt idx="205">
                  <c:v>-3341.8627936819539</c:v>
                </c:pt>
                <c:pt idx="206">
                  <c:v>-4520.5445971225963</c:v>
                </c:pt>
                <c:pt idx="207">
                  <c:v>-4493.4954161203477</c:v>
                </c:pt>
                <c:pt idx="208">
                  <c:v>-5285.9913288076368</c:v>
                </c:pt>
                <c:pt idx="209">
                  <c:v>-4248.3163682004943</c:v>
                </c:pt>
                <c:pt idx="210">
                  <c:v>-4369.9936863223193</c:v>
                </c:pt>
                <c:pt idx="211">
                  <c:v>-4574.7563942373254</c:v>
                </c:pt>
                <c:pt idx="212">
                  <c:v>-3994.7080630586352</c:v>
                </c:pt>
                <c:pt idx="213">
                  <c:v>-5027.1772102645482</c:v>
                </c:pt>
                <c:pt idx="214">
                  <c:v>-4030.1247593659009</c:v>
                </c:pt>
                <c:pt idx="215">
                  <c:v>-4770.4934810169543</c:v>
                </c:pt>
                <c:pt idx="216">
                  <c:v>-4134.3503131758298</c:v>
                </c:pt>
                <c:pt idx="217">
                  <c:v>-3616.3272230422099</c:v>
                </c:pt>
                <c:pt idx="218">
                  <c:v>-4676.9766747909762</c:v>
                </c:pt>
                <c:pt idx="219">
                  <c:v>-5586.6620343171653</c:v>
                </c:pt>
                <c:pt idx="220">
                  <c:v>-5128.3762973376197</c:v>
                </c:pt>
                <c:pt idx="221">
                  <c:v>-3022.377209639968</c:v>
                </c:pt>
                <c:pt idx="222">
                  <c:v>-3832.9559208894862</c:v>
                </c:pt>
                <c:pt idx="223">
                  <c:v>-4829.9890783034461</c:v>
                </c:pt>
                <c:pt idx="224">
                  <c:v>-4334.428896952104</c:v>
                </c:pt>
                <c:pt idx="225">
                  <c:v>-4746.9146668335416</c:v>
                </c:pt>
                <c:pt idx="226">
                  <c:v>-4214.7618515292343</c:v>
                </c:pt>
                <c:pt idx="227">
                  <c:v>-3978.988171752002</c:v>
                </c:pt>
                <c:pt idx="228">
                  <c:v>-4882.5608870537799</c:v>
                </c:pt>
                <c:pt idx="229">
                  <c:v>-5706.1535251835467</c:v>
                </c:pt>
                <c:pt idx="230">
                  <c:v>-4703.1833393806155</c:v>
                </c:pt>
                <c:pt idx="231">
                  <c:v>-5134.8172820408327</c:v>
                </c:pt>
                <c:pt idx="232">
                  <c:v>-4915.3619782904843</c:v>
                </c:pt>
                <c:pt idx="233">
                  <c:v>-5138.9104360951769</c:v>
                </c:pt>
                <c:pt idx="234">
                  <c:v>-4589.0902988689722</c:v>
                </c:pt>
                <c:pt idx="235">
                  <c:v>-4824.867124550392</c:v>
                </c:pt>
                <c:pt idx="236">
                  <c:v>-4214.2847297561912</c:v>
                </c:pt>
                <c:pt idx="237">
                  <c:v>-3470.9687059409025</c:v>
                </c:pt>
                <c:pt idx="238">
                  <c:v>-4517.0984555407649</c:v>
                </c:pt>
                <c:pt idx="239">
                  <c:v>-4375.8136575026565</c:v>
                </c:pt>
                <c:pt idx="240">
                  <c:v>-4671.7113385331268</c:v>
                </c:pt>
                <c:pt idx="241">
                  <c:v>-4482.2125033394495</c:v>
                </c:pt>
                <c:pt idx="242">
                  <c:v>-4010.3306173898891</c:v>
                </c:pt>
                <c:pt idx="243">
                  <c:v>-3404.9831242340333</c:v>
                </c:pt>
                <c:pt idx="244">
                  <c:v>-4674.7843353558492</c:v>
                </c:pt>
                <c:pt idx="245">
                  <c:v>-4192.8679201613213</c:v>
                </c:pt>
                <c:pt idx="246">
                  <c:v>-4732.7544512395907</c:v>
                </c:pt>
                <c:pt idx="247">
                  <c:v>-5281.5123829587919</c:v>
                </c:pt>
                <c:pt idx="248">
                  <c:v>-3778.3628345924426</c:v>
                </c:pt>
                <c:pt idx="249">
                  <c:v>-4205.106545015271</c:v>
                </c:pt>
                <c:pt idx="250">
                  <c:v>-4681.8178676814623</c:v>
                </c:pt>
                <c:pt idx="251">
                  <c:v>-4397.6305567238614</c:v>
                </c:pt>
                <c:pt idx="252">
                  <c:v>-4246.4808798868962</c:v>
                </c:pt>
                <c:pt idx="253">
                  <c:v>-4240.0449575348102</c:v>
                </c:pt>
                <c:pt idx="254">
                  <c:v>-4107.7997147437818</c:v>
                </c:pt>
                <c:pt idx="255">
                  <c:v>-4064.036449024301</c:v>
                </c:pt>
                <c:pt idx="256">
                  <c:v>-5489.5172283204538</c:v>
                </c:pt>
                <c:pt idx="257">
                  <c:v>-4831.4587015142642</c:v>
                </c:pt>
                <c:pt idx="258">
                  <c:v>-3710.3001886997845</c:v>
                </c:pt>
                <c:pt idx="259">
                  <c:v>-4676.8281177433419</c:v>
                </c:pt>
                <c:pt idx="260">
                  <c:v>-3492.409961262525</c:v>
                </c:pt>
                <c:pt idx="261">
                  <c:v>-3810.6156010659834</c:v>
                </c:pt>
                <c:pt idx="262">
                  <c:v>-4161.0214289745763</c:v>
                </c:pt>
                <c:pt idx="263">
                  <c:v>-5462.3893796862048</c:v>
                </c:pt>
                <c:pt idx="264">
                  <c:v>-4317.4621440235151</c:v>
                </c:pt>
                <c:pt idx="265">
                  <c:v>-5442.2479534509184</c:v>
                </c:pt>
                <c:pt idx="266">
                  <c:v>-4088.1526855379961</c:v>
                </c:pt>
                <c:pt idx="267">
                  <c:v>-3121.9023927566677</c:v>
                </c:pt>
                <c:pt idx="268">
                  <c:v>-4879.5024812252286</c:v>
                </c:pt>
                <c:pt idx="269">
                  <c:v>-5212.1640999354513</c:v>
                </c:pt>
                <c:pt idx="270">
                  <c:v>-4732.4751103965846</c:v>
                </c:pt>
                <c:pt idx="271">
                  <c:v>-3925.7700704414619</c:v>
                </c:pt>
                <c:pt idx="272">
                  <c:v>-3518.1087538853471</c:v>
                </c:pt>
                <c:pt idx="273">
                  <c:v>-4221.2259848037538</c:v>
                </c:pt>
                <c:pt idx="274">
                  <c:v>-3910.8145924028831</c:v>
                </c:pt>
                <c:pt idx="275">
                  <c:v>-4136.0740550491482</c:v>
                </c:pt>
                <c:pt idx="276">
                  <c:v>-4645.422675557722</c:v>
                </c:pt>
                <c:pt idx="277">
                  <c:v>-3661.2015468656864</c:v>
                </c:pt>
                <c:pt idx="278">
                  <c:v>-5335.0979489806105</c:v>
                </c:pt>
                <c:pt idx="279">
                  <c:v>-3400.2062873815012</c:v>
                </c:pt>
                <c:pt idx="280">
                  <c:v>-4734.8757551406761</c:v>
                </c:pt>
                <c:pt idx="281">
                  <c:v>-3993.7517199590857</c:v>
                </c:pt>
                <c:pt idx="282">
                  <c:v>-4682.5636209599797</c:v>
                </c:pt>
                <c:pt idx="283">
                  <c:v>-4164.7864516151258</c:v>
                </c:pt>
                <c:pt idx="284">
                  <c:v>-5354.4319757802259</c:v>
                </c:pt>
                <c:pt idx="285">
                  <c:v>-4178.7936803199173</c:v>
                </c:pt>
                <c:pt idx="286">
                  <c:v>-3906.6423537228784</c:v>
                </c:pt>
                <c:pt idx="287">
                  <c:v>-3627.5950346849368</c:v>
                </c:pt>
                <c:pt idx="288">
                  <c:v>-4214.9335517271229</c:v>
                </c:pt>
                <c:pt idx="289">
                  <c:v>-4254.7782206773263</c:v>
                </c:pt>
                <c:pt idx="290">
                  <c:v>-4622.552971723062</c:v>
                </c:pt>
                <c:pt idx="291">
                  <c:v>-4997.6978134250348</c:v>
                </c:pt>
                <c:pt idx="292">
                  <c:v>-5919.5502033576231</c:v>
                </c:pt>
                <c:pt idx="293">
                  <c:v>-4675.7154094963862</c:v>
                </c:pt>
                <c:pt idx="294">
                  <c:v>-5100.7871727384536</c:v>
                </c:pt>
                <c:pt idx="295">
                  <c:v>-3777.8059775179481</c:v>
                </c:pt>
                <c:pt idx="296">
                  <c:v>-4673.6407399902528</c:v>
                </c:pt>
                <c:pt idx="297">
                  <c:v>-4566.7213361307786</c:v>
                </c:pt>
                <c:pt idx="298">
                  <c:v>-4460.7527471579506</c:v>
                </c:pt>
                <c:pt idx="299">
                  <c:v>-4482.9761147105219</c:v>
                </c:pt>
                <c:pt idx="300">
                  <c:v>-4885.2569530601304</c:v>
                </c:pt>
                <c:pt idx="301">
                  <c:v>-3891.5159929864039</c:v>
                </c:pt>
                <c:pt idx="302">
                  <c:v>-4419.7600528404328</c:v>
                </c:pt>
                <c:pt idx="303">
                  <c:v>-4731.4122065837601</c:v>
                </c:pt>
                <c:pt idx="304">
                  <c:v>-4485.0793947972616</c:v>
                </c:pt>
                <c:pt idx="305">
                  <c:v>-4111.2714923455223</c:v>
                </c:pt>
                <c:pt idx="306">
                  <c:v>-3929.3723075361213</c:v>
                </c:pt>
                <c:pt idx="307">
                  <c:v>-3936.3932953439089</c:v>
                </c:pt>
                <c:pt idx="308">
                  <c:v>-4031.7656616336462</c:v>
                </c:pt>
                <c:pt idx="309">
                  <c:v>-4038.6784780899216</c:v>
                </c:pt>
                <c:pt idx="310">
                  <c:v>-5028.2702148616845</c:v>
                </c:pt>
                <c:pt idx="311">
                  <c:v>-4597.6495901468588</c:v>
                </c:pt>
                <c:pt idx="312">
                  <c:v>-6037.989889364133</c:v>
                </c:pt>
                <c:pt idx="313">
                  <c:v>-4473.8160530166188</c:v>
                </c:pt>
                <c:pt idx="314">
                  <c:v>-4618.5251706882318</c:v>
                </c:pt>
                <c:pt idx="315">
                  <c:v>-3946.5093904479381</c:v>
                </c:pt>
                <c:pt idx="316">
                  <c:v>-4751.0433510683251</c:v>
                </c:pt>
                <c:pt idx="317">
                  <c:v>-4101.9544551469098</c:v>
                </c:pt>
                <c:pt idx="318">
                  <c:v>-3930.3951511170999</c:v>
                </c:pt>
                <c:pt idx="319">
                  <c:v>-4312.9162126135107</c:v>
                </c:pt>
                <c:pt idx="320">
                  <c:v>-4646.5432138390079</c:v>
                </c:pt>
                <c:pt idx="321">
                  <c:v>-4024.3265217703447</c:v>
                </c:pt>
                <c:pt idx="322">
                  <c:v>-3368.8143305870262</c:v>
                </c:pt>
                <c:pt idx="323">
                  <c:v>-3823.7342352175529</c:v>
                </c:pt>
                <c:pt idx="324">
                  <c:v>-4222.4956078954237</c:v>
                </c:pt>
                <c:pt idx="325">
                  <c:v>-4749.8895793651136</c:v>
                </c:pt>
                <c:pt idx="326">
                  <c:v>-4439.8415755384667</c:v>
                </c:pt>
                <c:pt idx="327">
                  <c:v>-4453.7588901384679</c:v>
                </c:pt>
                <c:pt idx="328">
                  <c:v>-4977.6173801713321</c:v>
                </c:pt>
                <c:pt idx="329">
                  <c:v>-4055.711816258603</c:v>
                </c:pt>
                <c:pt idx="330">
                  <c:v>-4109.152438158415</c:v>
                </c:pt>
                <c:pt idx="331">
                  <c:v>-4558.6931236281634</c:v>
                </c:pt>
                <c:pt idx="332">
                  <c:v>-3631.3400110264211</c:v>
                </c:pt>
                <c:pt idx="333">
                  <c:v>-4533.7299041734204</c:v>
                </c:pt>
                <c:pt idx="334">
                  <c:v>-4147.4995020804199</c:v>
                </c:pt>
                <c:pt idx="335">
                  <c:v>-3625.5139391683479</c:v>
                </c:pt>
                <c:pt idx="336">
                  <c:v>-4949.0471881049816</c:v>
                </c:pt>
                <c:pt idx="337">
                  <c:v>-4182.9880785357891</c:v>
                </c:pt>
                <c:pt idx="338">
                  <c:v>-3904.3597650181746</c:v>
                </c:pt>
                <c:pt idx="339">
                  <c:v>-4440.1785951012298</c:v>
                </c:pt>
                <c:pt idx="340">
                  <c:v>-5527.7270909675026</c:v>
                </c:pt>
                <c:pt idx="341">
                  <c:v>-3787.2015514321993</c:v>
                </c:pt>
                <c:pt idx="342">
                  <c:v>-3730.2941389461575</c:v>
                </c:pt>
                <c:pt idx="343">
                  <c:v>-5134.4077336845421</c:v>
                </c:pt>
                <c:pt idx="344">
                  <c:v>-4530.4389373254926</c:v>
                </c:pt>
                <c:pt idx="345">
                  <c:v>-4596.9366259647359</c:v>
                </c:pt>
                <c:pt idx="346">
                  <c:v>-5803.4546669032079</c:v>
                </c:pt>
                <c:pt idx="347">
                  <c:v>-3607.343856153253</c:v>
                </c:pt>
                <c:pt idx="348">
                  <c:v>-4645.0104291525204</c:v>
                </c:pt>
                <c:pt idx="349">
                  <c:v>-4168.8439712568106</c:v>
                </c:pt>
                <c:pt idx="350">
                  <c:v>-4637.3550499779267</c:v>
                </c:pt>
                <c:pt idx="351">
                  <c:v>-4036.3114358085222</c:v>
                </c:pt>
                <c:pt idx="352">
                  <c:v>-3517.1004581159514</c:v>
                </c:pt>
                <c:pt idx="353">
                  <c:v>-5183.6029875160784</c:v>
                </c:pt>
                <c:pt idx="354">
                  <c:v>-4283.845022027399</c:v>
                </c:pt>
                <c:pt idx="355">
                  <c:v>-4134.2854723193941</c:v>
                </c:pt>
                <c:pt idx="356">
                  <c:v>-3654.8521664388281</c:v>
                </c:pt>
                <c:pt idx="357">
                  <c:v>-4148.2412498455469</c:v>
                </c:pt>
                <c:pt idx="358">
                  <c:v>-4773.3319215079191</c:v>
                </c:pt>
                <c:pt idx="359">
                  <c:v>-3977.4916446755342</c:v>
                </c:pt>
                <c:pt idx="360">
                  <c:v>-4466.3749941467067</c:v>
                </c:pt>
                <c:pt idx="361">
                  <c:v>-4013.5376822411472</c:v>
                </c:pt>
                <c:pt idx="362">
                  <c:v>-3991.0448808919773</c:v>
                </c:pt>
                <c:pt idx="363">
                  <c:v>-3648.0879485142759</c:v>
                </c:pt>
                <c:pt idx="364">
                  <c:v>-4492.229864316867</c:v>
                </c:pt>
                <c:pt idx="365">
                  <c:v>-5022.0496275653659</c:v>
                </c:pt>
                <c:pt idx="366">
                  <c:v>-3830.6652853553951</c:v>
                </c:pt>
                <c:pt idx="367">
                  <c:v>-3556.5085862882861</c:v>
                </c:pt>
                <c:pt idx="368">
                  <c:v>-3944.2871283298955</c:v>
                </c:pt>
                <c:pt idx="369">
                  <c:v>-4777.7582094192549</c:v>
                </c:pt>
                <c:pt idx="370">
                  <c:v>-4353.0763603517444</c:v>
                </c:pt>
                <c:pt idx="371">
                  <c:v>-4686.7086247900043</c:v>
                </c:pt>
                <c:pt idx="372">
                  <c:v>-5717.4255426397303</c:v>
                </c:pt>
                <c:pt idx="373">
                  <c:v>-3996.259755039262</c:v>
                </c:pt>
                <c:pt idx="374">
                  <c:v>-5646.2783306678812</c:v>
                </c:pt>
                <c:pt idx="375">
                  <c:v>-4373.9753116806896</c:v>
                </c:pt>
                <c:pt idx="376">
                  <c:v>-5171.8976318920286</c:v>
                </c:pt>
                <c:pt idx="377">
                  <c:v>-4625.0795758032309</c:v>
                </c:pt>
                <c:pt idx="378">
                  <c:v>-4452.4923179178077</c:v>
                </c:pt>
                <c:pt idx="379">
                  <c:v>-4685.7392276020164</c:v>
                </c:pt>
                <c:pt idx="380">
                  <c:v>-4845.3759996030331</c:v>
                </c:pt>
                <c:pt idx="381">
                  <c:v>-4663.3282835235423</c:v>
                </c:pt>
                <c:pt idx="382">
                  <c:v>-4730.1039704058367</c:v>
                </c:pt>
                <c:pt idx="383">
                  <c:v>-5200.0247831953766</c:v>
                </c:pt>
                <c:pt idx="384">
                  <c:v>-3633.0621586889411</c:v>
                </c:pt>
                <c:pt idx="385">
                  <c:v>-4642.1391797469878</c:v>
                </c:pt>
                <c:pt idx="386">
                  <c:v>-3669.8885461970258</c:v>
                </c:pt>
                <c:pt idx="387">
                  <c:v>-4308.7872910457627</c:v>
                </c:pt>
                <c:pt idx="388">
                  <c:v>-4771.4409416424769</c:v>
                </c:pt>
                <c:pt idx="389">
                  <c:v>-4174.4051976728751</c:v>
                </c:pt>
                <c:pt idx="390">
                  <c:v>-5678.6207661642984</c:v>
                </c:pt>
                <c:pt idx="391">
                  <c:v>-4058.9356079158861</c:v>
                </c:pt>
                <c:pt idx="392">
                  <c:v>-4267.2396332938297</c:v>
                </c:pt>
                <c:pt idx="393">
                  <c:v>-4350.4794669417533</c:v>
                </c:pt>
                <c:pt idx="394">
                  <c:v>-3691.1609385859938</c:v>
                </c:pt>
                <c:pt idx="395">
                  <c:v>-4931.372050487591</c:v>
                </c:pt>
                <c:pt idx="396">
                  <c:v>-4979.2131128241617</c:v>
                </c:pt>
                <c:pt idx="397">
                  <c:v>-6160.0667944151919</c:v>
                </c:pt>
                <c:pt idx="398">
                  <c:v>-3810.0184208307546</c:v>
                </c:pt>
                <c:pt idx="399">
                  <c:v>-4628.4697786197867</c:v>
                </c:pt>
                <c:pt idx="400">
                  <c:v>-4694.6630175065729</c:v>
                </c:pt>
                <c:pt idx="401">
                  <c:v>-5115.6621127859089</c:v>
                </c:pt>
                <c:pt idx="402">
                  <c:v>-4982.5107403782131</c:v>
                </c:pt>
                <c:pt idx="403">
                  <c:v>-4952.3153441130598</c:v>
                </c:pt>
                <c:pt idx="404">
                  <c:v>-5424.8703616035036</c:v>
                </c:pt>
                <c:pt idx="405">
                  <c:v>-3962.7872542315017</c:v>
                </c:pt>
                <c:pt idx="406">
                  <c:v>-5049.5907305230794</c:v>
                </c:pt>
                <c:pt idx="407">
                  <c:v>-4729.0936323245605</c:v>
                </c:pt>
                <c:pt idx="408">
                  <c:v>-4037.6556442664751</c:v>
                </c:pt>
                <c:pt idx="409">
                  <c:v>-4019.9738383042895</c:v>
                </c:pt>
                <c:pt idx="410">
                  <c:v>-5155.4247139473919</c:v>
                </c:pt>
                <c:pt idx="411">
                  <c:v>-4976.222394739867</c:v>
                </c:pt>
                <c:pt idx="412">
                  <c:v>-3722.7171606761931</c:v>
                </c:pt>
                <c:pt idx="413">
                  <c:v>-3549.3499837980335</c:v>
                </c:pt>
                <c:pt idx="414">
                  <c:v>-4395.2149646676717</c:v>
                </c:pt>
                <c:pt idx="415">
                  <c:v>-3926.2187052887184</c:v>
                </c:pt>
                <c:pt idx="416">
                  <c:v>-5104.0825140023808</c:v>
                </c:pt>
                <c:pt idx="417">
                  <c:v>-3469.619650265683</c:v>
                </c:pt>
                <c:pt idx="418">
                  <c:v>-3902.0250344020878</c:v>
                </c:pt>
                <c:pt idx="419">
                  <c:v>-4476.0393948372439</c:v>
                </c:pt>
                <c:pt idx="420">
                  <c:v>-4812.4837797909204</c:v>
                </c:pt>
                <c:pt idx="421">
                  <c:v>-5075.5538784332803</c:v>
                </c:pt>
                <c:pt idx="422">
                  <c:v>-4055.2233545870986</c:v>
                </c:pt>
                <c:pt idx="423">
                  <c:v>-3742.4093174386235</c:v>
                </c:pt>
                <c:pt idx="424">
                  <c:v>-4121.6753150911118</c:v>
                </c:pt>
                <c:pt idx="425">
                  <c:v>-3988.4011852163967</c:v>
                </c:pt>
                <c:pt idx="426">
                  <c:v>-4825.1618646364495</c:v>
                </c:pt>
                <c:pt idx="427">
                  <c:v>-5426.7685753870082</c:v>
                </c:pt>
                <c:pt idx="428">
                  <c:v>-3641.2861437348256</c:v>
                </c:pt>
                <c:pt idx="429">
                  <c:v>-4554.2038401069531</c:v>
                </c:pt>
                <c:pt idx="430">
                  <c:v>-4092.4909539837608</c:v>
                </c:pt>
                <c:pt idx="431">
                  <c:v>-5019.036078850173</c:v>
                </c:pt>
                <c:pt idx="432">
                  <c:v>-3708.1818870245061</c:v>
                </c:pt>
                <c:pt idx="433">
                  <c:v>-4556.9380868282333</c:v>
                </c:pt>
                <c:pt idx="434">
                  <c:v>-4334.1783003036217</c:v>
                </c:pt>
                <c:pt idx="435">
                  <c:v>-4315.8774075332713</c:v>
                </c:pt>
                <c:pt idx="436">
                  <c:v>-4865.8304066989804</c:v>
                </c:pt>
                <c:pt idx="437">
                  <c:v>-4864.7877105000589</c:v>
                </c:pt>
                <c:pt idx="438">
                  <c:v>-5458.3556179676089</c:v>
                </c:pt>
                <c:pt idx="439">
                  <c:v>-4315.9064137143432</c:v>
                </c:pt>
                <c:pt idx="440">
                  <c:v>-4133.6442316869543</c:v>
                </c:pt>
                <c:pt idx="441">
                  <c:v>-4068.048167519737</c:v>
                </c:pt>
                <c:pt idx="442">
                  <c:v>-3933.2628343741944</c:v>
                </c:pt>
                <c:pt idx="443">
                  <c:v>-4772.4096232233023</c:v>
                </c:pt>
                <c:pt idx="444">
                  <c:v>-5728.5602425360776</c:v>
                </c:pt>
                <c:pt idx="445">
                  <c:v>-4498.8341662241946</c:v>
                </c:pt>
                <c:pt idx="446">
                  <c:v>-3831.7933499774681</c:v>
                </c:pt>
                <c:pt idx="447">
                  <c:v>-4928.0352389147502</c:v>
                </c:pt>
                <c:pt idx="448">
                  <c:v>-5151.4215793322364</c:v>
                </c:pt>
                <c:pt idx="449">
                  <c:v>-4759.363512056816</c:v>
                </c:pt>
                <c:pt idx="450">
                  <c:v>-4249.5519111880276</c:v>
                </c:pt>
                <c:pt idx="451">
                  <c:v>-4352.8863495903079</c:v>
                </c:pt>
                <c:pt idx="452">
                  <c:v>-4399.4081609883888</c:v>
                </c:pt>
                <c:pt idx="453">
                  <c:v>-4838.6957257743416</c:v>
                </c:pt>
                <c:pt idx="454">
                  <c:v>-4685.8250767125828</c:v>
                </c:pt>
                <c:pt idx="455">
                  <c:v>-4612.4849124302455</c:v>
                </c:pt>
                <c:pt idx="456">
                  <c:v>-4811.0092100837373</c:v>
                </c:pt>
                <c:pt idx="457">
                  <c:v>-5160.5222678851569</c:v>
                </c:pt>
                <c:pt idx="458">
                  <c:v>-4036.6845691523577</c:v>
                </c:pt>
                <c:pt idx="459">
                  <c:v>-4112.7985932945376</c:v>
                </c:pt>
                <c:pt idx="460">
                  <c:v>-4619.7168786639177</c:v>
                </c:pt>
                <c:pt idx="461">
                  <c:v>-4724.9034963037993</c:v>
                </c:pt>
                <c:pt idx="462">
                  <c:v>-3923.5116266730547</c:v>
                </c:pt>
                <c:pt idx="463">
                  <c:v>-4674.3597302629605</c:v>
                </c:pt>
                <c:pt idx="464">
                  <c:v>-3305.2698158721068</c:v>
                </c:pt>
                <c:pt idx="465">
                  <c:v>-3904.746262190316</c:v>
                </c:pt>
                <c:pt idx="466">
                  <c:v>-4326.9992813964745</c:v>
                </c:pt>
                <c:pt idx="467">
                  <c:v>-4245.6354322790376</c:v>
                </c:pt>
                <c:pt idx="468">
                  <c:v>-4188.0918637885497</c:v>
                </c:pt>
                <c:pt idx="469">
                  <c:v>-5402.2392601037045</c:v>
                </c:pt>
                <c:pt idx="470">
                  <c:v>-3679.4474186525858</c:v>
                </c:pt>
                <c:pt idx="471">
                  <c:v>-4169.0376832446673</c:v>
                </c:pt>
                <c:pt idx="472">
                  <c:v>-3877.4049526220078</c:v>
                </c:pt>
                <c:pt idx="473">
                  <c:v>-3906.3435767591836</c:v>
                </c:pt>
                <c:pt idx="474">
                  <c:v>-5292.1776715467713</c:v>
                </c:pt>
                <c:pt idx="475">
                  <c:v>-3906.3803090662332</c:v>
                </c:pt>
                <c:pt idx="476">
                  <c:v>-4436.8713390761041</c:v>
                </c:pt>
                <c:pt idx="477">
                  <c:v>-4622.2923030580023</c:v>
                </c:pt>
                <c:pt idx="478">
                  <c:v>-4036.7557877483723</c:v>
                </c:pt>
                <c:pt idx="479">
                  <c:v>-3895.4916971275652</c:v>
                </c:pt>
                <c:pt idx="480">
                  <c:v>-5081.557163221225</c:v>
                </c:pt>
                <c:pt idx="481">
                  <c:v>-4335.3244608395944</c:v>
                </c:pt>
                <c:pt idx="482">
                  <c:v>-4446.346462458725</c:v>
                </c:pt>
                <c:pt idx="483">
                  <c:v>-4283.4864758194344</c:v>
                </c:pt>
                <c:pt idx="484">
                  <c:v>-4357.1976064311621</c:v>
                </c:pt>
                <c:pt idx="485">
                  <c:v>-4634.0432023398189</c:v>
                </c:pt>
                <c:pt idx="486">
                  <c:v>-4056.2960016946781</c:v>
                </c:pt>
                <c:pt idx="487">
                  <c:v>-3750.1259132369632</c:v>
                </c:pt>
                <c:pt idx="488">
                  <c:v>-3528.6627509506825</c:v>
                </c:pt>
                <c:pt idx="489">
                  <c:v>-3996.5630615394712</c:v>
                </c:pt>
                <c:pt idx="490">
                  <c:v>-4093.2798247706451</c:v>
                </c:pt>
                <c:pt idx="491">
                  <c:v>-5045.4731974184087</c:v>
                </c:pt>
                <c:pt idx="492">
                  <c:v>-5211.6868827598573</c:v>
                </c:pt>
                <c:pt idx="493">
                  <c:v>-4184.3354628984926</c:v>
                </c:pt>
                <c:pt idx="494">
                  <c:v>-4688.1049416201022</c:v>
                </c:pt>
                <c:pt idx="495">
                  <c:v>-4775.2453345907943</c:v>
                </c:pt>
                <c:pt idx="496">
                  <c:v>-5234.748185406108</c:v>
                </c:pt>
                <c:pt idx="497">
                  <c:v>-5054.0976728146961</c:v>
                </c:pt>
                <c:pt idx="498">
                  <c:v>-4191.5701277296557</c:v>
                </c:pt>
                <c:pt idx="499">
                  <c:v>-5643.5562151933973</c:v>
                </c:pt>
                <c:pt idx="500">
                  <c:v>-5638.2428862438101</c:v>
                </c:pt>
                <c:pt idx="501">
                  <c:v>-3681.9876237795324</c:v>
                </c:pt>
                <c:pt idx="502">
                  <c:v>-4177.52248976997</c:v>
                </c:pt>
                <c:pt idx="503">
                  <c:v>-4143.32201112652</c:v>
                </c:pt>
                <c:pt idx="504">
                  <c:v>-4135.6571884208279</c:v>
                </c:pt>
                <c:pt idx="505">
                  <c:v>-4698.3542701643837</c:v>
                </c:pt>
                <c:pt idx="506">
                  <c:v>-5087.5431184199078</c:v>
                </c:pt>
                <c:pt idx="507">
                  <c:v>-3933.6643058286645</c:v>
                </c:pt>
                <c:pt idx="508">
                  <c:v>-4001.0952144066341</c:v>
                </c:pt>
                <c:pt idx="509">
                  <c:v>-5162.6328551261977</c:v>
                </c:pt>
                <c:pt idx="510">
                  <c:v>-4870.602148308355</c:v>
                </c:pt>
                <c:pt idx="511">
                  <c:v>-3721.4920494678954</c:v>
                </c:pt>
                <c:pt idx="512">
                  <c:v>-3817.8083472417202</c:v>
                </c:pt>
                <c:pt idx="513">
                  <c:v>-4505.6935893410664</c:v>
                </c:pt>
                <c:pt idx="514">
                  <c:v>-4481.4011587305431</c:v>
                </c:pt>
                <c:pt idx="515">
                  <c:v>-5183.1388770316571</c:v>
                </c:pt>
                <c:pt idx="516">
                  <c:v>-4279.1810719146088</c:v>
                </c:pt>
                <c:pt idx="517">
                  <c:v>-4923.6016156029054</c:v>
                </c:pt>
                <c:pt idx="518">
                  <c:v>-3810.4207782727062</c:v>
                </c:pt>
                <c:pt idx="519">
                  <c:v>-4149.7398168189975</c:v>
                </c:pt>
                <c:pt idx="520">
                  <c:v>-4135.1108354008065</c:v>
                </c:pt>
                <c:pt idx="521">
                  <c:v>-4569.8137744838132</c:v>
                </c:pt>
                <c:pt idx="522">
                  <c:v>-5308.4174325228742</c:v>
                </c:pt>
                <c:pt idx="523">
                  <c:v>-4012.4630285682433</c:v>
                </c:pt>
                <c:pt idx="524">
                  <c:v>-4395.9543922145967</c:v>
                </c:pt>
                <c:pt idx="525">
                  <c:v>-4695.1498503858857</c:v>
                </c:pt>
                <c:pt idx="526">
                  <c:v>-4626.1678982129833</c:v>
                </c:pt>
                <c:pt idx="527">
                  <c:v>-4890.9156628546898</c:v>
                </c:pt>
                <c:pt idx="528">
                  <c:v>-5102.0949512771494</c:v>
                </c:pt>
                <c:pt idx="529">
                  <c:v>-4508.8851689089279</c:v>
                </c:pt>
                <c:pt idx="530">
                  <c:v>-3597.2129303795155</c:v>
                </c:pt>
                <c:pt idx="531">
                  <c:v>-5021.3367331772552</c:v>
                </c:pt>
                <c:pt idx="532">
                  <c:v>-4650.8563986596728</c:v>
                </c:pt>
                <c:pt idx="533">
                  <c:v>-3335.0299155065823</c:v>
                </c:pt>
                <c:pt idx="534">
                  <c:v>-4317.0326530088732</c:v>
                </c:pt>
                <c:pt idx="535">
                  <c:v>-4550.3830312439004</c:v>
                </c:pt>
                <c:pt idx="536">
                  <c:v>-3699.0565338824454</c:v>
                </c:pt>
                <c:pt idx="537">
                  <c:v>-5344.7350632080561</c:v>
                </c:pt>
                <c:pt idx="538">
                  <c:v>-4393.0366217775372</c:v>
                </c:pt>
                <c:pt idx="539">
                  <c:v>-5491.7175327575496</c:v>
                </c:pt>
                <c:pt idx="540">
                  <c:v>-5314.1516549146072</c:v>
                </c:pt>
                <c:pt idx="541">
                  <c:v>-4747.7968941953823</c:v>
                </c:pt>
                <c:pt idx="542">
                  <c:v>-5681.6496600155697</c:v>
                </c:pt>
                <c:pt idx="543">
                  <c:v>-3826.0323510647922</c:v>
                </c:pt>
                <c:pt idx="544">
                  <c:v>-5015.0833938512278</c:v>
                </c:pt>
                <c:pt idx="545">
                  <c:v>-4614.0685220477317</c:v>
                </c:pt>
                <c:pt idx="546">
                  <c:v>-4818.3772398778638</c:v>
                </c:pt>
                <c:pt idx="547">
                  <c:v>-4086.6995275588688</c:v>
                </c:pt>
                <c:pt idx="548">
                  <c:v>-4494.3452598975582</c:v>
                </c:pt>
                <c:pt idx="549">
                  <c:v>-4335.6374631493363</c:v>
                </c:pt>
                <c:pt idx="550">
                  <c:v>-5544.5408406928291</c:v>
                </c:pt>
                <c:pt idx="551">
                  <c:v>-5351.131161782374</c:v>
                </c:pt>
                <c:pt idx="552">
                  <c:v>-3214.9837096905085</c:v>
                </c:pt>
                <c:pt idx="553">
                  <c:v>-3906.6100621059013</c:v>
                </c:pt>
                <c:pt idx="554">
                  <c:v>-4734.9952783427871</c:v>
                </c:pt>
                <c:pt idx="555">
                  <c:v>-4254.2290142610163</c:v>
                </c:pt>
                <c:pt idx="556">
                  <c:v>-3971.5916064145422</c:v>
                </c:pt>
                <c:pt idx="557">
                  <c:v>-4706.4221273241874</c:v>
                </c:pt>
                <c:pt idx="558">
                  <c:v>-4674.4877733166923</c:v>
                </c:pt>
                <c:pt idx="559">
                  <c:v>-4400.0714884946174</c:v>
                </c:pt>
                <c:pt idx="560">
                  <c:v>-4357.7257813287415</c:v>
                </c:pt>
                <c:pt idx="561">
                  <c:v>-5266.3231150975735</c:v>
                </c:pt>
                <c:pt idx="562">
                  <c:v>-3609.6280395893609</c:v>
                </c:pt>
                <c:pt idx="563">
                  <c:v>-3776.7145145931554</c:v>
                </c:pt>
                <c:pt idx="564">
                  <c:v>-4509.7160547601343</c:v>
                </c:pt>
                <c:pt idx="565">
                  <c:v>-3684.4149558130921</c:v>
                </c:pt>
                <c:pt idx="566">
                  <c:v>-3934.4411034868117</c:v>
                </c:pt>
                <c:pt idx="567">
                  <c:v>-4605.6513688538726</c:v>
                </c:pt>
                <c:pt idx="568">
                  <c:v>-5360.806901473763</c:v>
                </c:pt>
                <c:pt idx="569">
                  <c:v>-4118.2886138693939</c:v>
                </c:pt>
                <c:pt idx="570">
                  <c:v>-5326.1586719277529</c:v>
                </c:pt>
                <c:pt idx="571">
                  <c:v>-5276.9720688575817</c:v>
                </c:pt>
                <c:pt idx="572">
                  <c:v>-5623.7337879187853</c:v>
                </c:pt>
                <c:pt idx="573">
                  <c:v>-4630.1790181277138</c:v>
                </c:pt>
                <c:pt idx="574">
                  <c:v>-4219.3303461182823</c:v>
                </c:pt>
                <c:pt idx="575">
                  <c:v>-4707.7912763821059</c:v>
                </c:pt>
                <c:pt idx="576">
                  <c:v>-4584.6451263302461</c:v>
                </c:pt>
                <c:pt idx="577">
                  <c:v>-3677.0737896708433</c:v>
                </c:pt>
                <c:pt idx="578">
                  <c:v>-3570.7844682090335</c:v>
                </c:pt>
                <c:pt idx="579">
                  <c:v>-4943.0431362295258</c:v>
                </c:pt>
                <c:pt idx="580">
                  <c:v>-4598.3620225047616</c:v>
                </c:pt>
                <c:pt idx="581">
                  <c:v>-5015.2321772201049</c:v>
                </c:pt>
                <c:pt idx="582">
                  <c:v>-3867.4921327708507</c:v>
                </c:pt>
                <c:pt idx="583">
                  <c:v>-5059.252711783578</c:v>
                </c:pt>
                <c:pt idx="584">
                  <c:v>-4090.615562435516</c:v>
                </c:pt>
                <c:pt idx="585">
                  <c:v>-3934.9722824222026</c:v>
                </c:pt>
                <c:pt idx="586">
                  <c:v>-4802.0537478379647</c:v>
                </c:pt>
                <c:pt idx="587">
                  <c:v>-4188.1352432302647</c:v>
                </c:pt>
                <c:pt idx="588">
                  <c:v>-4011.0936435749518</c:v>
                </c:pt>
                <c:pt idx="589">
                  <c:v>-4951.6766824486185</c:v>
                </c:pt>
                <c:pt idx="590">
                  <c:v>-5606.6723049056855</c:v>
                </c:pt>
                <c:pt idx="591">
                  <c:v>-4633.7692707420701</c:v>
                </c:pt>
                <c:pt idx="592">
                  <c:v>-3937.0799675743383</c:v>
                </c:pt>
                <c:pt idx="593">
                  <c:v>-3896.1662143735739</c:v>
                </c:pt>
                <c:pt idx="594">
                  <c:v>-4296.0586175935514</c:v>
                </c:pt>
                <c:pt idx="595">
                  <c:v>-4603.4971276105443</c:v>
                </c:pt>
                <c:pt idx="596">
                  <c:v>-4223.540419221461</c:v>
                </c:pt>
                <c:pt idx="597">
                  <c:v>-4377.2015182865962</c:v>
                </c:pt>
                <c:pt idx="598">
                  <c:v>-3961.5331434637719</c:v>
                </c:pt>
                <c:pt idx="599">
                  <c:v>-5377.8826334768419</c:v>
                </c:pt>
                <c:pt idx="600">
                  <c:v>-3847.0384870584949</c:v>
                </c:pt>
                <c:pt idx="601">
                  <c:v>-3315.1704207661642</c:v>
                </c:pt>
                <c:pt idx="602">
                  <c:v>-4484.2933465703754</c:v>
                </c:pt>
                <c:pt idx="603">
                  <c:v>-3565.4487382572188</c:v>
                </c:pt>
                <c:pt idx="604">
                  <c:v>-4035.1836900473281</c:v>
                </c:pt>
                <c:pt idx="605">
                  <c:v>-4592.3684006440308</c:v>
                </c:pt>
                <c:pt idx="606">
                  <c:v>-4164.0219102975243</c:v>
                </c:pt>
                <c:pt idx="607">
                  <c:v>-4939.1860453314912</c:v>
                </c:pt>
                <c:pt idx="608">
                  <c:v>-5414.9551245872262</c:v>
                </c:pt>
                <c:pt idx="609">
                  <c:v>-4992.055975593832</c:v>
                </c:pt>
                <c:pt idx="610">
                  <c:v>-4750.1329360012951</c:v>
                </c:pt>
                <c:pt idx="611">
                  <c:v>-4020.3515445075755</c:v>
                </c:pt>
                <c:pt idx="612">
                  <c:v>-4223.3867335774339</c:v>
                </c:pt>
                <c:pt idx="613">
                  <c:v>-3943.588219108522</c:v>
                </c:pt>
                <c:pt idx="614">
                  <c:v>-3210.7114151746027</c:v>
                </c:pt>
                <c:pt idx="615">
                  <c:v>-4684.1331970586052</c:v>
                </c:pt>
                <c:pt idx="616">
                  <c:v>-4287.9935798182651</c:v>
                </c:pt>
                <c:pt idx="617">
                  <c:v>-4182.742779266473</c:v>
                </c:pt>
                <c:pt idx="618">
                  <c:v>-4459.7066865034303</c:v>
                </c:pt>
                <c:pt idx="619">
                  <c:v>-4210.2024887878451</c:v>
                </c:pt>
                <c:pt idx="620">
                  <c:v>-3951.1492259666538</c:v>
                </c:pt>
                <c:pt idx="621">
                  <c:v>-4724.2529316305699</c:v>
                </c:pt>
                <c:pt idx="622">
                  <c:v>-5128.5498024942008</c:v>
                </c:pt>
                <c:pt idx="623">
                  <c:v>-4008.23883017558</c:v>
                </c:pt>
                <c:pt idx="624">
                  <c:v>-4125.1141149733648</c:v>
                </c:pt>
                <c:pt idx="625">
                  <c:v>-4369.4176527577092</c:v>
                </c:pt>
                <c:pt idx="626">
                  <c:v>-4359.4289101940976</c:v>
                </c:pt>
                <c:pt idx="627">
                  <c:v>-4399.2747006747577</c:v>
                </c:pt>
                <c:pt idx="628">
                  <c:v>-4292.9051517001171</c:v>
                </c:pt>
                <c:pt idx="629">
                  <c:v>-4588.427752226713</c:v>
                </c:pt>
                <c:pt idx="630">
                  <c:v>-4938.3389816181443</c:v>
                </c:pt>
                <c:pt idx="631">
                  <c:v>-5314.7640572155487</c:v>
                </c:pt>
                <c:pt idx="632">
                  <c:v>-3432.2801855515054</c:v>
                </c:pt>
                <c:pt idx="633">
                  <c:v>-4399.3973511741478</c:v>
                </c:pt>
                <c:pt idx="634">
                  <c:v>-4647.2465201878731</c:v>
                </c:pt>
                <c:pt idx="635">
                  <c:v>-3780.9210670979173</c:v>
                </c:pt>
                <c:pt idx="636">
                  <c:v>-4339.8280091336219</c:v>
                </c:pt>
                <c:pt idx="637">
                  <c:v>-4514.7533824070852</c:v>
                </c:pt>
                <c:pt idx="638">
                  <c:v>-4117.4474559465998</c:v>
                </c:pt>
                <c:pt idx="639">
                  <c:v>-4895.6601249228879</c:v>
                </c:pt>
                <c:pt idx="640">
                  <c:v>-4475.8874625615645</c:v>
                </c:pt>
                <c:pt idx="641">
                  <c:v>-4192.527504719339</c:v>
                </c:pt>
                <c:pt idx="642">
                  <c:v>-4454.7201509228034</c:v>
                </c:pt>
                <c:pt idx="643">
                  <c:v>-3743.4057196329195</c:v>
                </c:pt>
                <c:pt idx="644">
                  <c:v>-5156.2514382216868</c:v>
                </c:pt>
                <c:pt idx="645">
                  <c:v>-4562.7009851644762</c:v>
                </c:pt>
                <c:pt idx="646">
                  <c:v>-4407.1547688515129</c:v>
                </c:pt>
                <c:pt idx="647">
                  <c:v>-4496.9651836981375</c:v>
                </c:pt>
                <c:pt idx="648">
                  <c:v>-3663.7663213022443</c:v>
                </c:pt>
                <c:pt idx="649">
                  <c:v>-3652.8871908018064</c:v>
                </c:pt>
                <c:pt idx="650">
                  <c:v>-4642.1686357503786</c:v>
                </c:pt>
                <c:pt idx="651">
                  <c:v>-4313.64001368354</c:v>
                </c:pt>
                <c:pt idx="652">
                  <c:v>-4192.9501278146527</c:v>
                </c:pt>
                <c:pt idx="653">
                  <c:v>-5031.3667629885695</c:v>
                </c:pt>
                <c:pt idx="654">
                  <c:v>-3616.0648085612393</c:v>
                </c:pt>
                <c:pt idx="655">
                  <c:v>-3646.8604750167615</c:v>
                </c:pt>
                <c:pt idx="656">
                  <c:v>-3697.8613342354274</c:v>
                </c:pt>
                <c:pt idx="657">
                  <c:v>-4869.0079315379426</c:v>
                </c:pt>
                <c:pt idx="658">
                  <c:v>-4785.4873159671024</c:v>
                </c:pt>
                <c:pt idx="659">
                  <c:v>-4088.5516903873795</c:v>
                </c:pt>
                <c:pt idx="660">
                  <c:v>-5541.5424051687933</c:v>
                </c:pt>
                <c:pt idx="661">
                  <c:v>-3787.7187720561287</c:v>
                </c:pt>
                <c:pt idx="662">
                  <c:v>-4111.8878818685025</c:v>
                </c:pt>
                <c:pt idx="663">
                  <c:v>-4086.0636449769518</c:v>
                </c:pt>
                <c:pt idx="664">
                  <c:v>-4977.612653509419</c:v>
                </c:pt>
                <c:pt idx="665">
                  <c:v>-3510.5496845671887</c:v>
                </c:pt>
                <c:pt idx="666">
                  <c:v>-4348.7114622863537</c:v>
                </c:pt>
                <c:pt idx="667">
                  <c:v>-3509.9447181862606</c:v>
                </c:pt>
                <c:pt idx="668">
                  <c:v>-4072.1905953967835</c:v>
                </c:pt>
                <c:pt idx="669">
                  <c:v>-4244.4632903719939</c:v>
                </c:pt>
                <c:pt idx="670">
                  <c:v>-3708.4988690311347</c:v>
                </c:pt>
                <c:pt idx="671">
                  <c:v>-5069.2162112366368</c:v>
                </c:pt>
                <c:pt idx="672">
                  <c:v>-5947.7502528428395</c:v>
                </c:pt>
                <c:pt idx="673">
                  <c:v>-5776.6467767239956</c:v>
                </c:pt>
                <c:pt idx="674">
                  <c:v>-4643.7322445295795</c:v>
                </c:pt>
                <c:pt idx="675">
                  <c:v>-4240.0687381303032</c:v>
                </c:pt>
                <c:pt idx="676">
                  <c:v>-4916.0083824756257</c:v>
                </c:pt>
                <c:pt idx="677">
                  <c:v>-4031.6306419771481</c:v>
                </c:pt>
                <c:pt idx="678">
                  <c:v>-4833.1128480185107</c:v>
                </c:pt>
                <c:pt idx="679">
                  <c:v>-4637.2950335945116</c:v>
                </c:pt>
                <c:pt idx="680">
                  <c:v>-4458.5986566779156</c:v>
                </c:pt>
                <c:pt idx="681">
                  <c:v>-6567.5060494691588</c:v>
                </c:pt>
                <c:pt idx="682">
                  <c:v>-3893.0617317646029</c:v>
                </c:pt>
                <c:pt idx="683">
                  <c:v>-4847.1099849342881</c:v>
                </c:pt>
                <c:pt idx="684">
                  <c:v>-5319.4038682080136</c:v>
                </c:pt>
                <c:pt idx="685">
                  <c:v>-4348.3156402331897</c:v>
                </c:pt>
                <c:pt idx="686">
                  <c:v>-4676.7201308273288</c:v>
                </c:pt>
                <c:pt idx="687">
                  <c:v>-4513.3045418385645</c:v>
                </c:pt>
                <c:pt idx="688">
                  <c:v>-5303.9459134002318</c:v>
                </c:pt>
                <c:pt idx="689">
                  <c:v>-5431.897795207653</c:v>
                </c:pt>
                <c:pt idx="690">
                  <c:v>-4823.4789221576848</c:v>
                </c:pt>
                <c:pt idx="691">
                  <c:v>-3854.2462622678377</c:v>
                </c:pt>
                <c:pt idx="692">
                  <c:v>-4573.5238481605866</c:v>
                </c:pt>
                <c:pt idx="693">
                  <c:v>-4026.452473108413</c:v>
                </c:pt>
                <c:pt idx="694">
                  <c:v>-4491.0818511782945</c:v>
                </c:pt>
                <c:pt idx="695">
                  <c:v>-5048.0416962326708</c:v>
                </c:pt>
                <c:pt idx="696">
                  <c:v>-4151.6268211819279</c:v>
                </c:pt>
                <c:pt idx="697">
                  <c:v>-4791.2316007026911</c:v>
                </c:pt>
                <c:pt idx="698">
                  <c:v>-3854.5090746214137</c:v>
                </c:pt>
                <c:pt idx="699">
                  <c:v>-4198.1799943389942</c:v>
                </c:pt>
                <c:pt idx="700">
                  <c:v>-5127.4026381014337</c:v>
                </c:pt>
                <c:pt idx="701">
                  <c:v>-4074.30732880904</c:v>
                </c:pt>
                <c:pt idx="702">
                  <c:v>-3683.8768203389645</c:v>
                </c:pt>
                <c:pt idx="703">
                  <c:v>-4399.3253606188464</c:v>
                </c:pt>
                <c:pt idx="704">
                  <c:v>-5561.8796573348918</c:v>
                </c:pt>
                <c:pt idx="705">
                  <c:v>-4405.4307965644002</c:v>
                </c:pt>
                <c:pt idx="706">
                  <c:v>-4186.1729954615366</c:v>
                </c:pt>
                <c:pt idx="707">
                  <c:v>-4533.4890693396501</c:v>
                </c:pt>
                <c:pt idx="708">
                  <c:v>-4798.4616428524951</c:v>
                </c:pt>
                <c:pt idx="709">
                  <c:v>-3847.1323992085418</c:v>
                </c:pt>
                <c:pt idx="710">
                  <c:v>-4124.6282997759827</c:v>
                </c:pt>
                <c:pt idx="711">
                  <c:v>-5253.9653431340284</c:v>
                </c:pt>
                <c:pt idx="712">
                  <c:v>-3728.4772996299653</c:v>
                </c:pt>
                <c:pt idx="713">
                  <c:v>-5336.6377704033312</c:v>
                </c:pt>
                <c:pt idx="714">
                  <c:v>-4231.5049577115933</c:v>
                </c:pt>
                <c:pt idx="715">
                  <c:v>-4069.9672181976384</c:v>
                </c:pt>
                <c:pt idx="716">
                  <c:v>-4208.776097549342</c:v>
                </c:pt>
                <c:pt idx="717">
                  <c:v>-3717.6013845546004</c:v>
                </c:pt>
                <c:pt idx="718">
                  <c:v>-4864.1774965600544</c:v>
                </c:pt>
                <c:pt idx="719">
                  <c:v>-4065.6767659904181</c:v>
                </c:pt>
                <c:pt idx="720">
                  <c:v>-3511.7850867672705</c:v>
                </c:pt>
                <c:pt idx="721">
                  <c:v>-4742.7056017239211</c:v>
                </c:pt>
                <c:pt idx="722">
                  <c:v>-4249.8687759091063</c:v>
                </c:pt>
                <c:pt idx="723">
                  <c:v>-4652.3251775213084</c:v>
                </c:pt>
                <c:pt idx="724">
                  <c:v>-5283.9516709732488</c:v>
                </c:pt>
                <c:pt idx="725">
                  <c:v>-5002.1946111530015</c:v>
                </c:pt>
                <c:pt idx="726">
                  <c:v>-4447.4115815004425</c:v>
                </c:pt>
                <c:pt idx="727">
                  <c:v>-4735.5716373700016</c:v>
                </c:pt>
                <c:pt idx="728">
                  <c:v>-3737.0485615686921</c:v>
                </c:pt>
                <c:pt idx="729">
                  <c:v>-4135.1227223584574</c:v>
                </c:pt>
                <c:pt idx="730">
                  <c:v>-5202.6215096514679</c:v>
                </c:pt>
                <c:pt idx="731">
                  <c:v>-3864.0509564574004</c:v>
                </c:pt>
                <c:pt idx="732">
                  <c:v>-4699.8390033664346</c:v>
                </c:pt>
                <c:pt idx="733">
                  <c:v>-5096.7604023313907</c:v>
                </c:pt>
                <c:pt idx="734">
                  <c:v>-4111.5530096902603</c:v>
                </c:pt>
                <c:pt idx="735">
                  <c:v>-5859.2795605465726</c:v>
                </c:pt>
                <c:pt idx="736">
                  <c:v>-3888.7769584189482</c:v>
                </c:pt>
                <c:pt idx="737">
                  <c:v>-4428.4166605903774</c:v>
                </c:pt>
                <c:pt idx="738">
                  <c:v>-4189.4804764185374</c:v>
                </c:pt>
                <c:pt idx="739">
                  <c:v>-5599.7846290835078</c:v>
                </c:pt>
                <c:pt idx="740">
                  <c:v>-4705.7132982066632</c:v>
                </c:pt>
                <c:pt idx="741">
                  <c:v>-3959.9776976634839</c:v>
                </c:pt>
                <c:pt idx="742">
                  <c:v>-4432.2719048806812</c:v>
                </c:pt>
                <c:pt idx="743">
                  <c:v>-4499.7668984205447</c:v>
                </c:pt>
                <c:pt idx="744">
                  <c:v>-4664.7714856422899</c:v>
                </c:pt>
                <c:pt idx="745">
                  <c:v>-4096.2552299156341</c:v>
                </c:pt>
                <c:pt idx="746">
                  <c:v>-3864.2077277647459</c:v>
                </c:pt>
                <c:pt idx="747">
                  <c:v>-3873.6991776949617</c:v>
                </c:pt>
                <c:pt idx="748">
                  <c:v>-4275.4049978105231</c:v>
                </c:pt>
                <c:pt idx="749">
                  <c:v>-3583.496224235585</c:v>
                </c:pt>
                <c:pt idx="750">
                  <c:v>-4774.883230788113</c:v>
                </c:pt>
                <c:pt idx="751">
                  <c:v>-4137.9240519148079</c:v>
                </c:pt>
                <c:pt idx="752">
                  <c:v>-5176.1216247454122</c:v>
                </c:pt>
                <c:pt idx="753">
                  <c:v>-5799.8752888572853</c:v>
                </c:pt>
                <c:pt idx="754">
                  <c:v>-5260.6329724292918</c:v>
                </c:pt>
                <c:pt idx="755">
                  <c:v>-3307.5762978037747</c:v>
                </c:pt>
                <c:pt idx="756">
                  <c:v>-5403.3913734787402</c:v>
                </c:pt>
                <c:pt idx="757">
                  <c:v>-4269.5728164188004</c:v>
                </c:pt>
                <c:pt idx="758">
                  <c:v>-4121.7703561261696</c:v>
                </c:pt>
                <c:pt idx="759">
                  <c:v>-5438.4227018020138</c:v>
                </c:pt>
                <c:pt idx="760">
                  <c:v>-5038.4948136658586</c:v>
                </c:pt>
                <c:pt idx="761">
                  <c:v>-4052.9811279689948</c:v>
                </c:pt>
                <c:pt idx="762">
                  <c:v>-4796.0420734220315</c:v>
                </c:pt>
                <c:pt idx="763">
                  <c:v>-5020.7404915244551</c:v>
                </c:pt>
                <c:pt idx="764">
                  <c:v>-4308.7936890292749</c:v>
                </c:pt>
                <c:pt idx="765">
                  <c:v>-3979.6647138513817</c:v>
                </c:pt>
                <c:pt idx="766">
                  <c:v>-4594.3408697267369</c:v>
                </c:pt>
                <c:pt idx="767">
                  <c:v>-5431.7310284550949</c:v>
                </c:pt>
                <c:pt idx="768">
                  <c:v>-5034.6120105835671</c:v>
                </c:pt>
                <c:pt idx="769">
                  <c:v>-4927.3084029414331</c:v>
                </c:pt>
                <c:pt idx="770">
                  <c:v>-4098.9242934745525</c:v>
                </c:pt>
                <c:pt idx="771">
                  <c:v>-4251.6834501260928</c:v>
                </c:pt>
                <c:pt idx="772">
                  <c:v>-5060.9733068641435</c:v>
                </c:pt>
                <c:pt idx="773">
                  <c:v>-4356.9849635969404</c:v>
                </c:pt>
                <c:pt idx="774">
                  <c:v>-4751.4480666509007</c:v>
                </c:pt>
                <c:pt idx="775">
                  <c:v>-4479.1688809529624</c:v>
                </c:pt>
                <c:pt idx="776">
                  <c:v>-3511.1278995765651</c:v>
                </c:pt>
                <c:pt idx="777">
                  <c:v>-3723.6889411732936</c:v>
                </c:pt>
                <c:pt idx="778">
                  <c:v>-4840.3195856154016</c:v>
                </c:pt>
                <c:pt idx="779">
                  <c:v>-5328.9912292833342</c:v>
                </c:pt>
                <c:pt idx="780">
                  <c:v>-3495.8553818250266</c:v>
                </c:pt>
                <c:pt idx="781">
                  <c:v>-5204.6378136729181</c:v>
                </c:pt>
                <c:pt idx="782">
                  <c:v>-5115.0719170375105</c:v>
                </c:pt>
                <c:pt idx="783">
                  <c:v>-4428.049238247153</c:v>
                </c:pt>
                <c:pt idx="784">
                  <c:v>-3947.6414458564777</c:v>
                </c:pt>
                <c:pt idx="785">
                  <c:v>-4749.6458122234217</c:v>
                </c:pt>
                <c:pt idx="786">
                  <c:v>-5181.4736389345744</c:v>
                </c:pt>
                <c:pt idx="787">
                  <c:v>-4630.7800597160203</c:v>
                </c:pt>
                <c:pt idx="788">
                  <c:v>-4349.1931246103704</c:v>
                </c:pt>
                <c:pt idx="789">
                  <c:v>-4026.6075771294309</c:v>
                </c:pt>
                <c:pt idx="790">
                  <c:v>-3791.0466861694586</c:v>
                </c:pt>
                <c:pt idx="791">
                  <c:v>-4056.2278925625724</c:v>
                </c:pt>
                <c:pt idx="792">
                  <c:v>-4351.813496710638</c:v>
                </c:pt>
                <c:pt idx="793">
                  <c:v>-3908.5624845037273</c:v>
                </c:pt>
                <c:pt idx="794">
                  <c:v>-4209.2277779782253</c:v>
                </c:pt>
                <c:pt idx="795">
                  <c:v>-4828.9709711216055</c:v>
                </c:pt>
                <c:pt idx="796">
                  <c:v>-4406.655956612165</c:v>
                </c:pt>
                <c:pt idx="797">
                  <c:v>-4260.640017570835</c:v>
                </c:pt>
                <c:pt idx="798">
                  <c:v>-3474.8999642800918</c:v>
                </c:pt>
                <c:pt idx="799">
                  <c:v>-4194.6730593365792</c:v>
                </c:pt>
                <c:pt idx="800">
                  <c:v>-4350.0990303589533</c:v>
                </c:pt>
                <c:pt idx="801">
                  <c:v>-3454.1027853698915</c:v>
                </c:pt>
                <c:pt idx="802">
                  <c:v>-4348.0251698046995</c:v>
                </c:pt>
                <c:pt idx="803">
                  <c:v>-4471.0919320833364</c:v>
                </c:pt>
                <c:pt idx="804">
                  <c:v>-4362.1784410865694</c:v>
                </c:pt>
                <c:pt idx="805">
                  <c:v>-4234.0326061842934</c:v>
                </c:pt>
                <c:pt idx="806">
                  <c:v>-4864.2794449139001</c:v>
                </c:pt>
                <c:pt idx="807">
                  <c:v>-4997.578975521541</c:v>
                </c:pt>
                <c:pt idx="808">
                  <c:v>-4909.6160926354969</c:v>
                </c:pt>
                <c:pt idx="809">
                  <c:v>-4180.189132507403</c:v>
                </c:pt>
                <c:pt idx="810">
                  <c:v>-4720.3748921393326</c:v>
                </c:pt>
                <c:pt idx="811">
                  <c:v>-4354.5129941861742</c:v>
                </c:pt>
                <c:pt idx="812">
                  <c:v>-3921.7969880177461</c:v>
                </c:pt>
                <c:pt idx="813">
                  <c:v>-4493.6914315471586</c:v>
                </c:pt>
                <c:pt idx="814">
                  <c:v>-4056.526141737224</c:v>
                </c:pt>
                <c:pt idx="815">
                  <c:v>-4970.5452632527395</c:v>
                </c:pt>
                <c:pt idx="816">
                  <c:v>-4129.1216373872649</c:v>
                </c:pt>
                <c:pt idx="817">
                  <c:v>-4897.1297022472991</c:v>
                </c:pt>
                <c:pt idx="818">
                  <c:v>-4212.8510958940551</c:v>
                </c:pt>
                <c:pt idx="819">
                  <c:v>-4874.4691955814797</c:v>
                </c:pt>
                <c:pt idx="820">
                  <c:v>-3743.7278647811036</c:v>
                </c:pt>
                <c:pt idx="821">
                  <c:v>-4485.6868490392517</c:v>
                </c:pt>
                <c:pt idx="822">
                  <c:v>-4036.4114990483085</c:v>
                </c:pt>
                <c:pt idx="823">
                  <c:v>-5068.708750996022</c:v>
                </c:pt>
                <c:pt idx="824">
                  <c:v>-5140.1709419020954</c:v>
                </c:pt>
                <c:pt idx="825">
                  <c:v>-4705.4829985227334</c:v>
                </c:pt>
                <c:pt idx="826">
                  <c:v>-3683.4121248314896</c:v>
                </c:pt>
                <c:pt idx="827">
                  <c:v>-3933.8861399177058</c:v>
                </c:pt>
                <c:pt idx="828">
                  <c:v>-3370.2455561208762</c:v>
                </c:pt>
                <c:pt idx="829">
                  <c:v>-3671.9563668872452</c:v>
                </c:pt>
                <c:pt idx="830">
                  <c:v>-4473.7549207008833</c:v>
                </c:pt>
                <c:pt idx="831">
                  <c:v>-4366.4748359079749</c:v>
                </c:pt>
                <c:pt idx="832">
                  <c:v>-4238.6421933433776</c:v>
                </c:pt>
                <c:pt idx="833">
                  <c:v>-5075.8147790549156</c:v>
                </c:pt>
                <c:pt idx="834">
                  <c:v>-5200.9208283848602</c:v>
                </c:pt>
                <c:pt idx="835">
                  <c:v>-4265.3237183139918</c:v>
                </c:pt>
                <c:pt idx="836">
                  <c:v>-4018.503087236495</c:v>
                </c:pt>
                <c:pt idx="837">
                  <c:v>-4970.5442213922142</c:v>
                </c:pt>
                <c:pt idx="838">
                  <c:v>-4531.6406527469444</c:v>
                </c:pt>
                <c:pt idx="839">
                  <c:v>-4756.4960175430733</c:v>
                </c:pt>
                <c:pt idx="840">
                  <c:v>-3581.810722937691</c:v>
                </c:pt>
                <c:pt idx="841">
                  <c:v>-4689.9533082626058</c:v>
                </c:pt>
                <c:pt idx="842">
                  <c:v>-3894.9889097722207</c:v>
                </c:pt>
                <c:pt idx="843">
                  <c:v>-4184.6638026070123</c:v>
                </c:pt>
                <c:pt idx="844">
                  <c:v>-4814.565769072382</c:v>
                </c:pt>
                <c:pt idx="845">
                  <c:v>-4924.2104718091668</c:v>
                </c:pt>
                <c:pt idx="846">
                  <c:v>-4724.1638986976413</c:v>
                </c:pt>
                <c:pt idx="847">
                  <c:v>-3904.934606360679</c:v>
                </c:pt>
                <c:pt idx="848">
                  <c:v>-4243.3293511190514</c:v>
                </c:pt>
                <c:pt idx="849">
                  <c:v>-4108.3432641148574</c:v>
                </c:pt>
                <c:pt idx="850">
                  <c:v>-4618.5006246038756</c:v>
                </c:pt>
                <c:pt idx="851">
                  <c:v>-4553.408071892758</c:v>
                </c:pt>
                <c:pt idx="852">
                  <c:v>-5066.3169754108749</c:v>
                </c:pt>
                <c:pt idx="853">
                  <c:v>-4185.4479079614466</c:v>
                </c:pt>
                <c:pt idx="854">
                  <c:v>-3566.4265015377341</c:v>
                </c:pt>
                <c:pt idx="855">
                  <c:v>-4173.8384363704881</c:v>
                </c:pt>
                <c:pt idx="856">
                  <c:v>-4338.0394922402847</c:v>
                </c:pt>
                <c:pt idx="857">
                  <c:v>-4270.3437728136032</c:v>
                </c:pt>
                <c:pt idx="858">
                  <c:v>-4126.1385873103682</c:v>
                </c:pt>
                <c:pt idx="859">
                  <c:v>-4616.3736243595285</c:v>
                </c:pt>
                <c:pt idx="860">
                  <c:v>-4677.4229703403926</c:v>
                </c:pt>
                <c:pt idx="861">
                  <c:v>-4570.3531780339163</c:v>
                </c:pt>
                <c:pt idx="862">
                  <c:v>-4384.9909716770089</c:v>
                </c:pt>
                <c:pt idx="863">
                  <c:v>-4799.4182982566545</c:v>
                </c:pt>
                <c:pt idx="864">
                  <c:v>-5655.9106964582788</c:v>
                </c:pt>
                <c:pt idx="865">
                  <c:v>-4313.7083072571695</c:v>
                </c:pt>
                <c:pt idx="866">
                  <c:v>-4366.2300130805597</c:v>
                </c:pt>
                <c:pt idx="867">
                  <c:v>-4634.1833114495712</c:v>
                </c:pt>
                <c:pt idx="868">
                  <c:v>-5019.6575608432649</c:v>
                </c:pt>
                <c:pt idx="869">
                  <c:v>-4769.2426864047211</c:v>
                </c:pt>
                <c:pt idx="870">
                  <c:v>-4491.3613858909321</c:v>
                </c:pt>
                <c:pt idx="871">
                  <c:v>-4484.4632464545411</c:v>
                </c:pt>
                <c:pt idx="872">
                  <c:v>-3886.109169277097</c:v>
                </c:pt>
                <c:pt idx="873">
                  <c:v>-5002.5468388024001</c:v>
                </c:pt>
                <c:pt idx="874">
                  <c:v>-4591.4514884251003</c:v>
                </c:pt>
                <c:pt idx="875">
                  <c:v>-4578.7718782831762</c:v>
                </c:pt>
                <c:pt idx="876">
                  <c:v>-3766.7303550256274</c:v>
                </c:pt>
                <c:pt idx="877">
                  <c:v>-4345.4223058616208</c:v>
                </c:pt>
                <c:pt idx="878">
                  <c:v>-4872.0225565772089</c:v>
                </c:pt>
                <c:pt idx="879">
                  <c:v>-3720.1011582326028</c:v>
                </c:pt>
                <c:pt idx="880">
                  <c:v>-4511.5346710106714</c:v>
                </c:pt>
                <c:pt idx="881">
                  <c:v>-3955.8117606084252</c:v>
                </c:pt>
                <c:pt idx="882">
                  <c:v>-4188.2379734885126</c:v>
                </c:pt>
                <c:pt idx="883">
                  <c:v>-5328.6063455833137</c:v>
                </c:pt>
                <c:pt idx="884">
                  <c:v>-4473.4447916258796</c:v>
                </c:pt>
                <c:pt idx="885">
                  <c:v>-4454.6743468266304</c:v>
                </c:pt>
                <c:pt idx="886">
                  <c:v>-4735.9747124890946</c:v>
                </c:pt>
                <c:pt idx="887">
                  <c:v>-4439.1382656083933</c:v>
                </c:pt>
                <c:pt idx="888">
                  <c:v>-4538.8148825203189</c:v>
                </c:pt>
                <c:pt idx="889">
                  <c:v>-4866.2993483128739</c:v>
                </c:pt>
                <c:pt idx="890">
                  <c:v>-5276.6102053983432</c:v>
                </c:pt>
                <c:pt idx="891">
                  <c:v>-4132.0164350300911</c:v>
                </c:pt>
                <c:pt idx="892">
                  <c:v>-4117.0768236997119</c:v>
                </c:pt>
                <c:pt idx="893">
                  <c:v>-4566.825600967084</c:v>
                </c:pt>
                <c:pt idx="894">
                  <c:v>-5249.4392753960965</c:v>
                </c:pt>
                <c:pt idx="895">
                  <c:v>-3828.8797119387145</c:v>
                </c:pt>
                <c:pt idx="896">
                  <c:v>-5811.6923959481555</c:v>
                </c:pt>
                <c:pt idx="897">
                  <c:v>-4391.214858352525</c:v>
                </c:pt>
                <c:pt idx="898">
                  <c:v>-4959.1219973756379</c:v>
                </c:pt>
                <c:pt idx="899">
                  <c:v>-3736.6241828965303</c:v>
                </c:pt>
                <c:pt idx="900">
                  <c:v>-5847.1356757107042</c:v>
                </c:pt>
                <c:pt idx="901">
                  <c:v>-4699.3725814027875</c:v>
                </c:pt>
                <c:pt idx="902">
                  <c:v>-3742.2625937203939</c:v>
                </c:pt>
                <c:pt idx="903">
                  <c:v>-3483.2367161319589</c:v>
                </c:pt>
                <c:pt idx="904">
                  <c:v>-3829.6178748987932</c:v>
                </c:pt>
                <c:pt idx="905">
                  <c:v>-4957.2768265058003</c:v>
                </c:pt>
                <c:pt idx="906">
                  <c:v>-4303.4871001191332</c:v>
                </c:pt>
                <c:pt idx="907">
                  <c:v>-4065.1207009302852</c:v>
                </c:pt>
                <c:pt idx="908">
                  <c:v>-4766.3179492113086</c:v>
                </c:pt>
                <c:pt idx="909">
                  <c:v>-5368.5243039339748</c:v>
                </c:pt>
                <c:pt idx="910">
                  <c:v>-4265.2115595440428</c:v>
                </c:pt>
                <c:pt idx="911">
                  <c:v>-4682.1793225712154</c:v>
                </c:pt>
                <c:pt idx="912">
                  <c:v>-3935.6728082781883</c:v>
                </c:pt>
                <c:pt idx="913">
                  <c:v>-5236.5937510262283</c:v>
                </c:pt>
                <c:pt idx="914">
                  <c:v>-4769.2153921873905</c:v>
                </c:pt>
                <c:pt idx="915">
                  <c:v>-4654.8354594862103</c:v>
                </c:pt>
                <c:pt idx="916">
                  <c:v>-4364.2635358454554</c:v>
                </c:pt>
                <c:pt idx="917">
                  <c:v>-3776.1133609479148</c:v>
                </c:pt>
                <c:pt idx="918">
                  <c:v>-4151.8767679680968</c:v>
                </c:pt>
                <c:pt idx="919">
                  <c:v>-4577.2727857083264</c:v>
                </c:pt>
                <c:pt idx="920">
                  <c:v>-4946.8710899216021</c:v>
                </c:pt>
                <c:pt idx="921">
                  <c:v>-3530.7836484037407</c:v>
                </c:pt>
                <c:pt idx="922">
                  <c:v>-3354.8515285434833</c:v>
                </c:pt>
                <c:pt idx="923">
                  <c:v>-3786.8605916295346</c:v>
                </c:pt>
                <c:pt idx="924">
                  <c:v>-3438.7921039127914</c:v>
                </c:pt>
                <c:pt idx="925">
                  <c:v>-3556.9001312150385</c:v>
                </c:pt>
                <c:pt idx="926">
                  <c:v>-5272.9247553744426</c:v>
                </c:pt>
                <c:pt idx="927">
                  <c:v>-3823.9554692733873</c:v>
                </c:pt>
                <c:pt idx="928">
                  <c:v>-4075.2146068433358</c:v>
                </c:pt>
                <c:pt idx="929">
                  <c:v>-4236.7799926283933</c:v>
                </c:pt>
                <c:pt idx="930">
                  <c:v>-4319.573857485555</c:v>
                </c:pt>
                <c:pt idx="931">
                  <c:v>-3581.9782897218738</c:v>
                </c:pt>
                <c:pt idx="932">
                  <c:v>-4395.6937406010547</c:v>
                </c:pt>
                <c:pt idx="933">
                  <c:v>-3775.0054171939719</c:v>
                </c:pt>
                <c:pt idx="934">
                  <c:v>-4492.4750909807499</c:v>
                </c:pt>
                <c:pt idx="935">
                  <c:v>-5470.7051407260733</c:v>
                </c:pt>
                <c:pt idx="936">
                  <c:v>-4339.5932318843043</c:v>
                </c:pt>
                <c:pt idx="937">
                  <c:v>-3028.8995728962327</c:v>
                </c:pt>
                <c:pt idx="938">
                  <c:v>-4731.0936740429297</c:v>
                </c:pt>
                <c:pt idx="939">
                  <c:v>-4138.3381207737766</c:v>
                </c:pt>
                <c:pt idx="940">
                  <c:v>-3695.0341175985432</c:v>
                </c:pt>
                <c:pt idx="941">
                  <c:v>-4488.0854018051523</c:v>
                </c:pt>
                <c:pt idx="942">
                  <c:v>-5221.4061808939732</c:v>
                </c:pt>
                <c:pt idx="943">
                  <c:v>-4765.48112282687</c:v>
                </c:pt>
                <c:pt idx="944">
                  <c:v>-3886.8869286858753</c:v>
                </c:pt>
                <c:pt idx="945">
                  <c:v>-4809.4079817607235</c:v>
                </c:pt>
                <c:pt idx="946">
                  <c:v>-4061.1327646917234</c:v>
                </c:pt>
                <c:pt idx="947">
                  <c:v>-4025.8088223924733</c:v>
                </c:pt>
                <c:pt idx="948">
                  <c:v>-4409.264242102312</c:v>
                </c:pt>
                <c:pt idx="949">
                  <c:v>-4654.4425366013784</c:v>
                </c:pt>
                <c:pt idx="950">
                  <c:v>-4104.8904903472503</c:v>
                </c:pt>
                <c:pt idx="951">
                  <c:v>-4547.6518567290805</c:v>
                </c:pt>
                <c:pt idx="952">
                  <c:v>-3728.5990280977894</c:v>
                </c:pt>
                <c:pt idx="953">
                  <c:v>-4779.4881540614442</c:v>
                </c:pt>
                <c:pt idx="954">
                  <c:v>-4092.5798844792807</c:v>
                </c:pt>
                <c:pt idx="955">
                  <c:v>-4697.8381622757843</c:v>
                </c:pt>
                <c:pt idx="956">
                  <c:v>-4919.9604596525824</c:v>
                </c:pt>
                <c:pt idx="957">
                  <c:v>-4171.9353256734667</c:v>
                </c:pt>
                <c:pt idx="958">
                  <c:v>-4117.0675843374065</c:v>
                </c:pt>
                <c:pt idx="959">
                  <c:v>-4940.7537279307198</c:v>
                </c:pt>
                <c:pt idx="960">
                  <c:v>-4245.7999005822367</c:v>
                </c:pt>
                <c:pt idx="961">
                  <c:v>-5648.937124855247</c:v>
                </c:pt>
                <c:pt idx="962">
                  <c:v>-3672.1199874172125</c:v>
                </c:pt>
                <c:pt idx="963">
                  <c:v>-4604.9062803341021</c:v>
                </c:pt>
                <c:pt idx="964">
                  <c:v>-4276.1653620038414</c:v>
                </c:pt>
                <c:pt idx="965">
                  <c:v>-3928.3626380907936</c:v>
                </c:pt>
                <c:pt idx="966">
                  <c:v>-6083.4920312304985</c:v>
                </c:pt>
                <c:pt idx="967">
                  <c:v>-4664.8062433997584</c:v>
                </c:pt>
                <c:pt idx="968">
                  <c:v>-4272.1939928180764</c:v>
                </c:pt>
                <c:pt idx="969">
                  <c:v>-4335.0894874593432</c:v>
                </c:pt>
                <c:pt idx="970">
                  <c:v>-4915.1841282758123</c:v>
                </c:pt>
                <c:pt idx="971">
                  <c:v>-3996.2293635435253</c:v>
                </c:pt>
                <c:pt idx="972">
                  <c:v>-4331.2869159239672</c:v>
                </c:pt>
                <c:pt idx="973">
                  <c:v>-4434.8847951198713</c:v>
                </c:pt>
                <c:pt idx="974">
                  <c:v>-4150.8283023655677</c:v>
                </c:pt>
                <c:pt idx="975">
                  <c:v>-4014.441952373938</c:v>
                </c:pt>
                <c:pt idx="976">
                  <c:v>-4297.3640249674172</c:v>
                </c:pt>
                <c:pt idx="977">
                  <c:v>-4069.7864586406322</c:v>
                </c:pt>
                <c:pt idx="978">
                  <c:v>-4479.7244227074953</c:v>
                </c:pt>
                <c:pt idx="979">
                  <c:v>-3444.0794362932847</c:v>
                </c:pt>
                <c:pt idx="980">
                  <c:v>-4263.0097376856447</c:v>
                </c:pt>
                <c:pt idx="981">
                  <c:v>-4866.9615354430643</c:v>
                </c:pt>
                <c:pt idx="982">
                  <c:v>-5093.4872935210587</c:v>
                </c:pt>
                <c:pt idx="983">
                  <c:v>-4115.4136815353195</c:v>
                </c:pt>
                <c:pt idx="984">
                  <c:v>-4840.9901632301371</c:v>
                </c:pt>
                <c:pt idx="985">
                  <c:v>-3985.989285713209</c:v>
                </c:pt>
                <c:pt idx="986">
                  <c:v>-6207.5036176597951</c:v>
                </c:pt>
                <c:pt idx="987">
                  <c:v>-4451.3328280011829</c:v>
                </c:pt>
                <c:pt idx="988">
                  <c:v>-5442.5066756713622</c:v>
                </c:pt>
                <c:pt idx="989">
                  <c:v>-4277.8734906701829</c:v>
                </c:pt>
                <c:pt idx="990">
                  <c:v>-3736.9213041115072</c:v>
                </c:pt>
                <c:pt idx="991">
                  <c:v>-3521.885089644753</c:v>
                </c:pt>
                <c:pt idx="992">
                  <c:v>-5200.2612417206055</c:v>
                </c:pt>
                <c:pt idx="993">
                  <c:v>-4205.3868788929285</c:v>
                </c:pt>
                <c:pt idx="994">
                  <c:v>-4919.1936179194163</c:v>
                </c:pt>
                <c:pt idx="995">
                  <c:v>-4460.3218845880292</c:v>
                </c:pt>
                <c:pt idx="996">
                  <c:v>-4522.3035329700269</c:v>
                </c:pt>
                <c:pt idx="997">
                  <c:v>-5002.9852358438438</c:v>
                </c:pt>
                <c:pt idx="998">
                  <c:v>-4226.2302360625454</c:v>
                </c:pt>
                <c:pt idx="999">
                  <c:v>-4634.9866366257793</c:v>
                </c:pt>
              </c:numCache>
            </c:numRef>
          </c:yVal>
          <c:smooth val="1"/>
          <c:extLst>
            <c:ext xmlns:c16="http://schemas.microsoft.com/office/drawing/2014/chart" uri="{C3380CC4-5D6E-409C-BE32-E72D297353CC}">
              <c16:uniqueId val="{00000000-B4DB-4D4F-A7D5-E2AEE7BF0A3B}"/>
            </c:ext>
          </c:extLst>
        </c:ser>
        <c:ser>
          <c:idx val="2"/>
          <c:order val="2"/>
          <c:tx>
            <c:v>PSA Results Mean</c:v>
          </c:tx>
          <c:spPr>
            <a:ln w="25400" cap="rnd">
              <a:noFill/>
              <a:round/>
            </a:ln>
            <a:effectLst/>
          </c:spPr>
          <c:marker>
            <c:symbol val="circle"/>
            <c:size val="5"/>
            <c:spPr>
              <a:solidFill>
                <a:schemeClr val="accent3"/>
              </a:solidFill>
              <a:ln w="9525">
                <a:solidFill>
                  <a:schemeClr val="accent3"/>
                </a:solidFill>
              </a:ln>
              <a:effectLst/>
            </c:spPr>
          </c:marker>
          <c:xVal>
            <c:numRef>
              <c:f>PSA_1!$M$35</c:f>
              <c:numCache>
                <c:formatCode>General</c:formatCode>
                <c:ptCount val="1"/>
                <c:pt idx="0">
                  <c:v>-0.27654098396537619</c:v>
                </c:pt>
              </c:numCache>
            </c:numRef>
          </c:xVal>
          <c:yVal>
            <c:numRef>
              <c:f>PSA_1!$L$35</c:f>
              <c:numCache>
                <c:formatCode>General</c:formatCode>
                <c:ptCount val="1"/>
                <c:pt idx="0">
                  <c:v>-4441.0037716584502</c:v>
                </c:pt>
              </c:numCache>
            </c:numRef>
          </c:yVal>
          <c:smooth val="1"/>
          <c:extLst>
            <c:ext xmlns:c16="http://schemas.microsoft.com/office/drawing/2014/chart" uri="{C3380CC4-5D6E-409C-BE32-E72D297353CC}">
              <c16:uniqueId val="{00000001-B4DB-4D4F-A7D5-E2AEE7BF0A3B}"/>
            </c:ext>
          </c:extLst>
        </c:ser>
        <c:ser>
          <c:idx val="3"/>
          <c:order val="3"/>
          <c:tx>
            <c:v>Deterministic Results</c:v>
          </c:tx>
          <c:spPr>
            <a:ln w="25400" cap="rnd">
              <a:noFill/>
              <a:round/>
            </a:ln>
            <a:effectLst/>
          </c:spPr>
          <c:marker>
            <c:symbol val="circle"/>
            <c:size val="5"/>
            <c:spPr>
              <a:solidFill>
                <a:schemeClr val="accent4"/>
              </a:solidFill>
              <a:ln w="9525">
                <a:solidFill>
                  <a:schemeClr val="accent4"/>
                </a:solidFill>
              </a:ln>
              <a:effectLst/>
            </c:spPr>
          </c:marker>
          <c:xVal>
            <c:numRef>
              <c:f>PSA_1!$M$38</c:f>
              <c:numCache>
                <c:formatCode>General</c:formatCode>
                <c:ptCount val="1"/>
                <c:pt idx="0">
                  <c:v>-0.276597351813617</c:v>
                </c:pt>
              </c:numCache>
            </c:numRef>
          </c:xVal>
          <c:yVal>
            <c:numRef>
              <c:f>PSA_1!$L$38</c:f>
              <c:numCache>
                <c:formatCode>General</c:formatCode>
                <c:ptCount val="1"/>
                <c:pt idx="0">
                  <c:v>-4428.56320457316</c:v>
                </c:pt>
              </c:numCache>
            </c:numRef>
          </c:yVal>
          <c:smooth val="1"/>
          <c:extLst>
            <c:ext xmlns:c16="http://schemas.microsoft.com/office/drawing/2014/chart" uri="{C3380CC4-5D6E-409C-BE32-E72D297353CC}">
              <c16:uniqueId val="{00000002-B4DB-4D4F-A7D5-E2AEE7BF0A3B}"/>
            </c:ext>
          </c:extLst>
        </c:ser>
        <c:dLbls>
          <c:showLegendKey val="0"/>
          <c:showVal val="0"/>
          <c:showCatName val="0"/>
          <c:showSerName val="0"/>
          <c:showPercent val="0"/>
          <c:showBubbleSize val="0"/>
        </c:dLbls>
        <c:axId val="506213727"/>
        <c:axId val="506214143"/>
        <c:extLst>
          <c:ext xmlns:c15="http://schemas.microsoft.com/office/drawing/2012/chart" uri="{02D57815-91ED-43cb-92C2-25804820EDAC}">
            <c15:filteredScatterSeries>
              <c15:ser>
                <c:idx val="1"/>
                <c:order val="1"/>
                <c:tx>
                  <c:strRef>
                    <c:extLst>
                      <c:ext uri="{02D57815-91ED-43cb-92C2-25804820EDAC}">
                        <c15:formulaRef>
                          <c15:sqref>PSA_1!$AI$37</c15:sqref>
                        </c15:formulaRef>
                      </c:ext>
                    </c:extLst>
                    <c:strCache>
                      <c:ptCount val="1"/>
                    </c:strCache>
                  </c:strRef>
                </c:tx>
                <c:spPr>
                  <a:ln w="25400" cap="rnd">
                    <a:no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PSA_1!$AI$38:$AI$40</c15:sqref>
                        </c15:formulaRef>
                      </c:ext>
                    </c:extLst>
                    <c:numCache>
                      <c:formatCode>General</c:formatCode>
                      <c:ptCount val="3"/>
                    </c:numCache>
                  </c:numRef>
                </c:xVal>
                <c:yVal>
                  <c:numRef>
                    <c:extLst>
                      <c:ext uri="{02D57815-91ED-43cb-92C2-25804820EDAC}">
                        <c15:formulaRef>
                          <c15:sqref>PSA_1!$AJ$39:$AJ$40</c15:sqref>
                        </c15:formulaRef>
                      </c:ext>
                    </c:extLst>
                    <c:numCache>
                      <c:formatCode>General</c:formatCode>
                      <c:ptCount val="2"/>
                    </c:numCache>
                  </c:numRef>
                </c:yVal>
                <c:smooth val="1"/>
                <c:extLst>
                  <c:ext xmlns:c16="http://schemas.microsoft.com/office/drawing/2014/chart" uri="{C3380CC4-5D6E-409C-BE32-E72D297353CC}">
                    <c16:uniqueId val="{00000003-B4DB-4D4F-A7D5-E2AEE7BF0A3B}"/>
                  </c:ext>
                </c:extLst>
              </c15:ser>
            </c15:filteredScatterSeries>
          </c:ext>
        </c:extLst>
      </c:scatterChart>
      <c:valAx>
        <c:axId val="506213727"/>
        <c:scaling>
          <c:orientation val="minMax"/>
          <c:max val="-0.25"/>
          <c:min val="-0.3000000000000000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CRBSI Avoided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14143"/>
        <c:crosses val="autoZero"/>
        <c:crossBetween val="midCat"/>
      </c:valAx>
      <c:valAx>
        <c:axId val="506214143"/>
        <c:scaling>
          <c:orientation val="minMax"/>
          <c:max val="0"/>
          <c:min val="-7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Incremental</a:t>
                </a:r>
                <a:r>
                  <a:rPr lang="en-IN" baseline="0"/>
                  <a:t> Costs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1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CE</a:t>
            </a:r>
            <a:r>
              <a:rPr lang="en-IN" baseline="0"/>
              <a:t> plane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PSA_1!$P$36</c:f>
              <c:strCache>
                <c:ptCount val="1"/>
                <c:pt idx="0">
                  <c:v>CHG T1 vs PVI T4</c:v>
                </c:pt>
              </c:strCache>
            </c:strRef>
          </c:tx>
          <c:spPr>
            <a:ln w="25400" cap="rnd">
              <a:noFill/>
              <a:round/>
            </a:ln>
            <a:effectLst/>
          </c:spPr>
          <c:marker>
            <c:symbol val="circle"/>
            <c:size val="5"/>
            <c:spPr>
              <a:solidFill>
                <a:schemeClr val="accent1"/>
              </a:solidFill>
              <a:ln w="9525">
                <a:solidFill>
                  <a:schemeClr val="accent1"/>
                </a:solidFill>
              </a:ln>
              <a:effectLst/>
            </c:spPr>
          </c:marker>
          <c:xVal>
            <c:numRef>
              <c:f>PSA_1!$Q$40:$Q$1039</c:f>
              <c:numCache>
                <c:formatCode>General</c:formatCode>
                <c:ptCount val="1000"/>
                <c:pt idx="0">
                  <c:v>-0.27228910696586861</c:v>
                </c:pt>
                <c:pt idx="1">
                  <c:v>-0.27078297465225187</c:v>
                </c:pt>
                <c:pt idx="2">
                  <c:v>-0.27159477827084555</c:v>
                </c:pt>
                <c:pt idx="3">
                  <c:v>-0.27151884475912691</c:v>
                </c:pt>
                <c:pt idx="4">
                  <c:v>-0.27142265441112412</c:v>
                </c:pt>
                <c:pt idx="5">
                  <c:v>-0.27157328861612828</c:v>
                </c:pt>
                <c:pt idx="6">
                  <c:v>-0.27239184633355062</c:v>
                </c:pt>
                <c:pt idx="7">
                  <c:v>-0.2722358340338239</c:v>
                </c:pt>
                <c:pt idx="8">
                  <c:v>-0.27162913006125611</c:v>
                </c:pt>
                <c:pt idx="9">
                  <c:v>-0.27310112423461119</c:v>
                </c:pt>
                <c:pt idx="10">
                  <c:v>-0.27245587074416489</c:v>
                </c:pt>
                <c:pt idx="11">
                  <c:v>-0.27184285089718241</c:v>
                </c:pt>
                <c:pt idx="12">
                  <c:v>-0.27150881687769857</c:v>
                </c:pt>
                <c:pt idx="13">
                  <c:v>-0.27193566556301485</c:v>
                </c:pt>
                <c:pt idx="14">
                  <c:v>-0.27229684141270949</c:v>
                </c:pt>
                <c:pt idx="15">
                  <c:v>-0.27123672983546476</c:v>
                </c:pt>
                <c:pt idx="16">
                  <c:v>-0.27195633857933277</c:v>
                </c:pt>
                <c:pt idx="17">
                  <c:v>-0.27214175971427268</c:v>
                </c:pt>
                <c:pt idx="18">
                  <c:v>-0.27164236821112342</c:v>
                </c:pt>
                <c:pt idx="19">
                  <c:v>-0.27149862422246318</c:v>
                </c:pt>
                <c:pt idx="20">
                  <c:v>-0.27110073643218302</c:v>
                </c:pt>
                <c:pt idx="21">
                  <c:v>-0.27224069911542947</c:v>
                </c:pt>
                <c:pt idx="22">
                  <c:v>-0.27199448138412852</c:v>
                </c:pt>
                <c:pt idx="23">
                  <c:v>-0.27189779591021734</c:v>
                </c:pt>
                <c:pt idx="24">
                  <c:v>-0.27130616820671682</c:v>
                </c:pt>
                <c:pt idx="25">
                  <c:v>-0.27043781930254551</c:v>
                </c:pt>
                <c:pt idx="26">
                  <c:v>-0.27199368399833446</c:v>
                </c:pt>
                <c:pt idx="27">
                  <c:v>-0.2718616117640591</c:v>
                </c:pt>
                <c:pt idx="28">
                  <c:v>-0.2722194577236523</c:v>
                </c:pt>
                <c:pt idx="29">
                  <c:v>-0.27135532358119707</c:v>
                </c:pt>
                <c:pt idx="30">
                  <c:v>-0.27182272727079526</c:v>
                </c:pt>
                <c:pt idx="31">
                  <c:v>-0.2717692076452507</c:v>
                </c:pt>
                <c:pt idx="32">
                  <c:v>-0.27258043023602452</c:v>
                </c:pt>
                <c:pt idx="33">
                  <c:v>-0.27211193135629752</c:v>
                </c:pt>
                <c:pt idx="34">
                  <c:v>-0.27148727887127622</c:v>
                </c:pt>
                <c:pt idx="35">
                  <c:v>-0.27147359279955563</c:v>
                </c:pt>
                <c:pt idx="36">
                  <c:v>-0.27205687651032062</c:v>
                </c:pt>
                <c:pt idx="37">
                  <c:v>-0.27244232348915676</c:v>
                </c:pt>
                <c:pt idx="38">
                  <c:v>-0.27089329393938955</c:v>
                </c:pt>
                <c:pt idx="39">
                  <c:v>-0.27147506015664979</c:v>
                </c:pt>
                <c:pt idx="40">
                  <c:v>-0.27223660948866113</c:v>
                </c:pt>
                <c:pt idx="41">
                  <c:v>-0.27110160216445645</c:v>
                </c:pt>
                <c:pt idx="42">
                  <c:v>-0.27249765623812627</c:v>
                </c:pt>
                <c:pt idx="43">
                  <c:v>-0.27266267218184692</c:v>
                </c:pt>
                <c:pt idx="44">
                  <c:v>-0.27195210665157854</c:v>
                </c:pt>
                <c:pt idx="45">
                  <c:v>-0.27200200220102178</c:v>
                </c:pt>
                <c:pt idx="46">
                  <c:v>-0.27111901596852417</c:v>
                </c:pt>
                <c:pt idx="47">
                  <c:v>-0.27115262238237403</c:v>
                </c:pt>
                <c:pt idx="48">
                  <c:v>-0.27152338465037862</c:v>
                </c:pt>
                <c:pt idx="49">
                  <c:v>-0.27302525062571581</c:v>
                </c:pt>
                <c:pt idx="50">
                  <c:v>-0.27248767511752425</c:v>
                </c:pt>
                <c:pt idx="51">
                  <c:v>-0.27198207654420758</c:v>
                </c:pt>
                <c:pt idx="52">
                  <c:v>-0.27256073259340241</c:v>
                </c:pt>
                <c:pt idx="53">
                  <c:v>-0.27096399311441211</c:v>
                </c:pt>
                <c:pt idx="54">
                  <c:v>-0.27162807014741708</c:v>
                </c:pt>
                <c:pt idx="55">
                  <c:v>-0.27176971004693151</c:v>
                </c:pt>
                <c:pt idx="56">
                  <c:v>-0.27220130983873247</c:v>
                </c:pt>
                <c:pt idx="57">
                  <c:v>-0.27196377881589484</c:v>
                </c:pt>
                <c:pt idx="58">
                  <c:v>-0.27183990389430568</c:v>
                </c:pt>
                <c:pt idx="59">
                  <c:v>-0.2711925032026461</c:v>
                </c:pt>
                <c:pt idx="60">
                  <c:v>-0.27179696206801529</c:v>
                </c:pt>
                <c:pt idx="61">
                  <c:v>-0.27168580532144293</c:v>
                </c:pt>
                <c:pt idx="62">
                  <c:v>-0.27232676339387296</c:v>
                </c:pt>
                <c:pt idx="63">
                  <c:v>-0.27122264212807512</c:v>
                </c:pt>
                <c:pt idx="64">
                  <c:v>-0.27177608982267953</c:v>
                </c:pt>
                <c:pt idx="65">
                  <c:v>-0.27185049231293179</c:v>
                </c:pt>
                <c:pt idx="66">
                  <c:v>-0.27108008402288652</c:v>
                </c:pt>
                <c:pt idx="67">
                  <c:v>-0.27141549352806993</c:v>
                </c:pt>
                <c:pt idx="68">
                  <c:v>-0.27232591821414653</c:v>
                </c:pt>
                <c:pt idx="69">
                  <c:v>-0.2720348186345769</c:v>
                </c:pt>
                <c:pt idx="70">
                  <c:v>-0.27190919834308469</c:v>
                </c:pt>
                <c:pt idx="71">
                  <c:v>-0.27238414887300377</c:v>
                </c:pt>
                <c:pt idx="72">
                  <c:v>-0.271070574279481</c:v>
                </c:pt>
                <c:pt idx="73">
                  <c:v>-0.27199548462682921</c:v>
                </c:pt>
                <c:pt idx="74">
                  <c:v>-0.27203881172661037</c:v>
                </c:pt>
                <c:pt idx="75">
                  <c:v>-0.27205463075331759</c:v>
                </c:pt>
                <c:pt idx="76">
                  <c:v>-0.2714283423527144</c:v>
                </c:pt>
                <c:pt idx="77">
                  <c:v>-0.27184422254101781</c:v>
                </c:pt>
                <c:pt idx="78">
                  <c:v>-0.27162127757029675</c:v>
                </c:pt>
                <c:pt idx="79">
                  <c:v>-0.27221607209532572</c:v>
                </c:pt>
                <c:pt idx="80">
                  <c:v>-0.27170562426577904</c:v>
                </c:pt>
                <c:pt idx="81">
                  <c:v>-0.27181633361995639</c:v>
                </c:pt>
                <c:pt idx="82">
                  <c:v>-0.27169605327189095</c:v>
                </c:pt>
                <c:pt idx="83">
                  <c:v>-0.27179750574867212</c:v>
                </c:pt>
                <c:pt idx="84">
                  <c:v>-0.27194642103818667</c:v>
                </c:pt>
                <c:pt idx="85">
                  <c:v>-0.27217006248136222</c:v>
                </c:pt>
                <c:pt idx="86">
                  <c:v>-0.27187866356749446</c:v>
                </c:pt>
                <c:pt idx="87">
                  <c:v>-0.27112452822913424</c:v>
                </c:pt>
                <c:pt idx="88">
                  <c:v>-0.27212597856608334</c:v>
                </c:pt>
                <c:pt idx="89">
                  <c:v>-0.27210897382281662</c:v>
                </c:pt>
                <c:pt idx="90">
                  <c:v>-0.2724119664789717</c:v>
                </c:pt>
                <c:pt idx="91">
                  <c:v>-0.27169264799867598</c:v>
                </c:pt>
                <c:pt idx="92">
                  <c:v>-0.27199163716619734</c:v>
                </c:pt>
                <c:pt idx="93">
                  <c:v>-0.27130536286334561</c:v>
                </c:pt>
                <c:pt idx="94">
                  <c:v>-0.27139780811760239</c:v>
                </c:pt>
                <c:pt idx="95">
                  <c:v>-0.27164468985629053</c:v>
                </c:pt>
                <c:pt idx="96">
                  <c:v>-0.27108828033806254</c:v>
                </c:pt>
                <c:pt idx="97">
                  <c:v>-0.27217448104748532</c:v>
                </c:pt>
                <c:pt idx="98">
                  <c:v>-0.27228233363390864</c:v>
                </c:pt>
                <c:pt idx="99">
                  <c:v>-0.27162756502566887</c:v>
                </c:pt>
                <c:pt idx="100">
                  <c:v>-0.27268916745119132</c:v>
                </c:pt>
                <c:pt idx="101">
                  <c:v>-0.27204420658867878</c:v>
                </c:pt>
                <c:pt idx="102">
                  <c:v>-0.27223302986180953</c:v>
                </c:pt>
                <c:pt idx="103">
                  <c:v>-0.2715739670983196</c:v>
                </c:pt>
                <c:pt idx="104">
                  <c:v>-0.27143961822468654</c:v>
                </c:pt>
                <c:pt idx="105">
                  <c:v>-0.27170386610764474</c:v>
                </c:pt>
                <c:pt idx="106">
                  <c:v>-0.2725422004081931</c:v>
                </c:pt>
                <c:pt idx="107">
                  <c:v>-0.27214971977915092</c:v>
                </c:pt>
                <c:pt idx="108">
                  <c:v>-0.27138119795477889</c:v>
                </c:pt>
                <c:pt idx="109">
                  <c:v>-0.27263270817081631</c:v>
                </c:pt>
                <c:pt idx="110">
                  <c:v>-0.2716654973628676</c:v>
                </c:pt>
                <c:pt idx="111">
                  <c:v>-0.27097173042320521</c:v>
                </c:pt>
                <c:pt idx="112">
                  <c:v>-0.27233453650938233</c:v>
                </c:pt>
                <c:pt idx="113">
                  <c:v>-0.27071187118673967</c:v>
                </c:pt>
                <c:pt idx="114">
                  <c:v>-0.27196958214614841</c:v>
                </c:pt>
                <c:pt idx="115">
                  <c:v>-0.27211233347717778</c:v>
                </c:pt>
                <c:pt idx="116">
                  <c:v>-0.27297382213887611</c:v>
                </c:pt>
                <c:pt idx="117">
                  <c:v>-0.272179366453836</c:v>
                </c:pt>
                <c:pt idx="118">
                  <c:v>-0.2727798389214674</c:v>
                </c:pt>
                <c:pt idx="119">
                  <c:v>-0.27142834837556418</c:v>
                </c:pt>
                <c:pt idx="120">
                  <c:v>-0.2721527183028416</c:v>
                </c:pt>
                <c:pt idx="121">
                  <c:v>-0.271781698789335</c:v>
                </c:pt>
                <c:pt idx="122">
                  <c:v>-0.27256978744281657</c:v>
                </c:pt>
                <c:pt idx="123">
                  <c:v>-0.27113654951922461</c:v>
                </c:pt>
                <c:pt idx="124">
                  <c:v>-0.27110247979212798</c:v>
                </c:pt>
                <c:pt idx="125">
                  <c:v>-0.27094484752762471</c:v>
                </c:pt>
                <c:pt idx="126">
                  <c:v>-0.27181692490615883</c:v>
                </c:pt>
                <c:pt idx="127">
                  <c:v>-0.27148430775718524</c:v>
                </c:pt>
                <c:pt idx="128">
                  <c:v>-0.27209691046376017</c:v>
                </c:pt>
                <c:pt idx="129">
                  <c:v>-0.27134770943854558</c:v>
                </c:pt>
                <c:pt idx="130">
                  <c:v>-0.27162375631831903</c:v>
                </c:pt>
                <c:pt idx="131">
                  <c:v>-0.27213829777614906</c:v>
                </c:pt>
                <c:pt idx="132">
                  <c:v>-0.27182158724213423</c:v>
                </c:pt>
                <c:pt idx="133">
                  <c:v>-0.27189832013475368</c:v>
                </c:pt>
                <c:pt idx="134">
                  <c:v>-0.27147814255590141</c:v>
                </c:pt>
                <c:pt idx="135">
                  <c:v>-0.27116326853273653</c:v>
                </c:pt>
                <c:pt idx="136">
                  <c:v>-0.27242931596024555</c:v>
                </c:pt>
                <c:pt idx="137">
                  <c:v>-0.27197208349656454</c:v>
                </c:pt>
                <c:pt idx="138">
                  <c:v>-0.27217319824620578</c:v>
                </c:pt>
                <c:pt idx="139">
                  <c:v>-0.27118803294912119</c:v>
                </c:pt>
                <c:pt idx="140">
                  <c:v>-0.27169513679038315</c:v>
                </c:pt>
                <c:pt idx="141">
                  <c:v>-0.27083642389934615</c:v>
                </c:pt>
                <c:pt idx="142">
                  <c:v>-0.27099100056305214</c:v>
                </c:pt>
                <c:pt idx="143">
                  <c:v>-0.27216743652305164</c:v>
                </c:pt>
                <c:pt idx="144">
                  <c:v>-0.27143978321910722</c:v>
                </c:pt>
                <c:pt idx="145">
                  <c:v>-0.2720299626435253</c:v>
                </c:pt>
                <c:pt idx="146">
                  <c:v>-0.2720267949678733</c:v>
                </c:pt>
                <c:pt idx="147">
                  <c:v>-0.27110578448177902</c:v>
                </c:pt>
                <c:pt idx="148">
                  <c:v>-0.27161275267574558</c:v>
                </c:pt>
                <c:pt idx="149">
                  <c:v>-0.27246674514239677</c:v>
                </c:pt>
                <c:pt idx="150">
                  <c:v>-0.27215177731452056</c:v>
                </c:pt>
                <c:pt idx="151">
                  <c:v>-0.27129015970123349</c:v>
                </c:pt>
                <c:pt idx="152">
                  <c:v>-0.27210049839878636</c:v>
                </c:pt>
                <c:pt idx="153">
                  <c:v>-0.27159075913448893</c:v>
                </c:pt>
                <c:pt idx="154">
                  <c:v>-0.27188085770204551</c:v>
                </c:pt>
                <c:pt idx="155">
                  <c:v>-0.27118309034965704</c:v>
                </c:pt>
                <c:pt idx="156">
                  <c:v>-0.27124960337188997</c:v>
                </c:pt>
                <c:pt idx="157">
                  <c:v>-0.27232162760558598</c:v>
                </c:pt>
                <c:pt idx="158">
                  <c:v>-0.27200563985794968</c:v>
                </c:pt>
                <c:pt idx="159">
                  <c:v>-0.27204917675474871</c:v>
                </c:pt>
                <c:pt idx="160">
                  <c:v>-0.27078168432911365</c:v>
                </c:pt>
                <c:pt idx="161">
                  <c:v>-0.27177374184920267</c:v>
                </c:pt>
                <c:pt idx="162">
                  <c:v>-0.27103993088262468</c:v>
                </c:pt>
                <c:pt idx="163">
                  <c:v>-0.27171143108525708</c:v>
                </c:pt>
                <c:pt idx="164">
                  <c:v>-0.27148302710702688</c:v>
                </c:pt>
                <c:pt idx="165">
                  <c:v>-0.27201350931759072</c:v>
                </c:pt>
                <c:pt idx="166">
                  <c:v>-0.27255733266599924</c:v>
                </c:pt>
                <c:pt idx="167">
                  <c:v>-0.27205729531712652</c:v>
                </c:pt>
                <c:pt idx="168">
                  <c:v>-0.27095767765972434</c:v>
                </c:pt>
                <c:pt idx="169">
                  <c:v>-0.27178326555828503</c:v>
                </c:pt>
                <c:pt idx="170">
                  <c:v>-0.2717301767678042</c:v>
                </c:pt>
                <c:pt idx="171">
                  <c:v>-0.27193530457416848</c:v>
                </c:pt>
                <c:pt idx="172">
                  <c:v>-0.27242971596940679</c:v>
                </c:pt>
                <c:pt idx="173">
                  <c:v>-0.2720680761376052</c:v>
                </c:pt>
                <c:pt idx="174">
                  <c:v>-0.27191175058910666</c:v>
                </c:pt>
                <c:pt idx="175">
                  <c:v>-0.2717187628366442</c:v>
                </c:pt>
                <c:pt idx="176">
                  <c:v>-0.27213362465840907</c:v>
                </c:pt>
                <c:pt idx="177">
                  <c:v>-0.27112460233820956</c:v>
                </c:pt>
                <c:pt idx="178">
                  <c:v>-0.2717915860088258</c:v>
                </c:pt>
                <c:pt idx="179">
                  <c:v>-0.2712776512252334</c:v>
                </c:pt>
                <c:pt idx="180">
                  <c:v>-0.27166295280499464</c:v>
                </c:pt>
                <c:pt idx="181">
                  <c:v>-0.27229466191603158</c:v>
                </c:pt>
                <c:pt idx="182">
                  <c:v>-0.27068727348822186</c:v>
                </c:pt>
                <c:pt idx="183">
                  <c:v>-0.27060547276691116</c:v>
                </c:pt>
                <c:pt idx="184">
                  <c:v>-0.27225325627319585</c:v>
                </c:pt>
                <c:pt idx="185">
                  <c:v>-0.27160538698328396</c:v>
                </c:pt>
                <c:pt idx="186">
                  <c:v>-0.27082152700105422</c:v>
                </c:pt>
                <c:pt idx="187">
                  <c:v>-0.27132815816181477</c:v>
                </c:pt>
                <c:pt idx="188">
                  <c:v>-0.27175378063922007</c:v>
                </c:pt>
                <c:pt idx="189">
                  <c:v>-0.27070004375554757</c:v>
                </c:pt>
                <c:pt idx="190">
                  <c:v>-0.27112540752884084</c:v>
                </c:pt>
                <c:pt idx="191">
                  <c:v>-0.27095891713941656</c:v>
                </c:pt>
                <c:pt idx="192">
                  <c:v>-0.27162317515690682</c:v>
                </c:pt>
                <c:pt idx="193">
                  <c:v>-0.2720387598018954</c:v>
                </c:pt>
                <c:pt idx="194">
                  <c:v>-0.27139077930007804</c:v>
                </c:pt>
                <c:pt idx="195">
                  <c:v>-0.27105162118196069</c:v>
                </c:pt>
                <c:pt idx="196">
                  <c:v>-0.27306080390149445</c:v>
                </c:pt>
                <c:pt idx="197">
                  <c:v>-0.27183116640223259</c:v>
                </c:pt>
                <c:pt idx="198">
                  <c:v>-0.27270905513541177</c:v>
                </c:pt>
                <c:pt idx="199">
                  <c:v>-0.27168530097207733</c:v>
                </c:pt>
                <c:pt idx="200">
                  <c:v>-0.27175967114261124</c:v>
                </c:pt>
                <c:pt idx="201">
                  <c:v>-0.27161868130152478</c:v>
                </c:pt>
                <c:pt idx="202">
                  <c:v>-0.27061437898995333</c:v>
                </c:pt>
                <c:pt idx="203">
                  <c:v>-0.27181834813449868</c:v>
                </c:pt>
                <c:pt idx="204">
                  <c:v>-0.27176226152502181</c:v>
                </c:pt>
                <c:pt idx="205">
                  <c:v>-0.27135063688206651</c:v>
                </c:pt>
                <c:pt idx="206">
                  <c:v>-0.27234599282642413</c:v>
                </c:pt>
                <c:pt idx="207">
                  <c:v>-0.2711386945751143</c:v>
                </c:pt>
                <c:pt idx="208">
                  <c:v>-0.27283804254827804</c:v>
                </c:pt>
                <c:pt idx="209">
                  <c:v>-0.27212521579482862</c:v>
                </c:pt>
                <c:pt idx="210">
                  <c:v>-0.27168554390880684</c:v>
                </c:pt>
                <c:pt idx="211">
                  <c:v>-0.2718093261898239</c:v>
                </c:pt>
                <c:pt idx="212">
                  <c:v>-0.27127631891219783</c:v>
                </c:pt>
                <c:pt idx="213">
                  <c:v>-0.27120791798541222</c:v>
                </c:pt>
                <c:pt idx="214">
                  <c:v>-0.27160937071529045</c:v>
                </c:pt>
                <c:pt idx="215">
                  <c:v>-0.27160472490339205</c:v>
                </c:pt>
                <c:pt idx="216">
                  <c:v>-0.27088617573197538</c:v>
                </c:pt>
                <c:pt idx="217">
                  <c:v>-0.27195683796150583</c:v>
                </c:pt>
                <c:pt idx="218">
                  <c:v>-0.27161562170100984</c:v>
                </c:pt>
                <c:pt idx="219">
                  <c:v>-0.27072137056647883</c:v>
                </c:pt>
                <c:pt idx="220">
                  <c:v>-0.2715644219417388</c:v>
                </c:pt>
                <c:pt idx="221">
                  <c:v>-0.27122333614366623</c:v>
                </c:pt>
                <c:pt idx="222">
                  <c:v>-0.27260902634502171</c:v>
                </c:pt>
                <c:pt idx="223">
                  <c:v>-0.27144526373624867</c:v>
                </c:pt>
                <c:pt idx="224">
                  <c:v>-0.27189759905288025</c:v>
                </c:pt>
                <c:pt idx="225">
                  <c:v>-0.27136858208219672</c:v>
                </c:pt>
                <c:pt idx="226">
                  <c:v>-0.27188153991416852</c:v>
                </c:pt>
                <c:pt idx="227">
                  <c:v>-0.27088804853195114</c:v>
                </c:pt>
                <c:pt idx="228">
                  <c:v>-0.27189179495709126</c:v>
                </c:pt>
                <c:pt idx="229">
                  <c:v>-0.27173031194312747</c:v>
                </c:pt>
                <c:pt idx="230">
                  <c:v>-0.27131810965996717</c:v>
                </c:pt>
                <c:pt idx="231">
                  <c:v>-0.27157286173810702</c:v>
                </c:pt>
                <c:pt idx="232">
                  <c:v>-0.27267449134263499</c:v>
                </c:pt>
                <c:pt idx="233">
                  <c:v>-0.27181345378708288</c:v>
                </c:pt>
                <c:pt idx="234">
                  <c:v>-0.27150145348456634</c:v>
                </c:pt>
                <c:pt idx="235">
                  <c:v>-0.27216297665260247</c:v>
                </c:pt>
                <c:pt idx="236">
                  <c:v>-0.27131503077442576</c:v>
                </c:pt>
                <c:pt idx="237">
                  <c:v>-0.27196710337852426</c:v>
                </c:pt>
                <c:pt idx="238">
                  <c:v>-0.27263970286475414</c:v>
                </c:pt>
                <c:pt idx="239">
                  <c:v>-0.27188481108011198</c:v>
                </c:pt>
                <c:pt idx="240">
                  <c:v>-0.27150858839137826</c:v>
                </c:pt>
                <c:pt idx="241">
                  <c:v>-0.2716458873816362</c:v>
                </c:pt>
                <c:pt idx="242">
                  <c:v>-0.2728733983305105</c:v>
                </c:pt>
                <c:pt idx="243">
                  <c:v>-0.27210353724499969</c:v>
                </c:pt>
                <c:pt idx="244">
                  <c:v>-0.27224599756103607</c:v>
                </c:pt>
                <c:pt idx="245">
                  <c:v>-0.27222234015472635</c:v>
                </c:pt>
                <c:pt idx="246">
                  <c:v>-0.27021402398106031</c:v>
                </c:pt>
                <c:pt idx="247">
                  <c:v>-0.27147882517601851</c:v>
                </c:pt>
                <c:pt idx="248">
                  <c:v>-0.27185129617819637</c:v>
                </c:pt>
                <c:pt idx="249">
                  <c:v>-0.2717480805249699</c:v>
                </c:pt>
                <c:pt idx="250">
                  <c:v>-0.27230295064631838</c:v>
                </c:pt>
                <c:pt idx="251">
                  <c:v>-0.27202919618799226</c:v>
                </c:pt>
                <c:pt idx="252">
                  <c:v>-0.27114787449092903</c:v>
                </c:pt>
                <c:pt idx="253">
                  <c:v>-0.27152099428763343</c:v>
                </c:pt>
                <c:pt idx="254">
                  <c:v>-0.27125943585126266</c:v>
                </c:pt>
                <c:pt idx="255">
                  <c:v>-0.2717750619498478</c:v>
                </c:pt>
                <c:pt idx="256">
                  <c:v>-0.27147788771666914</c:v>
                </c:pt>
                <c:pt idx="257">
                  <c:v>-0.27207147569889933</c:v>
                </c:pt>
                <c:pt idx="258">
                  <c:v>-0.27137650173183014</c:v>
                </c:pt>
                <c:pt idx="259">
                  <c:v>-0.2725250741290689</c:v>
                </c:pt>
                <c:pt idx="260">
                  <c:v>-0.27178094859513968</c:v>
                </c:pt>
                <c:pt idx="261">
                  <c:v>-0.27238318910506132</c:v>
                </c:pt>
                <c:pt idx="262">
                  <c:v>-0.27155878865229821</c:v>
                </c:pt>
                <c:pt idx="263">
                  <c:v>-0.27132634937174482</c:v>
                </c:pt>
                <c:pt idx="264">
                  <c:v>-0.27196910307794897</c:v>
                </c:pt>
                <c:pt idx="265">
                  <c:v>-0.27150685999327617</c:v>
                </c:pt>
                <c:pt idx="266">
                  <c:v>-0.27167855641743022</c:v>
                </c:pt>
                <c:pt idx="267">
                  <c:v>-0.27233822590340984</c:v>
                </c:pt>
                <c:pt idx="268">
                  <c:v>-0.27190564779766024</c:v>
                </c:pt>
                <c:pt idx="269">
                  <c:v>-0.2710112378085614</c:v>
                </c:pt>
                <c:pt idx="270">
                  <c:v>-0.27201189192831854</c:v>
                </c:pt>
                <c:pt idx="271">
                  <c:v>-0.27154682904111282</c:v>
                </c:pt>
                <c:pt idx="272">
                  <c:v>-0.2721303111581338</c:v>
                </c:pt>
                <c:pt idx="273">
                  <c:v>-0.27300230255638858</c:v>
                </c:pt>
                <c:pt idx="274">
                  <c:v>-0.27273184453636301</c:v>
                </c:pt>
                <c:pt idx="275">
                  <c:v>-0.27080901340183416</c:v>
                </c:pt>
                <c:pt idx="276">
                  <c:v>-0.270985689213742</c:v>
                </c:pt>
                <c:pt idx="277">
                  <c:v>-0.27084533014548007</c:v>
                </c:pt>
                <c:pt idx="278">
                  <c:v>-0.27198007482274755</c:v>
                </c:pt>
                <c:pt idx="279">
                  <c:v>-0.27183169631843396</c:v>
                </c:pt>
                <c:pt idx="280">
                  <c:v>-0.27225622365705437</c:v>
                </c:pt>
                <c:pt idx="281">
                  <c:v>-0.27245362756951719</c:v>
                </c:pt>
                <c:pt idx="282">
                  <c:v>-0.27135432772610102</c:v>
                </c:pt>
                <c:pt idx="283">
                  <c:v>-0.27174789079835293</c:v>
                </c:pt>
                <c:pt idx="284">
                  <c:v>-0.27092204437752643</c:v>
                </c:pt>
                <c:pt idx="285">
                  <c:v>-0.27227032053271749</c:v>
                </c:pt>
                <c:pt idx="286">
                  <c:v>-0.27158716736756561</c:v>
                </c:pt>
                <c:pt idx="287">
                  <c:v>-0.27217898763673976</c:v>
                </c:pt>
                <c:pt idx="288">
                  <c:v>-0.27218337813535121</c:v>
                </c:pt>
                <c:pt idx="289">
                  <c:v>-0.27201050870480203</c:v>
                </c:pt>
                <c:pt idx="290">
                  <c:v>-0.27214981209742162</c:v>
                </c:pt>
                <c:pt idx="291">
                  <c:v>-0.27166446085407947</c:v>
                </c:pt>
                <c:pt idx="292">
                  <c:v>-0.27246707743518472</c:v>
                </c:pt>
                <c:pt idx="293">
                  <c:v>-0.27134781437676492</c:v>
                </c:pt>
                <c:pt idx="294">
                  <c:v>-0.27192770314535952</c:v>
                </c:pt>
                <c:pt idx="295">
                  <c:v>-0.27158505125073151</c:v>
                </c:pt>
                <c:pt idx="296">
                  <c:v>-0.27130686765829648</c:v>
                </c:pt>
                <c:pt idx="297">
                  <c:v>-0.27186136181883702</c:v>
                </c:pt>
                <c:pt idx="298">
                  <c:v>-0.27216000298612186</c:v>
                </c:pt>
                <c:pt idx="299">
                  <c:v>-0.27147032207408184</c:v>
                </c:pt>
                <c:pt idx="300">
                  <c:v>-0.27168722801596534</c:v>
                </c:pt>
                <c:pt idx="301">
                  <c:v>-0.27050798753532768</c:v>
                </c:pt>
                <c:pt idx="302">
                  <c:v>-0.27252672680996093</c:v>
                </c:pt>
                <c:pt idx="303">
                  <c:v>-0.27148880070968584</c:v>
                </c:pt>
                <c:pt idx="304">
                  <c:v>-0.27257458770545206</c:v>
                </c:pt>
                <c:pt idx="305">
                  <c:v>-0.27265345230244398</c:v>
                </c:pt>
                <c:pt idx="306">
                  <c:v>-0.27188304775409111</c:v>
                </c:pt>
                <c:pt idx="307">
                  <c:v>-0.27142960981185082</c:v>
                </c:pt>
                <c:pt idx="308">
                  <c:v>-0.27241350808515208</c:v>
                </c:pt>
                <c:pt idx="309">
                  <c:v>-0.27214029443246568</c:v>
                </c:pt>
                <c:pt idx="310">
                  <c:v>-0.27141199159339302</c:v>
                </c:pt>
                <c:pt idx="311">
                  <c:v>-0.27232413529288291</c:v>
                </c:pt>
                <c:pt idx="312">
                  <c:v>-0.2715648369274285</c:v>
                </c:pt>
                <c:pt idx="313">
                  <c:v>-0.27133592190226208</c:v>
                </c:pt>
                <c:pt idx="314">
                  <c:v>-0.27156160993833645</c:v>
                </c:pt>
                <c:pt idx="315">
                  <c:v>-0.27195420006145377</c:v>
                </c:pt>
                <c:pt idx="316">
                  <c:v>-0.27066697854863453</c:v>
                </c:pt>
                <c:pt idx="317">
                  <c:v>-0.27166228855461338</c:v>
                </c:pt>
                <c:pt idx="318">
                  <c:v>-0.27133754866502957</c:v>
                </c:pt>
                <c:pt idx="319">
                  <c:v>-0.27081765050503925</c:v>
                </c:pt>
                <c:pt idx="320">
                  <c:v>-0.27299070104342338</c:v>
                </c:pt>
                <c:pt idx="321">
                  <c:v>-0.27206337150847082</c:v>
                </c:pt>
                <c:pt idx="322">
                  <c:v>-0.27168268868256129</c:v>
                </c:pt>
                <c:pt idx="323">
                  <c:v>-0.27129429769131463</c:v>
                </c:pt>
                <c:pt idx="324">
                  <c:v>-0.27091453208394989</c:v>
                </c:pt>
                <c:pt idx="325">
                  <c:v>-0.27104461633667132</c:v>
                </c:pt>
                <c:pt idx="326">
                  <c:v>-0.27212670851892051</c:v>
                </c:pt>
                <c:pt idx="327">
                  <c:v>-0.2722359802590768</c:v>
                </c:pt>
                <c:pt idx="328">
                  <c:v>-0.2714686227320483</c:v>
                </c:pt>
                <c:pt idx="329">
                  <c:v>-0.2716630927295226</c:v>
                </c:pt>
                <c:pt idx="330">
                  <c:v>-0.27126845808016287</c:v>
                </c:pt>
                <c:pt idx="331">
                  <c:v>-0.27144767520221391</c:v>
                </c:pt>
                <c:pt idx="332">
                  <c:v>-0.27144685786620182</c:v>
                </c:pt>
                <c:pt idx="333">
                  <c:v>-0.27104501965975525</c:v>
                </c:pt>
                <c:pt idx="334">
                  <c:v>-0.27221318141134221</c:v>
                </c:pt>
                <c:pt idx="335">
                  <c:v>-0.27144883487745652</c:v>
                </c:pt>
                <c:pt idx="336">
                  <c:v>-0.27161862212962484</c:v>
                </c:pt>
                <c:pt idx="337">
                  <c:v>-0.27206420036348389</c:v>
                </c:pt>
                <c:pt idx="338">
                  <c:v>-0.27254888154268386</c:v>
                </c:pt>
                <c:pt idx="339">
                  <c:v>-0.27193138933503591</c:v>
                </c:pt>
                <c:pt idx="340">
                  <c:v>-0.27131215956508448</c:v>
                </c:pt>
                <c:pt idx="341">
                  <c:v>-0.27107537216290423</c:v>
                </c:pt>
                <c:pt idx="342">
                  <c:v>-0.27120517179959258</c:v>
                </c:pt>
                <c:pt idx="343">
                  <c:v>-0.27224333494107789</c:v>
                </c:pt>
                <c:pt idx="344">
                  <c:v>-0.27078057015353996</c:v>
                </c:pt>
                <c:pt idx="345">
                  <c:v>-0.27143371613534095</c:v>
                </c:pt>
                <c:pt idx="346">
                  <c:v>-0.27102233564928846</c:v>
                </c:pt>
                <c:pt idx="347">
                  <c:v>-0.27190446063328999</c:v>
                </c:pt>
                <c:pt idx="348">
                  <c:v>-0.27244732504155833</c:v>
                </c:pt>
                <c:pt idx="349">
                  <c:v>-0.27180059806457857</c:v>
                </c:pt>
                <c:pt idx="350">
                  <c:v>-0.27161566904294243</c:v>
                </c:pt>
                <c:pt idx="351">
                  <c:v>-0.2717473162303834</c:v>
                </c:pt>
                <c:pt idx="352">
                  <c:v>-0.27184898643970556</c:v>
                </c:pt>
                <c:pt idx="353">
                  <c:v>-0.27170155852839273</c:v>
                </c:pt>
                <c:pt idx="354">
                  <c:v>-0.2715627073243061</c:v>
                </c:pt>
                <c:pt idx="355">
                  <c:v>-0.27170113862590051</c:v>
                </c:pt>
                <c:pt idx="356">
                  <c:v>-0.27152818761459419</c:v>
                </c:pt>
                <c:pt idx="357">
                  <c:v>-0.27296146122498899</c:v>
                </c:pt>
                <c:pt idx="358">
                  <c:v>-0.27152104568739177</c:v>
                </c:pt>
                <c:pt idx="359">
                  <c:v>-0.27102113959059193</c:v>
                </c:pt>
                <c:pt idx="360">
                  <c:v>-0.27116553400531818</c:v>
                </c:pt>
                <c:pt idx="361">
                  <c:v>-0.27189595725718563</c:v>
                </c:pt>
                <c:pt idx="362">
                  <c:v>-0.27178317297330246</c:v>
                </c:pt>
                <c:pt idx="363">
                  <c:v>-0.27246542088610481</c:v>
                </c:pt>
                <c:pt idx="364">
                  <c:v>-0.2728439451890966</c:v>
                </c:pt>
                <c:pt idx="365">
                  <c:v>-0.27179746562217033</c:v>
                </c:pt>
                <c:pt idx="366">
                  <c:v>-0.2726000247237006</c:v>
                </c:pt>
                <c:pt idx="367">
                  <c:v>-0.27177127318959338</c:v>
                </c:pt>
                <c:pt idx="368">
                  <c:v>-0.27206595736813688</c:v>
                </c:pt>
                <c:pt idx="369">
                  <c:v>-0.2713195551562102</c:v>
                </c:pt>
                <c:pt idx="370">
                  <c:v>-0.27168174759362285</c:v>
                </c:pt>
                <c:pt idx="371">
                  <c:v>-0.27211220978361506</c:v>
                </c:pt>
                <c:pt idx="372">
                  <c:v>-0.27176821918146643</c:v>
                </c:pt>
                <c:pt idx="373">
                  <c:v>-0.27133489228470531</c:v>
                </c:pt>
                <c:pt idx="374">
                  <c:v>-0.27243601934458395</c:v>
                </c:pt>
                <c:pt idx="375">
                  <c:v>-0.27117509811985219</c:v>
                </c:pt>
                <c:pt idx="376">
                  <c:v>-0.27159988866202645</c:v>
                </c:pt>
                <c:pt idx="377">
                  <c:v>-0.27145244797050827</c:v>
                </c:pt>
                <c:pt idx="378">
                  <c:v>-0.27176718637048614</c:v>
                </c:pt>
                <c:pt idx="379">
                  <c:v>-0.27243289517367442</c:v>
                </c:pt>
                <c:pt idx="380">
                  <c:v>-0.27098731357717065</c:v>
                </c:pt>
                <c:pt idx="381">
                  <c:v>-0.27258508946874505</c:v>
                </c:pt>
                <c:pt idx="382">
                  <c:v>-0.27154608304251948</c:v>
                </c:pt>
                <c:pt idx="383">
                  <c:v>-0.27167114627557221</c:v>
                </c:pt>
                <c:pt idx="384">
                  <c:v>-0.27179443874095233</c:v>
                </c:pt>
                <c:pt idx="385">
                  <c:v>-0.27201250468777494</c:v>
                </c:pt>
                <c:pt idx="386">
                  <c:v>-0.2717289776202908</c:v>
                </c:pt>
                <c:pt idx="387">
                  <c:v>-0.27225225353579785</c:v>
                </c:pt>
                <c:pt idx="388">
                  <c:v>-0.27170278986459795</c:v>
                </c:pt>
                <c:pt idx="389">
                  <c:v>-0.27180304370480246</c:v>
                </c:pt>
                <c:pt idx="390">
                  <c:v>-0.2724779600719146</c:v>
                </c:pt>
                <c:pt idx="391">
                  <c:v>-0.27131216184461759</c:v>
                </c:pt>
                <c:pt idx="392">
                  <c:v>-0.27206600143575599</c:v>
                </c:pt>
                <c:pt idx="393">
                  <c:v>-0.27262341525353351</c:v>
                </c:pt>
                <c:pt idx="394">
                  <c:v>-0.27143407516791684</c:v>
                </c:pt>
                <c:pt idx="395">
                  <c:v>-0.27270341788282493</c:v>
                </c:pt>
                <c:pt idx="396">
                  <c:v>-0.27323647983454147</c:v>
                </c:pt>
                <c:pt idx="397">
                  <c:v>-0.27187727040292864</c:v>
                </c:pt>
                <c:pt idx="398">
                  <c:v>-0.27204823769087627</c:v>
                </c:pt>
                <c:pt idx="399">
                  <c:v>-0.27181540409450877</c:v>
                </c:pt>
                <c:pt idx="400">
                  <c:v>-0.27191618768718107</c:v>
                </c:pt>
                <c:pt idx="401">
                  <c:v>-0.2713107648507429</c:v>
                </c:pt>
                <c:pt idx="402">
                  <c:v>-0.27148152643786294</c:v>
                </c:pt>
                <c:pt idx="403">
                  <c:v>-0.27144222080990521</c:v>
                </c:pt>
                <c:pt idx="404">
                  <c:v>-0.27233880249202957</c:v>
                </c:pt>
                <c:pt idx="405">
                  <c:v>-0.27180942771554784</c:v>
                </c:pt>
                <c:pt idx="406">
                  <c:v>-0.27115356156659343</c:v>
                </c:pt>
                <c:pt idx="407">
                  <c:v>-0.27152786280406527</c:v>
                </c:pt>
                <c:pt idx="408">
                  <c:v>-0.27205101105448259</c:v>
                </c:pt>
                <c:pt idx="409">
                  <c:v>-0.27083475209677044</c:v>
                </c:pt>
                <c:pt idx="410">
                  <c:v>-0.27205342638831709</c:v>
                </c:pt>
                <c:pt idx="411">
                  <c:v>-0.27213523162120323</c:v>
                </c:pt>
                <c:pt idx="412">
                  <c:v>-0.27124002631371136</c:v>
                </c:pt>
                <c:pt idx="413">
                  <c:v>-0.27174098462313212</c:v>
                </c:pt>
                <c:pt idx="414">
                  <c:v>-0.27221255024247137</c:v>
                </c:pt>
                <c:pt idx="415">
                  <c:v>-0.27217542182058962</c:v>
                </c:pt>
                <c:pt idx="416">
                  <c:v>-0.27167688517589661</c:v>
                </c:pt>
                <c:pt idx="417">
                  <c:v>-0.27178770476412528</c:v>
                </c:pt>
                <c:pt idx="418">
                  <c:v>-0.27184075330981528</c:v>
                </c:pt>
                <c:pt idx="419">
                  <c:v>-0.27153222505211483</c:v>
                </c:pt>
                <c:pt idx="420">
                  <c:v>-0.27158290945746699</c:v>
                </c:pt>
                <c:pt idx="421">
                  <c:v>-0.27169017106177284</c:v>
                </c:pt>
                <c:pt idx="422">
                  <c:v>-0.27146211362674622</c:v>
                </c:pt>
                <c:pt idx="423">
                  <c:v>-0.2714216882895204</c:v>
                </c:pt>
                <c:pt idx="424">
                  <c:v>-0.27165059801191394</c:v>
                </c:pt>
                <c:pt idx="425">
                  <c:v>-0.2714660242269209</c:v>
                </c:pt>
                <c:pt idx="426">
                  <c:v>-0.27128888684399044</c:v>
                </c:pt>
                <c:pt idx="427">
                  <c:v>-0.27171999071257547</c:v>
                </c:pt>
                <c:pt idx="428">
                  <c:v>-0.27166684389022999</c:v>
                </c:pt>
                <c:pt idx="429">
                  <c:v>-0.27057162596077244</c:v>
                </c:pt>
                <c:pt idx="430">
                  <c:v>-0.27083343388405434</c:v>
                </c:pt>
                <c:pt idx="431">
                  <c:v>-0.27189167873477516</c:v>
                </c:pt>
                <c:pt idx="432">
                  <c:v>-0.2713097998162789</c:v>
                </c:pt>
                <c:pt idx="433">
                  <c:v>-0.27149963187232506</c:v>
                </c:pt>
                <c:pt idx="434">
                  <c:v>-0.27108860002101454</c:v>
                </c:pt>
                <c:pt idx="435">
                  <c:v>-0.27185122636751324</c:v>
                </c:pt>
                <c:pt idx="436">
                  <c:v>-0.27171978094489413</c:v>
                </c:pt>
                <c:pt idx="437">
                  <c:v>-0.27129989873944171</c:v>
                </c:pt>
                <c:pt idx="438">
                  <c:v>-0.27223781486911836</c:v>
                </c:pt>
                <c:pt idx="439">
                  <c:v>-0.27231411862662647</c:v>
                </c:pt>
                <c:pt idx="440">
                  <c:v>-0.27208291547294494</c:v>
                </c:pt>
                <c:pt idx="441">
                  <c:v>-0.27151102685312878</c:v>
                </c:pt>
                <c:pt idx="442">
                  <c:v>-0.27231994894598388</c:v>
                </c:pt>
                <c:pt idx="443">
                  <c:v>-0.2715215788034594</c:v>
                </c:pt>
                <c:pt idx="444">
                  <c:v>-0.27095063634044281</c:v>
                </c:pt>
                <c:pt idx="445">
                  <c:v>-0.27198275372849423</c:v>
                </c:pt>
                <c:pt idx="446">
                  <c:v>-0.27108504905521003</c:v>
                </c:pt>
                <c:pt idx="447">
                  <c:v>-0.2716415425731874</c:v>
                </c:pt>
                <c:pt idx="448">
                  <c:v>-0.27211905233932576</c:v>
                </c:pt>
                <c:pt idx="449">
                  <c:v>-0.27207663111912073</c:v>
                </c:pt>
                <c:pt idx="450">
                  <c:v>-0.27194953958488577</c:v>
                </c:pt>
                <c:pt idx="451">
                  <c:v>-0.27081312681445058</c:v>
                </c:pt>
                <c:pt idx="452">
                  <c:v>-0.27157436217986131</c:v>
                </c:pt>
                <c:pt idx="453">
                  <c:v>-0.27171890876125393</c:v>
                </c:pt>
                <c:pt idx="454">
                  <c:v>-0.27224273841875379</c:v>
                </c:pt>
                <c:pt idx="455">
                  <c:v>-0.27148581973516595</c:v>
                </c:pt>
                <c:pt idx="456">
                  <c:v>-0.27241491532993389</c:v>
                </c:pt>
                <c:pt idx="457">
                  <c:v>-0.27149363279934002</c:v>
                </c:pt>
                <c:pt idx="458">
                  <c:v>-0.27185097911690514</c:v>
                </c:pt>
                <c:pt idx="459">
                  <c:v>-0.27079960245957613</c:v>
                </c:pt>
                <c:pt idx="460">
                  <c:v>-0.27160129332896632</c:v>
                </c:pt>
                <c:pt idx="461">
                  <c:v>-0.27133100932218102</c:v>
                </c:pt>
                <c:pt idx="462">
                  <c:v>-0.27118329333933622</c:v>
                </c:pt>
                <c:pt idx="463">
                  <c:v>-0.27219112018577807</c:v>
                </c:pt>
                <c:pt idx="464">
                  <c:v>-0.27246310453227851</c:v>
                </c:pt>
                <c:pt idx="465">
                  <c:v>-0.27183601173376737</c:v>
                </c:pt>
                <c:pt idx="466">
                  <c:v>-0.27210210551539948</c:v>
                </c:pt>
                <c:pt idx="467">
                  <c:v>-0.27161689807212785</c:v>
                </c:pt>
                <c:pt idx="468">
                  <c:v>-0.27171620649335448</c:v>
                </c:pt>
                <c:pt idx="469">
                  <c:v>-0.2718968028969273</c:v>
                </c:pt>
                <c:pt idx="470">
                  <c:v>-0.27181024834013734</c:v>
                </c:pt>
                <c:pt idx="471">
                  <c:v>-0.27168981909859768</c:v>
                </c:pt>
                <c:pt idx="472">
                  <c:v>-0.27083847142329309</c:v>
                </c:pt>
                <c:pt idx="473">
                  <c:v>-0.27150159317844047</c:v>
                </c:pt>
                <c:pt idx="474">
                  <c:v>-0.27159326818517771</c:v>
                </c:pt>
                <c:pt idx="475">
                  <c:v>-0.27128490087439927</c:v>
                </c:pt>
                <c:pt idx="476">
                  <c:v>-0.27103835425950284</c:v>
                </c:pt>
                <c:pt idx="477">
                  <c:v>-0.27156174905354546</c:v>
                </c:pt>
                <c:pt idx="478">
                  <c:v>-0.27122162365835534</c:v>
                </c:pt>
                <c:pt idx="479">
                  <c:v>-0.27260643415405161</c:v>
                </c:pt>
                <c:pt idx="480">
                  <c:v>-0.27127217446480323</c:v>
                </c:pt>
                <c:pt idx="481">
                  <c:v>-0.27198442196937878</c:v>
                </c:pt>
                <c:pt idx="482">
                  <c:v>-0.27218580384505109</c:v>
                </c:pt>
                <c:pt idx="483">
                  <c:v>-0.27228851309590596</c:v>
                </c:pt>
                <c:pt idx="484">
                  <c:v>-0.2716751831975478</c:v>
                </c:pt>
                <c:pt idx="485">
                  <c:v>-0.27211067602832406</c:v>
                </c:pt>
                <c:pt idx="486">
                  <c:v>-0.27170450283310155</c:v>
                </c:pt>
                <c:pt idx="487">
                  <c:v>-0.27236217966793319</c:v>
                </c:pt>
                <c:pt idx="488">
                  <c:v>-0.27140122704973169</c:v>
                </c:pt>
                <c:pt idx="489">
                  <c:v>-0.27193439804826058</c:v>
                </c:pt>
                <c:pt idx="490">
                  <c:v>-0.27194519674584694</c:v>
                </c:pt>
                <c:pt idx="491">
                  <c:v>-0.27125066662004016</c:v>
                </c:pt>
                <c:pt idx="492">
                  <c:v>-0.27165418361655802</c:v>
                </c:pt>
                <c:pt idx="493">
                  <c:v>-0.27127296419453828</c:v>
                </c:pt>
                <c:pt idx="494">
                  <c:v>-0.27185123020657365</c:v>
                </c:pt>
                <c:pt idx="495">
                  <c:v>-0.27155303600953939</c:v>
                </c:pt>
                <c:pt idx="496">
                  <c:v>-0.27224687822265992</c:v>
                </c:pt>
                <c:pt idx="497">
                  <c:v>-0.27150312629510254</c:v>
                </c:pt>
                <c:pt idx="498">
                  <c:v>-0.27114582306761059</c:v>
                </c:pt>
                <c:pt idx="499">
                  <c:v>-0.27200369845235595</c:v>
                </c:pt>
                <c:pt idx="500">
                  <c:v>-0.27159509153478389</c:v>
                </c:pt>
                <c:pt idx="501">
                  <c:v>-0.27237595802711656</c:v>
                </c:pt>
                <c:pt idx="502">
                  <c:v>-0.2714948677688962</c:v>
                </c:pt>
                <c:pt idx="503">
                  <c:v>-0.27165582753023876</c:v>
                </c:pt>
                <c:pt idx="504">
                  <c:v>-0.27231787259389195</c:v>
                </c:pt>
                <c:pt idx="505">
                  <c:v>-0.27204136893423569</c:v>
                </c:pt>
                <c:pt idx="506">
                  <c:v>-0.27165331947157301</c:v>
                </c:pt>
                <c:pt idx="507">
                  <c:v>-0.27145851293661105</c:v>
                </c:pt>
                <c:pt idx="508">
                  <c:v>-0.27153632742221412</c:v>
                </c:pt>
                <c:pt idx="509">
                  <c:v>-0.27126505608921481</c:v>
                </c:pt>
                <c:pt idx="510">
                  <c:v>-0.2714208702449793</c:v>
                </c:pt>
                <c:pt idx="511">
                  <c:v>-0.27127181793905064</c:v>
                </c:pt>
                <c:pt idx="512">
                  <c:v>-0.27146222323745484</c:v>
                </c:pt>
                <c:pt idx="513">
                  <c:v>-0.27030674908511099</c:v>
                </c:pt>
                <c:pt idx="514">
                  <c:v>-0.27204896752494501</c:v>
                </c:pt>
                <c:pt idx="515">
                  <c:v>-0.27264623762786921</c:v>
                </c:pt>
                <c:pt idx="516">
                  <c:v>-0.27229602100181571</c:v>
                </c:pt>
                <c:pt idx="517">
                  <c:v>-0.27240766080011425</c:v>
                </c:pt>
                <c:pt idx="518">
                  <c:v>-0.27190599822769324</c:v>
                </c:pt>
                <c:pt idx="519">
                  <c:v>-0.27179915223546036</c:v>
                </c:pt>
                <c:pt idx="520">
                  <c:v>-0.27148729504686653</c:v>
                </c:pt>
                <c:pt idx="521">
                  <c:v>-0.27175916939433409</c:v>
                </c:pt>
                <c:pt idx="522">
                  <c:v>-0.27086629452979516</c:v>
                </c:pt>
                <c:pt idx="523">
                  <c:v>-0.27144612167269333</c:v>
                </c:pt>
                <c:pt idx="524">
                  <c:v>-0.2719001460749777</c:v>
                </c:pt>
                <c:pt idx="525">
                  <c:v>-0.27138601461976442</c:v>
                </c:pt>
                <c:pt idx="526">
                  <c:v>-0.2724050351847247</c:v>
                </c:pt>
                <c:pt idx="527">
                  <c:v>-0.2722617925244053</c:v>
                </c:pt>
                <c:pt idx="528">
                  <c:v>-0.27139591429354448</c:v>
                </c:pt>
                <c:pt idx="529">
                  <c:v>-0.27143802478393231</c:v>
                </c:pt>
                <c:pt idx="530">
                  <c:v>-0.27274787283616986</c:v>
                </c:pt>
                <c:pt idx="531">
                  <c:v>-0.27173948319248531</c:v>
                </c:pt>
                <c:pt idx="532">
                  <c:v>-0.27174432652081804</c:v>
                </c:pt>
                <c:pt idx="533">
                  <c:v>-0.27227157987863826</c:v>
                </c:pt>
                <c:pt idx="534">
                  <c:v>-0.2721288701675213</c:v>
                </c:pt>
                <c:pt idx="535">
                  <c:v>-0.27118570156540323</c:v>
                </c:pt>
                <c:pt idx="536">
                  <c:v>-0.27119686613861993</c:v>
                </c:pt>
                <c:pt idx="537">
                  <c:v>-0.2710624858671854</c:v>
                </c:pt>
                <c:pt idx="538">
                  <c:v>-0.27194985852112408</c:v>
                </c:pt>
                <c:pt idx="539">
                  <c:v>-0.27161746549729748</c:v>
                </c:pt>
                <c:pt idx="540">
                  <c:v>-0.27232679761443213</c:v>
                </c:pt>
                <c:pt idx="541">
                  <c:v>-0.27146307499919942</c:v>
                </c:pt>
                <c:pt idx="542">
                  <c:v>-0.27256767627259515</c:v>
                </c:pt>
                <c:pt idx="543">
                  <c:v>-0.27231632970321162</c:v>
                </c:pt>
                <c:pt idx="544">
                  <c:v>-0.27180310069400504</c:v>
                </c:pt>
                <c:pt idx="545">
                  <c:v>-0.27141517197925713</c:v>
                </c:pt>
                <c:pt idx="546">
                  <c:v>-0.27145434485085496</c:v>
                </c:pt>
                <c:pt idx="547">
                  <c:v>-0.27197590202043442</c:v>
                </c:pt>
                <c:pt idx="548">
                  <c:v>-0.27155959823580422</c:v>
                </c:pt>
                <c:pt idx="549">
                  <c:v>-0.2721865123985745</c:v>
                </c:pt>
                <c:pt idx="550">
                  <c:v>-0.27278066311438154</c:v>
                </c:pt>
                <c:pt idx="551">
                  <c:v>-0.27162633603579045</c:v>
                </c:pt>
                <c:pt idx="552">
                  <c:v>-0.27179942089327813</c:v>
                </c:pt>
                <c:pt idx="553">
                  <c:v>-0.27127294738174612</c:v>
                </c:pt>
                <c:pt idx="554">
                  <c:v>-0.271964923365694</c:v>
                </c:pt>
                <c:pt idx="555">
                  <c:v>-0.27249426830145318</c:v>
                </c:pt>
                <c:pt idx="556">
                  <c:v>-0.27222421295151444</c:v>
                </c:pt>
                <c:pt idx="557">
                  <c:v>-0.27124537929946435</c:v>
                </c:pt>
                <c:pt idx="558">
                  <c:v>-0.27115718770230857</c:v>
                </c:pt>
                <c:pt idx="559">
                  <c:v>-0.27200462851666374</c:v>
                </c:pt>
                <c:pt idx="560">
                  <c:v>-0.27114650260511619</c:v>
                </c:pt>
                <c:pt idx="561">
                  <c:v>-0.27076641890036934</c:v>
                </c:pt>
                <c:pt idx="562">
                  <c:v>-0.27121117818920293</c:v>
                </c:pt>
                <c:pt idx="563">
                  <c:v>-0.27152820033610237</c:v>
                </c:pt>
                <c:pt idx="564">
                  <c:v>-0.27126103185153461</c:v>
                </c:pt>
                <c:pt idx="565">
                  <c:v>-0.27115030593931522</c:v>
                </c:pt>
                <c:pt idx="566">
                  <c:v>-0.2715737258554447</c:v>
                </c:pt>
                <c:pt idx="567">
                  <c:v>-0.27193682351187309</c:v>
                </c:pt>
                <c:pt idx="568">
                  <c:v>-0.27171648306904028</c:v>
                </c:pt>
                <c:pt idx="569">
                  <c:v>-0.27168813147368964</c:v>
                </c:pt>
                <c:pt idx="570">
                  <c:v>-0.27079816157194625</c:v>
                </c:pt>
                <c:pt idx="571">
                  <c:v>-0.2719447268658155</c:v>
                </c:pt>
                <c:pt idx="572">
                  <c:v>-0.27233707948880581</c:v>
                </c:pt>
                <c:pt idx="573">
                  <c:v>-0.27213813037286749</c:v>
                </c:pt>
                <c:pt idx="574">
                  <c:v>-0.27218604567815363</c:v>
                </c:pt>
                <c:pt idx="575">
                  <c:v>-0.27197673599599437</c:v>
                </c:pt>
                <c:pt idx="576">
                  <c:v>-0.27230486947844046</c:v>
                </c:pt>
                <c:pt idx="577">
                  <c:v>-0.27201377935570037</c:v>
                </c:pt>
                <c:pt idx="578">
                  <c:v>-0.27203721556507021</c:v>
                </c:pt>
                <c:pt idx="579">
                  <c:v>-0.27178788450372637</c:v>
                </c:pt>
                <c:pt idx="580">
                  <c:v>-0.27156680105186148</c:v>
                </c:pt>
                <c:pt idx="581">
                  <c:v>-0.27130794591948015</c:v>
                </c:pt>
                <c:pt idx="582">
                  <c:v>-0.27158625965555117</c:v>
                </c:pt>
                <c:pt idx="583">
                  <c:v>-0.27216149734872153</c:v>
                </c:pt>
                <c:pt idx="584">
                  <c:v>-0.2714200732651465</c:v>
                </c:pt>
                <c:pt idx="585">
                  <c:v>-0.27144349941655799</c:v>
                </c:pt>
                <c:pt idx="586">
                  <c:v>-0.27203168710651293</c:v>
                </c:pt>
                <c:pt idx="587">
                  <c:v>-0.27138542079274919</c:v>
                </c:pt>
                <c:pt idx="588">
                  <c:v>-0.27197476349711269</c:v>
                </c:pt>
                <c:pt idx="589">
                  <c:v>-0.27155494944724712</c:v>
                </c:pt>
                <c:pt idx="590">
                  <c:v>-0.27130755136096796</c:v>
                </c:pt>
                <c:pt idx="591">
                  <c:v>-0.27166221358037035</c:v>
                </c:pt>
                <c:pt idx="592">
                  <c:v>-0.27193619221222542</c:v>
                </c:pt>
                <c:pt idx="593">
                  <c:v>-0.27099049689803345</c:v>
                </c:pt>
                <c:pt idx="594">
                  <c:v>-0.27212513370834646</c:v>
                </c:pt>
                <c:pt idx="595">
                  <c:v>-0.27109860638449113</c:v>
                </c:pt>
                <c:pt idx="596">
                  <c:v>-0.27193457922581898</c:v>
                </c:pt>
                <c:pt idx="597">
                  <c:v>-0.27121410792363665</c:v>
                </c:pt>
                <c:pt idx="598">
                  <c:v>-0.27114753187064455</c:v>
                </c:pt>
                <c:pt idx="599">
                  <c:v>-0.2716383575660406</c:v>
                </c:pt>
                <c:pt idx="600">
                  <c:v>-0.2721930488367732</c:v>
                </c:pt>
                <c:pt idx="601">
                  <c:v>-0.2715365254379315</c:v>
                </c:pt>
                <c:pt idx="602">
                  <c:v>-0.27094386997091224</c:v>
                </c:pt>
                <c:pt idx="603">
                  <c:v>-0.27150871017454259</c:v>
                </c:pt>
                <c:pt idx="604">
                  <c:v>-0.27212774310641741</c:v>
                </c:pt>
                <c:pt idx="605">
                  <c:v>-0.27180283971328034</c:v>
                </c:pt>
                <c:pt idx="606">
                  <c:v>-0.27161238498266849</c:v>
                </c:pt>
                <c:pt idx="607">
                  <c:v>-0.27114011986903974</c:v>
                </c:pt>
                <c:pt idx="608">
                  <c:v>-0.2722371901717604</c:v>
                </c:pt>
                <c:pt idx="609">
                  <c:v>-0.27108970250997066</c:v>
                </c:pt>
                <c:pt idx="610">
                  <c:v>-0.27221825924662102</c:v>
                </c:pt>
                <c:pt idx="611">
                  <c:v>-0.2717153681470168</c:v>
                </c:pt>
                <c:pt idx="612">
                  <c:v>-0.27214574196246544</c:v>
                </c:pt>
                <c:pt idx="613">
                  <c:v>-0.27211385999019488</c:v>
                </c:pt>
                <c:pt idx="614">
                  <c:v>-0.2717636736201412</c:v>
                </c:pt>
                <c:pt idx="615">
                  <c:v>-0.27201787845233316</c:v>
                </c:pt>
                <c:pt idx="616">
                  <c:v>-0.2710790153983168</c:v>
                </c:pt>
                <c:pt idx="617">
                  <c:v>-0.27203747528762634</c:v>
                </c:pt>
                <c:pt idx="618">
                  <c:v>-0.27105395435112589</c:v>
                </c:pt>
                <c:pt idx="619">
                  <c:v>-0.27199157060108536</c:v>
                </c:pt>
                <c:pt idx="620">
                  <c:v>-0.27222896231285398</c:v>
                </c:pt>
                <c:pt idx="621">
                  <c:v>-0.27177822030966825</c:v>
                </c:pt>
                <c:pt idx="622">
                  <c:v>-0.27217769046134022</c:v>
                </c:pt>
                <c:pt idx="623">
                  <c:v>-0.27125087664752157</c:v>
                </c:pt>
                <c:pt idx="624">
                  <c:v>-0.27173493611612876</c:v>
                </c:pt>
                <c:pt idx="625">
                  <c:v>-0.27155805098449015</c:v>
                </c:pt>
                <c:pt idx="626">
                  <c:v>-0.27077389406557861</c:v>
                </c:pt>
                <c:pt idx="627">
                  <c:v>-0.27159232168522673</c:v>
                </c:pt>
                <c:pt idx="628">
                  <c:v>-0.27112436487522518</c:v>
                </c:pt>
                <c:pt idx="629">
                  <c:v>-0.27195550937972079</c:v>
                </c:pt>
                <c:pt idx="630">
                  <c:v>-0.27222064967304727</c:v>
                </c:pt>
                <c:pt idx="631">
                  <c:v>-0.27277201514302996</c:v>
                </c:pt>
                <c:pt idx="632">
                  <c:v>-0.27243457928392112</c:v>
                </c:pt>
                <c:pt idx="633">
                  <c:v>-0.27120602620006751</c:v>
                </c:pt>
                <c:pt idx="634">
                  <c:v>-0.27189105761681598</c:v>
                </c:pt>
                <c:pt idx="635">
                  <c:v>-0.27218858173272986</c:v>
                </c:pt>
                <c:pt idx="636">
                  <c:v>-0.27258316761136137</c:v>
                </c:pt>
                <c:pt idx="637">
                  <c:v>-0.27192187099569309</c:v>
                </c:pt>
                <c:pt idx="638">
                  <c:v>-0.2715960760867655</c:v>
                </c:pt>
                <c:pt idx="639">
                  <c:v>-0.27166944725604636</c:v>
                </c:pt>
                <c:pt idx="640">
                  <c:v>-0.27190579763709921</c:v>
                </c:pt>
                <c:pt idx="641">
                  <c:v>-0.27105918864082934</c:v>
                </c:pt>
                <c:pt idx="642">
                  <c:v>-0.27182789806855301</c:v>
                </c:pt>
                <c:pt idx="643">
                  <c:v>-0.27196297644306633</c:v>
                </c:pt>
                <c:pt idx="644">
                  <c:v>-0.27176784830622214</c:v>
                </c:pt>
                <c:pt idx="645">
                  <c:v>-0.27095721387834792</c:v>
                </c:pt>
                <c:pt idx="646">
                  <c:v>-0.27104816528012632</c:v>
                </c:pt>
                <c:pt idx="647">
                  <c:v>-0.27142084784974396</c:v>
                </c:pt>
                <c:pt idx="648">
                  <c:v>-0.27151660631905938</c:v>
                </c:pt>
                <c:pt idx="649">
                  <c:v>-0.2710008890907637</c:v>
                </c:pt>
                <c:pt idx="650">
                  <c:v>-0.27142271982068289</c:v>
                </c:pt>
                <c:pt idx="651">
                  <c:v>-0.27174112559834285</c:v>
                </c:pt>
                <c:pt idx="652">
                  <c:v>-0.27185690575062493</c:v>
                </c:pt>
                <c:pt idx="653">
                  <c:v>-0.27171843723629674</c:v>
                </c:pt>
                <c:pt idx="654">
                  <c:v>-0.27235319045355211</c:v>
                </c:pt>
                <c:pt idx="655">
                  <c:v>-0.27230294882705774</c:v>
                </c:pt>
                <c:pt idx="656">
                  <c:v>-0.27172249436685891</c:v>
                </c:pt>
                <c:pt idx="657">
                  <c:v>-0.27174711347735336</c:v>
                </c:pt>
                <c:pt idx="658">
                  <c:v>-0.2718202479526054</c:v>
                </c:pt>
                <c:pt idx="659">
                  <c:v>-0.27164498585368102</c:v>
                </c:pt>
                <c:pt idx="660">
                  <c:v>-0.27127212464491868</c:v>
                </c:pt>
                <c:pt idx="661">
                  <c:v>-0.27154363435030882</c:v>
                </c:pt>
                <c:pt idx="662">
                  <c:v>-0.27225655974302387</c:v>
                </c:pt>
                <c:pt idx="663">
                  <c:v>-0.27145390431339755</c:v>
                </c:pt>
                <c:pt idx="664">
                  <c:v>-0.27155465135754508</c:v>
                </c:pt>
                <c:pt idx="665">
                  <c:v>-0.27180166531686412</c:v>
                </c:pt>
                <c:pt idx="666">
                  <c:v>-0.27155466909101256</c:v>
                </c:pt>
                <c:pt idx="667">
                  <c:v>-0.27183490356345819</c:v>
                </c:pt>
                <c:pt idx="668">
                  <c:v>-0.27208744367287285</c:v>
                </c:pt>
                <c:pt idx="669">
                  <c:v>-0.27192082846997812</c:v>
                </c:pt>
                <c:pt idx="670">
                  <c:v>-0.27182779600995888</c:v>
                </c:pt>
                <c:pt idx="671">
                  <c:v>-0.27256115638641421</c:v>
                </c:pt>
                <c:pt idx="672">
                  <c:v>-0.27207438509203352</c:v>
                </c:pt>
                <c:pt idx="673">
                  <c:v>-0.27200850036967872</c:v>
                </c:pt>
                <c:pt idx="674">
                  <c:v>-0.27137651743883295</c:v>
                </c:pt>
                <c:pt idx="675">
                  <c:v>-0.27182242030874915</c:v>
                </c:pt>
                <c:pt idx="676">
                  <c:v>-0.27228213272067936</c:v>
                </c:pt>
                <c:pt idx="677">
                  <c:v>-0.27218629067896227</c:v>
                </c:pt>
                <c:pt idx="678">
                  <c:v>-0.27216154112869462</c:v>
                </c:pt>
                <c:pt idx="679">
                  <c:v>-0.27055427476573779</c:v>
                </c:pt>
                <c:pt idx="680">
                  <c:v>-0.27078331975800296</c:v>
                </c:pt>
                <c:pt idx="681">
                  <c:v>-0.27162116031211936</c:v>
                </c:pt>
                <c:pt idx="682">
                  <c:v>-0.27222041785390827</c:v>
                </c:pt>
                <c:pt idx="683">
                  <c:v>-0.27133466158470398</c:v>
                </c:pt>
                <c:pt idx="684">
                  <c:v>-0.27177355653916591</c:v>
                </c:pt>
                <c:pt idx="685">
                  <c:v>-0.27175856528019759</c:v>
                </c:pt>
                <c:pt idx="686">
                  <c:v>-0.27149326015205444</c:v>
                </c:pt>
                <c:pt idx="687">
                  <c:v>-0.27192082677973517</c:v>
                </c:pt>
                <c:pt idx="688">
                  <c:v>-0.27179197009543576</c:v>
                </c:pt>
                <c:pt idx="689">
                  <c:v>-0.27281074212344647</c:v>
                </c:pt>
                <c:pt idx="690">
                  <c:v>-0.27196340365891869</c:v>
                </c:pt>
                <c:pt idx="691">
                  <c:v>-0.27180537586169629</c:v>
                </c:pt>
                <c:pt idx="692">
                  <c:v>-0.27151499644726085</c:v>
                </c:pt>
                <c:pt idx="693">
                  <c:v>-0.27187315046208083</c:v>
                </c:pt>
                <c:pt idx="694">
                  <c:v>-0.27092035248556734</c:v>
                </c:pt>
                <c:pt idx="695">
                  <c:v>-0.27126455662439031</c:v>
                </c:pt>
                <c:pt idx="696">
                  <c:v>-0.27139459514251685</c:v>
                </c:pt>
                <c:pt idx="697">
                  <c:v>-0.2713408568396346</c:v>
                </c:pt>
                <c:pt idx="698">
                  <c:v>-0.27253841537666113</c:v>
                </c:pt>
                <c:pt idx="699">
                  <c:v>-0.27204903766729538</c:v>
                </c:pt>
                <c:pt idx="700">
                  <c:v>-0.27241237999975887</c:v>
                </c:pt>
                <c:pt idx="701">
                  <c:v>-0.27227969120777262</c:v>
                </c:pt>
                <c:pt idx="702">
                  <c:v>-0.27204675931634759</c:v>
                </c:pt>
                <c:pt idx="703">
                  <c:v>-0.27200501132335952</c:v>
                </c:pt>
                <c:pt idx="704">
                  <c:v>-0.27169232731559456</c:v>
                </c:pt>
                <c:pt idx="705">
                  <c:v>-0.27132312629201472</c:v>
                </c:pt>
                <c:pt idx="706">
                  <c:v>-0.27124534700551328</c:v>
                </c:pt>
                <c:pt idx="707">
                  <c:v>-0.27160842790118955</c:v>
                </c:pt>
                <c:pt idx="708">
                  <c:v>-0.27145390625199384</c:v>
                </c:pt>
                <c:pt idx="709">
                  <c:v>-0.27169378482349027</c:v>
                </c:pt>
                <c:pt idx="710">
                  <c:v>-0.27227057280125144</c:v>
                </c:pt>
                <c:pt idx="711">
                  <c:v>-0.27165667363525481</c:v>
                </c:pt>
                <c:pt idx="712">
                  <c:v>-0.27185260268899025</c:v>
                </c:pt>
                <c:pt idx="713">
                  <c:v>-0.27156382554536418</c:v>
                </c:pt>
                <c:pt idx="714">
                  <c:v>-0.27143886395300998</c:v>
                </c:pt>
                <c:pt idx="715">
                  <c:v>-0.27225808916665484</c:v>
                </c:pt>
                <c:pt idx="716">
                  <c:v>-0.2720352555901554</c:v>
                </c:pt>
                <c:pt idx="717">
                  <c:v>-0.27167755112890157</c:v>
                </c:pt>
                <c:pt idx="718">
                  <c:v>-0.27088639246437651</c:v>
                </c:pt>
                <c:pt idx="719">
                  <c:v>-0.27200986290333173</c:v>
                </c:pt>
                <c:pt idx="720">
                  <c:v>-0.27126024959462103</c:v>
                </c:pt>
                <c:pt idx="721">
                  <c:v>-0.27216597082853211</c:v>
                </c:pt>
                <c:pt idx="722">
                  <c:v>-0.27223523587831167</c:v>
                </c:pt>
                <c:pt idx="723">
                  <c:v>-0.27122633977706667</c:v>
                </c:pt>
                <c:pt idx="724">
                  <c:v>-0.27130334238405218</c:v>
                </c:pt>
                <c:pt idx="725">
                  <c:v>-0.27200159351870612</c:v>
                </c:pt>
                <c:pt idx="726">
                  <c:v>-0.27217093828438976</c:v>
                </c:pt>
                <c:pt idx="727">
                  <c:v>-0.27134492718496972</c:v>
                </c:pt>
                <c:pt idx="728">
                  <c:v>-0.27199457790494552</c:v>
                </c:pt>
                <c:pt idx="729">
                  <c:v>-0.27122181953128321</c:v>
                </c:pt>
                <c:pt idx="730">
                  <c:v>-0.27148397802071866</c:v>
                </c:pt>
                <c:pt idx="731">
                  <c:v>-0.27146472311095249</c:v>
                </c:pt>
                <c:pt idx="732">
                  <c:v>-0.2715102192519423</c:v>
                </c:pt>
                <c:pt idx="733">
                  <c:v>-0.27198613488745138</c:v>
                </c:pt>
                <c:pt idx="734">
                  <c:v>-0.27189130436039866</c:v>
                </c:pt>
                <c:pt idx="735">
                  <c:v>-0.2721745156267259</c:v>
                </c:pt>
                <c:pt idx="736">
                  <c:v>-0.27218122675058176</c:v>
                </c:pt>
                <c:pt idx="737">
                  <c:v>-0.27196069773912368</c:v>
                </c:pt>
                <c:pt idx="738">
                  <c:v>-0.27187114286989489</c:v>
                </c:pt>
                <c:pt idx="739">
                  <c:v>-0.27209021573440351</c:v>
                </c:pt>
                <c:pt idx="740">
                  <c:v>-0.27159084100345265</c:v>
                </c:pt>
                <c:pt idx="741">
                  <c:v>-0.27252763702021909</c:v>
                </c:pt>
                <c:pt idx="742">
                  <c:v>-0.27156999751875488</c:v>
                </c:pt>
                <c:pt idx="743">
                  <c:v>-0.27129225894651054</c:v>
                </c:pt>
                <c:pt idx="744">
                  <c:v>-0.27166217613080212</c:v>
                </c:pt>
                <c:pt idx="745">
                  <c:v>-0.27201539490784543</c:v>
                </c:pt>
                <c:pt idx="746">
                  <c:v>-0.2715462331277354</c:v>
                </c:pt>
                <c:pt idx="747">
                  <c:v>-0.27232291050434843</c:v>
                </c:pt>
                <c:pt idx="748">
                  <c:v>-0.27075478720235879</c:v>
                </c:pt>
                <c:pt idx="749">
                  <c:v>-0.27170036469065162</c:v>
                </c:pt>
                <c:pt idx="750">
                  <c:v>-0.2721527406631753</c:v>
                </c:pt>
                <c:pt idx="751">
                  <c:v>-0.27130372696874605</c:v>
                </c:pt>
                <c:pt idx="752">
                  <c:v>-0.27190123720269843</c:v>
                </c:pt>
                <c:pt idx="753">
                  <c:v>-0.27155763934609378</c:v>
                </c:pt>
                <c:pt idx="754">
                  <c:v>-0.27179989039541785</c:v>
                </c:pt>
                <c:pt idx="755">
                  <c:v>-0.27195256161282777</c:v>
                </c:pt>
                <c:pt idx="756">
                  <c:v>-0.27144287808894141</c:v>
                </c:pt>
                <c:pt idx="757">
                  <c:v>-0.27239641586412233</c:v>
                </c:pt>
                <c:pt idx="758">
                  <c:v>-0.27234055214812858</c:v>
                </c:pt>
                <c:pt idx="759">
                  <c:v>-0.27129427849474552</c:v>
                </c:pt>
                <c:pt idx="760">
                  <c:v>-0.27127436618479528</c:v>
                </c:pt>
                <c:pt idx="761">
                  <c:v>-0.27103002786645736</c:v>
                </c:pt>
                <c:pt idx="762">
                  <c:v>-0.27265233254104315</c:v>
                </c:pt>
                <c:pt idx="763">
                  <c:v>-0.27172116525697432</c:v>
                </c:pt>
                <c:pt idx="764">
                  <c:v>-0.27138611449856687</c:v>
                </c:pt>
                <c:pt idx="765">
                  <c:v>-0.27141413904115153</c:v>
                </c:pt>
                <c:pt idx="766">
                  <c:v>-0.27126357893563324</c:v>
                </c:pt>
                <c:pt idx="767">
                  <c:v>-0.27263430764899921</c:v>
                </c:pt>
                <c:pt idx="768">
                  <c:v>-0.27171681626196376</c:v>
                </c:pt>
                <c:pt idx="769">
                  <c:v>-0.27188542950476935</c:v>
                </c:pt>
                <c:pt idx="770">
                  <c:v>-0.27231322714419892</c:v>
                </c:pt>
                <c:pt idx="771">
                  <c:v>-0.27225232952731238</c:v>
                </c:pt>
                <c:pt idx="772">
                  <c:v>-0.27116472500292699</c:v>
                </c:pt>
                <c:pt idx="773">
                  <c:v>-0.27197801647084097</c:v>
                </c:pt>
                <c:pt idx="774">
                  <c:v>-0.27172008522735724</c:v>
                </c:pt>
                <c:pt idx="775">
                  <c:v>-0.27228916095323075</c:v>
                </c:pt>
                <c:pt idx="776">
                  <c:v>-0.27216711992280873</c:v>
                </c:pt>
                <c:pt idx="777">
                  <c:v>-0.27182001909296571</c:v>
                </c:pt>
                <c:pt idx="778">
                  <c:v>-0.27233696330866497</c:v>
                </c:pt>
                <c:pt idx="779">
                  <c:v>-0.27100270769772095</c:v>
                </c:pt>
                <c:pt idx="780">
                  <c:v>-0.27175417158260451</c:v>
                </c:pt>
                <c:pt idx="781">
                  <c:v>-0.27226450120585177</c:v>
                </c:pt>
                <c:pt idx="782">
                  <c:v>-0.27155073891780013</c:v>
                </c:pt>
                <c:pt idx="783">
                  <c:v>-0.27165321556503619</c:v>
                </c:pt>
                <c:pt idx="784">
                  <c:v>-0.27139727535305425</c:v>
                </c:pt>
                <c:pt idx="785">
                  <c:v>-0.27183744782305674</c:v>
                </c:pt>
                <c:pt idx="786">
                  <c:v>-0.27086647986309109</c:v>
                </c:pt>
                <c:pt idx="787">
                  <c:v>-0.2720939539480397</c:v>
                </c:pt>
                <c:pt idx="788">
                  <c:v>-0.27224828176237825</c:v>
                </c:pt>
                <c:pt idx="789">
                  <c:v>-0.27231894300299264</c:v>
                </c:pt>
                <c:pt idx="790">
                  <c:v>-0.27149269464976888</c:v>
                </c:pt>
                <c:pt idx="791">
                  <c:v>-0.27146609443190994</c:v>
                </c:pt>
                <c:pt idx="792">
                  <c:v>-0.271277752279105</c:v>
                </c:pt>
                <c:pt idx="793">
                  <c:v>-0.27145706392064783</c:v>
                </c:pt>
                <c:pt idx="794">
                  <c:v>-0.2716624138095376</c:v>
                </c:pt>
                <c:pt idx="795">
                  <c:v>-0.27186248606468388</c:v>
                </c:pt>
                <c:pt idx="796">
                  <c:v>-0.27112005612155188</c:v>
                </c:pt>
                <c:pt idx="797">
                  <c:v>-0.27141822641613189</c:v>
                </c:pt>
                <c:pt idx="798">
                  <c:v>-0.27289703336067006</c:v>
                </c:pt>
                <c:pt idx="799">
                  <c:v>-0.27125484535301314</c:v>
                </c:pt>
                <c:pt idx="800">
                  <c:v>-0.27183820664545821</c:v>
                </c:pt>
                <c:pt idx="801">
                  <c:v>-0.2715934623183146</c:v>
                </c:pt>
                <c:pt idx="802">
                  <c:v>-0.27166494055763857</c:v>
                </c:pt>
                <c:pt idx="803">
                  <c:v>-0.2723227417679408</c:v>
                </c:pt>
                <c:pt idx="804">
                  <c:v>-0.2713808702449525</c:v>
                </c:pt>
                <c:pt idx="805">
                  <c:v>-0.27091816770797972</c:v>
                </c:pt>
                <c:pt idx="806">
                  <c:v>-0.27103689339421955</c:v>
                </c:pt>
                <c:pt idx="807">
                  <c:v>-0.27169250140698209</c:v>
                </c:pt>
                <c:pt idx="808">
                  <c:v>-0.2720333018626685</c:v>
                </c:pt>
                <c:pt idx="809">
                  <c:v>-0.27118935274795164</c:v>
                </c:pt>
                <c:pt idx="810">
                  <c:v>-0.2716879792038368</c:v>
                </c:pt>
                <c:pt idx="811">
                  <c:v>-0.2718906736106077</c:v>
                </c:pt>
                <c:pt idx="812">
                  <c:v>-0.27269359663814674</c:v>
                </c:pt>
                <c:pt idx="813">
                  <c:v>-0.27219355747514162</c:v>
                </c:pt>
                <c:pt idx="814">
                  <c:v>-0.27283212114173461</c:v>
                </c:pt>
                <c:pt idx="815">
                  <c:v>-0.27188153849801522</c:v>
                </c:pt>
                <c:pt idx="816">
                  <c:v>-0.27231776239937255</c:v>
                </c:pt>
                <c:pt idx="817">
                  <c:v>-0.27202830689687896</c:v>
                </c:pt>
                <c:pt idx="818">
                  <c:v>-0.27165019735222928</c:v>
                </c:pt>
                <c:pt idx="819">
                  <c:v>-0.27173459073555584</c:v>
                </c:pt>
                <c:pt idx="820">
                  <c:v>-0.27141690522484641</c:v>
                </c:pt>
                <c:pt idx="821">
                  <c:v>-0.27159990741289564</c:v>
                </c:pt>
                <c:pt idx="822">
                  <c:v>-0.27171265512526532</c:v>
                </c:pt>
                <c:pt idx="823">
                  <c:v>-0.27194732186445991</c:v>
                </c:pt>
                <c:pt idx="824">
                  <c:v>-0.27088958747781122</c:v>
                </c:pt>
                <c:pt idx="825">
                  <c:v>-0.27227389883043529</c:v>
                </c:pt>
                <c:pt idx="826">
                  <c:v>-0.27206581670143892</c:v>
                </c:pt>
                <c:pt idx="827">
                  <c:v>-0.27128632597267666</c:v>
                </c:pt>
                <c:pt idx="828">
                  <c:v>-0.27250383869613526</c:v>
                </c:pt>
                <c:pt idx="829">
                  <c:v>-0.27163733948432156</c:v>
                </c:pt>
                <c:pt idx="830">
                  <c:v>-0.27207888389005208</c:v>
                </c:pt>
                <c:pt idx="831">
                  <c:v>-0.27153745825333508</c:v>
                </c:pt>
                <c:pt idx="832">
                  <c:v>-0.2717789494039371</c:v>
                </c:pt>
                <c:pt idx="833">
                  <c:v>-0.27092981150576634</c:v>
                </c:pt>
                <c:pt idx="834">
                  <c:v>-0.27166779258846663</c:v>
                </c:pt>
                <c:pt idx="835">
                  <c:v>-0.27230534777736004</c:v>
                </c:pt>
                <c:pt idx="836">
                  <c:v>-0.27163552887119813</c:v>
                </c:pt>
                <c:pt idx="837">
                  <c:v>-0.27167031744067049</c:v>
                </c:pt>
                <c:pt idx="838">
                  <c:v>-0.27186727349339923</c:v>
                </c:pt>
                <c:pt idx="839">
                  <c:v>-0.27135209667723381</c:v>
                </c:pt>
                <c:pt idx="840">
                  <c:v>-0.2719088992197437</c:v>
                </c:pt>
                <c:pt idx="841">
                  <c:v>-0.27077137761101633</c:v>
                </c:pt>
                <c:pt idx="842">
                  <c:v>-0.27131118030306822</c:v>
                </c:pt>
                <c:pt idx="843">
                  <c:v>-0.27144979742608732</c:v>
                </c:pt>
                <c:pt idx="844">
                  <c:v>-0.27217184529236815</c:v>
                </c:pt>
                <c:pt idx="845">
                  <c:v>-0.27237981329309091</c:v>
                </c:pt>
                <c:pt idx="846">
                  <c:v>-0.27174025043046013</c:v>
                </c:pt>
                <c:pt idx="847">
                  <c:v>-0.27079977648653109</c:v>
                </c:pt>
                <c:pt idx="848">
                  <c:v>-0.27156633548243192</c:v>
                </c:pt>
                <c:pt idx="849">
                  <c:v>-0.27176764811344345</c:v>
                </c:pt>
                <c:pt idx="850">
                  <c:v>-0.27130075504645101</c:v>
                </c:pt>
                <c:pt idx="851">
                  <c:v>-0.27158008119148691</c:v>
                </c:pt>
                <c:pt idx="852">
                  <c:v>-0.27184548584807244</c:v>
                </c:pt>
                <c:pt idx="853">
                  <c:v>-0.27131131634951822</c:v>
                </c:pt>
                <c:pt idx="854">
                  <c:v>-0.27160268187306302</c:v>
                </c:pt>
                <c:pt idx="855">
                  <c:v>-0.27146103810586064</c:v>
                </c:pt>
                <c:pt idx="856">
                  <c:v>-0.2716725286416185</c:v>
                </c:pt>
                <c:pt idx="857">
                  <c:v>-0.2724612321844202</c:v>
                </c:pt>
                <c:pt idx="858">
                  <c:v>-0.27155726096795529</c:v>
                </c:pt>
                <c:pt idx="859">
                  <c:v>-0.27217688997642797</c:v>
                </c:pt>
                <c:pt idx="860">
                  <c:v>-0.27231088335080056</c:v>
                </c:pt>
                <c:pt idx="861">
                  <c:v>-0.2719378102843435</c:v>
                </c:pt>
                <c:pt idx="862">
                  <c:v>-0.27200871477126232</c:v>
                </c:pt>
                <c:pt idx="863">
                  <c:v>-0.27135673918333059</c:v>
                </c:pt>
                <c:pt idx="864">
                  <c:v>-0.27156613509690442</c:v>
                </c:pt>
                <c:pt idx="865">
                  <c:v>-0.27105105015079412</c:v>
                </c:pt>
                <c:pt idx="866">
                  <c:v>-0.27079476118200752</c:v>
                </c:pt>
                <c:pt idx="867">
                  <c:v>-0.27138041108600575</c:v>
                </c:pt>
                <c:pt idx="868">
                  <c:v>-0.27169307040866841</c:v>
                </c:pt>
                <c:pt idx="869">
                  <c:v>-0.27202077018316329</c:v>
                </c:pt>
                <c:pt idx="870">
                  <c:v>-0.27143355776778388</c:v>
                </c:pt>
                <c:pt idx="871">
                  <c:v>-0.27153650541011509</c:v>
                </c:pt>
                <c:pt idx="872">
                  <c:v>-0.27154969262088158</c:v>
                </c:pt>
                <c:pt idx="873">
                  <c:v>-0.27117390229762361</c:v>
                </c:pt>
                <c:pt idx="874">
                  <c:v>-0.27196799214328116</c:v>
                </c:pt>
                <c:pt idx="875">
                  <c:v>-0.27132822327524353</c:v>
                </c:pt>
                <c:pt idx="876">
                  <c:v>-0.27155148604404977</c:v>
                </c:pt>
                <c:pt idx="877">
                  <c:v>-0.27132130100303276</c:v>
                </c:pt>
                <c:pt idx="878">
                  <c:v>-0.2722114271067626</c:v>
                </c:pt>
                <c:pt idx="879">
                  <c:v>-0.271405387910575</c:v>
                </c:pt>
                <c:pt idx="880">
                  <c:v>-0.27170278336318299</c:v>
                </c:pt>
                <c:pt idx="881">
                  <c:v>-0.27084527752426424</c:v>
                </c:pt>
                <c:pt idx="882">
                  <c:v>-0.27184182866438522</c:v>
                </c:pt>
                <c:pt idx="883">
                  <c:v>-0.27250547638916411</c:v>
                </c:pt>
                <c:pt idx="884">
                  <c:v>-0.27170860349881054</c:v>
                </c:pt>
                <c:pt idx="885">
                  <c:v>-0.27258102293793685</c:v>
                </c:pt>
                <c:pt idx="886">
                  <c:v>-0.27146786102449616</c:v>
                </c:pt>
                <c:pt idx="887">
                  <c:v>-0.27187249469224417</c:v>
                </c:pt>
                <c:pt idx="888">
                  <c:v>-0.27166773105304431</c:v>
                </c:pt>
                <c:pt idx="889">
                  <c:v>-0.27175449767931303</c:v>
                </c:pt>
                <c:pt idx="890">
                  <c:v>-0.27214972405632099</c:v>
                </c:pt>
                <c:pt idx="891">
                  <c:v>-0.27128029993120562</c:v>
                </c:pt>
                <c:pt idx="892">
                  <c:v>-0.27255098674505673</c:v>
                </c:pt>
                <c:pt idx="893">
                  <c:v>-0.27134912757563956</c:v>
                </c:pt>
                <c:pt idx="894">
                  <c:v>-0.27200851583125929</c:v>
                </c:pt>
                <c:pt idx="895">
                  <c:v>-0.27194017059199127</c:v>
                </c:pt>
                <c:pt idx="896">
                  <c:v>-0.27057784614980795</c:v>
                </c:pt>
                <c:pt idx="897">
                  <c:v>-0.27182289815251859</c:v>
                </c:pt>
                <c:pt idx="898">
                  <c:v>-0.27201610369108897</c:v>
                </c:pt>
                <c:pt idx="899">
                  <c:v>-0.2726810280061216</c:v>
                </c:pt>
                <c:pt idx="900">
                  <c:v>-0.27156289354326435</c:v>
                </c:pt>
                <c:pt idx="901">
                  <c:v>-0.2715462576266976</c:v>
                </c:pt>
                <c:pt idx="902">
                  <c:v>-0.27196126945692622</c:v>
                </c:pt>
                <c:pt idx="903">
                  <c:v>-0.27214977408722718</c:v>
                </c:pt>
                <c:pt idx="904">
                  <c:v>-0.27198297900620849</c:v>
                </c:pt>
                <c:pt idx="905">
                  <c:v>-0.27134628291134355</c:v>
                </c:pt>
                <c:pt idx="906">
                  <c:v>-0.27145293750240562</c:v>
                </c:pt>
                <c:pt idx="907">
                  <c:v>-0.2716464227782327</c:v>
                </c:pt>
                <c:pt idx="908">
                  <c:v>-0.27207770238451068</c:v>
                </c:pt>
                <c:pt idx="909">
                  <c:v>-0.27186148661826082</c:v>
                </c:pt>
                <c:pt idx="910">
                  <c:v>-0.27141824322763641</c:v>
                </c:pt>
                <c:pt idx="911">
                  <c:v>-0.27192800784061355</c:v>
                </c:pt>
                <c:pt idx="912">
                  <c:v>-0.27159656545370836</c:v>
                </c:pt>
                <c:pt idx="913">
                  <c:v>-0.27199264008873369</c:v>
                </c:pt>
                <c:pt idx="914">
                  <c:v>-0.27151690427972974</c:v>
                </c:pt>
                <c:pt idx="915">
                  <c:v>-0.27223184964124014</c:v>
                </c:pt>
                <c:pt idx="916">
                  <c:v>-0.27187982263475574</c:v>
                </c:pt>
                <c:pt idx="917">
                  <c:v>-0.27210611353046277</c:v>
                </c:pt>
                <c:pt idx="918">
                  <c:v>-0.27184885306561468</c:v>
                </c:pt>
                <c:pt idx="919">
                  <c:v>-0.2712887468778814</c:v>
                </c:pt>
                <c:pt idx="920">
                  <c:v>-0.27198867224508239</c:v>
                </c:pt>
                <c:pt idx="921">
                  <c:v>-0.27114614712614604</c:v>
                </c:pt>
                <c:pt idx="922">
                  <c:v>-0.27169455043504465</c:v>
                </c:pt>
                <c:pt idx="923">
                  <c:v>-0.27160799259743407</c:v>
                </c:pt>
                <c:pt idx="924">
                  <c:v>-0.27161720611137663</c:v>
                </c:pt>
                <c:pt idx="925">
                  <c:v>-0.27100304857666013</c:v>
                </c:pt>
                <c:pt idx="926">
                  <c:v>-0.27212683314452168</c:v>
                </c:pt>
                <c:pt idx="927">
                  <c:v>-0.27104717496025743</c:v>
                </c:pt>
                <c:pt idx="928">
                  <c:v>-0.27133929671198831</c:v>
                </c:pt>
                <c:pt idx="929">
                  <c:v>-0.27130666124480185</c:v>
                </c:pt>
                <c:pt idx="930">
                  <c:v>-0.27192036935271402</c:v>
                </c:pt>
                <c:pt idx="931">
                  <c:v>-0.27159722779952133</c:v>
                </c:pt>
                <c:pt idx="932">
                  <c:v>-0.27248841424909953</c:v>
                </c:pt>
                <c:pt idx="933">
                  <c:v>-0.2715565177611019</c:v>
                </c:pt>
                <c:pt idx="934">
                  <c:v>-0.27142709602503245</c:v>
                </c:pt>
                <c:pt idx="935">
                  <c:v>-0.271357798232436</c:v>
                </c:pt>
                <c:pt idx="936">
                  <c:v>-0.27187335171221483</c:v>
                </c:pt>
                <c:pt idx="937">
                  <c:v>-0.27180656602282538</c:v>
                </c:pt>
                <c:pt idx="938">
                  <c:v>-0.27182644544555745</c:v>
                </c:pt>
                <c:pt idx="939">
                  <c:v>-0.27181375746578584</c:v>
                </c:pt>
                <c:pt idx="940">
                  <c:v>-0.27180497305644169</c:v>
                </c:pt>
                <c:pt idx="941">
                  <c:v>-0.27180458550904185</c:v>
                </c:pt>
                <c:pt idx="942">
                  <c:v>-0.27151432996928682</c:v>
                </c:pt>
                <c:pt idx="943">
                  <c:v>-0.2714130996834756</c:v>
                </c:pt>
                <c:pt idx="944">
                  <c:v>-0.27205511494575452</c:v>
                </c:pt>
                <c:pt idx="945">
                  <c:v>-0.27167154017600148</c:v>
                </c:pt>
                <c:pt idx="946">
                  <c:v>-0.27110918859862321</c:v>
                </c:pt>
                <c:pt idx="947">
                  <c:v>-0.27197861094615272</c:v>
                </c:pt>
                <c:pt idx="948">
                  <c:v>-0.271793726871421</c:v>
                </c:pt>
                <c:pt idx="949">
                  <c:v>-0.27216354993355174</c:v>
                </c:pt>
                <c:pt idx="950">
                  <c:v>-0.2716079463614034</c:v>
                </c:pt>
                <c:pt idx="951">
                  <c:v>-0.27175197762721126</c:v>
                </c:pt>
                <c:pt idx="952">
                  <c:v>-0.27248824787473891</c:v>
                </c:pt>
                <c:pt idx="953">
                  <c:v>-0.27187369466290356</c:v>
                </c:pt>
                <c:pt idx="954">
                  <c:v>-0.2717122203892296</c:v>
                </c:pt>
                <c:pt idx="955">
                  <c:v>-0.27139778651942847</c:v>
                </c:pt>
                <c:pt idx="956">
                  <c:v>-0.27111463152629489</c:v>
                </c:pt>
                <c:pt idx="957">
                  <c:v>-0.27175883924679956</c:v>
                </c:pt>
                <c:pt idx="958">
                  <c:v>-0.2727222032099319</c:v>
                </c:pt>
                <c:pt idx="959">
                  <c:v>-0.27094103512156986</c:v>
                </c:pt>
                <c:pt idx="960">
                  <c:v>-0.27155065963589808</c:v>
                </c:pt>
                <c:pt idx="961">
                  <c:v>-0.27124725359648627</c:v>
                </c:pt>
                <c:pt idx="962">
                  <c:v>-0.27207534213291618</c:v>
                </c:pt>
                <c:pt idx="963">
                  <c:v>-0.27198865179905451</c:v>
                </c:pt>
                <c:pt idx="964">
                  <c:v>-0.27148740016743511</c:v>
                </c:pt>
                <c:pt idx="965">
                  <c:v>-0.27162157134091292</c:v>
                </c:pt>
                <c:pt idx="966">
                  <c:v>-0.27219362125417712</c:v>
                </c:pt>
                <c:pt idx="967">
                  <c:v>-0.27208118436588391</c:v>
                </c:pt>
                <c:pt idx="968">
                  <c:v>-0.27199819324159424</c:v>
                </c:pt>
                <c:pt idx="969">
                  <c:v>-0.27239838005202299</c:v>
                </c:pt>
                <c:pt idx="970">
                  <c:v>-0.27230654379048624</c:v>
                </c:pt>
                <c:pt idx="971">
                  <c:v>-0.27123003450834549</c:v>
                </c:pt>
                <c:pt idx="972">
                  <c:v>-0.27226079348772636</c:v>
                </c:pt>
                <c:pt idx="973">
                  <c:v>-0.27183365816819882</c:v>
                </c:pt>
                <c:pt idx="974">
                  <c:v>-0.27106639243412478</c:v>
                </c:pt>
                <c:pt idx="975">
                  <c:v>-0.27239315138946796</c:v>
                </c:pt>
                <c:pt idx="976">
                  <c:v>-0.27139575340465649</c:v>
                </c:pt>
                <c:pt idx="977">
                  <c:v>-0.27185264205275594</c:v>
                </c:pt>
                <c:pt idx="978">
                  <c:v>-0.27180993807740117</c:v>
                </c:pt>
                <c:pt idx="979">
                  <c:v>-0.27179315865039688</c:v>
                </c:pt>
                <c:pt idx="980">
                  <c:v>-0.27124621197128462</c:v>
                </c:pt>
                <c:pt idx="981">
                  <c:v>-0.27124862388665161</c:v>
                </c:pt>
                <c:pt idx="982">
                  <c:v>-0.27190692546019368</c:v>
                </c:pt>
                <c:pt idx="983">
                  <c:v>-0.27043064895853919</c:v>
                </c:pt>
                <c:pt idx="984">
                  <c:v>-0.27209791080252588</c:v>
                </c:pt>
                <c:pt idx="985">
                  <c:v>-0.27160087377137088</c:v>
                </c:pt>
                <c:pt idx="986">
                  <c:v>-0.27139345316795738</c:v>
                </c:pt>
                <c:pt idx="987">
                  <c:v>-0.27196491461260275</c:v>
                </c:pt>
                <c:pt idx="988">
                  <c:v>-0.27127300288005218</c:v>
                </c:pt>
                <c:pt idx="989">
                  <c:v>-0.27098712736470443</c:v>
                </c:pt>
                <c:pt idx="990">
                  <c:v>-0.27092089894785176</c:v>
                </c:pt>
                <c:pt idx="991">
                  <c:v>-0.27165844060955091</c:v>
                </c:pt>
                <c:pt idx="992">
                  <c:v>-0.27164267744039428</c:v>
                </c:pt>
                <c:pt idx="993">
                  <c:v>-0.27184308320665218</c:v>
                </c:pt>
                <c:pt idx="994">
                  <c:v>-0.27181569547042206</c:v>
                </c:pt>
                <c:pt idx="995">
                  <c:v>-0.27152342343485025</c:v>
                </c:pt>
                <c:pt idx="996">
                  <c:v>-0.27173999398480497</c:v>
                </c:pt>
                <c:pt idx="997">
                  <c:v>-0.27113744401175233</c:v>
                </c:pt>
                <c:pt idx="998">
                  <c:v>-0.27059527307554421</c:v>
                </c:pt>
                <c:pt idx="999">
                  <c:v>-0.27178834852095235</c:v>
                </c:pt>
              </c:numCache>
            </c:numRef>
          </c:xVal>
          <c:yVal>
            <c:numRef>
              <c:f>PSA_1!$P$40:$P$1039</c:f>
              <c:numCache>
                <c:formatCode>General</c:formatCode>
                <c:ptCount val="1000"/>
                <c:pt idx="0">
                  <c:v>-4799.9474402941087</c:v>
                </c:pt>
                <c:pt idx="1">
                  <c:v>-4947.1157811746161</c:v>
                </c:pt>
                <c:pt idx="2">
                  <c:v>-4611.1541942077492</c:v>
                </c:pt>
                <c:pt idx="3">
                  <c:v>-4137.193593621565</c:v>
                </c:pt>
                <c:pt idx="4">
                  <c:v>-4421.7274548232599</c:v>
                </c:pt>
                <c:pt idx="5">
                  <c:v>-4320.1984075518758</c:v>
                </c:pt>
                <c:pt idx="6">
                  <c:v>-4477.8548994199919</c:v>
                </c:pt>
                <c:pt idx="7">
                  <c:v>-4522.5716970559752</c:v>
                </c:pt>
                <c:pt idx="8">
                  <c:v>-4886.2980349917962</c:v>
                </c:pt>
                <c:pt idx="9">
                  <c:v>-4773.520595161619</c:v>
                </c:pt>
                <c:pt idx="10">
                  <c:v>-5026.2670650195596</c:v>
                </c:pt>
                <c:pt idx="11">
                  <c:v>-3237.7217784701925</c:v>
                </c:pt>
                <c:pt idx="12">
                  <c:v>-4164.8096156105603</c:v>
                </c:pt>
                <c:pt idx="13">
                  <c:v>-4272.9325109670845</c:v>
                </c:pt>
                <c:pt idx="14">
                  <c:v>-4398.6035940633774</c:v>
                </c:pt>
                <c:pt idx="15">
                  <c:v>-4336.9659825664385</c:v>
                </c:pt>
                <c:pt idx="16">
                  <c:v>-4334.0259551056351</c:v>
                </c:pt>
                <c:pt idx="17">
                  <c:v>-4302.2825278226064</c:v>
                </c:pt>
                <c:pt idx="18">
                  <c:v>-4594.1974836282589</c:v>
                </c:pt>
                <c:pt idx="19">
                  <c:v>-3313.0504209582059</c:v>
                </c:pt>
                <c:pt idx="20">
                  <c:v>-4600.9737026244911</c:v>
                </c:pt>
                <c:pt idx="21">
                  <c:v>-3106.765522392674</c:v>
                </c:pt>
                <c:pt idx="22">
                  <c:v>-3257.5974159823563</c:v>
                </c:pt>
                <c:pt idx="23">
                  <c:v>-3933.5596762771347</c:v>
                </c:pt>
                <c:pt idx="24">
                  <c:v>-3305.8961889906022</c:v>
                </c:pt>
                <c:pt idx="25">
                  <c:v>-5494.5359131163441</c:v>
                </c:pt>
                <c:pt idx="26">
                  <c:v>-4843.0124466520483</c:v>
                </c:pt>
                <c:pt idx="27">
                  <c:v>-4312.5670148316331</c:v>
                </c:pt>
                <c:pt idx="28">
                  <c:v>-4424.4938828075028</c:v>
                </c:pt>
                <c:pt idx="29">
                  <c:v>-4244.1249580284675</c:v>
                </c:pt>
                <c:pt idx="30">
                  <c:v>-4604.1844590329856</c:v>
                </c:pt>
                <c:pt idx="31">
                  <c:v>-3959.9835844898498</c:v>
                </c:pt>
                <c:pt idx="32">
                  <c:v>-4441.7223649141415</c:v>
                </c:pt>
                <c:pt idx="33">
                  <c:v>-4482.1101200717112</c:v>
                </c:pt>
                <c:pt idx="34">
                  <c:v>-4771.9732071856633</c:v>
                </c:pt>
                <c:pt idx="35">
                  <c:v>-5116.3423208109762</c:v>
                </c:pt>
                <c:pt idx="36">
                  <c:v>-4495.4054398969856</c:v>
                </c:pt>
                <c:pt idx="37">
                  <c:v>-4732.3657676316834</c:v>
                </c:pt>
                <c:pt idx="38">
                  <c:v>-3943.5355192766492</c:v>
                </c:pt>
                <c:pt idx="39">
                  <c:v>-4198.8345139414232</c:v>
                </c:pt>
                <c:pt idx="40">
                  <c:v>-4157.9105253684193</c:v>
                </c:pt>
                <c:pt idx="41">
                  <c:v>-4859.107861911798</c:v>
                </c:pt>
                <c:pt idx="42">
                  <c:v>-3949.8362130403548</c:v>
                </c:pt>
                <c:pt idx="43">
                  <c:v>-4854.236164597165</c:v>
                </c:pt>
                <c:pt idx="44">
                  <c:v>-3283.9325777016338</c:v>
                </c:pt>
                <c:pt idx="45">
                  <c:v>-4981.5095167748477</c:v>
                </c:pt>
                <c:pt idx="46">
                  <c:v>-4446.4974495245624</c:v>
                </c:pt>
                <c:pt idx="47">
                  <c:v>-4101.6876339006303</c:v>
                </c:pt>
                <c:pt idx="48">
                  <c:v>-3937.6093197489554</c:v>
                </c:pt>
                <c:pt idx="49">
                  <c:v>-3795.4777654702029</c:v>
                </c:pt>
                <c:pt idx="50">
                  <c:v>-4209.0552630680595</c:v>
                </c:pt>
                <c:pt idx="51">
                  <c:v>-5018.5807915520581</c:v>
                </c:pt>
                <c:pt idx="52">
                  <c:v>-4385.0746196900036</c:v>
                </c:pt>
                <c:pt idx="53">
                  <c:v>-5595.4029803457015</c:v>
                </c:pt>
                <c:pt idx="54">
                  <c:v>-4550.561550184455</c:v>
                </c:pt>
                <c:pt idx="55">
                  <c:v>-4366.3241970845047</c:v>
                </c:pt>
                <c:pt idx="56">
                  <c:v>-4841.5112257375076</c:v>
                </c:pt>
                <c:pt idx="57">
                  <c:v>-3621.3416112800624</c:v>
                </c:pt>
                <c:pt idx="58">
                  <c:v>-4510.4128232155272</c:v>
                </c:pt>
                <c:pt idx="59">
                  <c:v>-4600.8955386931484</c:v>
                </c:pt>
                <c:pt idx="60">
                  <c:v>-3510.3534036617712</c:v>
                </c:pt>
                <c:pt idx="61">
                  <c:v>-4228.6174510491237</c:v>
                </c:pt>
                <c:pt idx="62">
                  <c:v>-4583.4865510883137</c:v>
                </c:pt>
                <c:pt idx="63">
                  <c:v>-4099.8358410588025</c:v>
                </c:pt>
                <c:pt idx="64">
                  <c:v>-5029.9103768204877</c:v>
                </c:pt>
                <c:pt idx="65">
                  <c:v>-3438.1920239238971</c:v>
                </c:pt>
                <c:pt idx="66">
                  <c:v>-4902.4305994792958</c:v>
                </c:pt>
                <c:pt idx="67">
                  <c:v>-3477.7331372083136</c:v>
                </c:pt>
                <c:pt idx="68">
                  <c:v>-4388.7052205234431</c:v>
                </c:pt>
                <c:pt idx="69">
                  <c:v>-3951.96796955028</c:v>
                </c:pt>
                <c:pt idx="70">
                  <c:v>-4444.1585900287901</c:v>
                </c:pt>
                <c:pt idx="71">
                  <c:v>-3706.9844175740291</c:v>
                </c:pt>
                <c:pt idx="72">
                  <c:v>-4514.5816022735635</c:v>
                </c:pt>
                <c:pt idx="73">
                  <c:v>-5003.9693051086506</c:v>
                </c:pt>
                <c:pt idx="74">
                  <c:v>-4394.6948347201378</c:v>
                </c:pt>
                <c:pt idx="75">
                  <c:v>-4657.6199051142739</c:v>
                </c:pt>
                <c:pt idx="76">
                  <c:v>-4688.2955841752864</c:v>
                </c:pt>
                <c:pt idx="77">
                  <c:v>-4639.7085751630984</c:v>
                </c:pt>
                <c:pt idx="78">
                  <c:v>-4064.6093755579441</c:v>
                </c:pt>
                <c:pt idx="79">
                  <c:v>-4646.5155271998792</c:v>
                </c:pt>
                <c:pt idx="80">
                  <c:v>-4083.5308623769834</c:v>
                </c:pt>
                <c:pt idx="81">
                  <c:v>-4340.5288344254877</c:v>
                </c:pt>
                <c:pt idx="82">
                  <c:v>-4922.2928221750844</c:v>
                </c:pt>
                <c:pt idx="83">
                  <c:v>-4252.0436701776798</c:v>
                </c:pt>
                <c:pt idx="84">
                  <c:v>-4665.458942428404</c:v>
                </c:pt>
                <c:pt idx="85">
                  <c:v>-4058.4361524273845</c:v>
                </c:pt>
                <c:pt idx="86">
                  <c:v>-4950.1808978708759</c:v>
                </c:pt>
                <c:pt idx="87">
                  <c:v>-4313.6828446332856</c:v>
                </c:pt>
                <c:pt idx="88">
                  <c:v>-5121.4877858827058</c:v>
                </c:pt>
                <c:pt idx="89">
                  <c:v>-4573.9772677340297</c:v>
                </c:pt>
                <c:pt idx="90">
                  <c:v>-4087.5938276507368</c:v>
                </c:pt>
                <c:pt idx="91">
                  <c:v>-4035.3909228602697</c:v>
                </c:pt>
                <c:pt idx="92">
                  <c:v>-3974.2572075765511</c:v>
                </c:pt>
                <c:pt idx="93">
                  <c:v>-4491.0563565609227</c:v>
                </c:pt>
                <c:pt idx="94">
                  <c:v>-4726.8953526067762</c:v>
                </c:pt>
                <c:pt idx="95">
                  <c:v>-4774.2077465926195</c:v>
                </c:pt>
                <c:pt idx="96">
                  <c:v>-4311.6242590740767</c:v>
                </c:pt>
                <c:pt idx="97">
                  <c:v>-4131.9719051706652</c:v>
                </c:pt>
                <c:pt idx="98">
                  <c:v>-3700.0744110126016</c:v>
                </c:pt>
                <c:pt idx="99">
                  <c:v>-5613.9681073277334</c:v>
                </c:pt>
                <c:pt idx="100">
                  <c:v>-3937.1261536569436</c:v>
                </c:pt>
                <c:pt idx="101">
                  <c:v>-4240.4351581850151</c:v>
                </c:pt>
                <c:pt idx="102">
                  <c:v>-4304.3099094480167</c:v>
                </c:pt>
                <c:pt idx="103">
                  <c:v>-3685.8799569658422</c:v>
                </c:pt>
                <c:pt idx="104">
                  <c:v>-4514.0486901241602</c:v>
                </c:pt>
                <c:pt idx="105">
                  <c:v>-4103.4642676984968</c:v>
                </c:pt>
                <c:pt idx="106">
                  <c:v>-3491.3837318298592</c:v>
                </c:pt>
                <c:pt idx="107">
                  <c:v>-4463.4343245844029</c:v>
                </c:pt>
                <c:pt idx="108">
                  <c:v>-4138.2795464521678</c:v>
                </c:pt>
                <c:pt idx="109">
                  <c:v>-4183.1588437594473</c:v>
                </c:pt>
                <c:pt idx="110">
                  <c:v>-4278.8286866381641</c:v>
                </c:pt>
                <c:pt idx="111">
                  <c:v>-4539.9535075497133</c:v>
                </c:pt>
                <c:pt idx="112">
                  <c:v>-4674.984722234125</c:v>
                </c:pt>
                <c:pt idx="113">
                  <c:v>-4193.9269099257126</c:v>
                </c:pt>
                <c:pt idx="114">
                  <c:v>-5328.1206329031156</c:v>
                </c:pt>
                <c:pt idx="115">
                  <c:v>-4244.9719001414724</c:v>
                </c:pt>
                <c:pt idx="116">
                  <c:v>-5213.2160315888523</c:v>
                </c:pt>
                <c:pt idx="117">
                  <c:v>-4370.7401315097177</c:v>
                </c:pt>
                <c:pt idx="118">
                  <c:v>-3557.5279615546133</c:v>
                </c:pt>
                <c:pt idx="119">
                  <c:v>-5568.8719084884378</c:v>
                </c:pt>
                <c:pt idx="120">
                  <c:v>-4285.6248832890051</c:v>
                </c:pt>
                <c:pt idx="121">
                  <c:v>-4156.0128469059164</c:v>
                </c:pt>
                <c:pt idx="122">
                  <c:v>-4789.5882270443253</c:v>
                </c:pt>
                <c:pt idx="123">
                  <c:v>-5664.9161071643757</c:v>
                </c:pt>
                <c:pt idx="124">
                  <c:v>-4099.5655104520538</c:v>
                </c:pt>
                <c:pt idx="125">
                  <c:v>-5181.1238448847453</c:v>
                </c:pt>
                <c:pt idx="126">
                  <c:v>-4694.9828452447637</c:v>
                </c:pt>
                <c:pt idx="127">
                  <c:v>-3536.827559036883</c:v>
                </c:pt>
                <c:pt idx="128">
                  <c:v>-4445.2912223593921</c:v>
                </c:pt>
                <c:pt idx="129">
                  <c:v>-4468.5618850557821</c:v>
                </c:pt>
                <c:pt idx="130">
                  <c:v>-5269.3856217427929</c:v>
                </c:pt>
                <c:pt idx="131">
                  <c:v>-3525.7009854164144</c:v>
                </c:pt>
                <c:pt idx="132">
                  <c:v>-4382.6965600685908</c:v>
                </c:pt>
                <c:pt idx="133">
                  <c:v>-4211.2594161616889</c:v>
                </c:pt>
                <c:pt idx="134">
                  <c:v>-4630.0630593351852</c:v>
                </c:pt>
                <c:pt idx="135">
                  <c:v>-4031.0322869871652</c:v>
                </c:pt>
                <c:pt idx="136">
                  <c:v>-3636.147345984913</c:v>
                </c:pt>
                <c:pt idx="137">
                  <c:v>-4349.2290379769547</c:v>
                </c:pt>
                <c:pt idx="138">
                  <c:v>-4918.0952993390929</c:v>
                </c:pt>
                <c:pt idx="139">
                  <c:v>-4328.22346632066</c:v>
                </c:pt>
                <c:pt idx="140">
                  <c:v>-3535.2842352232965</c:v>
                </c:pt>
                <c:pt idx="141">
                  <c:v>-4517.862357764101</c:v>
                </c:pt>
                <c:pt idx="142">
                  <c:v>-5227.5160333041895</c:v>
                </c:pt>
                <c:pt idx="143">
                  <c:v>-4711.9145910215811</c:v>
                </c:pt>
                <c:pt idx="144">
                  <c:v>-4789.6210103119811</c:v>
                </c:pt>
                <c:pt idx="145">
                  <c:v>-4029.5537244733132</c:v>
                </c:pt>
                <c:pt idx="146">
                  <c:v>-4282.7965834484676</c:v>
                </c:pt>
                <c:pt idx="147">
                  <c:v>-4607.8131029965771</c:v>
                </c:pt>
                <c:pt idx="148">
                  <c:v>-4273.1760880383772</c:v>
                </c:pt>
                <c:pt idx="149">
                  <c:v>-3869.1779988650469</c:v>
                </c:pt>
                <c:pt idx="150">
                  <c:v>-4376.624405144521</c:v>
                </c:pt>
                <c:pt idx="151">
                  <c:v>-5220.4079200378874</c:v>
                </c:pt>
                <c:pt idx="152">
                  <c:v>-3493.2783859532929</c:v>
                </c:pt>
                <c:pt idx="153">
                  <c:v>-3734.7877522904892</c:v>
                </c:pt>
                <c:pt idx="154">
                  <c:v>-4646.0802938005527</c:v>
                </c:pt>
                <c:pt idx="155">
                  <c:v>-3491.1096846038481</c:v>
                </c:pt>
                <c:pt idx="156">
                  <c:v>-4099.7820371510516</c:v>
                </c:pt>
                <c:pt idx="157">
                  <c:v>-4692.9227967038532</c:v>
                </c:pt>
                <c:pt idx="158">
                  <c:v>-4692.7482769186608</c:v>
                </c:pt>
                <c:pt idx="159">
                  <c:v>-4212.0772783235643</c:v>
                </c:pt>
                <c:pt idx="160">
                  <c:v>-4906.6310073056429</c:v>
                </c:pt>
                <c:pt idx="161">
                  <c:v>-4152.3889866984009</c:v>
                </c:pt>
                <c:pt idx="162">
                  <c:v>-5236.7547224350201</c:v>
                </c:pt>
                <c:pt idx="163">
                  <c:v>-5259.6964179556089</c:v>
                </c:pt>
                <c:pt idx="164">
                  <c:v>-3698.1466814800588</c:v>
                </c:pt>
                <c:pt idx="165">
                  <c:v>-4264.7788809275407</c:v>
                </c:pt>
                <c:pt idx="166">
                  <c:v>-4133.1855932740455</c:v>
                </c:pt>
                <c:pt idx="167">
                  <c:v>-4068.9639158854225</c:v>
                </c:pt>
                <c:pt idx="168">
                  <c:v>-3608.8018651879102</c:v>
                </c:pt>
                <c:pt idx="169">
                  <c:v>-3978.2055198697471</c:v>
                </c:pt>
                <c:pt idx="170">
                  <c:v>-3799.2212892686348</c:v>
                </c:pt>
                <c:pt idx="171">
                  <c:v>-3451.3668631082628</c:v>
                </c:pt>
                <c:pt idx="172">
                  <c:v>-5922.7657200065951</c:v>
                </c:pt>
                <c:pt idx="173">
                  <c:v>-5130.838339053862</c:v>
                </c:pt>
                <c:pt idx="174">
                  <c:v>-3317.2050595062237</c:v>
                </c:pt>
                <c:pt idx="175">
                  <c:v>-4465.7638144513585</c:v>
                </c:pt>
                <c:pt idx="176">
                  <c:v>-3772.3176728098006</c:v>
                </c:pt>
                <c:pt idx="177">
                  <c:v>-4229.7282180323855</c:v>
                </c:pt>
                <c:pt idx="178">
                  <c:v>-4578.7774693533393</c:v>
                </c:pt>
                <c:pt idx="179">
                  <c:v>-4607.5187356428523</c:v>
                </c:pt>
                <c:pt idx="180">
                  <c:v>-4434.3699165055841</c:v>
                </c:pt>
                <c:pt idx="181">
                  <c:v>-4210.2824667248715</c:v>
                </c:pt>
                <c:pt idx="182">
                  <c:v>-3955.9523079327737</c:v>
                </c:pt>
                <c:pt idx="183">
                  <c:v>-3944.9437199923523</c:v>
                </c:pt>
                <c:pt idx="184">
                  <c:v>-4356.0511272428703</c:v>
                </c:pt>
                <c:pt idx="185">
                  <c:v>-4613.8221280383405</c:v>
                </c:pt>
                <c:pt idx="186">
                  <c:v>-4957.0946800563906</c:v>
                </c:pt>
                <c:pt idx="187">
                  <c:v>-4401.1133054215952</c:v>
                </c:pt>
                <c:pt idx="188">
                  <c:v>-5442.7225887828263</c:v>
                </c:pt>
                <c:pt idx="189">
                  <c:v>-3747.330407318861</c:v>
                </c:pt>
                <c:pt idx="190">
                  <c:v>-4287.694837457937</c:v>
                </c:pt>
                <c:pt idx="191">
                  <c:v>-4203.7564017715213</c:v>
                </c:pt>
                <c:pt idx="192">
                  <c:v>-4541.6482625830304</c:v>
                </c:pt>
                <c:pt idx="193">
                  <c:v>-4846.9849823177337</c:v>
                </c:pt>
                <c:pt idx="194">
                  <c:v>-4162.4273116992354</c:v>
                </c:pt>
                <c:pt idx="195">
                  <c:v>-4277.0919869720128</c:v>
                </c:pt>
                <c:pt idx="196">
                  <c:v>-4426.2749916642952</c:v>
                </c:pt>
                <c:pt idx="197">
                  <c:v>-4092.5645086342884</c:v>
                </c:pt>
                <c:pt idx="198">
                  <c:v>-3670.2024005784697</c:v>
                </c:pt>
                <c:pt idx="199">
                  <c:v>-5199.314907221009</c:v>
                </c:pt>
                <c:pt idx="200">
                  <c:v>-5146.62038819175</c:v>
                </c:pt>
                <c:pt idx="201">
                  <c:v>-3979.1532206419015</c:v>
                </c:pt>
                <c:pt idx="202">
                  <c:v>-3820.3685588980261</c:v>
                </c:pt>
                <c:pt idx="203">
                  <c:v>-3545.0992736866974</c:v>
                </c:pt>
                <c:pt idx="204">
                  <c:v>-4049.100647386018</c:v>
                </c:pt>
                <c:pt idx="205">
                  <c:v>-3305.5235611001699</c:v>
                </c:pt>
                <c:pt idx="206">
                  <c:v>-4466.3400716591204</c:v>
                </c:pt>
                <c:pt idx="207">
                  <c:v>-4415.7805668043584</c:v>
                </c:pt>
                <c:pt idx="208">
                  <c:v>-5226.9668145424639</c:v>
                </c:pt>
                <c:pt idx="209">
                  <c:v>-4187.9414167871364</c:v>
                </c:pt>
                <c:pt idx="210">
                  <c:v>-4312.086542892639</c:v>
                </c:pt>
                <c:pt idx="211">
                  <c:v>-4511.9077884113412</c:v>
                </c:pt>
                <c:pt idx="212">
                  <c:v>-3942.7475336700518</c:v>
                </c:pt>
                <c:pt idx="213">
                  <c:v>-4953.6354945843887</c:v>
                </c:pt>
                <c:pt idx="214">
                  <c:v>-3980.7718582994366</c:v>
                </c:pt>
                <c:pt idx="215">
                  <c:v>-4716.2296997998674</c:v>
                </c:pt>
                <c:pt idx="216">
                  <c:v>-4071.291108430758</c:v>
                </c:pt>
                <c:pt idx="217">
                  <c:v>-3566.7102452550407</c:v>
                </c:pt>
                <c:pt idx="218">
                  <c:v>-4616.6679595899059</c:v>
                </c:pt>
                <c:pt idx="219">
                  <c:v>-5494.1231004643942</c:v>
                </c:pt>
                <c:pt idx="220">
                  <c:v>-5055.7642438538878</c:v>
                </c:pt>
                <c:pt idx="221">
                  <c:v>-2991.4902442143866</c:v>
                </c:pt>
                <c:pt idx="222">
                  <c:v>-3790.8526591525242</c:v>
                </c:pt>
                <c:pt idx="223">
                  <c:v>-4763.4068795490239</c:v>
                </c:pt>
                <c:pt idx="224">
                  <c:v>-4276.1386043719885</c:v>
                </c:pt>
                <c:pt idx="225">
                  <c:v>-4680.801594890756</c:v>
                </c:pt>
                <c:pt idx="226">
                  <c:v>-4171.2186633154688</c:v>
                </c:pt>
                <c:pt idx="227">
                  <c:v>-3916.350155913553</c:v>
                </c:pt>
                <c:pt idx="228">
                  <c:v>-4813.0314042489881</c:v>
                </c:pt>
                <c:pt idx="229">
                  <c:v>-5626.4656962710014</c:v>
                </c:pt>
                <c:pt idx="230">
                  <c:v>-4634.942484880643</c:v>
                </c:pt>
                <c:pt idx="231">
                  <c:v>-5061.1890898707061</c:v>
                </c:pt>
                <c:pt idx="232">
                  <c:v>-4851.9522204787772</c:v>
                </c:pt>
                <c:pt idx="233">
                  <c:v>-5060.2229492888455</c:v>
                </c:pt>
                <c:pt idx="234">
                  <c:v>-4523.5107746435879</c:v>
                </c:pt>
                <c:pt idx="235">
                  <c:v>-4764.0341097906821</c:v>
                </c:pt>
                <c:pt idx="236">
                  <c:v>-4140.9144818818477</c:v>
                </c:pt>
                <c:pt idx="237">
                  <c:v>-3427.5854252780282</c:v>
                </c:pt>
                <c:pt idx="238">
                  <c:v>-4455.6046297713801</c:v>
                </c:pt>
                <c:pt idx="239">
                  <c:v>-4327.9681564299317</c:v>
                </c:pt>
                <c:pt idx="240">
                  <c:v>-4603.93927288956</c:v>
                </c:pt>
                <c:pt idx="241">
                  <c:v>-4411.4781707072543</c:v>
                </c:pt>
                <c:pt idx="242">
                  <c:v>-3969.7178562101089</c:v>
                </c:pt>
                <c:pt idx="243">
                  <c:v>-3355.6675168910569</c:v>
                </c:pt>
                <c:pt idx="244">
                  <c:v>-4619.7279529650314</c:v>
                </c:pt>
                <c:pt idx="245">
                  <c:v>-4132.9593524562588</c:v>
                </c:pt>
                <c:pt idx="246">
                  <c:v>-4665.3596630242228</c:v>
                </c:pt>
                <c:pt idx="247">
                  <c:v>-5202.7503161968434</c:v>
                </c:pt>
                <c:pt idx="248">
                  <c:v>-3730.1729609846243</c:v>
                </c:pt>
                <c:pt idx="249">
                  <c:v>-4149.035597916074</c:v>
                </c:pt>
                <c:pt idx="250">
                  <c:v>-4621.3103655077321</c:v>
                </c:pt>
                <c:pt idx="251">
                  <c:v>-4343.1619124027475</c:v>
                </c:pt>
                <c:pt idx="252">
                  <c:v>-4188.1881128706318</c:v>
                </c:pt>
                <c:pt idx="253">
                  <c:v>-4169.6454587627832</c:v>
                </c:pt>
                <c:pt idx="254">
                  <c:v>-4049.1254564546052</c:v>
                </c:pt>
                <c:pt idx="255">
                  <c:v>-4007.4450165489507</c:v>
                </c:pt>
                <c:pt idx="256">
                  <c:v>-5417.8047413648619</c:v>
                </c:pt>
                <c:pt idx="257">
                  <c:v>-4765.5073753682173</c:v>
                </c:pt>
                <c:pt idx="258">
                  <c:v>-3660.9392931037564</c:v>
                </c:pt>
                <c:pt idx="259">
                  <c:v>-4610.6594094369611</c:v>
                </c:pt>
                <c:pt idx="260">
                  <c:v>-3442.8970512785618</c:v>
                </c:pt>
                <c:pt idx="261">
                  <c:v>-3765.9472021107322</c:v>
                </c:pt>
                <c:pt idx="262">
                  <c:v>-4111.3403050698817</c:v>
                </c:pt>
                <c:pt idx="263">
                  <c:v>-5391.2527366836093</c:v>
                </c:pt>
                <c:pt idx="264">
                  <c:v>-4251.3702422346396</c:v>
                </c:pt>
                <c:pt idx="265">
                  <c:v>-5358.0674944165185</c:v>
                </c:pt>
                <c:pt idx="266">
                  <c:v>-4017.8049817189567</c:v>
                </c:pt>
                <c:pt idx="267">
                  <c:v>-3094.2565244276548</c:v>
                </c:pt>
                <c:pt idx="268">
                  <c:v>-4812.3985796271918</c:v>
                </c:pt>
                <c:pt idx="269">
                  <c:v>-5124.027742249129</c:v>
                </c:pt>
                <c:pt idx="270">
                  <c:v>-4677.6276145674037</c:v>
                </c:pt>
                <c:pt idx="271">
                  <c:v>-3877.0067932247985</c:v>
                </c:pt>
                <c:pt idx="272">
                  <c:v>-3470.6719044990177</c:v>
                </c:pt>
                <c:pt idx="273">
                  <c:v>-4181.0255060826621</c:v>
                </c:pt>
                <c:pt idx="274">
                  <c:v>-3865.8722217976392</c:v>
                </c:pt>
                <c:pt idx="275">
                  <c:v>-4058.0755901276771</c:v>
                </c:pt>
                <c:pt idx="276">
                  <c:v>-4571.2957680788804</c:v>
                </c:pt>
                <c:pt idx="277">
                  <c:v>-3606.3419489959415</c:v>
                </c:pt>
                <c:pt idx="278">
                  <c:v>-5259.9821819792433</c:v>
                </c:pt>
                <c:pt idx="279">
                  <c:v>-3357.1767265668313</c:v>
                </c:pt>
                <c:pt idx="280">
                  <c:v>-4686.1974040001642</c:v>
                </c:pt>
                <c:pt idx="281">
                  <c:v>-3944.4033217342276</c:v>
                </c:pt>
                <c:pt idx="282">
                  <c:v>-4616.3837478909136</c:v>
                </c:pt>
                <c:pt idx="283">
                  <c:v>-4094.3644413976017</c:v>
                </c:pt>
                <c:pt idx="284">
                  <c:v>-5263.9169389967356</c:v>
                </c:pt>
                <c:pt idx="285">
                  <c:v>-4123.2320380904148</c:v>
                </c:pt>
                <c:pt idx="286">
                  <c:v>-3856.3278295975288</c:v>
                </c:pt>
                <c:pt idx="287">
                  <c:v>-3589.3735088084322</c:v>
                </c:pt>
                <c:pt idx="288">
                  <c:v>-4158.6283595161003</c:v>
                </c:pt>
                <c:pt idx="289">
                  <c:v>-4202.9615397671951</c:v>
                </c:pt>
                <c:pt idx="290">
                  <c:v>-4567.495565055955</c:v>
                </c:pt>
                <c:pt idx="291">
                  <c:v>-4931.2237904288741</c:v>
                </c:pt>
                <c:pt idx="292">
                  <c:v>-5853.4254825116077</c:v>
                </c:pt>
                <c:pt idx="293">
                  <c:v>-4616.6381729342247</c:v>
                </c:pt>
                <c:pt idx="294">
                  <c:v>-5041.0015957368141</c:v>
                </c:pt>
                <c:pt idx="295">
                  <c:v>-3721.7739251176117</c:v>
                </c:pt>
                <c:pt idx="296">
                  <c:v>-4608.4037877694627</c:v>
                </c:pt>
                <c:pt idx="297">
                  <c:v>-4500.3735371792955</c:v>
                </c:pt>
                <c:pt idx="298">
                  <c:v>-4410.5893933719781</c:v>
                </c:pt>
                <c:pt idx="299">
                  <c:v>-4418.1669183855065</c:v>
                </c:pt>
                <c:pt idx="300">
                  <c:v>-4805.4677753687465</c:v>
                </c:pt>
                <c:pt idx="301">
                  <c:v>-3830.2966852321406</c:v>
                </c:pt>
                <c:pt idx="302">
                  <c:v>-4362.7871424576224</c:v>
                </c:pt>
                <c:pt idx="303">
                  <c:v>-4659.492489596727</c:v>
                </c:pt>
                <c:pt idx="304">
                  <c:v>-4420.7360020478245</c:v>
                </c:pt>
                <c:pt idx="305">
                  <c:v>-4060.1247685414455</c:v>
                </c:pt>
                <c:pt idx="306">
                  <c:v>-3878.8339556577521</c:v>
                </c:pt>
                <c:pt idx="307">
                  <c:v>-3882.6319736072546</c:v>
                </c:pt>
                <c:pt idx="308">
                  <c:v>-3992.4613805178415</c:v>
                </c:pt>
                <c:pt idx="309">
                  <c:v>-3987.5450013352329</c:v>
                </c:pt>
                <c:pt idx="310">
                  <c:v>-4959.3376641358263</c:v>
                </c:pt>
                <c:pt idx="311">
                  <c:v>-4544.0505522554704</c:v>
                </c:pt>
                <c:pt idx="312">
                  <c:v>-5951.8349894889143</c:v>
                </c:pt>
                <c:pt idx="313">
                  <c:v>-4404.6243208808519</c:v>
                </c:pt>
                <c:pt idx="314">
                  <c:v>-4545.6239404329935</c:v>
                </c:pt>
                <c:pt idx="315">
                  <c:v>-3888.7898558248598</c:v>
                </c:pt>
                <c:pt idx="316">
                  <c:v>-4686.6262883371364</c:v>
                </c:pt>
                <c:pt idx="317">
                  <c:v>-4038.4268314873425</c:v>
                </c:pt>
                <c:pt idx="318">
                  <c:v>-3877.3369930439603</c:v>
                </c:pt>
                <c:pt idx="319">
                  <c:v>-4251.8887439711598</c:v>
                </c:pt>
                <c:pt idx="320">
                  <c:v>-4602.5680275749837</c:v>
                </c:pt>
                <c:pt idx="321">
                  <c:v>-3970.8519524480889</c:v>
                </c:pt>
                <c:pt idx="322">
                  <c:v>-3322.1319896092091</c:v>
                </c:pt>
                <c:pt idx="323">
                  <c:v>-3768.8518719270578</c:v>
                </c:pt>
                <c:pt idx="324">
                  <c:v>-4147.1344852390084</c:v>
                </c:pt>
                <c:pt idx="325">
                  <c:v>-4662.652203142874</c:v>
                </c:pt>
                <c:pt idx="326">
                  <c:v>-4392.8178291877284</c:v>
                </c:pt>
                <c:pt idx="327">
                  <c:v>-4412.9938116381181</c:v>
                </c:pt>
                <c:pt idx="328">
                  <c:v>-4898.9454728386299</c:v>
                </c:pt>
                <c:pt idx="329">
                  <c:v>-3988.6170386697122</c:v>
                </c:pt>
                <c:pt idx="330">
                  <c:v>-4043.1291942262578</c:v>
                </c:pt>
                <c:pt idx="331">
                  <c:v>-4480.6210716880123</c:v>
                </c:pt>
                <c:pt idx="332">
                  <c:v>-3582.2054360796592</c:v>
                </c:pt>
                <c:pt idx="333">
                  <c:v>-4480.6232924069518</c:v>
                </c:pt>
                <c:pt idx="334">
                  <c:v>-4088.4114736710417</c:v>
                </c:pt>
                <c:pt idx="335">
                  <c:v>-3575.1748511003861</c:v>
                </c:pt>
                <c:pt idx="336">
                  <c:v>-4887.2436684645909</c:v>
                </c:pt>
                <c:pt idx="337">
                  <c:v>-4125.8261815434034</c:v>
                </c:pt>
                <c:pt idx="338">
                  <c:v>-3860.5771855602252</c:v>
                </c:pt>
                <c:pt idx="339">
                  <c:v>-4386.3547462538372</c:v>
                </c:pt>
                <c:pt idx="340">
                  <c:v>-5439.216574599679</c:v>
                </c:pt>
                <c:pt idx="341">
                  <c:v>-3723.0751714624967</c:v>
                </c:pt>
                <c:pt idx="342">
                  <c:v>-3674.2917146570871</c:v>
                </c:pt>
                <c:pt idx="343">
                  <c:v>-5064.7097584257008</c:v>
                </c:pt>
                <c:pt idx="344">
                  <c:v>-4453.5636730308324</c:v>
                </c:pt>
                <c:pt idx="345">
                  <c:v>-4534.3560130901551</c:v>
                </c:pt>
                <c:pt idx="346">
                  <c:v>-5718.8670611745165</c:v>
                </c:pt>
                <c:pt idx="347">
                  <c:v>-3562.8260890730617</c:v>
                </c:pt>
                <c:pt idx="348">
                  <c:v>-4595.019594144158</c:v>
                </c:pt>
                <c:pt idx="349">
                  <c:v>-4113.1327273421739</c:v>
                </c:pt>
                <c:pt idx="350">
                  <c:v>-4576.0253353905064</c:v>
                </c:pt>
                <c:pt idx="351">
                  <c:v>-3978.5082478612367</c:v>
                </c:pt>
                <c:pt idx="352">
                  <c:v>-3472.1565627350037</c:v>
                </c:pt>
                <c:pt idx="353">
                  <c:v>-5112.2539392049584</c:v>
                </c:pt>
                <c:pt idx="354">
                  <c:v>-4224.2963999424974</c:v>
                </c:pt>
                <c:pt idx="355">
                  <c:v>-4082.457036879201</c:v>
                </c:pt>
                <c:pt idx="356">
                  <c:v>-3607.2885386938797</c:v>
                </c:pt>
                <c:pt idx="357">
                  <c:v>-4107.1039471283075</c:v>
                </c:pt>
                <c:pt idx="358">
                  <c:v>-4709.262439760043</c:v>
                </c:pt>
                <c:pt idx="359">
                  <c:v>-3931.9298026694578</c:v>
                </c:pt>
                <c:pt idx="360">
                  <c:v>-4415.5536787446654</c:v>
                </c:pt>
                <c:pt idx="361">
                  <c:v>-3964.9667936119513</c:v>
                </c:pt>
                <c:pt idx="362">
                  <c:v>-3946.088091573205</c:v>
                </c:pt>
                <c:pt idx="363">
                  <c:v>-3611.8559106156899</c:v>
                </c:pt>
                <c:pt idx="364">
                  <c:v>-4446.0213360048037</c:v>
                </c:pt>
                <c:pt idx="365">
                  <c:v>-4938.7055486865247</c:v>
                </c:pt>
                <c:pt idx="366">
                  <c:v>-3788.6845786280264</c:v>
                </c:pt>
                <c:pt idx="367">
                  <c:v>-3508.371292947184</c:v>
                </c:pt>
                <c:pt idx="368">
                  <c:v>-3892.337979600994</c:v>
                </c:pt>
                <c:pt idx="369">
                  <c:v>-4709.7662797091434</c:v>
                </c:pt>
                <c:pt idx="370">
                  <c:v>-4290.9196920232662</c:v>
                </c:pt>
                <c:pt idx="371">
                  <c:v>-4623.0325249070647</c:v>
                </c:pt>
                <c:pt idx="372">
                  <c:v>-5634.3726440690461</c:v>
                </c:pt>
                <c:pt idx="373">
                  <c:v>-3931.9996360944951</c:v>
                </c:pt>
                <c:pt idx="374">
                  <c:v>-5586.7912641970852</c:v>
                </c:pt>
                <c:pt idx="375">
                  <c:v>-4305.8531924394738</c:v>
                </c:pt>
                <c:pt idx="376">
                  <c:v>-5108.781831587843</c:v>
                </c:pt>
                <c:pt idx="377">
                  <c:v>-4558.4390578310158</c:v>
                </c:pt>
                <c:pt idx="378">
                  <c:v>-4391.5734986110656</c:v>
                </c:pt>
                <c:pt idx="379">
                  <c:v>-4628.2029756030697</c:v>
                </c:pt>
                <c:pt idx="380">
                  <c:v>-4778.2191271543998</c:v>
                </c:pt>
                <c:pt idx="381">
                  <c:v>-4613.0328039267479</c:v>
                </c:pt>
                <c:pt idx="382">
                  <c:v>-4653.5604170508577</c:v>
                </c:pt>
                <c:pt idx="383">
                  <c:v>-5112.7801972036305</c:v>
                </c:pt>
                <c:pt idx="384">
                  <c:v>-3592.8963780929407</c:v>
                </c:pt>
                <c:pt idx="385">
                  <c:v>-4576.2365351724184</c:v>
                </c:pt>
                <c:pt idx="386">
                  <c:v>-3618.9757970230439</c:v>
                </c:pt>
                <c:pt idx="387">
                  <c:v>-4253.8657107085819</c:v>
                </c:pt>
                <c:pt idx="388">
                  <c:v>-4707.1166249078669</c:v>
                </c:pt>
                <c:pt idx="389">
                  <c:v>-4108.88243339568</c:v>
                </c:pt>
                <c:pt idx="390">
                  <c:v>-5621.5429988750984</c:v>
                </c:pt>
                <c:pt idx="391">
                  <c:v>-3998.9123224351097</c:v>
                </c:pt>
                <c:pt idx="392">
                  <c:v>-4206.2909700170057</c:v>
                </c:pt>
                <c:pt idx="393">
                  <c:v>-4301.2190087030231</c:v>
                </c:pt>
                <c:pt idx="394">
                  <c:v>-3626.0236292594982</c:v>
                </c:pt>
                <c:pt idx="395">
                  <c:v>-4878.0089327600999</c:v>
                </c:pt>
                <c:pt idx="396">
                  <c:v>-4927.4912166399517</c:v>
                </c:pt>
                <c:pt idx="397">
                  <c:v>-6069.0368672769673</c:v>
                </c:pt>
                <c:pt idx="398">
                  <c:v>-3770.951928267632</c:v>
                </c:pt>
                <c:pt idx="399">
                  <c:v>-4571.9540851694819</c:v>
                </c:pt>
                <c:pt idx="400">
                  <c:v>-4632.1883097175196</c:v>
                </c:pt>
                <c:pt idx="401">
                  <c:v>-5040.7910966867257</c:v>
                </c:pt>
                <c:pt idx="402">
                  <c:v>-4906.5520172821671</c:v>
                </c:pt>
                <c:pt idx="403">
                  <c:v>-4875.6366943988869</c:v>
                </c:pt>
                <c:pt idx="404">
                  <c:v>-5347.4178861051751</c:v>
                </c:pt>
                <c:pt idx="405">
                  <c:v>-3908.9036979950852</c:v>
                </c:pt>
                <c:pt idx="406">
                  <c:v>-4991.955201039993</c:v>
                </c:pt>
                <c:pt idx="407">
                  <c:v>-4670.3730949931432</c:v>
                </c:pt>
                <c:pt idx="408">
                  <c:v>-3985.5200047544022</c:v>
                </c:pt>
                <c:pt idx="409">
                  <c:v>-3946.9926197858458</c:v>
                </c:pt>
                <c:pt idx="410">
                  <c:v>-5074.236299676817</c:v>
                </c:pt>
                <c:pt idx="411">
                  <c:v>-4912.185092454858</c:v>
                </c:pt>
                <c:pt idx="412">
                  <c:v>-3666.2204008592744</c:v>
                </c:pt>
                <c:pt idx="413">
                  <c:v>-3503.6011703015965</c:v>
                </c:pt>
                <c:pt idx="414">
                  <c:v>-4332.349549093</c:v>
                </c:pt>
                <c:pt idx="415">
                  <c:v>-3885.1354959664204</c:v>
                </c:pt>
                <c:pt idx="416">
                  <c:v>-5047.0647107179175</c:v>
                </c:pt>
                <c:pt idx="417">
                  <c:v>-3426.4223023703789</c:v>
                </c:pt>
                <c:pt idx="418">
                  <c:v>-3835.0361048549366</c:v>
                </c:pt>
                <c:pt idx="419">
                  <c:v>-4414.6794190441251</c:v>
                </c:pt>
                <c:pt idx="420">
                  <c:v>-4745.937930512302</c:v>
                </c:pt>
                <c:pt idx="421">
                  <c:v>-4978.1945314780842</c:v>
                </c:pt>
                <c:pt idx="422">
                  <c:v>-4001.3094360454743</c:v>
                </c:pt>
                <c:pt idx="423">
                  <c:v>-3688.9678181547497</c:v>
                </c:pt>
                <c:pt idx="424">
                  <c:v>-4048.0561923318874</c:v>
                </c:pt>
                <c:pt idx="425">
                  <c:v>-3928.6736796377954</c:v>
                </c:pt>
                <c:pt idx="426">
                  <c:v>-4763.9102671044511</c:v>
                </c:pt>
                <c:pt idx="427">
                  <c:v>-5358.5412672072616</c:v>
                </c:pt>
                <c:pt idx="428">
                  <c:v>-3594.3726063835074</c:v>
                </c:pt>
                <c:pt idx="429">
                  <c:v>-4481.9487785040474</c:v>
                </c:pt>
                <c:pt idx="430">
                  <c:v>-4029.4785703450343</c:v>
                </c:pt>
                <c:pt idx="431">
                  <c:v>-4947.1909329338123</c:v>
                </c:pt>
                <c:pt idx="432">
                  <c:v>-3656.7087457086145</c:v>
                </c:pt>
                <c:pt idx="433">
                  <c:v>-4489.0024353129102</c:v>
                </c:pt>
                <c:pt idx="434">
                  <c:v>-4263.5334871755076</c:v>
                </c:pt>
                <c:pt idx="435">
                  <c:v>-4257.5456821541775</c:v>
                </c:pt>
                <c:pt idx="436">
                  <c:v>-4807.0653130085957</c:v>
                </c:pt>
                <c:pt idx="437">
                  <c:v>-4796.893095967318</c:v>
                </c:pt>
                <c:pt idx="438">
                  <c:v>-5372.9759349916458</c:v>
                </c:pt>
                <c:pt idx="439">
                  <c:v>-4255.3693498034227</c:v>
                </c:pt>
                <c:pt idx="440">
                  <c:v>-4072.0209203592003</c:v>
                </c:pt>
                <c:pt idx="441">
                  <c:v>-4012.3809236757152</c:v>
                </c:pt>
                <c:pt idx="442">
                  <c:v>-3888.952792213342</c:v>
                </c:pt>
                <c:pt idx="443">
                  <c:v>-4704.5285191049643</c:v>
                </c:pt>
                <c:pt idx="444">
                  <c:v>-5639.1208793703772</c:v>
                </c:pt>
                <c:pt idx="445">
                  <c:v>-4441.5964649820016</c:v>
                </c:pt>
                <c:pt idx="446">
                  <c:v>-3780.4197241778365</c:v>
                </c:pt>
                <c:pt idx="447">
                  <c:v>-4852.9072841009911</c:v>
                </c:pt>
                <c:pt idx="448">
                  <c:v>-5089.9000358739358</c:v>
                </c:pt>
                <c:pt idx="449">
                  <c:v>-4709.592518960726</c:v>
                </c:pt>
                <c:pt idx="450">
                  <c:v>-4196.1538444579874</c:v>
                </c:pt>
                <c:pt idx="451">
                  <c:v>-4295.7651605889205</c:v>
                </c:pt>
                <c:pt idx="452">
                  <c:v>-4345.904904494435</c:v>
                </c:pt>
                <c:pt idx="453">
                  <c:v>-4759.1990332066507</c:v>
                </c:pt>
                <c:pt idx="454">
                  <c:v>-4623.8890696327526</c:v>
                </c:pt>
                <c:pt idx="455">
                  <c:v>-4538.7584641858302</c:v>
                </c:pt>
                <c:pt idx="456">
                  <c:v>-4746.2252652025491</c:v>
                </c:pt>
                <c:pt idx="457">
                  <c:v>-5078.6757560190963</c:v>
                </c:pt>
                <c:pt idx="458">
                  <c:v>-3995.1634238666993</c:v>
                </c:pt>
                <c:pt idx="459">
                  <c:v>-4038.1581507377268</c:v>
                </c:pt>
                <c:pt idx="460">
                  <c:v>-4567.7933273534618</c:v>
                </c:pt>
                <c:pt idx="461">
                  <c:v>-4643.724646622708</c:v>
                </c:pt>
                <c:pt idx="462">
                  <c:v>-3877.2755304030197</c:v>
                </c:pt>
                <c:pt idx="463">
                  <c:v>-4609.8126364816017</c:v>
                </c:pt>
                <c:pt idx="464">
                  <c:v>-3269.6431931147636</c:v>
                </c:pt>
                <c:pt idx="465">
                  <c:v>-3852.7237613911348</c:v>
                </c:pt>
                <c:pt idx="466">
                  <c:v>-4274.4865450967991</c:v>
                </c:pt>
                <c:pt idx="467">
                  <c:v>-4186.6266022201016</c:v>
                </c:pt>
                <c:pt idx="468">
                  <c:v>-4130.1560899050073</c:v>
                </c:pt>
                <c:pt idx="469">
                  <c:v>-5325.1862194143341</c:v>
                </c:pt>
                <c:pt idx="470">
                  <c:v>-3629.7117830490006</c:v>
                </c:pt>
                <c:pt idx="471">
                  <c:v>-4107.2247448963899</c:v>
                </c:pt>
                <c:pt idx="472">
                  <c:v>-3811.0134419329788</c:v>
                </c:pt>
                <c:pt idx="473">
                  <c:v>-3850.4786974829567</c:v>
                </c:pt>
                <c:pt idx="474">
                  <c:v>-5227.1760300837013</c:v>
                </c:pt>
                <c:pt idx="475">
                  <c:v>-3842.6205079434949</c:v>
                </c:pt>
                <c:pt idx="476">
                  <c:v>-4365.9962229326247</c:v>
                </c:pt>
                <c:pt idx="477">
                  <c:v>-4563.6770260170961</c:v>
                </c:pt>
                <c:pt idx="478">
                  <c:v>-3982.7818464967513</c:v>
                </c:pt>
                <c:pt idx="479">
                  <c:v>-3852.7415813085827</c:v>
                </c:pt>
                <c:pt idx="480">
                  <c:v>-4993.5587228915338</c:v>
                </c:pt>
                <c:pt idx="481">
                  <c:v>-4288.0364838246078</c:v>
                </c:pt>
                <c:pt idx="482">
                  <c:v>-4401.2713862234832</c:v>
                </c:pt>
                <c:pt idx="483">
                  <c:v>-4239.6979299243412</c:v>
                </c:pt>
                <c:pt idx="484">
                  <c:v>-4308.2212235654915</c:v>
                </c:pt>
                <c:pt idx="485">
                  <c:v>-4568.2140577313203</c:v>
                </c:pt>
                <c:pt idx="486">
                  <c:v>-4012.3715865486065</c:v>
                </c:pt>
                <c:pt idx="487">
                  <c:v>-3710.7791499886462</c:v>
                </c:pt>
                <c:pt idx="488">
                  <c:v>-3486.1227948562928</c:v>
                </c:pt>
                <c:pt idx="489">
                  <c:v>-3934.9586496305019</c:v>
                </c:pt>
                <c:pt idx="490">
                  <c:v>-4051.0574209749702</c:v>
                </c:pt>
                <c:pt idx="491">
                  <c:v>-4975.6609008431133</c:v>
                </c:pt>
                <c:pt idx="492">
                  <c:v>-5142.5501547838558</c:v>
                </c:pt>
                <c:pt idx="493">
                  <c:v>-4119.9816631225767</c:v>
                </c:pt>
                <c:pt idx="494">
                  <c:v>-4628.1203969284197</c:v>
                </c:pt>
                <c:pt idx="495">
                  <c:v>-4702.3414325754911</c:v>
                </c:pt>
                <c:pt idx="496">
                  <c:v>-5171.689693391625</c:v>
                </c:pt>
                <c:pt idx="497">
                  <c:v>-4976.1876168628005</c:v>
                </c:pt>
                <c:pt idx="498">
                  <c:v>-4133.8389531747307</c:v>
                </c:pt>
                <c:pt idx="499">
                  <c:v>-5556.1685767326908</c:v>
                </c:pt>
                <c:pt idx="500">
                  <c:v>-5548.5052726582035</c:v>
                </c:pt>
                <c:pt idx="501">
                  <c:v>-3640.0294180019428</c:v>
                </c:pt>
                <c:pt idx="502">
                  <c:v>-4116.5229926893899</c:v>
                </c:pt>
                <c:pt idx="503">
                  <c:v>-4089.5272658275444</c:v>
                </c:pt>
                <c:pt idx="504">
                  <c:v>-4094.5339358812053</c:v>
                </c:pt>
                <c:pt idx="505">
                  <c:v>-4633.4789013833433</c:v>
                </c:pt>
                <c:pt idx="506">
                  <c:v>-5005.4588786788008</c:v>
                </c:pt>
                <c:pt idx="507">
                  <c:v>-3871.6101257415139</c:v>
                </c:pt>
                <c:pt idx="508">
                  <c:v>-3956.2679235664946</c:v>
                </c:pt>
                <c:pt idx="509">
                  <c:v>-5093.3561925168069</c:v>
                </c:pt>
                <c:pt idx="510">
                  <c:v>-4787.5712590260628</c:v>
                </c:pt>
                <c:pt idx="511">
                  <c:v>-3664.0309371848634</c:v>
                </c:pt>
                <c:pt idx="512">
                  <c:v>-3764.2590143710149</c:v>
                </c:pt>
                <c:pt idx="513">
                  <c:v>-4441.8458529223026</c:v>
                </c:pt>
                <c:pt idx="514">
                  <c:v>-4419.3504358028713</c:v>
                </c:pt>
                <c:pt idx="515">
                  <c:v>-5143.4254893954621</c:v>
                </c:pt>
                <c:pt idx="516">
                  <c:v>-4225.8880207482034</c:v>
                </c:pt>
                <c:pt idx="517">
                  <c:v>-4867.132302181355</c:v>
                </c:pt>
                <c:pt idx="518">
                  <c:v>-3765.5384912478003</c:v>
                </c:pt>
                <c:pt idx="519">
                  <c:v>-4096.8517308430783</c:v>
                </c:pt>
                <c:pt idx="520">
                  <c:v>-4078.3878663737796</c:v>
                </c:pt>
                <c:pt idx="521">
                  <c:v>-4493.6762626774889</c:v>
                </c:pt>
                <c:pt idx="522">
                  <c:v>-5219.7183315221337</c:v>
                </c:pt>
                <c:pt idx="523">
                  <c:v>-3953.8600317099572</c:v>
                </c:pt>
                <c:pt idx="524">
                  <c:v>-4346.9829803238881</c:v>
                </c:pt>
                <c:pt idx="525">
                  <c:v>-4632.509159965779</c:v>
                </c:pt>
                <c:pt idx="526">
                  <c:v>-4565.6809270794347</c:v>
                </c:pt>
                <c:pt idx="527">
                  <c:v>-4833.3356415205963</c:v>
                </c:pt>
                <c:pt idx="528">
                  <c:v>-5017.139060909607</c:v>
                </c:pt>
                <c:pt idx="529">
                  <c:v>-4447.8614906868625</c:v>
                </c:pt>
                <c:pt idx="530">
                  <c:v>-3564.4012735260676</c:v>
                </c:pt>
                <c:pt idx="531">
                  <c:v>-4938.2923239752472</c:v>
                </c:pt>
                <c:pt idx="532">
                  <c:v>-4577.9927562362082</c:v>
                </c:pt>
                <c:pt idx="533">
                  <c:v>-3294.4914875623799</c:v>
                </c:pt>
                <c:pt idx="534">
                  <c:v>-4269.2657325267628</c:v>
                </c:pt>
                <c:pt idx="535">
                  <c:v>-4487.9899858190238</c:v>
                </c:pt>
                <c:pt idx="536">
                  <c:v>-3647.119824434425</c:v>
                </c:pt>
                <c:pt idx="537">
                  <c:v>-5265.035534656603</c:v>
                </c:pt>
                <c:pt idx="538">
                  <c:v>-4335.0395409856137</c:v>
                </c:pt>
                <c:pt idx="539">
                  <c:v>-5422.4731731942884</c:v>
                </c:pt>
                <c:pt idx="540">
                  <c:v>-5257.0232017723247</c:v>
                </c:pt>
                <c:pt idx="541">
                  <c:v>-4675.1134647851868</c:v>
                </c:pt>
                <c:pt idx="542">
                  <c:v>-5621.5006978837882</c:v>
                </c:pt>
                <c:pt idx="543">
                  <c:v>-3781.5867269110277</c:v>
                </c:pt>
                <c:pt idx="544">
                  <c:v>-4960.3861173549176</c:v>
                </c:pt>
                <c:pt idx="545">
                  <c:v>-4539.2464097260818</c:v>
                </c:pt>
                <c:pt idx="546">
                  <c:v>-4748.3312322823767</c:v>
                </c:pt>
                <c:pt idx="547">
                  <c:v>-4033.7060758625666</c:v>
                </c:pt>
                <c:pt idx="548">
                  <c:v>-4438.9167213212204</c:v>
                </c:pt>
                <c:pt idx="549">
                  <c:v>-4276.9590510695816</c:v>
                </c:pt>
                <c:pt idx="550">
                  <c:v>-5481.5984450580108</c:v>
                </c:pt>
                <c:pt idx="551">
                  <c:v>-5271.6505240833758</c:v>
                </c:pt>
                <c:pt idx="552">
                  <c:v>-3177.7422142109499</c:v>
                </c:pt>
                <c:pt idx="553">
                  <c:v>-3854.6950286160372</c:v>
                </c:pt>
                <c:pt idx="554">
                  <c:v>-4666.9338669912395</c:v>
                </c:pt>
                <c:pt idx="555">
                  <c:v>-4215.8290794698805</c:v>
                </c:pt>
                <c:pt idx="556">
                  <c:v>-3918.4170666173286</c:v>
                </c:pt>
                <c:pt idx="557">
                  <c:v>-4640.4209938664317</c:v>
                </c:pt>
                <c:pt idx="558">
                  <c:v>-4604.7571461274747</c:v>
                </c:pt>
                <c:pt idx="559">
                  <c:v>-4345.1987914497786</c:v>
                </c:pt>
                <c:pt idx="560">
                  <c:v>-4288.8724593557745</c:v>
                </c:pt>
                <c:pt idx="561">
                  <c:v>-5188.1298107532311</c:v>
                </c:pt>
                <c:pt idx="562">
                  <c:v>-3558.6116037601023</c:v>
                </c:pt>
                <c:pt idx="563">
                  <c:v>-3721.7607647807054</c:v>
                </c:pt>
                <c:pt idx="564">
                  <c:v>-4438.4914541673497</c:v>
                </c:pt>
                <c:pt idx="565">
                  <c:v>-3634.384405885723</c:v>
                </c:pt>
                <c:pt idx="566">
                  <c:v>-3879.1981853426332</c:v>
                </c:pt>
                <c:pt idx="567">
                  <c:v>-4537.7555408244079</c:v>
                </c:pt>
                <c:pt idx="568">
                  <c:v>-5267.8840622365969</c:v>
                </c:pt>
                <c:pt idx="569">
                  <c:v>-4065.6328762306257</c:v>
                </c:pt>
                <c:pt idx="570">
                  <c:v>-5237.2305884683028</c:v>
                </c:pt>
                <c:pt idx="571">
                  <c:v>-5211.3174595923902</c:v>
                </c:pt>
                <c:pt idx="572">
                  <c:v>-5557.4673011368886</c:v>
                </c:pt>
                <c:pt idx="573">
                  <c:v>-4569.2709348093922</c:v>
                </c:pt>
                <c:pt idx="574">
                  <c:v>-4169.9374877193095</c:v>
                </c:pt>
                <c:pt idx="575">
                  <c:v>-4642.1736018930842</c:v>
                </c:pt>
                <c:pt idx="576">
                  <c:v>-4525.622546713681</c:v>
                </c:pt>
                <c:pt idx="577">
                  <c:v>-3617.6066944976756</c:v>
                </c:pt>
                <c:pt idx="578">
                  <c:v>-3529.5788461572602</c:v>
                </c:pt>
                <c:pt idx="579">
                  <c:v>-4869.9009303602161</c:v>
                </c:pt>
                <c:pt idx="580">
                  <c:v>-4529.1669505654536</c:v>
                </c:pt>
                <c:pt idx="581">
                  <c:v>-4946.1032195333592</c:v>
                </c:pt>
                <c:pt idx="582">
                  <c:v>-3816.0754049854586</c:v>
                </c:pt>
                <c:pt idx="583">
                  <c:v>-5009.1350115040259</c:v>
                </c:pt>
                <c:pt idx="584">
                  <c:v>-4036.4020207206595</c:v>
                </c:pt>
                <c:pt idx="585">
                  <c:v>-3878.2432570825094</c:v>
                </c:pt>
                <c:pt idx="586">
                  <c:v>-4737.9583020292157</c:v>
                </c:pt>
                <c:pt idx="587">
                  <c:v>-4124.9669566789544</c:v>
                </c:pt>
                <c:pt idx="588">
                  <c:v>-3948.7236554907049</c:v>
                </c:pt>
                <c:pt idx="589">
                  <c:v>-4884.7847368292551</c:v>
                </c:pt>
                <c:pt idx="590">
                  <c:v>-5527.1605809913381</c:v>
                </c:pt>
                <c:pt idx="591">
                  <c:v>-4563.1904659243701</c:v>
                </c:pt>
                <c:pt idx="592">
                  <c:v>-3891.0800227297495</c:v>
                </c:pt>
                <c:pt idx="593">
                  <c:v>-3837.1567911482125</c:v>
                </c:pt>
                <c:pt idx="594">
                  <c:v>-4244.65805789148</c:v>
                </c:pt>
                <c:pt idx="595">
                  <c:v>-4527.2156552249999</c:v>
                </c:pt>
                <c:pt idx="596">
                  <c:v>-4169.1865247458336</c:v>
                </c:pt>
                <c:pt idx="597">
                  <c:v>-4313.1256412578969</c:v>
                </c:pt>
                <c:pt idx="598">
                  <c:v>-3904.7494477740511</c:v>
                </c:pt>
                <c:pt idx="599">
                  <c:v>-5307.8416444886097</c:v>
                </c:pt>
                <c:pt idx="600">
                  <c:v>-3815.0271818317942</c:v>
                </c:pt>
                <c:pt idx="601">
                  <c:v>-3267.2619560368566</c:v>
                </c:pt>
                <c:pt idx="602">
                  <c:v>-4416.6063426008895</c:v>
                </c:pt>
                <c:pt idx="603">
                  <c:v>-3525.4123698393487</c:v>
                </c:pt>
                <c:pt idx="604">
                  <c:v>-3983.8334610604506</c:v>
                </c:pt>
                <c:pt idx="605">
                  <c:v>-4532.9687512401069</c:v>
                </c:pt>
                <c:pt idx="606">
                  <c:v>-4106.5646950478331</c:v>
                </c:pt>
                <c:pt idx="607">
                  <c:v>-4869.6044628033014</c:v>
                </c:pt>
                <c:pt idx="608">
                  <c:v>-5340.4410113510185</c:v>
                </c:pt>
                <c:pt idx="609">
                  <c:v>-4899.1782989720377</c:v>
                </c:pt>
                <c:pt idx="610">
                  <c:v>-4687.5132224523149</c:v>
                </c:pt>
                <c:pt idx="611">
                  <c:v>-3968.7403045542833</c:v>
                </c:pt>
                <c:pt idx="612">
                  <c:v>-4168.81933062604</c:v>
                </c:pt>
                <c:pt idx="613">
                  <c:v>-3898.7884240783133</c:v>
                </c:pt>
                <c:pt idx="614">
                  <c:v>-3175.5374184750344</c:v>
                </c:pt>
                <c:pt idx="615">
                  <c:v>-4623.615785069147</c:v>
                </c:pt>
                <c:pt idx="616">
                  <c:v>-4218.3571466221165</c:v>
                </c:pt>
                <c:pt idx="617">
                  <c:v>-4128.6042396431167</c:v>
                </c:pt>
                <c:pt idx="618">
                  <c:v>-4386.1907972950485</c:v>
                </c:pt>
                <c:pt idx="619">
                  <c:v>-4164.1156719473765</c:v>
                </c:pt>
                <c:pt idx="620">
                  <c:v>-3907.9656780112418</c:v>
                </c:pt>
                <c:pt idx="621">
                  <c:v>-4651.0185921504017</c:v>
                </c:pt>
                <c:pt idx="622">
                  <c:v>-5056.1179973161215</c:v>
                </c:pt>
                <c:pt idx="623">
                  <c:v>-3948.0755473941917</c:v>
                </c:pt>
                <c:pt idx="624">
                  <c:v>-4062.3090052827556</c:v>
                </c:pt>
                <c:pt idx="625">
                  <c:v>-4312.6450683119037</c:v>
                </c:pt>
                <c:pt idx="626">
                  <c:v>-4283.4573099484551</c:v>
                </c:pt>
                <c:pt idx="627">
                  <c:v>-4337.7163924914421</c:v>
                </c:pt>
                <c:pt idx="628">
                  <c:v>-4244.0912090190577</c:v>
                </c:pt>
                <c:pt idx="629">
                  <c:v>-4515.9508032057965</c:v>
                </c:pt>
                <c:pt idx="630">
                  <c:v>-4878.2085348041383</c:v>
                </c:pt>
                <c:pt idx="631">
                  <c:v>-5261.049133312632</c:v>
                </c:pt>
                <c:pt idx="632">
                  <c:v>-3394.2123109016984</c:v>
                </c:pt>
                <c:pt idx="633">
                  <c:v>-4336.844288814189</c:v>
                </c:pt>
                <c:pt idx="634">
                  <c:v>-4574.3343348407707</c:v>
                </c:pt>
                <c:pt idx="635">
                  <c:v>-3732.4321594900284</c:v>
                </c:pt>
                <c:pt idx="636">
                  <c:v>-4293.0415178525454</c:v>
                </c:pt>
                <c:pt idx="637">
                  <c:v>-4441.5584941921261</c:v>
                </c:pt>
                <c:pt idx="638">
                  <c:v>-4066.4365743257422</c:v>
                </c:pt>
                <c:pt idx="639">
                  <c:v>-4825.0548065063576</c:v>
                </c:pt>
                <c:pt idx="640">
                  <c:v>-4426.7299550037642</c:v>
                </c:pt>
                <c:pt idx="641">
                  <c:v>-4135.4558084150558</c:v>
                </c:pt>
                <c:pt idx="642">
                  <c:v>-4403.2358373690568</c:v>
                </c:pt>
                <c:pt idx="643">
                  <c:v>-3695.4568327418365</c:v>
                </c:pt>
                <c:pt idx="644">
                  <c:v>-5081.0615836535435</c:v>
                </c:pt>
                <c:pt idx="645">
                  <c:v>-4487.7043308819793</c:v>
                </c:pt>
                <c:pt idx="646">
                  <c:v>-4335.7223947791808</c:v>
                </c:pt>
                <c:pt idx="647">
                  <c:v>-4432.5383573037252</c:v>
                </c:pt>
                <c:pt idx="648">
                  <c:v>-3622.458092663941</c:v>
                </c:pt>
                <c:pt idx="649">
                  <c:v>-3602.6012538281248</c:v>
                </c:pt>
                <c:pt idx="650">
                  <c:v>-4564.8704869424364</c:v>
                </c:pt>
                <c:pt idx="651">
                  <c:v>-4264.4993629735345</c:v>
                </c:pt>
                <c:pt idx="652">
                  <c:v>-4137.4865135929758</c:v>
                </c:pt>
                <c:pt idx="653">
                  <c:v>-4960.8259027607401</c:v>
                </c:pt>
                <c:pt idx="654">
                  <c:v>-3575.5124149781241</c:v>
                </c:pt>
                <c:pt idx="655">
                  <c:v>-3611.1600288765603</c:v>
                </c:pt>
                <c:pt idx="656">
                  <c:v>-3639.9139615710064</c:v>
                </c:pt>
                <c:pt idx="657">
                  <c:v>-4789.3335309157937</c:v>
                </c:pt>
                <c:pt idx="658">
                  <c:v>-4721.5856737151389</c:v>
                </c:pt>
                <c:pt idx="659">
                  <c:v>-4027.6983240612371</c:v>
                </c:pt>
                <c:pt idx="660">
                  <c:v>-5455.7169733864484</c:v>
                </c:pt>
                <c:pt idx="661">
                  <c:v>-3727.6793346887098</c:v>
                </c:pt>
                <c:pt idx="662">
                  <c:v>-4070.0408674860955</c:v>
                </c:pt>
                <c:pt idx="663">
                  <c:v>-4036.6928904928645</c:v>
                </c:pt>
                <c:pt idx="664">
                  <c:v>-4912.1299712169548</c:v>
                </c:pt>
                <c:pt idx="665">
                  <c:v>-3471.9064349368646</c:v>
                </c:pt>
                <c:pt idx="666">
                  <c:v>-4281.0805522959636</c:v>
                </c:pt>
                <c:pt idx="667">
                  <c:v>-3469.3381375375329</c:v>
                </c:pt>
                <c:pt idx="668">
                  <c:v>-4016.3093263799601</c:v>
                </c:pt>
                <c:pt idx="669">
                  <c:v>-4196.2728753631509</c:v>
                </c:pt>
                <c:pt idx="670">
                  <c:v>-3660.7637818061648</c:v>
                </c:pt>
                <c:pt idx="671">
                  <c:v>-5013.9859717441959</c:v>
                </c:pt>
                <c:pt idx="672">
                  <c:v>-5871.0522416225267</c:v>
                </c:pt>
                <c:pt idx="673">
                  <c:v>-5700.6410962384907</c:v>
                </c:pt>
                <c:pt idx="674">
                  <c:v>-4580.8002452873061</c:v>
                </c:pt>
                <c:pt idx="675">
                  <c:v>-4189.1353085427945</c:v>
                </c:pt>
                <c:pt idx="676">
                  <c:v>-4853.4110535892123</c:v>
                </c:pt>
                <c:pt idx="677">
                  <c:v>-3984.7566249634856</c:v>
                </c:pt>
                <c:pt idx="678">
                  <c:v>-4771.5794203097503</c:v>
                </c:pt>
                <c:pt idx="679">
                  <c:v>-4562.4524592175367</c:v>
                </c:pt>
                <c:pt idx="680">
                  <c:v>-4390.0199457946183</c:v>
                </c:pt>
                <c:pt idx="681">
                  <c:v>-6474.2313860736231</c:v>
                </c:pt>
                <c:pt idx="682">
                  <c:v>-3848.3100890434744</c:v>
                </c:pt>
                <c:pt idx="683">
                  <c:v>-4776.2374846377152</c:v>
                </c:pt>
                <c:pt idx="684">
                  <c:v>-5259.4782572036565</c:v>
                </c:pt>
                <c:pt idx="685">
                  <c:v>-4285.5295712070147</c:v>
                </c:pt>
                <c:pt idx="686">
                  <c:v>-4612.2073550503592</c:v>
                </c:pt>
                <c:pt idx="687">
                  <c:v>-4446.1050180097609</c:v>
                </c:pt>
                <c:pt idx="688">
                  <c:v>-5232.8729927984496</c:v>
                </c:pt>
                <c:pt idx="689">
                  <c:v>-5365.152562777057</c:v>
                </c:pt>
                <c:pt idx="690">
                  <c:v>-4759.3035191035906</c:v>
                </c:pt>
                <c:pt idx="691">
                  <c:v>-3804.7288242220784</c:v>
                </c:pt>
                <c:pt idx="692">
                  <c:v>-4521.3785530617042</c:v>
                </c:pt>
                <c:pt idx="693">
                  <c:v>-3978.4719455725281</c:v>
                </c:pt>
                <c:pt idx="694">
                  <c:v>-4423.4387555616559</c:v>
                </c:pt>
                <c:pt idx="695">
                  <c:v>-4975.790945842371</c:v>
                </c:pt>
                <c:pt idx="696">
                  <c:v>-4095.5790155221184</c:v>
                </c:pt>
                <c:pt idx="697">
                  <c:v>-4721.6767707538584</c:v>
                </c:pt>
                <c:pt idx="698">
                  <c:v>-3816.7427162566546</c:v>
                </c:pt>
                <c:pt idx="699">
                  <c:v>-4126.0400842637137</c:v>
                </c:pt>
                <c:pt idx="700">
                  <c:v>-5058.0508171517504</c:v>
                </c:pt>
                <c:pt idx="701">
                  <c:v>-4028.2622031144165</c:v>
                </c:pt>
                <c:pt idx="702">
                  <c:v>-3636.7654647957806</c:v>
                </c:pt>
                <c:pt idx="703">
                  <c:v>-4345.5399406876204</c:v>
                </c:pt>
                <c:pt idx="704">
                  <c:v>-5502.397642874781</c:v>
                </c:pt>
                <c:pt idx="705">
                  <c:v>-4342.4049778324443</c:v>
                </c:pt>
                <c:pt idx="706">
                  <c:v>-4127.8140093489455</c:v>
                </c:pt>
                <c:pt idx="707">
                  <c:v>-4469.8376594384135</c:v>
                </c:pt>
                <c:pt idx="708">
                  <c:v>-4741.2864985996857</c:v>
                </c:pt>
                <c:pt idx="709">
                  <c:v>-3787.3445890735638</c:v>
                </c:pt>
                <c:pt idx="710">
                  <c:v>-4056.1048739776506</c:v>
                </c:pt>
                <c:pt idx="711">
                  <c:v>-5173.559551911354</c:v>
                </c:pt>
                <c:pt idx="712">
                  <c:v>-3682.5629945649562</c:v>
                </c:pt>
                <c:pt idx="713">
                  <c:v>-5252.0858763548076</c:v>
                </c:pt>
                <c:pt idx="714">
                  <c:v>-4160.7982127728483</c:v>
                </c:pt>
                <c:pt idx="715">
                  <c:v>-4013.1703050805263</c:v>
                </c:pt>
                <c:pt idx="716">
                  <c:v>-4152.152417574096</c:v>
                </c:pt>
                <c:pt idx="717">
                  <c:v>-3665.8459345553201</c:v>
                </c:pt>
                <c:pt idx="718">
                  <c:v>-4793.2643461861499</c:v>
                </c:pt>
                <c:pt idx="719">
                  <c:v>-4015.3969522459574</c:v>
                </c:pt>
                <c:pt idx="720">
                  <c:v>-3463.1868749769919</c:v>
                </c:pt>
                <c:pt idx="721">
                  <c:v>-4681.33542054192</c:v>
                </c:pt>
                <c:pt idx="722">
                  <c:v>-4203.5554748827271</c:v>
                </c:pt>
                <c:pt idx="723">
                  <c:v>-4574.4661210650174</c:v>
                </c:pt>
                <c:pt idx="724">
                  <c:v>-5197.0474541663316</c:v>
                </c:pt>
                <c:pt idx="725">
                  <c:v>-4926.8010674238249</c:v>
                </c:pt>
                <c:pt idx="726">
                  <c:v>-4383.7311317201747</c:v>
                </c:pt>
                <c:pt idx="727">
                  <c:v>-4659.0130080683757</c:v>
                </c:pt>
                <c:pt idx="728">
                  <c:v>-3681.6778373668676</c:v>
                </c:pt>
                <c:pt idx="729">
                  <c:v>-4079.0591553755075</c:v>
                </c:pt>
                <c:pt idx="730">
                  <c:v>-5107.9436790347863</c:v>
                </c:pt>
                <c:pt idx="731">
                  <c:v>-3803.3627539972495</c:v>
                </c:pt>
                <c:pt idx="732">
                  <c:v>-4632.6496831887143</c:v>
                </c:pt>
                <c:pt idx="733">
                  <c:v>-5031.2553283982706</c:v>
                </c:pt>
                <c:pt idx="734">
                  <c:v>-4051.9821782284798</c:v>
                </c:pt>
                <c:pt idx="735">
                  <c:v>-5787.1556697806809</c:v>
                </c:pt>
                <c:pt idx="736">
                  <c:v>-3843.8302796963053</c:v>
                </c:pt>
                <c:pt idx="737">
                  <c:v>-4371.4954796712555</c:v>
                </c:pt>
                <c:pt idx="738">
                  <c:v>-4135.1804362845724</c:v>
                </c:pt>
                <c:pt idx="739">
                  <c:v>-5532.9687791996512</c:v>
                </c:pt>
                <c:pt idx="740">
                  <c:v>-4634.1303359540252</c:v>
                </c:pt>
                <c:pt idx="741">
                  <c:v>-3909.4407768152978</c:v>
                </c:pt>
                <c:pt idx="742">
                  <c:v>-4376.0400971598883</c:v>
                </c:pt>
                <c:pt idx="743">
                  <c:v>-4427.2971910114811</c:v>
                </c:pt>
                <c:pt idx="744">
                  <c:v>-4604.0689901843889</c:v>
                </c:pt>
                <c:pt idx="745">
                  <c:v>-4043.2536167936923</c:v>
                </c:pt>
                <c:pt idx="746">
                  <c:v>-3811.7143193558859</c:v>
                </c:pt>
                <c:pt idx="747">
                  <c:v>-3833.733524226529</c:v>
                </c:pt>
                <c:pt idx="748">
                  <c:v>-4211.6093879628752</c:v>
                </c:pt>
                <c:pt idx="749">
                  <c:v>-3538.9297225526243</c:v>
                </c:pt>
                <c:pt idx="750">
                  <c:v>-4722.5708251735632</c:v>
                </c:pt>
                <c:pt idx="751">
                  <c:v>-4086.8908442410138</c:v>
                </c:pt>
                <c:pt idx="752">
                  <c:v>-5095.0541130552392</c:v>
                </c:pt>
                <c:pt idx="753">
                  <c:v>-5714.762628118955</c:v>
                </c:pt>
                <c:pt idx="754">
                  <c:v>-5178.7623322196196</c:v>
                </c:pt>
                <c:pt idx="755">
                  <c:v>-3266.5514789460249</c:v>
                </c:pt>
                <c:pt idx="756">
                  <c:v>-5313.8447949216152</c:v>
                </c:pt>
                <c:pt idx="757">
                  <c:v>-4221.0170921730496</c:v>
                </c:pt>
                <c:pt idx="758">
                  <c:v>-4079.5692556493486</c:v>
                </c:pt>
                <c:pt idx="759">
                  <c:v>-5351.7781057669672</c:v>
                </c:pt>
                <c:pt idx="760">
                  <c:v>-4958.5834081527009</c:v>
                </c:pt>
                <c:pt idx="761">
                  <c:v>-3993.6292026406372</c:v>
                </c:pt>
                <c:pt idx="762">
                  <c:v>-4742.4489518465416</c:v>
                </c:pt>
                <c:pt idx="763">
                  <c:v>-4949.0062685444136</c:v>
                </c:pt>
                <c:pt idx="764">
                  <c:v>-4244.1722202116107</c:v>
                </c:pt>
                <c:pt idx="765">
                  <c:v>-3923.3072220270096</c:v>
                </c:pt>
                <c:pt idx="766">
                  <c:v>-4516.9064633794387</c:v>
                </c:pt>
                <c:pt idx="767">
                  <c:v>-5358.0706953863046</c:v>
                </c:pt>
                <c:pt idx="768">
                  <c:v>-4952.1501077403609</c:v>
                </c:pt>
                <c:pt idx="769">
                  <c:v>-4869.5747934783139</c:v>
                </c:pt>
                <c:pt idx="770">
                  <c:v>-4063.0173828456973</c:v>
                </c:pt>
                <c:pt idx="771">
                  <c:v>-4196.8270174090339</c:v>
                </c:pt>
                <c:pt idx="772">
                  <c:v>-4979.8885486001054</c:v>
                </c:pt>
                <c:pt idx="773">
                  <c:v>-4306.9111387014418</c:v>
                </c:pt>
                <c:pt idx="774">
                  <c:v>-4675.8694796458567</c:v>
                </c:pt>
                <c:pt idx="775">
                  <c:v>-4416.9094635850797</c:v>
                </c:pt>
                <c:pt idx="776">
                  <c:v>-3472.476480876293</c:v>
                </c:pt>
                <c:pt idx="777">
                  <c:v>-3666.9623209788333</c:v>
                </c:pt>
                <c:pt idx="778">
                  <c:v>-4773.6034270515102</c:v>
                </c:pt>
                <c:pt idx="779">
                  <c:v>-5263.5393677866396</c:v>
                </c:pt>
                <c:pt idx="780">
                  <c:v>-3448.201062162264</c:v>
                </c:pt>
                <c:pt idx="781">
                  <c:v>-5117.8874608473234</c:v>
                </c:pt>
                <c:pt idx="782">
                  <c:v>-5032.9422038234279</c:v>
                </c:pt>
                <c:pt idx="783">
                  <c:v>-4359.7731111486137</c:v>
                </c:pt>
                <c:pt idx="784">
                  <c:v>-3879.8659110540302</c:v>
                </c:pt>
                <c:pt idx="785">
                  <c:v>-4673.8682399513764</c:v>
                </c:pt>
                <c:pt idx="786">
                  <c:v>-5106.6977098370808</c:v>
                </c:pt>
                <c:pt idx="787">
                  <c:v>-4581.5398817897476</c:v>
                </c:pt>
                <c:pt idx="788">
                  <c:v>-4292.7858128775169</c:v>
                </c:pt>
                <c:pt idx="789">
                  <c:v>-3974.539057779315</c:v>
                </c:pt>
                <c:pt idx="790">
                  <c:v>-3736.9552752302534</c:v>
                </c:pt>
                <c:pt idx="791">
                  <c:v>-3999.7180323359589</c:v>
                </c:pt>
                <c:pt idx="792">
                  <c:v>-4294.9044564588585</c:v>
                </c:pt>
                <c:pt idx="793">
                  <c:v>-3853.7209372701745</c:v>
                </c:pt>
                <c:pt idx="794">
                  <c:v>-4140.3603339888668</c:v>
                </c:pt>
                <c:pt idx="795">
                  <c:v>-4754.6705975398527</c:v>
                </c:pt>
                <c:pt idx="796">
                  <c:v>-4344.7514029119593</c:v>
                </c:pt>
                <c:pt idx="797">
                  <c:v>-4188.8980843597183</c:v>
                </c:pt>
                <c:pt idx="798">
                  <c:v>-3442.2300409612035</c:v>
                </c:pt>
                <c:pt idx="799">
                  <c:v>-4138.2067320456244</c:v>
                </c:pt>
                <c:pt idx="800">
                  <c:v>-4291.1812102840613</c:v>
                </c:pt>
                <c:pt idx="801">
                  <c:v>-3402.9689175765716</c:v>
                </c:pt>
                <c:pt idx="802">
                  <c:v>-4286.3130879259388</c:v>
                </c:pt>
                <c:pt idx="803">
                  <c:v>-4424.4169203314759</c:v>
                </c:pt>
                <c:pt idx="804">
                  <c:v>-4300.1172842839751</c:v>
                </c:pt>
                <c:pt idx="805">
                  <c:v>-4169.1121197945104</c:v>
                </c:pt>
                <c:pt idx="806">
                  <c:v>-4789.9278849252023</c:v>
                </c:pt>
                <c:pt idx="807">
                  <c:v>-4903.3098474062099</c:v>
                </c:pt>
                <c:pt idx="808">
                  <c:v>-4832.6436961717609</c:v>
                </c:pt>
                <c:pt idx="809">
                  <c:v>-4125.6830038058688</c:v>
                </c:pt>
                <c:pt idx="810">
                  <c:v>-4654.8707271994008</c:v>
                </c:pt>
                <c:pt idx="811">
                  <c:v>-4301.028481096384</c:v>
                </c:pt>
                <c:pt idx="812">
                  <c:v>-3876.057147578038</c:v>
                </c:pt>
                <c:pt idx="813">
                  <c:v>-4428.3619203205271</c:v>
                </c:pt>
                <c:pt idx="814">
                  <c:v>-3999.3874649544869</c:v>
                </c:pt>
                <c:pt idx="815">
                  <c:v>-4903.8712430074029</c:v>
                </c:pt>
                <c:pt idx="816">
                  <c:v>-4081.7623560469856</c:v>
                </c:pt>
                <c:pt idx="817">
                  <c:v>-4825.6857749018345</c:v>
                </c:pt>
                <c:pt idx="818">
                  <c:v>-4148.532463257774</c:v>
                </c:pt>
                <c:pt idx="819">
                  <c:v>-4798.7762005605618</c:v>
                </c:pt>
                <c:pt idx="820">
                  <c:v>-3693.544044710161</c:v>
                </c:pt>
                <c:pt idx="821">
                  <c:v>-4430.0116607239615</c:v>
                </c:pt>
                <c:pt idx="822">
                  <c:v>-3975.4289857194017</c:v>
                </c:pt>
                <c:pt idx="823">
                  <c:v>-5008.942003333781</c:v>
                </c:pt>
                <c:pt idx="824">
                  <c:v>-5049.3826274033709</c:v>
                </c:pt>
                <c:pt idx="825">
                  <c:v>-4649.6624871981385</c:v>
                </c:pt>
                <c:pt idx="826">
                  <c:v>-3636.5674498004555</c:v>
                </c:pt>
                <c:pt idx="827">
                  <c:v>-3877.5157979982396</c:v>
                </c:pt>
                <c:pt idx="828">
                  <c:v>-3334.5836224943278</c:v>
                </c:pt>
                <c:pt idx="829">
                  <c:v>-3629.8868824238907</c:v>
                </c:pt>
                <c:pt idx="830">
                  <c:v>-4415.6880991330909</c:v>
                </c:pt>
                <c:pt idx="831">
                  <c:v>-4293.3415928886043</c:v>
                </c:pt>
                <c:pt idx="832">
                  <c:v>-4187.1956005686206</c:v>
                </c:pt>
                <c:pt idx="833">
                  <c:v>-5006.5543508546434</c:v>
                </c:pt>
                <c:pt idx="834">
                  <c:v>-5137.9876428404896</c:v>
                </c:pt>
                <c:pt idx="835">
                  <c:v>-4219.0399366147321</c:v>
                </c:pt>
                <c:pt idx="836">
                  <c:v>-3959.3788774872464</c:v>
                </c:pt>
                <c:pt idx="837">
                  <c:v>-4899.1756421907248</c:v>
                </c:pt>
                <c:pt idx="838">
                  <c:v>-4464.3122221964004</c:v>
                </c:pt>
                <c:pt idx="839">
                  <c:v>-4686.0838392865226</c:v>
                </c:pt>
                <c:pt idx="840">
                  <c:v>-3548.8287600460299</c:v>
                </c:pt>
                <c:pt idx="841">
                  <c:v>-4612.1249098402986</c:v>
                </c:pt>
                <c:pt idx="842">
                  <c:v>-3842.4579794496385</c:v>
                </c:pt>
                <c:pt idx="843">
                  <c:v>-4122.7860337893635</c:v>
                </c:pt>
                <c:pt idx="844">
                  <c:v>-4750.7611933995704</c:v>
                </c:pt>
                <c:pt idx="845">
                  <c:v>-4873.1182456271235</c:v>
                </c:pt>
                <c:pt idx="846">
                  <c:v>-4667.8709497898017</c:v>
                </c:pt>
                <c:pt idx="847">
                  <c:v>-3843.8788627238919</c:v>
                </c:pt>
                <c:pt idx="848">
                  <c:v>-4188.9554513838339</c:v>
                </c:pt>
                <c:pt idx="849">
                  <c:v>-4047.5404408324412</c:v>
                </c:pt>
                <c:pt idx="850">
                  <c:v>-4546.7974112113279</c:v>
                </c:pt>
                <c:pt idx="851">
                  <c:v>-4487.4603436811849</c:v>
                </c:pt>
                <c:pt idx="852">
                  <c:v>-4997.0989148174376</c:v>
                </c:pt>
                <c:pt idx="853">
                  <c:v>-4125.6436894758936</c:v>
                </c:pt>
                <c:pt idx="854">
                  <c:v>-3507.0708544566778</c:v>
                </c:pt>
                <c:pt idx="855">
                  <c:v>-4116.0112760892844</c:v>
                </c:pt>
                <c:pt idx="856">
                  <c:v>-4279.6828336247345</c:v>
                </c:pt>
                <c:pt idx="857">
                  <c:v>-4219.8957630995774</c:v>
                </c:pt>
                <c:pt idx="858">
                  <c:v>-4066.0500089670204</c:v>
                </c:pt>
                <c:pt idx="859">
                  <c:v>-4550.6899158590004</c:v>
                </c:pt>
                <c:pt idx="860">
                  <c:v>-4631.5765588481972</c:v>
                </c:pt>
                <c:pt idx="861">
                  <c:v>-4495.1023936768852</c:v>
                </c:pt>
                <c:pt idx="862">
                  <c:v>-4322.0588473089356</c:v>
                </c:pt>
                <c:pt idx="863">
                  <c:v>-4722.2474289755282</c:v>
                </c:pt>
                <c:pt idx="864">
                  <c:v>-5579.6778703076889</c:v>
                </c:pt>
                <c:pt idx="865">
                  <c:v>-4232.2134951791795</c:v>
                </c:pt>
                <c:pt idx="866">
                  <c:v>-4292.619615865322</c:v>
                </c:pt>
                <c:pt idx="867">
                  <c:v>-4572.9795783004611</c:v>
                </c:pt>
                <c:pt idx="868">
                  <c:v>-4954.668916264276</c:v>
                </c:pt>
                <c:pt idx="869">
                  <c:v>-4715.3824272724796</c:v>
                </c:pt>
                <c:pt idx="870">
                  <c:v>-4422.3954959491548</c:v>
                </c:pt>
                <c:pt idx="871">
                  <c:v>-4427.9488437694999</c:v>
                </c:pt>
                <c:pt idx="872">
                  <c:v>-3834.2480320576306</c:v>
                </c:pt>
                <c:pt idx="873">
                  <c:v>-4931.9300513035196</c:v>
                </c:pt>
                <c:pt idx="874">
                  <c:v>-4532.2442242811248</c:v>
                </c:pt>
                <c:pt idx="875">
                  <c:v>-4513.2460065427167</c:v>
                </c:pt>
                <c:pt idx="876">
                  <c:v>-3712.1370155963123</c:v>
                </c:pt>
                <c:pt idx="877">
                  <c:v>-4289.3493337493273</c:v>
                </c:pt>
                <c:pt idx="878">
                  <c:v>-4813.4505626680548</c:v>
                </c:pt>
                <c:pt idx="879">
                  <c:v>-3667.8753490845593</c:v>
                </c:pt>
                <c:pt idx="880">
                  <c:v>-4448.6299762651433</c:v>
                </c:pt>
                <c:pt idx="881">
                  <c:v>-3891.4250916420224</c:v>
                </c:pt>
                <c:pt idx="882">
                  <c:v>-4127.0307413430874</c:v>
                </c:pt>
                <c:pt idx="883">
                  <c:v>-5252.0101081086868</c:v>
                </c:pt>
                <c:pt idx="884">
                  <c:v>-4405.7868899967343</c:v>
                </c:pt>
                <c:pt idx="885">
                  <c:v>-4398.250558766802</c:v>
                </c:pt>
                <c:pt idx="886">
                  <c:v>-4666.6792901196313</c:v>
                </c:pt>
                <c:pt idx="887">
                  <c:v>-4379.6426859480143</c:v>
                </c:pt>
                <c:pt idx="888">
                  <c:v>-4479.0727155432396</c:v>
                </c:pt>
                <c:pt idx="889">
                  <c:v>-4801.3321849384247</c:v>
                </c:pt>
                <c:pt idx="890">
                  <c:v>-5236.8174110041382</c:v>
                </c:pt>
                <c:pt idx="891">
                  <c:v>-4066.8239259361853</c:v>
                </c:pt>
                <c:pt idx="892">
                  <c:v>-4081.0427136928429</c:v>
                </c:pt>
                <c:pt idx="893">
                  <c:v>-4496.3686935604564</c:v>
                </c:pt>
                <c:pt idx="894">
                  <c:v>-5166.8216709017397</c:v>
                </c:pt>
                <c:pt idx="895">
                  <c:v>-3778.5134401455362</c:v>
                </c:pt>
                <c:pt idx="896">
                  <c:v>-5727.2733863998164</c:v>
                </c:pt>
                <c:pt idx="897">
                  <c:v>-4336.3019591582233</c:v>
                </c:pt>
                <c:pt idx="898">
                  <c:v>-4890.0958108814993</c:v>
                </c:pt>
                <c:pt idx="899">
                  <c:v>-3692.0416450531357</c:v>
                </c:pt>
                <c:pt idx="900">
                  <c:v>-5761.5501932020616</c:v>
                </c:pt>
                <c:pt idx="901">
                  <c:v>-4636.1471302120044</c:v>
                </c:pt>
                <c:pt idx="902">
                  <c:v>-3692.9354562453864</c:v>
                </c:pt>
                <c:pt idx="903">
                  <c:v>-3442.6656495321249</c:v>
                </c:pt>
                <c:pt idx="904">
                  <c:v>-3785.4557161264547</c:v>
                </c:pt>
                <c:pt idx="905">
                  <c:v>-4888.153542299222</c:v>
                </c:pt>
                <c:pt idx="906">
                  <c:v>-4239.7341020246531</c:v>
                </c:pt>
                <c:pt idx="907">
                  <c:v>-4016.6143006350831</c:v>
                </c:pt>
                <c:pt idx="908">
                  <c:v>-4703.7129561476941</c:v>
                </c:pt>
                <c:pt idx="909">
                  <c:v>-5286.5345133238934</c:v>
                </c:pt>
                <c:pt idx="910">
                  <c:v>-4211.0226600924234</c:v>
                </c:pt>
                <c:pt idx="911">
                  <c:v>-4617.6772697590022</c:v>
                </c:pt>
                <c:pt idx="912">
                  <c:v>-3892.7347895893381</c:v>
                </c:pt>
                <c:pt idx="913">
                  <c:v>-5178.3554752401742</c:v>
                </c:pt>
                <c:pt idx="914">
                  <c:v>-4713.8079185283586</c:v>
                </c:pt>
                <c:pt idx="915">
                  <c:v>-4589.6684875304618</c:v>
                </c:pt>
                <c:pt idx="916">
                  <c:v>-4302.0693970164157</c:v>
                </c:pt>
                <c:pt idx="917">
                  <c:v>-3723.0939133437387</c:v>
                </c:pt>
                <c:pt idx="918">
                  <c:v>-4104.3481998341922</c:v>
                </c:pt>
                <c:pt idx="919">
                  <c:v>-4510.4511075438222</c:v>
                </c:pt>
                <c:pt idx="920">
                  <c:v>-4882.4882787683819</c:v>
                </c:pt>
                <c:pt idx="921">
                  <c:v>-3475.159757118322</c:v>
                </c:pt>
                <c:pt idx="922">
                  <c:v>-3314.4481311804566</c:v>
                </c:pt>
                <c:pt idx="923">
                  <c:v>-3736.6488304033373</c:v>
                </c:pt>
                <c:pt idx="924">
                  <c:v>-3393.5001115963487</c:v>
                </c:pt>
                <c:pt idx="925">
                  <c:v>-3502.667090814969</c:v>
                </c:pt>
                <c:pt idx="926">
                  <c:v>-5216.5585112962726</c:v>
                </c:pt>
                <c:pt idx="927">
                  <c:v>-3767.4722629988682</c:v>
                </c:pt>
                <c:pt idx="928">
                  <c:v>-4029.9107634827524</c:v>
                </c:pt>
                <c:pt idx="929">
                  <c:v>-4174.8580431463324</c:v>
                </c:pt>
                <c:pt idx="930">
                  <c:v>-4260.9434839068053</c:v>
                </c:pt>
                <c:pt idx="931">
                  <c:v>-3533.3833231565714</c:v>
                </c:pt>
                <c:pt idx="932">
                  <c:v>-4340.3774318170617</c:v>
                </c:pt>
                <c:pt idx="933">
                  <c:v>-3712.3042134543066</c:v>
                </c:pt>
                <c:pt idx="934">
                  <c:v>-4422.3173331635735</c:v>
                </c:pt>
                <c:pt idx="935">
                  <c:v>-5390.0686060840635</c:v>
                </c:pt>
                <c:pt idx="936">
                  <c:v>-4271.1329591311878</c:v>
                </c:pt>
                <c:pt idx="937">
                  <c:v>-2983.224585598562</c:v>
                </c:pt>
                <c:pt idx="938">
                  <c:v>-4652.0730129282965</c:v>
                </c:pt>
                <c:pt idx="939">
                  <c:v>-4087.2408127432573</c:v>
                </c:pt>
                <c:pt idx="940">
                  <c:v>-3642.2429172668981</c:v>
                </c:pt>
                <c:pt idx="941">
                  <c:v>-4430.5434475581169</c:v>
                </c:pt>
                <c:pt idx="942">
                  <c:v>-5146.927625645043</c:v>
                </c:pt>
                <c:pt idx="943">
                  <c:v>-4692.894819602845</c:v>
                </c:pt>
                <c:pt idx="944">
                  <c:v>-3833.3892497571196</c:v>
                </c:pt>
                <c:pt idx="945">
                  <c:v>-4735.4243237140745</c:v>
                </c:pt>
                <c:pt idx="946">
                  <c:v>-4005.3672278409649</c:v>
                </c:pt>
                <c:pt idx="947">
                  <c:v>-3970.7061449119683</c:v>
                </c:pt>
                <c:pt idx="948">
                  <c:v>-4360.1650462183734</c:v>
                </c:pt>
                <c:pt idx="949">
                  <c:v>-4595.7380399668345</c:v>
                </c:pt>
                <c:pt idx="950">
                  <c:v>-4046.3814221733883</c:v>
                </c:pt>
                <c:pt idx="951">
                  <c:v>-4489.376297826313</c:v>
                </c:pt>
                <c:pt idx="952">
                  <c:v>-3674.0688370116513</c:v>
                </c:pt>
                <c:pt idx="953">
                  <c:v>-4711.3441089108455</c:v>
                </c:pt>
                <c:pt idx="954">
                  <c:v>-4028.8534766978464</c:v>
                </c:pt>
                <c:pt idx="955">
                  <c:v>-4617.0965879536816</c:v>
                </c:pt>
                <c:pt idx="956">
                  <c:v>-4844.2169955139598</c:v>
                </c:pt>
                <c:pt idx="957">
                  <c:v>-4114.0321222152743</c:v>
                </c:pt>
                <c:pt idx="958">
                  <c:v>-4069.3269351345134</c:v>
                </c:pt>
                <c:pt idx="959">
                  <c:v>-4854.8514191456197</c:v>
                </c:pt>
                <c:pt idx="960">
                  <c:v>-4168.6244415565707</c:v>
                </c:pt>
                <c:pt idx="961">
                  <c:v>-5561.9445582134122</c:v>
                </c:pt>
                <c:pt idx="962">
                  <c:v>-3620.9027946317965</c:v>
                </c:pt>
                <c:pt idx="963">
                  <c:v>-4552.6178821788126</c:v>
                </c:pt>
                <c:pt idx="964">
                  <c:v>-4213.733370320504</c:v>
                </c:pt>
                <c:pt idx="965">
                  <c:v>-3872.0297116223392</c:v>
                </c:pt>
                <c:pt idx="966">
                  <c:v>-6016.0349781312852</c:v>
                </c:pt>
                <c:pt idx="967">
                  <c:v>-4598.0443996796203</c:v>
                </c:pt>
                <c:pt idx="968">
                  <c:v>-4211.1143905310109</c:v>
                </c:pt>
                <c:pt idx="969">
                  <c:v>-4288.4054620221414</c:v>
                </c:pt>
                <c:pt idx="970">
                  <c:v>-4848.0067924358918</c:v>
                </c:pt>
                <c:pt idx="971">
                  <c:v>-3933.0258022474754</c:v>
                </c:pt>
                <c:pt idx="972">
                  <c:v>-4283.7335373931001</c:v>
                </c:pt>
                <c:pt idx="973">
                  <c:v>-4380.3229282753946</c:v>
                </c:pt>
                <c:pt idx="974">
                  <c:v>-4091.4785306389531</c:v>
                </c:pt>
                <c:pt idx="975">
                  <c:v>-3963.5267740565214</c:v>
                </c:pt>
                <c:pt idx="976">
                  <c:v>-4240.7568571437496</c:v>
                </c:pt>
                <c:pt idx="977">
                  <c:v>-4011.9542948407961</c:v>
                </c:pt>
                <c:pt idx="978">
                  <c:v>-4425.8405781955953</c:v>
                </c:pt>
                <c:pt idx="979">
                  <c:v>-3389.790112066903</c:v>
                </c:pt>
                <c:pt idx="980">
                  <c:v>-4190.5027116067085</c:v>
                </c:pt>
                <c:pt idx="981">
                  <c:v>-4790.8408813365404</c:v>
                </c:pt>
                <c:pt idx="982">
                  <c:v>-5016.7848974707122</c:v>
                </c:pt>
                <c:pt idx="983">
                  <c:v>-4043.9366684994893</c:v>
                </c:pt>
                <c:pt idx="984">
                  <c:v>-4776.7750371644379</c:v>
                </c:pt>
                <c:pt idx="985">
                  <c:v>-3933.5108515653192</c:v>
                </c:pt>
                <c:pt idx="986">
                  <c:v>-6112.0579149934256</c:v>
                </c:pt>
                <c:pt idx="987">
                  <c:v>-4394.8214791711471</c:v>
                </c:pt>
                <c:pt idx="988">
                  <c:v>-5375.9847483161011</c:v>
                </c:pt>
                <c:pt idx="989">
                  <c:v>-4205.0591285510181</c:v>
                </c:pt>
                <c:pt idx="990">
                  <c:v>-3679.7632712279101</c:v>
                </c:pt>
                <c:pt idx="991">
                  <c:v>-3472.2136745532152</c:v>
                </c:pt>
                <c:pt idx="992">
                  <c:v>-5123.138701446509</c:v>
                </c:pt>
                <c:pt idx="993">
                  <c:v>-4156.5985358665639</c:v>
                </c:pt>
                <c:pt idx="994">
                  <c:v>-4861.3050887715272</c:v>
                </c:pt>
                <c:pt idx="995">
                  <c:v>-4409.5825318919178</c:v>
                </c:pt>
                <c:pt idx="996">
                  <c:v>-4461.4508688363185</c:v>
                </c:pt>
                <c:pt idx="997">
                  <c:v>-4939.192908092944</c:v>
                </c:pt>
                <c:pt idx="998">
                  <c:v>-4153.9857525323878</c:v>
                </c:pt>
                <c:pt idx="999">
                  <c:v>-4576.8516478029487</c:v>
                </c:pt>
              </c:numCache>
            </c:numRef>
          </c:yVal>
          <c:smooth val="1"/>
          <c:extLst>
            <c:ext xmlns:c16="http://schemas.microsoft.com/office/drawing/2014/chart" uri="{C3380CC4-5D6E-409C-BE32-E72D297353CC}">
              <c16:uniqueId val="{00000000-6C4B-46DE-91BC-FCCB2AC597E4}"/>
            </c:ext>
          </c:extLst>
        </c:ser>
        <c:ser>
          <c:idx val="2"/>
          <c:order val="2"/>
          <c:tx>
            <c:v>PSA Results Mean</c:v>
          </c:tx>
          <c:spPr>
            <a:ln w="25400" cap="rnd">
              <a:noFill/>
              <a:round/>
            </a:ln>
            <a:effectLst/>
          </c:spPr>
          <c:marker>
            <c:symbol val="circle"/>
            <c:size val="5"/>
            <c:spPr>
              <a:solidFill>
                <a:schemeClr val="accent3"/>
              </a:solidFill>
              <a:ln w="9525">
                <a:solidFill>
                  <a:schemeClr val="accent3"/>
                </a:solidFill>
              </a:ln>
              <a:effectLst/>
            </c:spPr>
          </c:marker>
          <c:xVal>
            <c:numRef>
              <c:f>PSA_1!$Q$35</c:f>
              <c:numCache>
                <c:formatCode>General</c:formatCode>
                <c:ptCount val="1"/>
                <c:pt idx="0">
                  <c:v>-0.27173582864667534</c:v>
                </c:pt>
              </c:numCache>
            </c:numRef>
          </c:xVal>
          <c:yVal>
            <c:numRef>
              <c:f>PSA_1!$P$35</c:f>
              <c:numCache>
                <c:formatCode>General</c:formatCode>
                <c:ptCount val="1"/>
                <c:pt idx="0">
                  <c:v>-4380.514865183397</c:v>
                </c:pt>
              </c:numCache>
            </c:numRef>
          </c:yVal>
          <c:smooth val="1"/>
          <c:extLst>
            <c:ext xmlns:c16="http://schemas.microsoft.com/office/drawing/2014/chart" uri="{C3380CC4-5D6E-409C-BE32-E72D297353CC}">
              <c16:uniqueId val="{00000001-6C4B-46DE-91BC-FCCB2AC597E4}"/>
            </c:ext>
          </c:extLst>
        </c:ser>
        <c:ser>
          <c:idx val="3"/>
          <c:order val="3"/>
          <c:tx>
            <c:v>Deterministic Result</c:v>
          </c:tx>
          <c:spPr>
            <a:ln w="25400" cap="rnd">
              <a:noFill/>
              <a:round/>
            </a:ln>
            <a:effectLst/>
          </c:spPr>
          <c:marker>
            <c:symbol val="circle"/>
            <c:size val="5"/>
            <c:spPr>
              <a:solidFill>
                <a:schemeClr val="accent4"/>
              </a:solidFill>
              <a:ln w="9525">
                <a:solidFill>
                  <a:schemeClr val="accent4"/>
                </a:solidFill>
              </a:ln>
              <a:effectLst/>
            </c:spPr>
          </c:marker>
          <c:xVal>
            <c:numRef>
              <c:f>PSA_1!$Q$38</c:f>
              <c:numCache>
                <c:formatCode>General</c:formatCode>
                <c:ptCount val="1"/>
                <c:pt idx="0">
                  <c:v>-0.27196121589639388</c:v>
                </c:pt>
              </c:numCache>
            </c:numRef>
          </c:xVal>
          <c:yVal>
            <c:numRef>
              <c:f>PSA_1!$P$38</c:f>
              <c:numCache>
                <c:formatCode>General</c:formatCode>
                <c:ptCount val="1"/>
                <c:pt idx="0">
                  <c:v>-4371.010682778262</c:v>
                </c:pt>
              </c:numCache>
            </c:numRef>
          </c:yVal>
          <c:smooth val="1"/>
          <c:extLst>
            <c:ext xmlns:c16="http://schemas.microsoft.com/office/drawing/2014/chart" uri="{C3380CC4-5D6E-409C-BE32-E72D297353CC}">
              <c16:uniqueId val="{00000002-6C4B-46DE-91BC-FCCB2AC597E4}"/>
            </c:ext>
          </c:extLst>
        </c:ser>
        <c:dLbls>
          <c:showLegendKey val="0"/>
          <c:showVal val="0"/>
          <c:showCatName val="0"/>
          <c:showSerName val="0"/>
          <c:showPercent val="0"/>
          <c:showBubbleSize val="0"/>
        </c:dLbls>
        <c:axId val="506213727"/>
        <c:axId val="506214143"/>
        <c:extLst>
          <c:ext xmlns:c15="http://schemas.microsoft.com/office/drawing/2012/chart" uri="{02D57815-91ED-43cb-92C2-25804820EDAC}">
            <c15:filteredScatterSeries>
              <c15:ser>
                <c:idx val="1"/>
                <c:order val="1"/>
                <c:tx>
                  <c:strRef>
                    <c:extLst>
                      <c:ext uri="{02D57815-91ED-43cb-92C2-25804820EDAC}">
                        <c15:formulaRef>
                          <c15:sqref>PSA_1!$AI$37</c15:sqref>
                        </c15:formulaRef>
                      </c:ext>
                    </c:extLst>
                    <c:strCache>
                      <c:ptCount val="1"/>
                    </c:strCache>
                  </c:strRef>
                </c:tx>
                <c:spPr>
                  <a:ln w="25400" cap="rnd">
                    <a:no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PSA_1!$AI$38:$AI$40</c15:sqref>
                        </c15:formulaRef>
                      </c:ext>
                    </c:extLst>
                    <c:numCache>
                      <c:formatCode>General</c:formatCode>
                      <c:ptCount val="3"/>
                    </c:numCache>
                  </c:numRef>
                </c:xVal>
                <c:yVal>
                  <c:numRef>
                    <c:extLst>
                      <c:ext uri="{02D57815-91ED-43cb-92C2-25804820EDAC}">
                        <c15:formulaRef>
                          <c15:sqref>PSA_1!$AJ$39:$AJ$40</c15:sqref>
                        </c15:formulaRef>
                      </c:ext>
                    </c:extLst>
                    <c:numCache>
                      <c:formatCode>General</c:formatCode>
                      <c:ptCount val="2"/>
                    </c:numCache>
                  </c:numRef>
                </c:yVal>
                <c:smooth val="1"/>
                <c:extLst>
                  <c:ext xmlns:c16="http://schemas.microsoft.com/office/drawing/2014/chart" uri="{C3380CC4-5D6E-409C-BE32-E72D297353CC}">
                    <c16:uniqueId val="{00000003-6C4B-46DE-91BC-FCCB2AC597E4}"/>
                  </c:ext>
                </c:extLst>
              </c15:ser>
            </c15:filteredScatterSeries>
          </c:ext>
        </c:extLst>
      </c:scatterChart>
      <c:valAx>
        <c:axId val="506213727"/>
        <c:scaling>
          <c:orientation val="minMax"/>
          <c:max val="-0.25"/>
          <c:min val="-0.3000000000000000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CRBSI Avoided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14143"/>
        <c:crosses val="autoZero"/>
        <c:crossBetween val="midCat"/>
      </c:valAx>
      <c:valAx>
        <c:axId val="506214143"/>
        <c:scaling>
          <c:orientation val="minMax"/>
          <c:max val="0"/>
          <c:min val="-7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Incremental</a:t>
                </a:r>
                <a:r>
                  <a:rPr lang="en-IN" baseline="0"/>
                  <a:t> Costs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1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CHG</a:t>
            </a:r>
            <a:r>
              <a:rPr lang="en-IN" baseline="0"/>
              <a:t> T1 VS PVI T1</a:t>
            </a:r>
          </a:p>
        </c:rich>
      </c:tx>
      <c:layout>
        <c:manualLayout>
          <c:xMode val="edge"/>
          <c:yMode val="edge"/>
          <c:x val="0.29838188976377955"/>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OWSA!$E$20</c:f>
              <c:strCache>
                <c:ptCount val="1"/>
                <c:pt idx="0">
                  <c:v>LB</c:v>
                </c:pt>
              </c:strCache>
            </c:strRef>
          </c:tx>
          <c:spPr>
            <a:solidFill>
              <a:schemeClr val="accent1"/>
            </a:solidFill>
            <a:ln>
              <a:noFill/>
            </a:ln>
            <a:effectLst/>
          </c:spPr>
          <c:invertIfNegative val="0"/>
          <c:cat>
            <c:strRef>
              <c:f>OWSA!$C$21:$C$30</c:f>
              <c:strCache>
                <c:ptCount val="10"/>
                <c:pt idx="0">
                  <c:v>ICU Cost without CRBSI</c:v>
                </c:pt>
                <c:pt idx="1">
                  <c:v>Additional ICU Length of stay (LOS) due to CRBSI</c:v>
                </c:pt>
                <c:pt idx="2">
                  <c:v>Direct cost of treating CRBSI </c:v>
                </c:pt>
                <c:pt idx="3">
                  <c:v>Cost for Catheres charged</c:v>
                </c:pt>
                <c:pt idx="4">
                  <c:v>Transition from state 1 to state 3 (PVI T1)</c:v>
                </c:pt>
                <c:pt idx="5">
                  <c:v>Transition from state 1 to state 4 (PVI T1)</c:v>
                </c:pt>
                <c:pt idx="6">
                  <c:v>Transition from state 1 to state 4 (CHG T1)</c:v>
                </c:pt>
                <c:pt idx="7">
                  <c:v>Transition from state 1 to state 2 (PVI T1)</c:v>
                </c:pt>
                <c:pt idx="8">
                  <c:v>Transition from state 1 to state 2 (CHG T1)</c:v>
                </c:pt>
                <c:pt idx="9">
                  <c:v>Transition from state 1 to state 1 (PVI T1)</c:v>
                </c:pt>
              </c:strCache>
            </c:strRef>
          </c:cat>
          <c:val>
            <c:numRef>
              <c:f>OWSA!$E$21:$E$30</c:f>
              <c:numCache>
                <c:formatCode>General</c:formatCode>
                <c:ptCount val="10"/>
                <c:pt idx="0">
                  <c:v>13014.5893448774</c:v>
                </c:pt>
                <c:pt idx="1">
                  <c:v>13398.559579767776</c:v>
                </c:pt>
                <c:pt idx="2">
                  <c:v>15854.603325758302</c:v>
                </c:pt>
                <c:pt idx="3">
                  <c:v>15974.154250831667</c:v>
                </c:pt>
                <c:pt idx="4">
                  <c:v>15997.959042414537</c:v>
                </c:pt>
                <c:pt idx="5">
                  <c:v>15997.74463385566</c:v>
                </c:pt>
                <c:pt idx="6">
                  <c:v>15991.886635947745</c:v>
                </c:pt>
                <c:pt idx="7">
                  <c:v>15992.665293969674</c:v>
                </c:pt>
                <c:pt idx="8">
                  <c:v>15996.633819106861</c:v>
                </c:pt>
                <c:pt idx="9">
                  <c:v>15992.87004312717</c:v>
                </c:pt>
              </c:numCache>
            </c:numRef>
          </c:val>
          <c:extLst>
            <c:ext xmlns:c16="http://schemas.microsoft.com/office/drawing/2014/chart" uri="{C3380CC4-5D6E-409C-BE32-E72D297353CC}">
              <c16:uniqueId val="{00000000-1936-4272-8AF6-528EBBE3D654}"/>
            </c:ext>
          </c:extLst>
        </c:ser>
        <c:ser>
          <c:idx val="1"/>
          <c:order val="1"/>
          <c:tx>
            <c:strRef>
              <c:f>OWSA!$F$20</c:f>
              <c:strCache>
                <c:ptCount val="1"/>
                <c:pt idx="0">
                  <c:v>UB</c:v>
                </c:pt>
              </c:strCache>
            </c:strRef>
          </c:tx>
          <c:spPr>
            <a:solidFill>
              <a:schemeClr val="accent2"/>
            </a:solidFill>
            <a:ln>
              <a:noFill/>
            </a:ln>
            <a:effectLst/>
          </c:spPr>
          <c:invertIfNegative val="0"/>
          <c:cat>
            <c:strRef>
              <c:f>OWSA!$C$21:$C$30</c:f>
              <c:strCache>
                <c:ptCount val="10"/>
                <c:pt idx="0">
                  <c:v>ICU Cost without CRBSI</c:v>
                </c:pt>
                <c:pt idx="1">
                  <c:v>Additional ICU Length of stay (LOS) due to CRBSI</c:v>
                </c:pt>
                <c:pt idx="2">
                  <c:v>Direct cost of treating CRBSI </c:v>
                </c:pt>
                <c:pt idx="3">
                  <c:v>Cost for Catheres charged</c:v>
                </c:pt>
                <c:pt idx="4">
                  <c:v>Transition from state 1 to state 3 (PVI T1)</c:v>
                </c:pt>
                <c:pt idx="5">
                  <c:v>Transition from state 1 to state 4 (PVI T1)</c:v>
                </c:pt>
                <c:pt idx="6">
                  <c:v>Transition from state 1 to state 4 (CHG T1)</c:v>
                </c:pt>
                <c:pt idx="7">
                  <c:v>Transition from state 1 to state 2 (PVI T1)</c:v>
                </c:pt>
                <c:pt idx="8">
                  <c:v>Transition from state 1 to state 2 (CHG T1)</c:v>
                </c:pt>
                <c:pt idx="9">
                  <c:v>Transition from state 1 to state 1 (PVI T1)</c:v>
                </c:pt>
              </c:strCache>
            </c:strRef>
          </c:cat>
          <c:val>
            <c:numRef>
              <c:f>OWSA!$F$21:$F$30</c:f>
              <c:numCache>
                <c:formatCode>General</c:formatCode>
                <c:ptCount val="10"/>
                <c:pt idx="0">
                  <c:v>18974.896076356301</c:v>
                </c:pt>
                <c:pt idx="1">
                  <c:v>18590.925841466029</c:v>
                </c:pt>
                <c:pt idx="2">
                  <c:v>16134.882095475503</c:v>
                </c:pt>
                <c:pt idx="3">
                  <c:v>16015.331170402145</c:v>
                </c:pt>
                <c:pt idx="4">
                  <c:v>15992.107788160611</c:v>
                </c:pt>
                <c:pt idx="5">
                  <c:v>15992.283362501501</c:v>
                </c:pt>
                <c:pt idx="6">
                  <c:v>15997.09571493924</c:v>
                </c:pt>
                <c:pt idx="7">
                  <c:v>15996.449507142574</c:v>
                </c:pt>
                <c:pt idx="8">
                  <c:v>15993.188991204532</c:v>
                </c:pt>
                <c:pt idx="9">
                  <c:v>15996.282160604986</c:v>
                </c:pt>
              </c:numCache>
            </c:numRef>
          </c:val>
          <c:extLst>
            <c:ext xmlns:c16="http://schemas.microsoft.com/office/drawing/2014/chart" uri="{C3380CC4-5D6E-409C-BE32-E72D297353CC}">
              <c16:uniqueId val="{00000001-1936-4272-8AF6-528EBBE3D654}"/>
            </c:ext>
          </c:extLst>
        </c:ser>
        <c:dLbls>
          <c:showLegendKey val="0"/>
          <c:showVal val="0"/>
          <c:showCatName val="0"/>
          <c:showSerName val="0"/>
          <c:showPercent val="0"/>
          <c:showBubbleSize val="0"/>
        </c:dLbls>
        <c:gapWidth val="50"/>
        <c:axId val="1903011936"/>
        <c:axId val="1902988224"/>
      </c:barChart>
      <c:catAx>
        <c:axId val="190301193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a:outerShdw sx="1000" sy="1000" algn="ctr" rotWithShape="0">
              <a:srgbClr val="000000"/>
            </a:outerShd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2988224"/>
        <c:crossesAt val="16015.331170402145"/>
        <c:auto val="1"/>
        <c:lblAlgn val="ctr"/>
        <c:lblOffset val="100"/>
        <c:noMultiLvlLbl val="0"/>
      </c:catAx>
      <c:valAx>
        <c:axId val="1902988224"/>
        <c:scaling>
          <c:orientation val="minMax"/>
          <c:min val="12000"/>
        </c:scaling>
        <c:delete val="0"/>
        <c:axPos val="t"/>
        <c:majorGridlines>
          <c:spPr>
            <a:ln w="9525" cap="flat" cmpd="sng" algn="ctr">
              <a:solidFill>
                <a:schemeClr val="tx1">
                  <a:lumMod val="15000"/>
                  <a:lumOff val="85000"/>
                </a:schemeClr>
              </a:solidFill>
              <a:round/>
            </a:ln>
            <a:effectLst>
              <a:outerShdw dist="50800" sx="1000" sy="1000" algn="ctr" rotWithShape="0">
                <a:srgbClr val="000000"/>
              </a:outerShdw>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011936"/>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CHG</a:t>
            </a:r>
            <a:r>
              <a:rPr lang="en-IN" baseline="0"/>
              <a:t> T1 VS CHG T4</a:t>
            </a:r>
          </a:p>
        </c:rich>
      </c:tx>
      <c:layout>
        <c:manualLayout>
          <c:xMode val="edge"/>
          <c:yMode val="edge"/>
          <c:x val="0.29838188976377955"/>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OWSA!$E$36</c:f>
              <c:strCache>
                <c:ptCount val="1"/>
                <c:pt idx="0">
                  <c:v>LB</c:v>
                </c:pt>
              </c:strCache>
            </c:strRef>
          </c:tx>
          <c:spPr>
            <a:solidFill>
              <a:schemeClr val="accent1"/>
            </a:solidFill>
            <a:ln>
              <a:noFill/>
            </a:ln>
            <a:effectLst/>
          </c:spPr>
          <c:invertIfNegative val="0"/>
          <c:cat>
            <c:strRef>
              <c:f>OWSA!$C$37:$C$46</c:f>
              <c:strCache>
                <c:ptCount val="10"/>
                <c:pt idx="0">
                  <c:v>ICU Cost without CRBSI</c:v>
                </c:pt>
                <c:pt idx="1">
                  <c:v>Additional ICU Length of stay (LOS) due to CRBSI</c:v>
                </c:pt>
                <c:pt idx="2">
                  <c:v>Direct cost of treating CRBSI </c:v>
                </c:pt>
                <c:pt idx="3">
                  <c:v>Cost for Catheres charged</c:v>
                </c:pt>
                <c:pt idx="4">
                  <c:v>Transition from state 1 to state 3 (CHG T4)</c:v>
                </c:pt>
                <c:pt idx="5">
                  <c:v>Transition from state 1 to state 4 (CHG T4)</c:v>
                </c:pt>
                <c:pt idx="6">
                  <c:v>Transition from state 1 to state 4 (CHG T1)</c:v>
                </c:pt>
                <c:pt idx="7">
                  <c:v>Transition from state 1 to state 2 (CHG T4)</c:v>
                </c:pt>
                <c:pt idx="8">
                  <c:v>Transition from state 1 to state 2 (CHG T1)</c:v>
                </c:pt>
                <c:pt idx="9">
                  <c:v>Transition from state 1 to state 1 (CHG T4)</c:v>
                </c:pt>
              </c:strCache>
            </c:strRef>
          </c:cat>
          <c:val>
            <c:numRef>
              <c:f>OWSA!$E$37:$E$46</c:f>
              <c:numCache>
                <c:formatCode>General</c:formatCode>
                <c:ptCount val="10"/>
                <c:pt idx="0">
                  <c:v>13032.377606579805</c:v>
                </c:pt>
                <c:pt idx="1">
                  <c:v>13414.683117636596</c:v>
                </c:pt>
                <c:pt idx="2">
                  <c:v>15870.726863627113</c:v>
                </c:pt>
                <c:pt idx="3">
                  <c:v>15990.063098053683</c:v>
                </c:pt>
                <c:pt idx="4">
                  <c:v>16014.115027318405</c:v>
                </c:pt>
                <c:pt idx="5">
                  <c:v>16013.940537359251</c:v>
                </c:pt>
                <c:pt idx="6">
                  <c:v>16007.95315408663</c:v>
                </c:pt>
                <c:pt idx="7">
                  <c:v>16008.76667785268</c:v>
                </c:pt>
                <c:pt idx="8">
                  <c:v>16012.778883397481</c:v>
                </c:pt>
                <c:pt idx="9">
                  <c:v>16008.972682712694</c:v>
                </c:pt>
              </c:numCache>
            </c:numRef>
          </c:val>
          <c:extLst>
            <c:ext xmlns:c16="http://schemas.microsoft.com/office/drawing/2014/chart" uri="{C3380CC4-5D6E-409C-BE32-E72D297353CC}">
              <c16:uniqueId val="{00000000-6F9F-410E-92DF-F03E0A90942C}"/>
            </c:ext>
          </c:extLst>
        </c:ser>
        <c:ser>
          <c:idx val="1"/>
          <c:order val="1"/>
          <c:tx>
            <c:strRef>
              <c:f>OWSA!$F$36</c:f>
              <c:strCache>
                <c:ptCount val="1"/>
                <c:pt idx="0">
                  <c:v>UB</c:v>
                </c:pt>
              </c:strCache>
            </c:strRef>
          </c:tx>
          <c:spPr>
            <a:solidFill>
              <a:schemeClr val="accent2"/>
            </a:solidFill>
            <a:ln>
              <a:noFill/>
            </a:ln>
            <a:effectLst/>
          </c:spPr>
          <c:invertIfNegative val="0"/>
          <c:cat>
            <c:strRef>
              <c:f>OWSA!$C$37:$C$46</c:f>
              <c:strCache>
                <c:ptCount val="10"/>
                <c:pt idx="0">
                  <c:v>ICU Cost without CRBSI</c:v>
                </c:pt>
                <c:pt idx="1">
                  <c:v>Additional ICU Length of stay (LOS) due to CRBSI</c:v>
                </c:pt>
                <c:pt idx="2">
                  <c:v>Direct cost of treating CRBSI </c:v>
                </c:pt>
                <c:pt idx="3">
                  <c:v>Cost for Catheres charged</c:v>
                </c:pt>
                <c:pt idx="4">
                  <c:v>Transition from state 1 to state 3 (CHG T4)</c:v>
                </c:pt>
                <c:pt idx="5">
                  <c:v>Transition from state 1 to state 4 (CHG T4)</c:v>
                </c:pt>
                <c:pt idx="6">
                  <c:v>Transition from state 1 to state 4 (CHG T1)</c:v>
                </c:pt>
                <c:pt idx="7">
                  <c:v>Transition from state 1 to state 2 (CHG T4)</c:v>
                </c:pt>
                <c:pt idx="8">
                  <c:v>Transition from state 1 to state 2 (CHG T1)</c:v>
                </c:pt>
                <c:pt idx="9">
                  <c:v>Transition from state 1 to state 1 (CHG T4)</c:v>
                </c:pt>
              </c:strCache>
            </c:strRef>
          </c:cat>
          <c:val>
            <c:numRef>
              <c:f>OWSA!$F$37:$F$46</c:f>
              <c:numCache>
                <c:formatCode>General</c:formatCode>
                <c:ptCount val="10"/>
                <c:pt idx="0">
                  <c:v>18989.354890391569</c:v>
                </c:pt>
                <c:pt idx="1">
                  <c:v>18607.049379334792</c:v>
                </c:pt>
                <c:pt idx="2">
                  <c:v>16151.005633344315</c:v>
                </c:pt>
                <c:pt idx="3">
                  <c:v>16031.669398917753</c:v>
                </c:pt>
                <c:pt idx="4">
                  <c:v>16008.204732794706</c:v>
                </c:pt>
                <c:pt idx="5">
                  <c:v>16008.347759858025</c:v>
                </c:pt>
                <c:pt idx="6">
                  <c:v>16013.266304082868</c:v>
                </c:pt>
                <c:pt idx="7">
                  <c:v>16012.591248347233</c:v>
                </c:pt>
                <c:pt idx="8">
                  <c:v>16009.294843116641</c:v>
                </c:pt>
                <c:pt idx="9">
                  <c:v>16012.422878215495</c:v>
                </c:pt>
              </c:numCache>
            </c:numRef>
          </c:val>
          <c:extLst>
            <c:ext xmlns:c16="http://schemas.microsoft.com/office/drawing/2014/chart" uri="{C3380CC4-5D6E-409C-BE32-E72D297353CC}">
              <c16:uniqueId val="{00000001-6F9F-410E-92DF-F03E0A90942C}"/>
            </c:ext>
          </c:extLst>
        </c:ser>
        <c:dLbls>
          <c:showLegendKey val="0"/>
          <c:showVal val="0"/>
          <c:showCatName val="0"/>
          <c:showSerName val="0"/>
          <c:showPercent val="0"/>
          <c:showBubbleSize val="0"/>
        </c:dLbls>
        <c:gapWidth val="50"/>
        <c:axId val="1903011936"/>
        <c:axId val="1902988224"/>
      </c:barChart>
      <c:catAx>
        <c:axId val="190301193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a:outerShdw sx="1000" sy="1000" algn="ctr" rotWithShape="0">
              <a:srgbClr val="000000"/>
            </a:outerShd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2988224"/>
        <c:crossesAt val="16031.669398917753"/>
        <c:auto val="1"/>
        <c:lblAlgn val="ctr"/>
        <c:lblOffset val="100"/>
        <c:noMultiLvlLbl val="0"/>
      </c:catAx>
      <c:valAx>
        <c:axId val="1902988224"/>
        <c:scaling>
          <c:orientation val="minMax"/>
          <c:min val="12000"/>
        </c:scaling>
        <c:delete val="0"/>
        <c:axPos val="t"/>
        <c:majorGridlines>
          <c:spPr>
            <a:ln w="9525" cap="flat" cmpd="sng" algn="ctr">
              <a:solidFill>
                <a:schemeClr val="tx1">
                  <a:lumMod val="15000"/>
                  <a:lumOff val="85000"/>
                </a:schemeClr>
              </a:solidFill>
              <a:round/>
            </a:ln>
            <a:effectLst>
              <a:outerShdw dist="50800" sx="1000" sy="1000" algn="ctr" rotWithShape="0">
                <a:srgbClr val="000000"/>
              </a:outerShdw>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011936"/>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CHG</a:t>
            </a:r>
            <a:r>
              <a:rPr lang="en-IN" baseline="0"/>
              <a:t> T1 VS PVI T4</a:t>
            </a:r>
          </a:p>
        </c:rich>
      </c:tx>
      <c:layout>
        <c:manualLayout>
          <c:xMode val="edge"/>
          <c:yMode val="edge"/>
          <c:x val="0.29838188976377955"/>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OWSA!$E$52</c:f>
              <c:strCache>
                <c:ptCount val="1"/>
                <c:pt idx="0">
                  <c:v>LB</c:v>
                </c:pt>
              </c:strCache>
            </c:strRef>
          </c:tx>
          <c:spPr>
            <a:solidFill>
              <a:schemeClr val="accent1"/>
            </a:solidFill>
            <a:ln>
              <a:noFill/>
            </a:ln>
            <a:effectLst/>
          </c:spPr>
          <c:invertIfNegative val="0"/>
          <c:cat>
            <c:strRef>
              <c:f>OWSA!$C$53:$C$62</c:f>
              <c:strCache>
                <c:ptCount val="10"/>
                <c:pt idx="0">
                  <c:v>ICU Cost without CRBSI</c:v>
                </c:pt>
                <c:pt idx="1">
                  <c:v>Additional ICU Length of stay (LOS) due to CRBSI</c:v>
                </c:pt>
                <c:pt idx="2">
                  <c:v>Direct cost of treating CRBSI </c:v>
                </c:pt>
                <c:pt idx="3">
                  <c:v>Cost for Catheres charged</c:v>
                </c:pt>
                <c:pt idx="4">
                  <c:v>Transition from state 1 to state 3 (PVI T4)</c:v>
                </c:pt>
                <c:pt idx="5">
                  <c:v>Transition from state 1 to state 4 (PVI T4)</c:v>
                </c:pt>
                <c:pt idx="6">
                  <c:v>Transition from state 1 to state 4 (CHG T1)</c:v>
                </c:pt>
                <c:pt idx="7">
                  <c:v>Transition from state 1 to state 2 (PVI T4)</c:v>
                </c:pt>
                <c:pt idx="8">
                  <c:v>Transition from state 1 to state 2 (CHG T1)</c:v>
                </c:pt>
                <c:pt idx="9">
                  <c:v>Transition from state 1 to state 1 (PVI T4)</c:v>
                </c:pt>
              </c:strCache>
            </c:strRef>
          </c:cat>
          <c:val>
            <c:numRef>
              <c:f>OWSA!$E$53:$E$62</c:f>
              <c:numCache>
                <c:formatCode>General</c:formatCode>
                <c:ptCount val="10"/>
                <c:pt idx="0">
                  <c:v>13080.085148319635</c:v>
                </c:pt>
                <c:pt idx="1">
                  <c:v>13476.000795712793</c:v>
                </c:pt>
                <c:pt idx="2">
                  <c:v>15932.044541703328</c:v>
                </c:pt>
                <c:pt idx="3">
                  <c:v>16050.836933178643</c:v>
                </c:pt>
                <c:pt idx="4">
                  <c:v>16075.552456492051</c:v>
                </c:pt>
                <c:pt idx="5">
                  <c:v>16075.42243122957</c:v>
                </c:pt>
                <c:pt idx="6">
                  <c:v>16069.126330571735</c:v>
                </c:pt>
                <c:pt idx="7">
                  <c:v>16070.039945250332</c:v>
                </c:pt>
                <c:pt idx="8">
                  <c:v>16074.129121811282</c:v>
                </c:pt>
                <c:pt idx="9">
                  <c:v>16070.24903310638</c:v>
                </c:pt>
              </c:numCache>
            </c:numRef>
          </c:val>
          <c:extLst>
            <c:ext xmlns:c16="http://schemas.microsoft.com/office/drawing/2014/chart" uri="{C3380CC4-5D6E-409C-BE32-E72D297353CC}">
              <c16:uniqueId val="{00000000-1D32-4F6D-92A7-455182733EBA}"/>
            </c:ext>
          </c:extLst>
        </c:ser>
        <c:ser>
          <c:idx val="1"/>
          <c:order val="1"/>
          <c:tx>
            <c:strRef>
              <c:f>OWSA!$F$52</c:f>
              <c:strCache>
                <c:ptCount val="1"/>
                <c:pt idx="0">
                  <c:v>UB</c:v>
                </c:pt>
              </c:strCache>
            </c:strRef>
          </c:tx>
          <c:spPr>
            <a:solidFill>
              <a:schemeClr val="accent2"/>
            </a:solidFill>
            <a:ln>
              <a:noFill/>
            </a:ln>
            <a:effectLst/>
          </c:spPr>
          <c:invertIfNegative val="0"/>
          <c:cat>
            <c:strRef>
              <c:f>OWSA!$C$53:$C$62</c:f>
              <c:strCache>
                <c:ptCount val="10"/>
                <c:pt idx="0">
                  <c:v>ICU Cost without CRBSI</c:v>
                </c:pt>
                <c:pt idx="1">
                  <c:v>Additional ICU Length of stay (LOS) due to CRBSI</c:v>
                </c:pt>
                <c:pt idx="2">
                  <c:v>Direct cost of treating CRBSI </c:v>
                </c:pt>
                <c:pt idx="3">
                  <c:v>Cost for Catheres charged</c:v>
                </c:pt>
                <c:pt idx="4">
                  <c:v>Transition from state 1 to state 3 (PVI T4)</c:v>
                </c:pt>
                <c:pt idx="5">
                  <c:v>Transition from state 1 to state 4 (PVI T4)</c:v>
                </c:pt>
                <c:pt idx="6">
                  <c:v>Transition from state 1 to state 4 (CHG T1)</c:v>
                </c:pt>
                <c:pt idx="7">
                  <c:v>Transition from state 1 to state 2 (PVI T4)</c:v>
                </c:pt>
                <c:pt idx="8">
                  <c:v>Transition from state 1 to state 2 (CHG T1)</c:v>
                </c:pt>
                <c:pt idx="9">
                  <c:v>Transition from state 1 to state 1 (PVI T4)</c:v>
                </c:pt>
              </c:strCache>
            </c:strRef>
          </c:cat>
          <c:val>
            <c:numRef>
              <c:f>OWSA!$F$53:$F$62</c:f>
              <c:numCache>
                <c:formatCode>General</c:formatCode>
                <c:ptCount val="10"/>
                <c:pt idx="0">
                  <c:v>19064.28270480418</c:v>
                </c:pt>
                <c:pt idx="1">
                  <c:v>18668.367057411051</c:v>
                </c:pt>
                <c:pt idx="2">
                  <c:v>16212.323311420529</c:v>
                </c:pt>
                <c:pt idx="3">
                  <c:v>16093.530919945206</c:v>
                </c:pt>
                <c:pt idx="4">
                  <c:v>16069.424334280015</c:v>
                </c:pt>
                <c:pt idx="5">
                  <c:v>16069.531043039495</c:v>
                </c:pt>
                <c:pt idx="6">
                  <c:v>16074.703154110452</c:v>
                </c:pt>
                <c:pt idx="7">
                  <c:v>16073.945411197366</c:v>
                </c:pt>
                <c:pt idx="8">
                  <c:v>16070.585769847581</c:v>
                </c:pt>
                <c:pt idx="9">
                  <c:v>16073.774530126448</c:v>
                </c:pt>
              </c:numCache>
            </c:numRef>
          </c:val>
          <c:extLst>
            <c:ext xmlns:c16="http://schemas.microsoft.com/office/drawing/2014/chart" uri="{C3380CC4-5D6E-409C-BE32-E72D297353CC}">
              <c16:uniqueId val="{00000001-1D32-4F6D-92A7-455182733EBA}"/>
            </c:ext>
          </c:extLst>
        </c:ser>
        <c:dLbls>
          <c:showLegendKey val="0"/>
          <c:showVal val="0"/>
          <c:showCatName val="0"/>
          <c:showSerName val="0"/>
          <c:showPercent val="0"/>
          <c:showBubbleSize val="0"/>
        </c:dLbls>
        <c:gapWidth val="50"/>
        <c:axId val="1903011936"/>
        <c:axId val="1902988224"/>
      </c:barChart>
      <c:catAx>
        <c:axId val="190301193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a:outerShdw sx="1000" sy="1000" algn="ctr" rotWithShape="0">
              <a:srgbClr val="000000"/>
            </a:outerShd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2988224"/>
        <c:crossesAt val="16093.530919945206"/>
        <c:auto val="1"/>
        <c:lblAlgn val="ctr"/>
        <c:lblOffset val="100"/>
        <c:noMultiLvlLbl val="0"/>
      </c:catAx>
      <c:valAx>
        <c:axId val="1902988224"/>
        <c:scaling>
          <c:orientation val="minMax"/>
          <c:min val="12000"/>
        </c:scaling>
        <c:delete val="0"/>
        <c:axPos val="t"/>
        <c:majorGridlines>
          <c:spPr>
            <a:ln w="9525" cap="flat" cmpd="sng" algn="ctr">
              <a:solidFill>
                <a:schemeClr val="tx1">
                  <a:lumMod val="15000"/>
                  <a:lumOff val="85000"/>
                </a:schemeClr>
              </a:solidFill>
              <a:round/>
            </a:ln>
            <a:effectLst>
              <a:outerShdw dist="50800" sx="1000" sy="1000" algn="ctr" rotWithShape="0">
                <a:srgbClr val="000000"/>
              </a:outerShdw>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011936"/>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403462</xdr:colOff>
      <xdr:row>2</xdr:row>
      <xdr:rowOff>15663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0108" b="26882"/>
        <a:stretch/>
      </xdr:blipFill>
      <xdr:spPr>
        <a:xfrm>
          <a:off x="0" y="0"/>
          <a:ext cx="1622662" cy="42206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405579</xdr:colOff>
      <xdr:row>2</xdr:row>
      <xdr:rowOff>51646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0108" b="26882"/>
        <a:stretch/>
      </xdr:blipFill>
      <xdr:spPr>
        <a:xfrm>
          <a:off x="0" y="0"/>
          <a:ext cx="1624779" cy="4199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44899</xdr:colOff>
      <xdr:row>32</xdr:row>
      <xdr:rowOff>168657</xdr:rowOff>
    </xdr:from>
    <xdr:to>
      <xdr:col>15</xdr:col>
      <xdr:colOff>19050</xdr:colOff>
      <xdr:row>33</xdr:row>
      <xdr:rowOff>2</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flipV="1">
          <a:off x="1378399" y="6944107"/>
          <a:ext cx="9410251" cy="66295"/>
        </a:xfrm>
        <a:prstGeom prst="line">
          <a:avLst/>
        </a:prstGeom>
        <a:ln w="12700"/>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6350</xdr:colOff>
      <xdr:row>8</xdr:row>
      <xdr:rowOff>31750</xdr:rowOff>
    </xdr:from>
    <xdr:to>
      <xdr:col>19</xdr:col>
      <xdr:colOff>25400</xdr:colOff>
      <xdr:row>8</xdr:row>
      <xdr:rowOff>31750</xdr:rowOff>
    </xdr:to>
    <xdr:cxnSp macro="">
      <xdr:nvCxnSpPr>
        <xdr:cNvPr id="130" name="Straight Connector 129">
          <a:extLst>
            <a:ext uri="{FF2B5EF4-FFF2-40B4-BE49-F238E27FC236}">
              <a16:creationId xmlns:a16="http://schemas.microsoft.com/office/drawing/2014/main" id="{00000000-0008-0000-0400-000082000000}"/>
            </a:ext>
          </a:extLst>
        </xdr:cNvPr>
        <xdr:cNvCxnSpPr/>
      </xdr:nvCxnSpPr>
      <xdr:spPr>
        <a:xfrm>
          <a:off x="615950" y="1136650"/>
          <a:ext cx="10382250" cy="0"/>
        </a:xfrm>
        <a:prstGeom prst="line">
          <a:avLst/>
        </a:prstGeom>
        <a:ln w="12700"/>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546100</xdr:colOff>
      <xdr:row>23</xdr:row>
      <xdr:rowOff>44450</xdr:rowOff>
    </xdr:from>
    <xdr:to>
      <xdr:col>10</xdr:col>
      <xdr:colOff>266700</xdr:colOff>
      <xdr:row>31</xdr:row>
      <xdr:rowOff>0</xdr:rowOff>
    </xdr:to>
    <xdr:sp macro="" textlink="">
      <xdr:nvSpPr>
        <xdr:cNvPr id="44" name="Oval 43">
          <a:extLst>
            <a:ext uri="{FF2B5EF4-FFF2-40B4-BE49-F238E27FC236}">
              <a16:creationId xmlns:a16="http://schemas.microsoft.com/office/drawing/2014/main" id="{00000000-0008-0000-0400-00002C000000}"/>
            </a:ext>
          </a:extLst>
        </xdr:cNvPr>
        <xdr:cNvSpPr/>
      </xdr:nvSpPr>
      <xdr:spPr>
        <a:xfrm>
          <a:off x="5232400" y="3911600"/>
          <a:ext cx="1549400" cy="1428750"/>
        </a:xfrm>
        <a:prstGeom prst="ellipse">
          <a:avLst/>
        </a:prstGeom>
        <a:solidFill>
          <a:srgbClr val="FF9933"/>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57150</xdr:colOff>
      <xdr:row>33</xdr:row>
      <xdr:rowOff>152400</xdr:rowOff>
    </xdr:from>
    <xdr:to>
      <xdr:col>7</xdr:col>
      <xdr:colOff>285750</xdr:colOff>
      <xdr:row>41</xdr:row>
      <xdr:rowOff>76200</xdr:rowOff>
    </xdr:to>
    <xdr:sp macro="" textlink="">
      <xdr:nvSpPr>
        <xdr:cNvPr id="45" name="Oval 44">
          <a:extLst>
            <a:ext uri="{FF2B5EF4-FFF2-40B4-BE49-F238E27FC236}">
              <a16:creationId xmlns:a16="http://schemas.microsoft.com/office/drawing/2014/main" id="{00000000-0008-0000-0400-00002D000000}"/>
            </a:ext>
          </a:extLst>
        </xdr:cNvPr>
        <xdr:cNvSpPr/>
      </xdr:nvSpPr>
      <xdr:spPr>
        <a:xfrm>
          <a:off x="3524250" y="5861050"/>
          <a:ext cx="1447800" cy="1397000"/>
        </a:xfrm>
        <a:prstGeom prst="ellipse">
          <a:avLst/>
        </a:prstGeom>
        <a:solidFill>
          <a:schemeClr val="accent4"/>
        </a:solidFill>
        <a:ln>
          <a:solidFill>
            <a:schemeClr val="accent4"/>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139700</xdr:colOff>
      <xdr:row>25</xdr:row>
      <xdr:rowOff>82550</xdr:rowOff>
    </xdr:from>
    <xdr:to>
      <xdr:col>10</xdr:col>
      <xdr:colOff>101600</xdr:colOff>
      <xdr:row>29</xdr:row>
      <xdr:rowOff>19050</xdr:rowOff>
    </xdr:to>
    <xdr:sp macro="" textlink="">
      <xdr:nvSpPr>
        <xdr:cNvPr id="46" name="TextBox 45">
          <a:extLst>
            <a:ext uri="{FF2B5EF4-FFF2-40B4-BE49-F238E27FC236}">
              <a16:creationId xmlns:a16="http://schemas.microsoft.com/office/drawing/2014/main" id="{00000000-0008-0000-0400-00002E000000}"/>
            </a:ext>
          </a:extLst>
        </xdr:cNvPr>
        <xdr:cNvSpPr txBox="1"/>
      </xdr:nvSpPr>
      <xdr:spPr>
        <a:xfrm>
          <a:off x="5435600" y="4318000"/>
          <a:ext cx="1181100" cy="673100"/>
        </a:xfrm>
        <a:prstGeom prst="rect">
          <a:avLst/>
        </a:prstGeom>
        <a:solidFill>
          <a:srgbClr val="FF9933"/>
        </a:solidFill>
        <a:ln w="9525" cmpd="sng">
          <a:solidFill>
            <a:srgbClr val="FF993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800" b="1" cap="none" spc="0">
              <a:ln w="6600">
                <a:solidFill>
                  <a:schemeClr val="accent2"/>
                </a:solidFill>
                <a:prstDash val="solid"/>
              </a:ln>
              <a:solidFill>
                <a:srgbClr val="FFFFFF"/>
              </a:solidFill>
              <a:effectLst>
                <a:outerShdw dist="38100" dir="2700000" algn="tl" rotWithShape="0">
                  <a:schemeClr val="accent2"/>
                </a:outerShdw>
              </a:effectLst>
              <a:latin typeface="+mn-lt"/>
              <a:ea typeface="+mn-ea"/>
              <a:cs typeface="+mn-cs"/>
            </a:rPr>
            <a:t>Hospital Setting</a:t>
          </a:r>
        </a:p>
        <a:p>
          <a:endParaRPr lang="en-IN" sz="1100"/>
        </a:p>
      </xdr:txBody>
    </xdr:sp>
    <xdr:clientData/>
  </xdr:twoCellAnchor>
  <xdr:twoCellAnchor>
    <xdr:from>
      <xdr:col>5</xdr:col>
      <xdr:colOff>185463</xdr:colOff>
      <xdr:row>36</xdr:row>
      <xdr:rowOff>129847</xdr:rowOff>
    </xdr:from>
    <xdr:to>
      <xdr:col>7</xdr:col>
      <xdr:colOff>158750</xdr:colOff>
      <xdr:row>38</xdr:row>
      <xdr:rowOff>139700</xdr:rowOff>
    </xdr:to>
    <xdr:sp macro="" textlink="">
      <xdr:nvSpPr>
        <xdr:cNvPr id="47" name="TextBox 46">
          <a:extLst>
            <a:ext uri="{FF2B5EF4-FFF2-40B4-BE49-F238E27FC236}">
              <a16:creationId xmlns:a16="http://schemas.microsoft.com/office/drawing/2014/main" id="{00000000-0008-0000-0400-00002F000000}"/>
            </a:ext>
          </a:extLst>
        </xdr:cNvPr>
        <xdr:cNvSpPr txBox="1"/>
      </xdr:nvSpPr>
      <xdr:spPr>
        <a:xfrm>
          <a:off x="3652563" y="6390947"/>
          <a:ext cx="1192487" cy="378153"/>
        </a:xfrm>
        <a:prstGeom prst="rect">
          <a:avLst/>
        </a:prstGeom>
        <a:solidFill>
          <a:schemeClr val="accent4"/>
        </a:solidFill>
        <a:ln>
          <a:solidFill>
            <a:schemeClr val="accent4"/>
          </a:solid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r>
            <a:rPr lang="en-IN" sz="1800" b="1" cap="none" spc="50">
              <a:ln w="0"/>
              <a:solidFill>
                <a:schemeClr val="bg1"/>
              </a:solidFill>
              <a:effectLst>
                <a:innerShdw blurRad="63500" dist="50800" dir="5400000">
                  <a:prstClr val="black">
                    <a:alpha val="50000"/>
                  </a:prstClr>
                </a:innerShdw>
              </a:effectLst>
            </a:rPr>
            <a:t>Discharge</a:t>
          </a:r>
        </a:p>
      </xdr:txBody>
    </xdr:sp>
    <xdr:clientData/>
  </xdr:twoCellAnchor>
  <xdr:twoCellAnchor>
    <xdr:from>
      <xdr:col>10</xdr:col>
      <xdr:colOff>360705</xdr:colOff>
      <xdr:row>33</xdr:row>
      <xdr:rowOff>120331</xdr:rowOff>
    </xdr:from>
    <xdr:to>
      <xdr:col>13</xdr:col>
      <xdr:colOff>80493</xdr:colOff>
      <xdr:row>41</xdr:row>
      <xdr:rowOff>80493</xdr:rowOff>
    </xdr:to>
    <xdr:sp macro="" textlink="">
      <xdr:nvSpPr>
        <xdr:cNvPr id="48" name="Oval 47">
          <a:extLst>
            <a:ext uri="{FF2B5EF4-FFF2-40B4-BE49-F238E27FC236}">
              <a16:creationId xmlns:a16="http://schemas.microsoft.com/office/drawing/2014/main" id="{00000000-0008-0000-0400-000030000000}"/>
            </a:ext>
          </a:extLst>
        </xdr:cNvPr>
        <xdr:cNvSpPr/>
      </xdr:nvSpPr>
      <xdr:spPr>
        <a:xfrm>
          <a:off x="6209860" y="6461387"/>
          <a:ext cx="1544295" cy="1462698"/>
        </a:xfrm>
        <a:prstGeom prst="ellipse">
          <a:avLst/>
        </a:prstGeom>
        <a:solidFill>
          <a:schemeClr val="accent4"/>
        </a:solidFill>
        <a:ln>
          <a:solidFill>
            <a:schemeClr val="accent4"/>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5645</xdr:colOff>
      <xdr:row>36</xdr:row>
      <xdr:rowOff>151051</xdr:rowOff>
    </xdr:from>
    <xdr:to>
      <xdr:col>12</xdr:col>
      <xdr:colOff>488682</xdr:colOff>
      <xdr:row>38</xdr:row>
      <xdr:rowOff>125213</xdr:rowOff>
    </xdr:to>
    <xdr:sp macro="" textlink="">
      <xdr:nvSpPr>
        <xdr:cNvPr id="49" name="TextBox 48">
          <a:extLst>
            <a:ext uri="{FF2B5EF4-FFF2-40B4-BE49-F238E27FC236}">
              <a16:creationId xmlns:a16="http://schemas.microsoft.com/office/drawing/2014/main" id="{00000000-0008-0000-0400-000031000000}"/>
            </a:ext>
          </a:extLst>
        </xdr:cNvPr>
        <xdr:cNvSpPr txBox="1"/>
      </xdr:nvSpPr>
      <xdr:spPr>
        <a:xfrm>
          <a:off x="6462969" y="7055558"/>
          <a:ext cx="1091206" cy="349796"/>
        </a:xfrm>
        <a:prstGeom prst="rect">
          <a:avLst/>
        </a:prstGeom>
        <a:solidFill>
          <a:schemeClr val="accent4"/>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800" b="1" cap="none" spc="50">
              <a:ln w="0"/>
              <a:solidFill>
                <a:schemeClr val="bg1"/>
              </a:solidFill>
              <a:effectLst>
                <a:innerShdw blurRad="63500" dist="50800" dir="5400000">
                  <a:prstClr val="black">
                    <a:alpha val="50000"/>
                  </a:prstClr>
                </a:innerShdw>
              </a:effectLst>
              <a:latin typeface="+mn-lt"/>
              <a:ea typeface="+mn-ea"/>
              <a:cs typeface="+mn-cs"/>
            </a:rPr>
            <a:t>Death</a:t>
          </a:r>
        </a:p>
      </xdr:txBody>
    </xdr:sp>
    <xdr:clientData/>
  </xdr:twoCellAnchor>
  <xdr:twoCellAnchor>
    <xdr:from>
      <xdr:col>7</xdr:col>
      <xdr:colOff>244816</xdr:colOff>
      <xdr:row>29</xdr:row>
      <xdr:rowOff>88348</xdr:rowOff>
    </xdr:from>
    <xdr:to>
      <xdr:col>8</xdr:col>
      <xdr:colOff>27831</xdr:colOff>
      <xdr:row>35</xdr:row>
      <xdr:rowOff>45861</xdr:rowOff>
    </xdr:to>
    <xdr:sp macro="" textlink="">
      <xdr:nvSpPr>
        <xdr:cNvPr id="50" name="Arrow: Right 49">
          <a:extLst>
            <a:ext uri="{FF2B5EF4-FFF2-40B4-BE49-F238E27FC236}">
              <a16:creationId xmlns:a16="http://schemas.microsoft.com/office/drawing/2014/main" id="{00000000-0008-0000-0400-000032000000}"/>
            </a:ext>
          </a:extLst>
        </xdr:cNvPr>
        <xdr:cNvSpPr/>
      </xdr:nvSpPr>
      <xdr:spPr>
        <a:xfrm rot="7970527">
          <a:off x="4596217" y="5395297"/>
          <a:ext cx="1062413" cy="392615"/>
        </a:xfrm>
        <a:prstGeom prst="rightArrow">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264574</xdr:colOff>
      <xdr:row>29</xdr:row>
      <xdr:rowOff>59275</xdr:rowOff>
    </xdr:from>
    <xdr:to>
      <xdr:col>11</xdr:col>
      <xdr:colOff>16131</xdr:colOff>
      <xdr:row>34</xdr:row>
      <xdr:rowOff>110562</xdr:rowOff>
    </xdr:to>
    <xdr:sp macro="" textlink="">
      <xdr:nvSpPr>
        <xdr:cNvPr id="51" name="Arrow: Right 50">
          <a:extLst>
            <a:ext uri="{FF2B5EF4-FFF2-40B4-BE49-F238E27FC236}">
              <a16:creationId xmlns:a16="http://schemas.microsoft.com/office/drawing/2014/main" id="{00000000-0008-0000-0400-000033000000}"/>
            </a:ext>
          </a:extLst>
        </xdr:cNvPr>
        <xdr:cNvSpPr/>
      </xdr:nvSpPr>
      <xdr:spPr>
        <a:xfrm rot="2708831">
          <a:off x="5798406" y="5964387"/>
          <a:ext cx="990371" cy="359726"/>
        </a:xfrm>
        <a:prstGeom prst="rightArrow">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177800</xdr:colOff>
      <xdr:row>24</xdr:row>
      <xdr:rowOff>101600</xdr:rowOff>
    </xdr:from>
    <xdr:to>
      <xdr:col>15</xdr:col>
      <xdr:colOff>203200</xdr:colOff>
      <xdr:row>26</xdr:row>
      <xdr:rowOff>95250</xdr:rowOff>
    </xdr:to>
    <xdr:sp macro="" textlink="">
      <xdr:nvSpPr>
        <xdr:cNvPr id="53" name="Oval 52">
          <a:extLst>
            <a:ext uri="{FF2B5EF4-FFF2-40B4-BE49-F238E27FC236}">
              <a16:creationId xmlns:a16="http://schemas.microsoft.com/office/drawing/2014/main" id="{00000000-0008-0000-0400-000035000000}"/>
            </a:ext>
          </a:extLst>
        </xdr:cNvPr>
        <xdr:cNvSpPr/>
      </xdr:nvSpPr>
      <xdr:spPr>
        <a:xfrm>
          <a:off x="9131300" y="4152900"/>
          <a:ext cx="381000" cy="361950"/>
        </a:xfrm>
        <a:prstGeom prst="ellipse">
          <a:avLst/>
        </a:prstGeom>
        <a:solidFill>
          <a:srgbClr val="FF9933"/>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203201</xdr:colOff>
      <xdr:row>27</xdr:row>
      <xdr:rowOff>87048</xdr:rowOff>
    </xdr:from>
    <xdr:to>
      <xdr:col>15</xdr:col>
      <xdr:colOff>228601</xdr:colOff>
      <xdr:row>29</xdr:row>
      <xdr:rowOff>80698</xdr:rowOff>
    </xdr:to>
    <xdr:sp macro="" textlink="">
      <xdr:nvSpPr>
        <xdr:cNvPr id="54" name="Oval 53">
          <a:extLst>
            <a:ext uri="{FF2B5EF4-FFF2-40B4-BE49-F238E27FC236}">
              <a16:creationId xmlns:a16="http://schemas.microsoft.com/office/drawing/2014/main" id="{00000000-0008-0000-0400-000036000000}"/>
            </a:ext>
          </a:extLst>
        </xdr:cNvPr>
        <xdr:cNvSpPr/>
      </xdr:nvSpPr>
      <xdr:spPr>
        <a:xfrm>
          <a:off x="7882732" y="4717256"/>
          <a:ext cx="382588" cy="364067"/>
        </a:xfrm>
        <a:prstGeom prst="ellipse">
          <a:avLst/>
        </a:prstGeom>
        <a:solidFill>
          <a:schemeClr val="accent4"/>
        </a:solidFill>
        <a:ln>
          <a:solidFill>
            <a:schemeClr val="accent4"/>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98535</xdr:colOff>
      <xdr:row>50</xdr:row>
      <xdr:rowOff>131381</xdr:rowOff>
    </xdr:from>
    <xdr:to>
      <xdr:col>7</xdr:col>
      <xdr:colOff>295604</xdr:colOff>
      <xdr:row>52</xdr:row>
      <xdr:rowOff>142330</xdr:rowOff>
    </xdr:to>
    <xdr:sp macro="" textlink="">
      <xdr:nvSpPr>
        <xdr:cNvPr id="98" name="Text Box 229">
          <a:extLst>
            <a:ext uri="{FF2B5EF4-FFF2-40B4-BE49-F238E27FC236}">
              <a16:creationId xmlns:a16="http://schemas.microsoft.com/office/drawing/2014/main" id="{00000000-0008-0000-0400-000062000000}"/>
            </a:ext>
          </a:extLst>
        </xdr:cNvPr>
        <xdr:cNvSpPr txBox="1">
          <a:spLocks noChangeArrowheads="1"/>
        </xdr:cNvSpPr>
      </xdr:nvSpPr>
      <xdr:spPr bwMode="auto">
        <a:xfrm>
          <a:off x="15948135" y="5103431"/>
          <a:ext cx="2025869" cy="379249"/>
        </a:xfrm>
        <a:prstGeom prst="rect">
          <a:avLst/>
        </a:prstGeom>
        <a:solidFill>
          <a:srgbClr val="9CC2E5"/>
        </a:solidFill>
        <a:ln w="9525">
          <a:solidFill>
            <a:srgbClr val="9CC2E5"/>
          </a:solidFill>
          <a:miter lim="800000"/>
          <a:headEnd/>
          <a:tailEnd/>
        </a:ln>
      </xdr:spPr>
      <xdr:txBody>
        <a:bodyPr vertOverflow="clip" wrap="square" lIns="91440" tIns="45720" rIns="91440" bIns="45720" anchor="ctr" upright="1"/>
        <a:lstStyle/>
        <a:p>
          <a:pPr algn="ctr" rtl="0">
            <a:defRPr sz="1000"/>
          </a:pPr>
          <a:r>
            <a:rPr lang="en-IN" sz="1100" b="0" i="0" u="none" strike="noStrike" baseline="0">
              <a:solidFill>
                <a:srgbClr val="000000"/>
              </a:solidFill>
              <a:latin typeface="Calibri"/>
              <a:cs typeface="Calibri"/>
            </a:rPr>
            <a:t>1.No AE/ no CRBSI / No CT new</a:t>
          </a:r>
        </a:p>
      </xdr:txBody>
    </xdr:sp>
    <xdr:clientData/>
  </xdr:twoCellAnchor>
  <xdr:twoCellAnchor>
    <xdr:from>
      <xdr:col>4</xdr:col>
      <xdr:colOff>350345</xdr:colOff>
      <xdr:row>67</xdr:row>
      <xdr:rowOff>65690</xdr:rowOff>
    </xdr:from>
    <xdr:to>
      <xdr:col>7</xdr:col>
      <xdr:colOff>280442</xdr:colOff>
      <xdr:row>69</xdr:row>
      <xdr:rowOff>97440</xdr:rowOff>
    </xdr:to>
    <xdr:sp macro="" textlink="">
      <xdr:nvSpPr>
        <xdr:cNvPr id="99" name="Text Box 9">
          <a:extLst>
            <a:ext uri="{FF2B5EF4-FFF2-40B4-BE49-F238E27FC236}">
              <a16:creationId xmlns:a16="http://schemas.microsoft.com/office/drawing/2014/main" id="{00000000-0008-0000-0400-000063000000}"/>
            </a:ext>
          </a:extLst>
        </xdr:cNvPr>
        <xdr:cNvSpPr txBox="1">
          <a:spLocks noChangeArrowheads="1"/>
        </xdr:cNvSpPr>
      </xdr:nvSpPr>
      <xdr:spPr bwMode="auto">
        <a:xfrm>
          <a:off x="16199945" y="8168290"/>
          <a:ext cx="1758897" cy="400050"/>
        </a:xfrm>
        <a:prstGeom prst="rect">
          <a:avLst/>
        </a:prstGeom>
        <a:solidFill>
          <a:srgbClr val="DEEAF6"/>
        </a:solidFill>
        <a:ln w="6350">
          <a:solidFill>
            <a:srgbClr val="DEEAF6"/>
          </a:solidFill>
          <a:miter lim="800000"/>
          <a:headEnd/>
          <a:tailEnd/>
        </a:ln>
      </xdr:spPr>
      <xdr:txBody>
        <a:bodyPr vertOverflow="clip" wrap="square" lIns="91440" tIns="45720" rIns="91440" bIns="45720" anchor="ctr" upright="1"/>
        <a:lstStyle/>
        <a:p>
          <a:pPr algn="ctr" rtl="0">
            <a:defRPr sz="1000"/>
          </a:pPr>
          <a:r>
            <a:rPr lang="en-IN" sz="1100" b="0" i="0" u="none" strike="noStrike" baseline="0">
              <a:solidFill>
                <a:srgbClr val="000000"/>
              </a:solidFill>
              <a:latin typeface="Calibri"/>
              <a:cs typeface="Calibri"/>
            </a:rPr>
            <a:t>2. no AE/ no CRBSI/ CT new</a:t>
          </a:r>
        </a:p>
      </xdr:txBody>
    </xdr:sp>
    <xdr:clientData/>
  </xdr:twoCellAnchor>
  <xdr:twoCellAnchor>
    <xdr:from>
      <xdr:col>10</xdr:col>
      <xdr:colOff>385876</xdr:colOff>
      <xdr:row>53</xdr:row>
      <xdr:rowOff>108449</xdr:rowOff>
    </xdr:from>
    <xdr:to>
      <xdr:col>13</xdr:col>
      <xdr:colOff>363979</xdr:colOff>
      <xdr:row>55</xdr:row>
      <xdr:rowOff>75605</xdr:rowOff>
    </xdr:to>
    <xdr:sp macro="" textlink="">
      <xdr:nvSpPr>
        <xdr:cNvPr id="100" name="Text Box 14">
          <a:extLst>
            <a:ext uri="{FF2B5EF4-FFF2-40B4-BE49-F238E27FC236}">
              <a16:creationId xmlns:a16="http://schemas.microsoft.com/office/drawing/2014/main" id="{00000000-0008-0000-0400-000064000000}"/>
            </a:ext>
          </a:extLst>
        </xdr:cNvPr>
        <xdr:cNvSpPr txBox="1">
          <a:spLocks noChangeArrowheads="1"/>
        </xdr:cNvSpPr>
      </xdr:nvSpPr>
      <xdr:spPr bwMode="auto">
        <a:xfrm>
          <a:off x="6915593" y="9274015"/>
          <a:ext cx="1811216" cy="326590"/>
        </a:xfrm>
        <a:prstGeom prst="rect">
          <a:avLst/>
        </a:prstGeom>
        <a:solidFill>
          <a:srgbClr val="C00000"/>
        </a:solidFill>
        <a:ln w="6350">
          <a:solidFill>
            <a:srgbClr val="C00000"/>
          </a:solidFill>
          <a:miter lim="800000"/>
          <a:headEnd/>
          <a:tailEnd/>
        </a:ln>
      </xdr:spPr>
      <xdr:txBody>
        <a:bodyPr vertOverflow="clip" wrap="square" lIns="91440" tIns="45720" rIns="91440" bIns="45720" anchor="ctr" upright="1"/>
        <a:lstStyle/>
        <a:p>
          <a:pPr algn="ctr" rtl="0">
            <a:defRPr sz="1000"/>
          </a:pPr>
          <a:r>
            <a:rPr lang="en-IN" sz="1100" b="0" i="0" u="none" strike="noStrike" baseline="0">
              <a:solidFill>
                <a:schemeClr val="bg1"/>
              </a:solidFill>
              <a:latin typeface="Calibri"/>
              <a:cs typeface="Calibri"/>
            </a:rPr>
            <a:t>3. No AE/ CRBSI / No CT new</a:t>
          </a:r>
        </a:p>
      </xdr:txBody>
    </xdr:sp>
    <xdr:clientData/>
  </xdr:twoCellAnchor>
  <xdr:twoCellAnchor>
    <xdr:from>
      <xdr:col>10</xdr:col>
      <xdr:colOff>361293</xdr:colOff>
      <xdr:row>63</xdr:row>
      <xdr:rowOff>109482</xdr:rowOff>
    </xdr:from>
    <xdr:to>
      <xdr:col>13</xdr:col>
      <xdr:colOff>262758</xdr:colOff>
      <xdr:row>65</xdr:row>
      <xdr:rowOff>32845</xdr:rowOff>
    </xdr:to>
    <xdr:sp macro="" textlink="">
      <xdr:nvSpPr>
        <xdr:cNvPr id="101" name="Text Box 2">
          <a:extLst>
            <a:ext uri="{FF2B5EF4-FFF2-40B4-BE49-F238E27FC236}">
              <a16:creationId xmlns:a16="http://schemas.microsoft.com/office/drawing/2014/main" id="{00000000-0008-0000-0400-000065000000}"/>
            </a:ext>
          </a:extLst>
        </xdr:cNvPr>
        <xdr:cNvSpPr txBox="1">
          <a:spLocks noChangeArrowheads="1"/>
        </xdr:cNvSpPr>
      </xdr:nvSpPr>
      <xdr:spPr bwMode="auto">
        <a:xfrm>
          <a:off x="19868493" y="7475482"/>
          <a:ext cx="1730265" cy="291663"/>
        </a:xfrm>
        <a:prstGeom prst="rect">
          <a:avLst/>
        </a:prstGeom>
        <a:solidFill>
          <a:srgbClr val="FF0000"/>
        </a:solidFill>
        <a:ln w="9525">
          <a:solidFill>
            <a:srgbClr val="FF0000"/>
          </a:solid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solidFill>
                <a:srgbClr val="FFFFFF"/>
              </a:solidFill>
              <a:effectLst/>
              <a:latin typeface="Calibri" panose="020F0502020204030204" pitchFamily="34" charset="0"/>
              <a:ea typeface="Calibri" panose="020F0502020204030204" pitchFamily="34" charset="0"/>
              <a:cs typeface="Times New Roman" panose="02020603050405020304" pitchFamily="18" charset="0"/>
            </a:rPr>
            <a:t>4. No AE/ CRBSI/ CT new</a:t>
          </a:r>
          <a:endParaRPr lang="en-IN"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14</xdr:col>
      <xdr:colOff>394138</xdr:colOff>
      <xdr:row>57</xdr:row>
      <xdr:rowOff>98534</xdr:rowOff>
    </xdr:from>
    <xdr:to>
      <xdr:col>17</xdr:col>
      <xdr:colOff>336988</xdr:colOff>
      <xdr:row>59</xdr:row>
      <xdr:rowOff>104884</xdr:rowOff>
    </xdr:to>
    <xdr:sp macro="" textlink="">
      <xdr:nvSpPr>
        <xdr:cNvPr id="102" name="Text Box 231">
          <a:extLst>
            <a:ext uri="{FF2B5EF4-FFF2-40B4-BE49-F238E27FC236}">
              <a16:creationId xmlns:a16="http://schemas.microsoft.com/office/drawing/2014/main" id="{00000000-0008-0000-0400-000066000000}"/>
            </a:ext>
          </a:extLst>
        </xdr:cNvPr>
        <xdr:cNvSpPr txBox="1">
          <a:spLocks noChangeArrowheads="1"/>
        </xdr:cNvSpPr>
      </xdr:nvSpPr>
      <xdr:spPr bwMode="auto">
        <a:xfrm>
          <a:off x="22339738" y="6359634"/>
          <a:ext cx="1771650" cy="374650"/>
        </a:xfrm>
        <a:prstGeom prst="rect">
          <a:avLst/>
        </a:prstGeom>
        <a:solidFill>
          <a:srgbClr val="FF9933"/>
        </a:solidFill>
        <a:ln w="9525">
          <a:solidFill>
            <a:schemeClr val="accent4"/>
          </a:solidFill>
          <a:miter lim="800000"/>
          <a:headEnd/>
          <a:tailEnd/>
        </a:ln>
      </xdr:spPr>
      <xdr:txBody>
        <a:bodyPr vertOverflow="clip" wrap="square" lIns="91440" tIns="45720" rIns="91440" bIns="45720" anchor="ctr" upright="1"/>
        <a:lstStyle/>
        <a:p>
          <a:pPr algn="ctr" rtl="0">
            <a:defRPr sz="1000"/>
          </a:pPr>
          <a:r>
            <a:rPr lang="en-IN" sz="1100" b="0" i="0" u="none" strike="noStrike" baseline="0">
              <a:solidFill>
                <a:schemeClr val="bg1"/>
              </a:solidFill>
              <a:latin typeface="Calibri"/>
              <a:cs typeface="Calibri"/>
            </a:rPr>
            <a:t>5. AE/ no CRBSI/ No CT new</a:t>
          </a:r>
        </a:p>
      </xdr:txBody>
    </xdr:sp>
    <xdr:clientData/>
  </xdr:twoCellAnchor>
  <xdr:twoCellAnchor>
    <xdr:from>
      <xdr:col>18</xdr:col>
      <xdr:colOff>525517</xdr:colOff>
      <xdr:row>57</xdr:row>
      <xdr:rowOff>117332</xdr:rowOff>
    </xdr:from>
    <xdr:to>
      <xdr:col>20</xdr:col>
      <xdr:colOff>247650</xdr:colOff>
      <xdr:row>59</xdr:row>
      <xdr:rowOff>73539</xdr:rowOff>
    </xdr:to>
    <xdr:sp macro="" textlink="">
      <xdr:nvSpPr>
        <xdr:cNvPr id="103" name="Text Box 11">
          <a:extLst>
            <a:ext uri="{FF2B5EF4-FFF2-40B4-BE49-F238E27FC236}">
              <a16:creationId xmlns:a16="http://schemas.microsoft.com/office/drawing/2014/main" id="{00000000-0008-0000-0400-000067000000}"/>
            </a:ext>
          </a:extLst>
        </xdr:cNvPr>
        <xdr:cNvSpPr txBox="1">
          <a:spLocks noChangeArrowheads="1"/>
        </xdr:cNvSpPr>
      </xdr:nvSpPr>
      <xdr:spPr bwMode="auto">
        <a:xfrm>
          <a:off x="11663417" y="10245582"/>
          <a:ext cx="941333" cy="324507"/>
        </a:xfrm>
        <a:prstGeom prst="rect">
          <a:avLst/>
        </a:prstGeom>
        <a:solidFill>
          <a:schemeClr val="accent4"/>
        </a:solidFill>
        <a:ln w="6350">
          <a:solidFill>
            <a:schemeClr val="accent4"/>
          </a:solidFill>
          <a:miter lim="800000"/>
          <a:headEnd/>
          <a:tailEnd/>
        </a:ln>
      </xdr:spPr>
      <xdr:txBody>
        <a:bodyPr vertOverflow="clip" wrap="square" lIns="91440" tIns="45720" rIns="91440" bIns="45720" anchor="t" upright="1"/>
        <a:lstStyle/>
        <a:p>
          <a:pPr algn="l" rtl="0">
            <a:defRPr sz="1000"/>
          </a:pPr>
          <a:r>
            <a:rPr lang="en-IN" sz="1100" b="0" i="0" u="none" strike="noStrike" baseline="0">
              <a:solidFill>
                <a:srgbClr val="FFFFFF"/>
              </a:solidFill>
              <a:latin typeface="Calibri"/>
              <a:cs typeface="Calibri"/>
            </a:rPr>
            <a:t>6. G+S</a:t>
          </a:r>
        </a:p>
      </xdr:txBody>
    </xdr:sp>
    <xdr:clientData/>
  </xdr:twoCellAnchor>
  <xdr:twoCellAnchor>
    <xdr:from>
      <xdr:col>13</xdr:col>
      <xdr:colOff>371416</xdr:colOff>
      <xdr:row>54</xdr:row>
      <xdr:rowOff>47925</xdr:rowOff>
    </xdr:from>
    <xdr:to>
      <xdr:col>15</xdr:col>
      <xdr:colOff>574155</xdr:colOff>
      <xdr:row>57</xdr:row>
      <xdr:rowOff>98534</xdr:rowOff>
    </xdr:to>
    <xdr:cxnSp macro="">
      <xdr:nvCxnSpPr>
        <xdr:cNvPr id="105" name="Straight Arrow Connector 31">
          <a:extLst>
            <a:ext uri="{FF2B5EF4-FFF2-40B4-BE49-F238E27FC236}">
              <a16:creationId xmlns:a16="http://schemas.microsoft.com/office/drawing/2014/main" id="{00000000-0008-0000-0400-000069000000}"/>
            </a:ext>
          </a:extLst>
        </xdr:cNvPr>
        <xdr:cNvCxnSpPr>
          <a:cxnSpLocks/>
        </xdr:cNvCxnSpPr>
      </xdr:nvCxnSpPr>
      <xdr:spPr>
        <a:xfrm>
          <a:off x="8734246" y="9393208"/>
          <a:ext cx="1173211" cy="58976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263586</xdr:colOff>
      <xdr:row>59</xdr:row>
      <xdr:rowOff>104884</xdr:rowOff>
    </xdr:from>
    <xdr:to>
      <xdr:col>15</xdr:col>
      <xdr:colOff>550193</xdr:colOff>
      <xdr:row>64</xdr:row>
      <xdr:rowOff>59905</xdr:rowOff>
    </xdr:to>
    <xdr:cxnSp macro="">
      <xdr:nvCxnSpPr>
        <xdr:cNvPr id="106" name="Straight Arrow Connector 31">
          <a:extLst>
            <a:ext uri="{FF2B5EF4-FFF2-40B4-BE49-F238E27FC236}">
              <a16:creationId xmlns:a16="http://schemas.microsoft.com/office/drawing/2014/main" id="{00000000-0008-0000-0400-00006A000000}"/>
            </a:ext>
          </a:extLst>
        </xdr:cNvPr>
        <xdr:cNvCxnSpPr>
          <a:cxnSpLocks/>
        </xdr:cNvCxnSpPr>
      </xdr:nvCxnSpPr>
      <xdr:spPr>
        <a:xfrm flipV="1">
          <a:off x="8626416" y="10348752"/>
          <a:ext cx="1257079" cy="85360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537047</xdr:colOff>
      <xdr:row>65</xdr:row>
      <xdr:rowOff>32845</xdr:rowOff>
    </xdr:from>
    <xdr:to>
      <xdr:col>11</xdr:col>
      <xdr:colOff>533678</xdr:colOff>
      <xdr:row>69</xdr:row>
      <xdr:rowOff>97440</xdr:rowOff>
    </xdr:to>
    <xdr:cxnSp macro="">
      <xdr:nvCxnSpPr>
        <xdr:cNvPr id="11" name="Straight Arrow Connector 10">
          <a:extLst>
            <a:ext uri="{FF2B5EF4-FFF2-40B4-BE49-F238E27FC236}">
              <a16:creationId xmlns:a16="http://schemas.microsoft.com/office/drawing/2014/main" id="{00000000-0008-0000-0400-00000B000000}"/>
            </a:ext>
          </a:extLst>
        </xdr:cNvPr>
        <xdr:cNvCxnSpPr/>
      </xdr:nvCxnSpPr>
      <xdr:spPr>
        <a:xfrm rot="5400000" flipH="1" flipV="1">
          <a:off x="5451272" y="9915318"/>
          <a:ext cx="783463" cy="3662858"/>
        </a:xfrm>
        <a:prstGeom prst="bentConnector3">
          <a:avLst>
            <a:gd name="adj1" fmla="val -29178"/>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502589</xdr:colOff>
      <xdr:row>50</xdr:row>
      <xdr:rowOff>131380</xdr:rowOff>
    </xdr:from>
    <xdr:to>
      <xdr:col>12</xdr:col>
      <xdr:colOff>69409</xdr:colOff>
      <xdr:row>53</xdr:row>
      <xdr:rowOff>108448</xdr:rowOff>
    </xdr:to>
    <xdr:cxnSp macro="">
      <xdr:nvCxnSpPr>
        <xdr:cNvPr id="109" name="Straight Arrow Connector 10">
          <a:extLst>
            <a:ext uri="{FF2B5EF4-FFF2-40B4-BE49-F238E27FC236}">
              <a16:creationId xmlns:a16="http://schemas.microsoft.com/office/drawing/2014/main" id="{00000000-0008-0000-0400-00006D000000}"/>
            </a:ext>
          </a:extLst>
        </xdr:cNvPr>
        <xdr:cNvCxnSpPr>
          <a:stCxn id="98" idx="0"/>
          <a:endCxn id="100" idx="0"/>
        </xdr:cNvCxnSpPr>
      </xdr:nvCxnSpPr>
      <xdr:spPr>
        <a:xfrm rot="16200000" flipH="1">
          <a:off x="5641049" y="7093863"/>
          <a:ext cx="516219" cy="3844084"/>
        </a:xfrm>
        <a:prstGeom prst="bentConnector3">
          <a:avLst>
            <a:gd name="adj1" fmla="val -44284"/>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98535</xdr:colOff>
      <xdr:row>51</xdr:row>
      <xdr:rowOff>136856</xdr:rowOff>
    </xdr:from>
    <xdr:to>
      <xdr:col>4</xdr:col>
      <xdr:colOff>350345</xdr:colOff>
      <xdr:row>68</xdr:row>
      <xdr:rowOff>81565</xdr:rowOff>
    </xdr:to>
    <xdr:cxnSp macro="">
      <xdr:nvCxnSpPr>
        <xdr:cNvPr id="110" name="Straight Arrow Connector 10">
          <a:extLst>
            <a:ext uri="{FF2B5EF4-FFF2-40B4-BE49-F238E27FC236}">
              <a16:creationId xmlns:a16="http://schemas.microsoft.com/office/drawing/2014/main" id="{00000000-0008-0000-0400-00006E000000}"/>
            </a:ext>
          </a:extLst>
        </xdr:cNvPr>
        <xdr:cNvCxnSpPr>
          <a:stCxn id="98" idx="1"/>
          <a:endCxn id="99" idx="1"/>
        </xdr:cNvCxnSpPr>
      </xdr:nvCxnSpPr>
      <xdr:spPr>
        <a:xfrm rot="10800000" flipH="1" flipV="1">
          <a:off x="2962026" y="8942988"/>
          <a:ext cx="251810" cy="2999898"/>
        </a:xfrm>
        <a:prstGeom prst="bentConnector3">
          <a:avLst>
            <a:gd name="adj1" fmla="val -90783"/>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297422</xdr:colOff>
      <xdr:row>59</xdr:row>
      <xdr:rowOff>104884</xdr:rowOff>
    </xdr:from>
    <xdr:to>
      <xdr:col>16</xdr:col>
      <xdr:colOff>166796</xdr:colOff>
      <xdr:row>72</xdr:row>
      <xdr:rowOff>73478</xdr:rowOff>
    </xdr:to>
    <xdr:cxnSp macro="">
      <xdr:nvCxnSpPr>
        <xdr:cNvPr id="20" name="Straight Arrow Connector 19">
          <a:extLst>
            <a:ext uri="{FF2B5EF4-FFF2-40B4-BE49-F238E27FC236}">
              <a16:creationId xmlns:a16="http://schemas.microsoft.com/office/drawing/2014/main" id="{00000000-0008-0000-0400-000014000000}"/>
            </a:ext>
          </a:extLst>
        </xdr:cNvPr>
        <xdr:cNvCxnSpPr>
          <a:endCxn id="102" idx="2"/>
        </xdr:cNvCxnSpPr>
      </xdr:nvCxnSpPr>
      <xdr:spPr>
        <a:xfrm flipV="1">
          <a:off x="3771950" y="10348752"/>
          <a:ext cx="6339186" cy="2304915"/>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287547</xdr:colOff>
      <xdr:row>69</xdr:row>
      <xdr:rowOff>119811</xdr:rowOff>
    </xdr:from>
    <xdr:to>
      <xdr:col>5</xdr:col>
      <xdr:colOff>287547</xdr:colOff>
      <xdr:row>72</xdr:row>
      <xdr:rowOff>83868</xdr:rowOff>
    </xdr:to>
    <xdr:cxnSp macro="">
      <xdr:nvCxnSpPr>
        <xdr:cNvPr id="29" name="Straight Connector 28">
          <a:extLst>
            <a:ext uri="{FF2B5EF4-FFF2-40B4-BE49-F238E27FC236}">
              <a16:creationId xmlns:a16="http://schemas.microsoft.com/office/drawing/2014/main" id="{00000000-0008-0000-0400-00001D000000}"/>
            </a:ext>
          </a:extLst>
        </xdr:cNvPr>
        <xdr:cNvCxnSpPr/>
      </xdr:nvCxnSpPr>
      <xdr:spPr>
        <a:xfrm>
          <a:off x="3762075" y="12160849"/>
          <a:ext cx="0" cy="50320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275566</xdr:colOff>
      <xdr:row>48</xdr:row>
      <xdr:rowOff>11981</xdr:rowOff>
    </xdr:from>
    <xdr:to>
      <xdr:col>5</xdr:col>
      <xdr:colOff>275566</xdr:colOff>
      <xdr:row>50</xdr:row>
      <xdr:rowOff>155755</xdr:rowOff>
    </xdr:to>
    <xdr:cxnSp macro="">
      <xdr:nvCxnSpPr>
        <xdr:cNvPr id="111" name="Straight Connector 110">
          <a:extLst>
            <a:ext uri="{FF2B5EF4-FFF2-40B4-BE49-F238E27FC236}">
              <a16:creationId xmlns:a16="http://schemas.microsoft.com/office/drawing/2014/main" id="{00000000-0008-0000-0400-00006F000000}"/>
            </a:ext>
          </a:extLst>
        </xdr:cNvPr>
        <xdr:cNvCxnSpPr/>
      </xdr:nvCxnSpPr>
      <xdr:spPr>
        <a:xfrm>
          <a:off x="3750094" y="8278962"/>
          <a:ext cx="0" cy="50320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275566</xdr:colOff>
      <xdr:row>48</xdr:row>
      <xdr:rowOff>11982</xdr:rowOff>
    </xdr:from>
    <xdr:to>
      <xdr:col>16</xdr:col>
      <xdr:colOff>166796</xdr:colOff>
      <xdr:row>57</xdr:row>
      <xdr:rowOff>98534</xdr:rowOff>
    </xdr:to>
    <xdr:cxnSp macro="">
      <xdr:nvCxnSpPr>
        <xdr:cNvPr id="112" name="Straight Arrow Connector 19">
          <a:extLst>
            <a:ext uri="{FF2B5EF4-FFF2-40B4-BE49-F238E27FC236}">
              <a16:creationId xmlns:a16="http://schemas.microsoft.com/office/drawing/2014/main" id="{00000000-0008-0000-0400-000070000000}"/>
            </a:ext>
          </a:extLst>
        </xdr:cNvPr>
        <xdr:cNvCxnSpPr>
          <a:endCxn id="102" idx="0"/>
        </xdr:cNvCxnSpPr>
      </xdr:nvCxnSpPr>
      <xdr:spPr>
        <a:xfrm>
          <a:off x="3750094" y="8278963"/>
          <a:ext cx="6361042" cy="1704005"/>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336988</xdr:colOff>
      <xdr:row>58</xdr:row>
      <xdr:rowOff>95436</xdr:rowOff>
    </xdr:from>
    <xdr:to>
      <xdr:col>18</xdr:col>
      <xdr:colOff>525517</xdr:colOff>
      <xdr:row>58</xdr:row>
      <xdr:rowOff>101709</xdr:rowOff>
    </xdr:to>
    <xdr:cxnSp macro="">
      <xdr:nvCxnSpPr>
        <xdr:cNvPr id="114" name="Straight Arrow Connector 113">
          <a:extLst>
            <a:ext uri="{FF2B5EF4-FFF2-40B4-BE49-F238E27FC236}">
              <a16:creationId xmlns:a16="http://schemas.microsoft.com/office/drawing/2014/main" id="{00000000-0008-0000-0400-000072000000}"/>
            </a:ext>
          </a:extLst>
        </xdr:cNvPr>
        <xdr:cNvCxnSpPr>
          <a:stCxn id="102" idx="3"/>
          <a:endCxn id="103" idx="1"/>
        </xdr:cNvCxnSpPr>
      </xdr:nvCxnSpPr>
      <xdr:spPr>
        <a:xfrm flipV="1">
          <a:off x="10865288" y="10407836"/>
          <a:ext cx="798129" cy="627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502589</xdr:colOff>
      <xdr:row>52</xdr:row>
      <xdr:rowOff>142330</xdr:rowOff>
    </xdr:from>
    <xdr:to>
      <xdr:col>10</xdr:col>
      <xdr:colOff>361293</xdr:colOff>
      <xdr:row>64</xdr:row>
      <xdr:rowOff>71164</xdr:rowOff>
    </xdr:to>
    <xdr:cxnSp macro="">
      <xdr:nvCxnSpPr>
        <xdr:cNvPr id="117" name="Straight Arrow Connector 116">
          <a:extLst>
            <a:ext uri="{FF2B5EF4-FFF2-40B4-BE49-F238E27FC236}">
              <a16:creationId xmlns:a16="http://schemas.microsoft.com/office/drawing/2014/main" id="{00000000-0008-0000-0400-000075000000}"/>
            </a:ext>
          </a:extLst>
        </xdr:cNvPr>
        <xdr:cNvCxnSpPr>
          <a:stCxn id="98" idx="2"/>
          <a:endCxn id="101" idx="1"/>
        </xdr:cNvCxnSpPr>
      </xdr:nvCxnSpPr>
      <xdr:spPr>
        <a:xfrm>
          <a:off x="3977117" y="9128179"/>
          <a:ext cx="2913893" cy="208543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9875</xdr:colOff>
      <xdr:row>54</xdr:row>
      <xdr:rowOff>92027</xdr:rowOff>
    </xdr:from>
    <xdr:to>
      <xdr:col>10</xdr:col>
      <xdr:colOff>385876</xdr:colOff>
      <xdr:row>67</xdr:row>
      <xdr:rowOff>65690</xdr:rowOff>
    </xdr:to>
    <xdr:cxnSp macro="">
      <xdr:nvCxnSpPr>
        <xdr:cNvPr id="120" name="Straight Arrow Connector 119">
          <a:extLst>
            <a:ext uri="{FF2B5EF4-FFF2-40B4-BE49-F238E27FC236}">
              <a16:creationId xmlns:a16="http://schemas.microsoft.com/office/drawing/2014/main" id="{00000000-0008-0000-0400-000078000000}"/>
            </a:ext>
          </a:extLst>
        </xdr:cNvPr>
        <xdr:cNvCxnSpPr>
          <a:stCxn id="99" idx="0"/>
          <a:endCxn id="100" idx="1"/>
        </xdr:cNvCxnSpPr>
      </xdr:nvCxnSpPr>
      <xdr:spPr>
        <a:xfrm flipV="1">
          <a:off x="4095441" y="9437310"/>
          <a:ext cx="2820152" cy="2309984"/>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311150</xdr:colOff>
      <xdr:row>59</xdr:row>
      <xdr:rowOff>88900</xdr:rowOff>
    </xdr:from>
    <xdr:to>
      <xdr:col>19</xdr:col>
      <xdr:colOff>431800</xdr:colOff>
      <xdr:row>61</xdr:row>
      <xdr:rowOff>114300</xdr:rowOff>
    </xdr:to>
    <xdr:sp macro="" textlink="">
      <xdr:nvSpPr>
        <xdr:cNvPr id="123" name="Arrow: Down 122">
          <a:extLst>
            <a:ext uri="{FF2B5EF4-FFF2-40B4-BE49-F238E27FC236}">
              <a16:creationId xmlns:a16="http://schemas.microsoft.com/office/drawing/2014/main" id="{00000000-0008-0000-0400-00007B000000}"/>
            </a:ext>
          </a:extLst>
        </xdr:cNvPr>
        <xdr:cNvSpPr/>
      </xdr:nvSpPr>
      <xdr:spPr>
        <a:xfrm>
          <a:off x="12058650" y="10585450"/>
          <a:ext cx="120650" cy="393700"/>
        </a:xfrm>
        <a:prstGeom prst="downArrow">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330200</xdr:colOff>
      <xdr:row>49</xdr:row>
      <xdr:rowOff>127000</xdr:rowOff>
    </xdr:from>
    <xdr:to>
      <xdr:col>5</xdr:col>
      <xdr:colOff>47953</xdr:colOff>
      <xdr:row>50</xdr:row>
      <xdr:rowOff>125342</xdr:rowOff>
    </xdr:to>
    <xdr:sp macro="" textlink="">
      <xdr:nvSpPr>
        <xdr:cNvPr id="125" name="Arrow: Curved Up 124">
          <a:extLst>
            <a:ext uri="{FF2B5EF4-FFF2-40B4-BE49-F238E27FC236}">
              <a16:creationId xmlns:a16="http://schemas.microsoft.com/office/drawing/2014/main" id="{00000000-0008-0000-0400-00007D000000}"/>
            </a:ext>
          </a:extLst>
        </xdr:cNvPr>
        <xdr:cNvSpPr/>
      </xdr:nvSpPr>
      <xdr:spPr>
        <a:xfrm rot="10800000">
          <a:off x="1924050" y="8782050"/>
          <a:ext cx="327353" cy="182492"/>
        </a:xfrm>
        <a:prstGeom prst="curvedUpArrow">
          <a:avLst>
            <a:gd name="adj1" fmla="val 25000"/>
            <a:gd name="adj2" fmla="val 50000"/>
            <a:gd name="adj3" fmla="val 31325"/>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IN"/>
        </a:p>
      </xdr:txBody>
    </xdr:sp>
    <xdr:clientData/>
  </xdr:twoCellAnchor>
  <xdr:twoCellAnchor>
    <xdr:from>
      <xdr:col>5</xdr:col>
      <xdr:colOff>0</xdr:colOff>
      <xdr:row>66</xdr:row>
      <xdr:rowOff>63500</xdr:rowOff>
    </xdr:from>
    <xdr:to>
      <xdr:col>5</xdr:col>
      <xdr:colOff>327353</xdr:colOff>
      <xdr:row>67</xdr:row>
      <xdr:rowOff>61842</xdr:rowOff>
    </xdr:to>
    <xdr:sp macro="" textlink="">
      <xdr:nvSpPr>
        <xdr:cNvPr id="126" name="Arrow: Curved Up 125">
          <a:extLst>
            <a:ext uri="{FF2B5EF4-FFF2-40B4-BE49-F238E27FC236}">
              <a16:creationId xmlns:a16="http://schemas.microsoft.com/office/drawing/2014/main" id="{00000000-0008-0000-0400-00007E000000}"/>
            </a:ext>
          </a:extLst>
        </xdr:cNvPr>
        <xdr:cNvSpPr/>
      </xdr:nvSpPr>
      <xdr:spPr>
        <a:xfrm rot="10800000">
          <a:off x="2203450" y="11849100"/>
          <a:ext cx="327353" cy="182492"/>
        </a:xfrm>
        <a:prstGeom prst="curvedUpArrow">
          <a:avLst>
            <a:gd name="adj1" fmla="val 25000"/>
            <a:gd name="adj2" fmla="val 50000"/>
            <a:gd name="adj3" fmla="val 31325"/>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IN"/>
        </a:p>
      </xdr:txBody>
    </xdr:sp>
    <xdr:clientData/>
  </xdr:twoCellAnchor>
  <xdr:twoCellAnchor>
    <xdr:from>
      <xdr:col>11</xdr:col>
      <xdr:colOff>76200</xdr:colOff>
      <xdr:row>52</xdr:row>
      <xdr:rowOff>88900</xdr:rowOff>
    </xdr:from>
    <xdr:to>
      <xdr:col>11</xdr:col>
      <xdr:colOff>403553</xdr:colOff>
      <xdr:row>53</xdr:row>
      <xdr:rowOff>87242</xdr:rowOff>
    </xdr:to>
    <xdr:sp macro="" textlink="">
      <xdr:nvSpPr>
        <xdr:cNvPr id="127" name="Arrow: Curved Up 126">
          <a:extLst>
            <a:ext uri="{FF2B5EF4-FFF2-40B4-BE49-F238E27FC236}">
              <a16:creationId xmlns:a16="http://schemas.microsoft.com/office/drawing/2014/main" id="{00000000-0008-0000-0400-00007F000000}"/>
            </a:ext>
          </a:extLst>
        </xdr:cNvPr>
        <xdr:cNvSpPr/>
      </xdr:nvSpPr>
      <xdr:spPr>
        <a:xfrm rot="10800000">
          <a:off x="5937250" y="9296400"/>
          <a:ext cx="327353" cy="182492"/>
        </a:xfrm>
        <a:prstGeom prst="curvedUpArrow">
          <a:avLst>
            <a:gd name="adj1" fmla="val 25000"/>
            <a:gd name="adj2" fmla="val 50000"/>
            <a:gd name="adj3" fmla="val 31325"/>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IN"/>
        </a:p>
      </xdr:txBody>
    </xdr:sp>
    <xdr:clientData/>
  </xdr:twoCellAnchor>
  <xdr:twoCellAnchor>
    <xdr:from>
      <xdr:col>11</xdr:col>
      <xdr:colOff>107950</xdr:colOff>
      <xdr:row>62</xdr:row>
      <xdr:rowOff>76200</xdr:rowOff>
    </xdr:from>
    <xdr:to>
      <xdr:col>11</xdr:col>
      <xdr:colOff>435303</xdr:colOff>
      <xdr:row>63</xdr:row>
      <xdr:rowOff>74542</xdr:rowOff>
    </xdr:to>
    <xdr:sp macro="" textlink="">
      <xdr:nvSpPr>
        <xdr:cNvPr id="128" name="Arrow: Curved Up 127">
          <a:extLst>
            <a:ext uri="{FF2B5EF4-FFF2-40B4-BE49-F238E27FC236}">
              <a16:creationId xmlns:a16="http://schemas.microsoft.com/office/drawing/2014/main" id="{00000000-0008-0000-0400-000080000000}"/>
            </a:ext>
          </a:extLst>
        </xdr:cNvPr>
        <xdr:cNvSpPr/>
      </xdr:nvSpPr>
      <xdr:spPr>
        <a:xfrm rot="10800000">
          <a:off x="5969000" y="11125200"/>
          <a:ext cx="327353" cy="182492"/>
        </a:xfrm>
        <a:prstGeom prst="curvedUpArrow">
          <a:avLst>
            <a:gd name="adj1" fmla="val 25000"/>
            <a:gd name="adj2" fmla="val 50000"/>
            <a:gd name="adj3" fmla="val 31325"/>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IN"/>
        </a:p>
      </xdr:txBody>
    </xdr:sp>
    <xdr:clientData/>
  </xdr:twoCellAnchor>
  <xdr:twoCellAnchor>
    <xdr:from>
      <xdr:col>19</xdr:col>
      <xdr:colOff>165100</xdr:colOff>
      <xdr:row>56</xdr:row>
      <xdr:rowOff>114300</xdr:rowOff>
    </xdr:from>
    <xdr:to>
      <xdr:col>19</xdr:col>
      <xdr:colOff>492453</xdr:colOff>
      <xdr:row>57</xdr:row>
      <xdr:rowOff>112642</xdr:rowOff>
    </xdr:to>
    <xdr:sp macro="" textlink="">
      <xdr:nvSpPr>
        <xdr:cNvPr id="131" name="Arrow: Curved Up 130">
          <a:extLst>
            <a:ext uri="{FF2B5EF4-FFF2-40B4-BE49-F238E27FC236}">
              <a16:creationId xmlns:a16="http://schemas.microsoft.com/office/drawing/2014/main" id="{00000000-0008-0000-0400-000083000000}"/>
            </a:ext>
          </a:extLst>
        </xdr:cNvPr>
        <xdr:cNvSpPr/>
      </xdr:nvSpPr>
      <xdr:spPr>
        <a:xfrm rot="10800000">
          <a:off x="10648950" y="10058400"/>
          <a:ext cx="327353" cy="182492"/>
        </a:xfrm>
        <a:prstGeom prst="curvedUpArrow">
          <a:avLst>
            <a:gd name="adj1" fmla="val 25000"/>
            <a:gd name="adj2" fmla="val 50000"/>
            <a:gd name="adj3" fmla="val 31325"/>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IN"/>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5</xdr:row>
          <xdr:rowOff>368300</xdr:rowOff>
        </xdr:from>
        <xdr:to>
          <xdr:col>3</xdr:col>
          <xdr:colOff>647700</xdr:colOff>
          <xdr:row>7</xdr:row>
          <xdr:rowOff>139700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6</xdr:col>
      <xdr:colOff>939800</xdr:colOff>
      <xdr:row>16</xdr:row>
      <xdr:rowOff>152400</xdr:rowOff>
    </xdr:from>
    <xdr:to>
      <xdr:col>11</xdr:col>
      <xdr:colOff>730250</xdr:colOff>
      <xdr:row>31</xdr:row>
      <xdr:rowOff>177800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977900</xdr:colOff>
      <xdr:row>32</xdr:row>
      <xdr:rowOff>177800</xdr:rowOff>
    </xdr:from>
    <xdr:to>
      <xdr:col>11</xdr:col>
      <xdr:colOff>774700</xdr:colOff>
      <xdr:row>47</xdr:row>
      <xdr:rowOff>127000</xdr:rowOff>
    </xdr:to>
    <xdr:graphicFrame macro="">
      <xdr:nvGraphicFramePr>
        <xdr:cNvPr id="5" name="Chart 2">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25400</xdr:colOff>
      <xdr:row>49</xdr:row>
      <xdr:rowOff>12700</xdr:rowOff>
    </xdr:from>
    <xdr:to>
      <xdr:col>11</xdr:col>
      <xdr:colOff>825500</xdr:colOff>
      <xdr:row>65</xdr:row>
      <xdr:rowOff>0</xdr:rowOff>
    </xdr:to>
    <xdr:graphicFrame macro="">
      <xdr:nvGraphicFramePr>
        <xdr:cNvPr id="6" name="Chart 3">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1346200</xdr:colOff>
          <xdr:row>6</xdr:row>
          <xdr:rowOff>139700</xdr:rowOff>
        </xdr:from>
        <xdr:to>
          <xdr:col>2</xdr:col>
          <xdr:colOff>2247900</xdr:colOff>
          <xdr:row>9</xdr:row>
          <xdr:rowOff>12700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B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1333500</xdr:colOff>
          <xdr:row>9</xdr:row>
          <xdr:rowOff>139700</xdr:rowOff>
        </xdr:from>
        <xdr:to>
          <xdr:col>2</xdr:col>
          <xdr:colOff>2260600</xdr:colOff>
          <xdr:row>11</xdr:row>
          <xdr:rowOff>177800</xdr:rowOff>
        </xdr:to>
        <xdr:sp macro="" textlink="">
          <xdr:nvSpPr>
            <xdr:cNvPr id="7170" name="CommandButton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101600</xdr:colOff>
          <xdr:row>6</xdr:row>
          <xdr:rowOff>76200</xdr:rowOff>
        </xdr:from>
        <xdr:to>
          <xdr:col>4</xdr:col>
          <xdr:colOff>533400</xdr:colOff>
          <xdr:row>8</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 PSA</a:t>
              </a:r>
            </a:p>
          </xdr:txBody>
        </xdr:sp>
        <xdr:clientData fPrintsWithSheet="0"/>
      </xdr:twoCellAnchor>
    </mc:Choice>
    <mc:Fallback/>
  </mc:AlternateContent>
  <xdr:twoCellAnchor>
    <xdr:from>
      <xdr:col>2</xdr:col>
      <xdr:colOff>107950</xdr:colOff>
      <xdr:row>11</xdr:row>
      <xdr:rowOff>177800</xdr:rowOff>
    </xdr:from>
    <xdr:to>
      <xdr:col>7</xdr:col>
      <xdr:colOff>781050</xdr:colOff>
      <xdr:row>30</xdr:row>
      <xdr:rowOff>114300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762000</xdr:colOff>
      <xdr:row>11</xdr:row>
      <xdr:rowOff>127000</xdr:rowOff>
    </xdr:from>
    <xdr:to>
      <xdr:col>14</xdr:col>
      <xdr:colOff>298450</xdr:colOff>
      <xdr:row>30</xdr:row>
      <xdr:rowOff>120650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12700</xdr:colOff>
      <xdr:row>11</xdr:row>
      <xdr:rowOff>95250</xdr:rowOff>
    </xdr:from>
    <xdr:to>
      <xdr:col>19</xdr:col>
      <xdr:colOff>723900</xdr:colOff>
      <xdr:row>30</xdr:row>
      <xdr:rowOff>101600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127000</xdr:colOff>
          <xdr:row>8</xdr:row>
          <xdr:rowOff>177800</xdr:rowOff>
        </xdr:from>
        <xdr:to>
          <xdr:col>4</xdr:col>
          <xdr:colOff>546100</xdr:colOff>
          <xdr:row>10</xdr:row>
          <xdr:rowOff>139700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0C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9</xdr:row>
          <xdr:rowOff>12700</xdr:rowOff>
        </xdr:from>
        <xdr:to>
          <xdr:col>4</xdr:col>
          <xdr:colOff>546100</xdr:colOff>
          <xdr:row>10</xdr:row>
          <xdr:rowOff>139700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0C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177800</xdr:rowOff>
        </xdr:from>
        <xdr:to>
          <xdr:col>4</xdr:col>
          <xdr:colOff>533400</xdr:colOff>
          <xdr:row>10</xdr:row>
          <xdr:rowOff>139700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C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Copy of PSA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7</xdr:col>
      <xdr:colOff>0</xdr:colOff>
      <xdr:row>7</xdr:row>
      <xdr:rowOff>0</xdr:rowOff>
    </xdr:from>
    <xdr:to>
      <xdr:col>11</xdr:col>
      <xdr:colOff>806450</xdr:colOff>
      <xdr:row>21</xdr:row>
      <xdr:rowOff>158750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24</xdr:row>
      <xdr:rowOff>0</xdr:rowOff>
    </xdr:from>
    <xdr:to>
      <xdr:col>11</xdr:col>
      <xdr:colOff>812800</xdr:colOff>
      <xdr:row>38</xdr:row>
      <xdr:rowOff>133350</xdr:rowOff>
    </xdr:to>
    <xdr:graphicFrame macro="">
      <xdr:nvGraphicFramePr>
        <xdr:cNvPr id="5" name="Chart 2">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41</xdr:row>
      <xdr:rowOff>0</xdr:rowOff>
    </xdr:from>
    <xdr:to>
      <xdr:col>11</xdr:col>
      <xdr:colOff>800100</xdr:colOff>
      <xdr:row>56</xdr:row>
      <xdr:rowOff>171450</xdr:rowOff>
    </xdr:to>
    <xdr:graphicFrame macro="">
      <xdr:nvGraphicFramePr>
        <xdr:cNvPr id="6" name="Chart 3">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EORS%20DELL%2004/Downloads/CEM_2nd_line_Multipe_Myeloma_v2_06-05-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Introduction"/>
      <sheetName val="Control"/>
      <sheetName val="Cost"/>
      <sheetName val="AE's"/>
      <sheetName val="Utilities"/>
      <sheetName val="Parameters"/>
      <sheetName val="Result"/>
      <sheetName val="PSA"/>
      <sheetName val="OWSA"/>
      <sheetName val="SA"/>
      <sheetName val="PF-LEN_DEX"/>
      <sheetName val="PF-CFZ_LEN_DEX"/>
      <sheetName val="PF-ELO_LEN_DEX"/>
      <sheetName val="PF-IX_LEN_DEX"/>
      <sheetName val="Lists"/>
      <sheetName val="Data(digitized&amp;extrapolated)NM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6">
          <cell r="AM6" t="str">
            <v>CFZ+LEN+DEX vs LEN+DEX</v>
          </cell>
        </row>
      </sheetData>
      <sheetData sheetId="9" refreshError="1"/>
      <sheetData sheetId="10" refreshError="1"/>
      <sheetData sheetId="11" refreshError="1"/>
      <sheetData sheetId="12" refreshError="1"/>
      <sheetData sheetId="13" refreshError="1"/>
      <sheetData sheetId="14" refreshError="1"/>
      <sheetData sheetId="15">
        <row r="17">
          <cell r="F17" t="str">
            <v>CFZ+LEN+DEX</v>
          </cell>
        </row>
        <row r="18">
          <cell r="F18" t="str">
            <v>ELO+LEN+DEX</v>
          </cell>
        </row>
        <row r="19">
          <cell r="F19" t="str">
            <v>IX+LEN+DEX</v>
          </cell>
        </row>
        <row r="20">
          <cell r="F20" t="str">
            <v>Placeholder</v>
          </cell>
        </row>
        <row r="25">
          <cell r="F25" t="str">
            <v>LEN+DEX</v>
          </cell>
        </row>
        <row r="26">
          <cell r="F26" t="str">
            <v>Placeholder</v>
          </cell>
        </row>
      </sheetData>
      <sheetData sheetId="16"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BA344-DFAE-48CC-B4EA-04D7C21622C9}">
  <sheetPr codeName="Sheet1">
    <tabColor theme="4"/>
  </sheetPr>
  <dimension ref="A1:W18"/>
  <sheetViews>
    <sheetView showGridLines="0" tabSelected="1" zoomScaleNormal="100" workbookViewId="0"/>
  </sheetViews>
  <sheetFormatPr baseColWidth="10" defaultColWidth="8.83203125" defaultRowHeight="15" x14ac:dyDescent="0.2"/>
  <cols>
    <col min="1" max="1" width="8.33203125" customWidth="1"/>
    <col min="6" max="6" width="12.83203125" customWidth="1"/>
  </cols>
  <sheetData>
    <row r="1" spans="1:23" ht="27.75" customHeight="1" x14ac:dyDescent="0.2"/>
    <row r="3" spans="1:23" ht="26" x14ac:dyDescent="0.3">
      <c r="E3" s="96"/>
    </row>
    <row r="4" spans="1:23" ht="25" thickBot="1" x14ac:dyDescent="0.35">
      <c r="F4" s="76"/>
      <c r="G4" s="76"/>
      <c r="H4" s="76"/>
      <c r="I4" s="76"/>
      <c r="J4" s="76"/>
      <c r="K4" s="76"/>
      <c r="L4" s="76"/>
      <c r="M4" s="76"/>
    </row>
    <row r="5" spans="1:23" ht="16" thickBot="1" x14ac:dyDescent="0.25">
      <c r="B5" s="90"/>
      <c r="C5" s="91"/>
      <c r="D5" s="91"/>
      <c r="E5" s="91"/>
      <c r="F5" s="91"/>
      <c r="G5" s="91"/>
      <c r="H5" s="91"/>
      <c r="I5" s="91"/>
      <c r="J5" s="91"/>
      <c r="K5" s="91"/>
      <c r="L5" s="91"/>
      <c r="M5" s="91"/>
      <c r="N5" s="91"/>
      <c r="O5" s="91"/>
      <c r="P5" s="91"/>
      <c r="Q5" s="91"/>
      <c r="R5" s="91"/>
      <c r="S5" s="91"/>
      <c r="T5" s="91"/>
      <c r="U5" s="91"/>
      <c r="V5" s="92"/>
    </row>
    <row r="6" spans="1:23" x14ac:dyDescent="0.2">
      <c r="A6" s="93"/>
      <c r="B6" s="94"/>
      <c r="V6" s="93"/>
      <c r="W6" s="94"/>
    </row>
    <row r="7" spans="1:23" ht="24" x14ac:dyDescent="0.3">
      <c r="A7" s="93"/>
      <c r="B7" s="94"/>
      <c r="E7" s="76" t="s">
        <v>409</v>
      </c>
      <c r="V7" s="93"/>
      <c r="W7" s="94"/>
    </row>
    <row r="8" spans="1:23" ht="24" x14ac:dyDescent="0.3">
      <c r="A8" s="93"/>
      <c r="B8" s="94"/>
      <c r="E8" s="76"/>
      <c r="V8" s="93"/>
      <c r="W8" s="94"/>
    </row>
    <row r="9" spans="1:23" x14ac:dyDescent="0.2">
      <c r="A9" s="93"/>
      <c r="B9" s="94"/>
      <c r="V9" s="93"/>
      <c r="W9" s="94"/>
    </row>
    <row r="10" spans="1:23" x14ac:dyDescent="0.2">
      <c r="A10" s="93"/>
      <c r="B10" s="94"/>
      <c r="C10" s="17" t="s">
        <v>0</v>
      </c>
      <c r="F10" t="s">
        <v>1</v>
      </c>
      <c r="V10" s="93"/>
      <c r="W10" s="94"/>
    </row>
    <row r="11" spans="1:23" x14ac:dyDescent="0.2">
      <c r="A11" s="93"/>
      <c r="B11" s="94"/>
      <c r="C11" s="17"/>
      <c r="V11" s="93"/>
      <c r="W11" s="94"/>
    </row>
    <row r="12" spans="1:23" x14ac:dyDescent="0.2">
      <c r="A12" s="93"/>
      <c r="B12" s="94"/>
      <c r="C12" s="17"/>
      <c r="V12" s="93"/>
      <c r="W12" s="94"/>
    </row>
    <row r="13" spans="1:23" x14ac:dyDescent="0.2">
      <c r="A13" s="93"/>
      <c r="B13" s="94"/>
      <c r="C13" s="17"/>
      <c r="V13" s="93"/>
      <c r="W13" s="94"/>
    </row>
    <row r="14" spans="1:23" x14ac:dyDescent="0.2">
      <c r="A14" s="93"/>
      <c r="B14" s="94"/>
      <c r="C14" s="17" t="s">
        <v>2</v>
      </c>
      <c r="F14" s="9" t="s">
        <v>3</v>
      </c>
      <c r="V14" s="93"/>
      <c r="W14" s="94"/>
    </row>
    <row r="15" spans="1:23" x14ac:dyDescent="0.2">
      <c r="A15" s="93"/>
      <c r="B15" s="94"/>
      <c r="C15" s="17"/>
      <c r="V15" s="93"/>
      <c r="W15" s="94"/>
    </row>
    <row r="16" spans="1:23" x14ac:dyDescent="0.2">
      <c r="A16" s="93"/>
      <c r="B16" s="94"/>
      <c r="C16" s="17" t="s">
        <v>4</v>
      </c>
      <c r="F16" s="127">
        <v>44308</v>
      </c>
      <c r="V16" s="93"/>
      <c r="W16" s="94"/>
    </row>
    <row r="17" spans="1:23" x14ac:dyDescent="0.2">
      <c r="A17" s="93"/>
      <c r="B17" s="94"/>
      <c r="V17" s="93"/>
      <c r="W17" s="94"/>
    </row>
    <row r="18" spans="1:23" ht="16" thickBot="1" x14ac:dyDescent="0.25">
      <c r="A18" s="93"/>
      <c r="B18" s="95"/>
      <c r="C18" s="95"/>
      <c r="D18" s="95"/>
      <c r="E18" s="95"/>
      <c r="F18" s="95"/>
      <c r="G18" s="95"/>
      <c r="H18" s="95"/>
      <c r="I18" s="95"/>
      <c r="J18" s="95"/>
      <c r="K18" s="95"/>
      <c r="L18" s="95"/>
      <c r="M18" s="95"/>
      <c r="N18" s="95"/>
      <c r="O18" s="95"/>
      <c r="P18" s="95"/>
      <c r="Q18" s="95"/>
      <c r="R18" s="95"/>
      <c r="S18" s="95"/>
      <c r="T18" s="95"/>
      <c r="U18" s="95"/>
      <c r="V18" s="95"/>
      <c r="W18" s="9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2EA99-C345-469F-BFBC-E878DA18D13F}">
  <sheetPr>
    <tabColor theme="4"/>
  </sheetPr>
  <dimension ref="B2:F39"/>
  <sheetViews>
    <sheetView showGridLines="0" workbookViewId="0">
      <selection activeCell="E10" sqref="E10"/>
    </sheetView>
  </sheetViews>
  <sheetFormatPr baseColWidth="10" defaultColWidth="8.83203125" defaultRowHeight="15" x14ac:dyDescent="0.2"/>
  <cols>
    <col min="3" max="3" width="24.83203125" customWidth="1"/>
    <col min="4" max="4" width="14.1640625" customWidth="1"/>
    <col min="5" max="5" width="73" customWidth="1"/>
  </cols>
  <sheetData>
    <row r="2" spans="2:6" ht="17.5" customHeight="1" x14ac:dyDescent="0.2">
      <c r="D2" s="130"/>
      <c r="E2" s="130"/>
    </row>
    <row r="3" spans="2:6" ht="17.5" customHeight="1" x14ac:dyDescent="0.2">
      <c r="D3" s="130"/>
      <c r="E3" s="130" t="s">
        <v>414</v>
      </c>
    </row>
    <row r="4" spans="2:6" ht="16" thickBot="1" x14ac:dyDescent="0.25"/>
    <row r="5" spans="2:6" ht="16" thickBot="1" x14ac:dyDescent="0.25">
      <c r="B5" s="90"/>
      <c r="C5" s="91"/>
      <c r="D5" s="91"/>
      <c r="E5" s="91"/>
      <c r="F5" s="92"/>
    </row>
    <row r="6" spans="2:6" x14ac:dyDescent="0.2">
      <c r="B6" s="151"/>
      <c r="C6" s="152"/>
      <c r="D6" s="152"/>
      <c r="E6" s="152"/>
      <c r="F6" s="153"/>
    </row>
    <row r="7" spans="2:6" ht="21" thickBot="1" x14ac:dyDescent="0.3">
      <c r="B7" s="94"/>
      <c r="C7" s="154" t="s">
        <v>414</v>
      </c>
      <c r="D7" s="95"/>
      <c r="E7" s="95"/>
      <c r="F7" s="93"/>
    </row>
    <row r="8" spans="2:6" ht="16" thickBot="1" x14ac:dyDescent="0.25">
      <c r="B8" s="94"/>
      <c r="F8" s="93"/>
    </row>
    <row r="9" spans="2:6" ht="16" thickBot="1" x14ac:dyDescent="0.25">
      <c r="B9" s="94"/>
      <c r="C9" s="155" t="s">
        <v>415</v>
      </c>
      <c r="D9" s="155" t="s">
        <v>416</v>
      </c>
      <c r="E9" s="156" t="s">
        <v>417</v>
      </c>
      <c r="F9" s="93"/>
    </row>
    <row r="10" spans="2:6" x14ac:dyDescent="0.2">
      <c r="B10" s="94"/>
      <c r="C10" s="157" t="s">
        <v>3</v>
      </c>
      <c r="D10" s="158"/>
      <c r="E10" s="159"/>
      <c r="F10" s="93"/>
    </row>
    <row r="11" spans="2:6" x14ac:dyDescent="0.2">
      <c r="B11" s="94"/>
      <c r="C11" s="160"/>
      <c r="D11" s="161"/>
      <c r="E11" s="162"/>
      <c r="F11" s="93"/>
    </row>
    <row r="12" spans="2:6" x14ac:dyDescent="0.2">
      <c r="B12" s="94"/>
      <c r="C12" s="160"/>
      <c r="D12" s="161"/>
      <c r="E12" s="162"/>
      <c r="F12" s="93"/>
    </row>
    <row r="13" spans="2:6" x14ac:dyDescent="0.2">
      <c r="B13" s="94"/>
      <c r="C13" s="163"/>
      <c r="D13" s="163"/>
      <c r="E13" s="164"/>
      <c r="F13" s="93"/>
    </row>
    <row r="14" spans="2:6" x14ac:dyDescent="0.2">
      <c r="B14" s="94"/>
      <c r="C14" s="163"/>
      <c r="D14" s="163"/>
      <c r="E14" s="164"/>
      <c r="F14" s="93"/>
    </row>
    <row r="15" spans="2:6" x14ac:dyDescent="0.2">
      <c r="B15" s="94"/>
      <c r="C15" s="163"/>
      <c r="D15" s="163"/>
      <c r="E15" s="164"/>
      <c r="F15" s="93"/>
    </row>
    <row r="16" spans="2:6" x14ac:dyDescent="0.2">
      <c r="B16" s="94"/>
      <c r="C16" s="163"/>
      <c r="D16" s="163"/>
      <c r="E16" s="164"/>
      <c r="F16" s="93"/>
    </row>
    <row r="17" spans="2:6" x14ac:dyDescent="0.2">
      <c r="B17" s="94"/>
      <c r="C17" s="163"/>
      <c r="D17" s="163"/>
      <c r="E17" s="164"/>
      <c r="F17" s="93"/>
    </row>
    <row r="18" spans="2:6" x14ac:dyDescent="0.2">
      <c r="B18" s="94"/>
      <c r="C18" s="163"/>
      <c r="D18" s="163"/>
      <c r="E18" s="164"/>
      <c r="F18" s="93"/>
    </row>
    <row r="19" spans="2:6" x14ac:dyDescent="0.2">
      <c r="B19" s="94"/>
      <c r="C19" s="163"/>
      <c r="D19" s="163"/>
      <c r="E19" s="164"/>
      <c r="F19" s="93"/>
    </row>
    <row r="20" spans="2:6" x14ac:dyDescent="0.2">
      <c r="B20" s="94"/>
      <c r="C20" s="163"/>
      <c r="D20" s="163"/>
      <c r="E20" s="164"/>
      <c r="F20" s="93"/>
    </row>
    <row r="21" spans="2:6" x14ac:dyDescent="0.2">
      <c r="B21" s="94"/>
      <c r="C21" s="163"/>
      <c r="D21" s="163"/>
      <c r="E21" s="164"/>
      <c r="F21" s="93"/>
    </row>
    <row r="22" spans="2:6" x14ac:dyDescent="0.2">
      <c r="B22" s="94"/>
      <c r="C22" s="163"/>
      <c r="D22" s="163"/>
      <c r="E22" s="164"/>
      <c r="F22" s="93"/>
    </row>
    <row r="23" spans="2:6" x14ac:dyDescent="0.2">
      <c r="B23" s="94"/>
      <c r="C23" s="163"/>
      <c r="D23" s="163"/>
      <c r="E23" s="164"/>
      <c r="F23" s="93"/>
    </row>
    <row r="24" spans="2:6" x14ac:dyDescent="0.2">
      <c r="B24" s="94"/>
      <c r="C24" s="163"/>
      <c r="D24" s="163"/>
      <c r="E24" s="164"/>
      <c r="F24" s="93"/>
    </row>
    <row r="25" spans="2:6" x14ac:dyDescent="0.2">
      <c r="B25" s="94"/>
      <c r="C25" s="163"/>
      <c r="D25" s="163"/>
      <c r="E25" s="164"/>
      <c r="F25" s="93"/>
    </row>
    <row r="26" spans="2:6" x14ac:dyDescent="0.2">
      <c r="B26" s="94"/>
      <c r="C26" s="163"/>
      <c r="D26" s="163"/>
      <c r="E26" s="164"/>
      <c r="F26" s="93"/>
    </row>
    <row r="27" spans="2:6" x14ac:dyDescent="0.2">
      <c r="B27" s="94"/>
      <c r="C27" s="163"/>
      <c r="D27" s="163"/>
      <c r="E27" s="164"/>
      <c r="F27" s="93"/>
    </row>
    <row r="28" spans="2:6" x14ac:dyDescent="0.2">
      <c r="B28" s="94"/>
      <c r="C28" s="163"/>
      <c r="D28" s="163"/>
      <c r="E28" s="164"/>
      <c r="F28" s="93"/>
    </row>
    <row r="29" spans="2:6" x14ac:dyDescent="0.2">
      <c r="B29" s="94"/>
      <c r="C29" s="163"/>
      <c r="D29" s="163"/>
      <c r="E29" s="164"/>
      <c r="F29" s="93"/>
    </row>
    <row r="30" spans="2:6" x14ac:dyDescent="0.2">
      <c r="B30" s="94"/>
      <c r="C30" s="163"/>
      <c r="D30" s="163"/>
      <c r="E30" s="164"/>
      <c r="F30" s="93"/>
    </row>
    <row r="31" spans="2:6" x14ac:dyDescent="0.2">
      <c r="B31" s="94"/>
      <c r="C31" s="163"/>
      <c r="D31" s="163"/>
      <c r="E31" s="164"/>
      <c r="F31" s="93"/>
    </row>
    <row r="32" spans="2:6" x14ac:dyDescent="0.2">
      <c r="B32" s="94"/>
      <c r="C32" s="163"/>
      <c r="D32" s="163"/>
      <c r="E32" s="164"/>
      <c r="F32" s="93"/>
    </row>
    <row r="33" spans="2:6" x14ac:dyDescent="0.2">
      <c r="B33" s="94"/>
      <c r="C33" s="163"/>
      <c r="D33" s="163"/>
      <c r="E33" s="164"/>
      <c r="F33" s="93"/>
    </row>
    <row r="34" spans="2:6" x14ac:dyDescent="0.2">
      <c r="B34" s="94"/>
      <c r="C34" s="163"/>
      <c r="D34" s="163"/>
      <c r="E34" s="164"/>
      <c r="F34" s="93"/>
    </row>
    <row r="35" spans="2:6" x14ac:dyDescent="0.2">
      <c r="B35" s="94"/>
      <c r="C35" s="163"/>
      <c r="D35" s="163"/>
      <c r="E35" s="164"/>
      <c r="F35" s="93"/>
    </row>
    <row r="36" spans="2:6" x14ac:dyDescent="0.2">
      <c r="B36" s="94"/>
      <c r="C36" s="163"/>
      <c r="D36" s="163"/>
      <c r="E36" s="164"/>
      <c r="F36" s="93"/>
    </row>
    <row r="37" spans="2:6" ht="16" thickBot="1" x14ac:dyDescent="0.25">
      <c r="B37" s="94"/>
      <c r="C37" s="165"/>
      <c r="D37" s="165"/>
      <c r="E37" s="166"/>
      <c r="F37" s="93"/>
    </row>
    <row r="38" spans="2:6" x14ac:dyDescent="0.2">
      <c r="B38" s="94"/>
      <c r="F38" s="93"/>
    </row>
    <row r="39" spans="2:6" ht="16" thickBot="1" x14ac:dyDescent="0.25">
      <c r="B39" s="98"/>
      <c r="C39" s="95"/>
      <c r="D39" s="95"/>
      <c r="E39" s="95"/>
      <c r="F39" s="167"/>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A0C66-9B18-41B6-9A05-B1116E1EA256}">
  <sheetPr>
    <tabColor theme="4"/>
  </sheetPr>
  <dimension ref="B2:F39"/>
  <sheetViews>
    <sheetView showGridLines="0" workbookViewId="0">
      <selection activeCell="D10" sqref="D10"/>
    </sheetView>
  </sheetViews>
  <sheetFormatPr baseColWidth="10" defaultColWidth="8.83203125" defaultRowHeight="15" x14ac:dyDescent="0.2"/>
  <cols>
    <col min="3" max="3" width="37.1640625" bestFit="1" customWidth="1"/>
    <col min="4" max="4" width="21" customWidth="1"/>
    <col min="5" max="5" width="71.6640625" customWidth="1"/>
  </cols>
  <sheetData>
    <row r="2" spans="2:6" ht="14.5" customHeight="1" x14ac:dyDescent="0.2">
      <c r="D2" s="130" t="s">
        <v>418</v>
      </c>
      <c r="E2" s="130"/>
    </row>
    <row r="3" spans="2:6" ht="14.5" customHeight="1" x14ac:dyDescent="0.2">
      <c r="D3" s="130"/>
      <c r="E3" s="130"/>
    </row>
    <row r="4" spans="2:6" ht="16" thickBot="1" x14ac:dyDescent="0.25"/>
    <row r="5" spans="2:6" ht="16" thickBot="1" x14ac:dyDescent="0.25">
      <c r="B5" s="90"/>
      <c r="C5" s="91"/>
      <c r="D5" s="91"/>
      <c r="E5" s="91"/>
      <c r="F5" s="92"/>
    </row>
    <row r="6" spans="2:6" x14ac:dyDescent="0.2">
      <c r="B6" s="151"/>
      <c r="C6" s="152"/>
      <c r="D6" s="152"/>
      <c r="E6" s="152"/>
      <c r="F6" s="153"/>
    </row>
    <row r="7" spans="2:6" ht="21" thickBot="1" x14ac:dyDescent="0.3">
      <c r="B7" s="94"/>
      <c r="C7" s="154" t="s">
        <v>419</v>
      </c>
      <c r="D7" s="95"/>
      <c r="E7" s="95"/>
      <c r="F7" s="93"/>
    </row>
    <row r="8" spans="2:6" ht="16" thickBot="1" x14ac:dyDescent="0.25">
      <c r="B8" s="94"/>
      <c r="F8" s="93"/>
    </row>
    <row r="9" spans="2:6" ht="16" thickBot="1" x14ac:dyDescent="0.25">
      <c r="B9" s="94"/>
      <c r="C9" s="155" t="s">
        <v>420</v>
      </c>
      <c r="D9" s="155" t="s">
        <v>421</v>
      </c>
      <c r="E9" s="156" t="s">
        <v>417</v>
      </c>
      <c r="F9" s="93"/>
    </row>
    <row r="10" spans="2:6" x14ac:dyDescent="0.2">
      <c r="B10" s="94"/>
      <c r="C10" s="157"/>
      <c r="D10" s="158"/>
      <c r="E10" s="159"/>
      <c r="F10" s="93"/>
    </row>
    <row r="11" spans="2:6" x14ac:dyDescent="0.2">
      <c r="B11" s="94"/>
      <c r="C11" s="160"/>
      <c r="D11" s="158"/>
      <c r="E11" s="162"/>
      <c r="F11" s="93"/>
    </row>
    <row r="12" spans="2:6" x14ac:dyDescent="0.2">
      <c r="B12" s="94"/>
      <c r="C12" s="160"/>
      <c r="D12" s="158"/>
      <c r="E12" s="162"/>
      <c r="F12" s="93"/>
    </row>
    <row r="13" spans="2:6" x14ac:dyDescent="0.2">
      <c r="B13" s="94"/>
      <c r="C13" s="163"/>
      <c r="D13" s="163"/>
      <c r="E13" s="164"/>
      <c r="F13" s="93"/>
    </row>
    <row r="14" spans="2:6" x14ac:dyDescent="0.2">
      <c r="B14" s="94"/>
      <c r="C14" s="163"/>
      <c r="D14" s="163"/>
      <c r="E14" s="164"/>
      <c r="F14" s="93"/>
    </row>
    <row r="15" spans="2:6" x14ac:dyDescent="0.2">
      <c r="B15" s="94"/>
      <c r="C15" s="163"/>
      <c r="D15" s="163"/>
      <c r="E15" s="164"/>
      <c r="F15" s="93"/>
    </row>
    <row r="16" spans="2:6" x14ac:dyDescent="0.2">
      <c r="B16" s="94"/>
      <c r="C16" s="163"/>
      <c r="D16" s="163"/>
      <c r="E16" s="164"/>
      <c r="F16" s="93"/>
    </row>
    <row r="17" spans="2:6" x14ac:dyDescent="0.2">
      <c r="B17" s="94"/>
      <c r="C17" s="163"/>
      <c r="D17" s="163"/>
      <c r="E17" s="164"/>
      <c r="F17" s="93"/>
    </row>
    <row r="18" spans="2:6" x14ac:dyDescent="0.2">
      <c r="B18" s="94"/>
      <c r="C18" s="163"/>
      <c r="D18" s="163"/>
      <c r="E18" s="164"/>
      <c r="F18" s="93"/>
    </row>
    <row r="19" spans="2:6" x14ac:dyDescent="0.2">
      <c r="B19" s="94"/>
      <c r="C19" s="163"/>
      <c r="D19" s="163"/>
      <c r="E19" s="164"/>
      <c r="F19" s="93"/>
    </row>
    <row r="20" spans="2:6" x14ac:dyDescent="0.2">
      <c r="B20" s="94"/>
      <c r="C20" s="163"/>
      <c r="D20" s="163"/>
      <c r="E20" s="164"/>
      <c r="F20" s="93"/>
    </row>
    <row r="21" spans="2:6" x14ac:dyDescent="0.2">
      <c r="B21" s="94"/>
      <c r="C21" s="163"/>
      <c r="D21" s="163"/>
      <c r="E21" s="164"/>
      <c r="F21" s="93"/>
    </row>
    <row r="22" spans="2:6" x14ac:dyDescent="0.2">
      <c r="B22" s="94"/>
      <c r="C22" s="163"/>
      <c r="D22" s="163"/>
      <c r="E22" s="164"/>
      <c r="F22" s="93"/>
    </row>
    <row r="23" spans="2:6" x14ac:dyDescent="0.2">
      <c r="B23" s="94"/>
      <c r="C23" s="163"/>
      <c r="D23" s="163"/>
      <c r="E23" s="164"/>
      <c r="F23" s="93"/>
    </row>
    <row r="24" spans="2:6" x14ac:dyDescent="0.2">
      <c r="B24" s="94"/>
      <c r="C24" s="163"/>
      <c r="D24" s="163"/>
      <c r="E24" s="164"/>
      <c r="F24" s="93"/>
    </row>
    <row r="25" spans="2:6" x14ac:dyDescent="0.2">
      <c r="B25" s="94"/>
      <c r="C25" s="163"/>
      <c r="D25" s="163"/>
      <c r="E25" s="164"/>
      <c r="F25" s="93"/>
    </row>
    <row r="26" spans="2:6" x14ac:dyDescent="0.2">
      <c r="B26" s="94"/>
      <c r="C26" s="163"/>
      <c r="D26" s="163"/>
      <c r="E26" s="164"/>
      <c r="F26" s="93"/>
    </row>
    <row r="27" spans="2:6" x14ac:dyDescent="0.2">
      <c r="B27" s="94"/>
      <c r="C27" s="163"/>
      <c r="D27" s="163"/>
      <c r="E27" s="164"/>
      <c r="F27" s="93"/>
    </row>
    <row r="28" spans="2:6" x14ac:dyDescent="0.2">
      <c r="B28" s="94"/>
      <c r="C28" s="163"/>
      <c r="D28" s="163"/>
      <c r="E28" s="164"/>
      <c r="F28" s="93"/>
    </row>
    <row r="29" spans="2:6" x14ac:dyDescent="0.2">
      <c r="B29" s="94"/>
      <c r="C29" s="163"/>
      <c r="D29" s="163"/>
      <c r="E29" s="164"/>
      <c r="F29" s="93"/>
    </row>
    <row r="30" spans="2:6" x14ac:dyDescent="0.2">
      <c r="B30" s="94"/>
      <c r="C30" s="163"/>
      <c r="D30" s="163"/>
      <c r="E30" s="164"/>
      <c r="F30" s="93"/>
    </row>
    <row r="31" spans="2:6" x14ac:dyDescent="0.2">
      <c r="B31" s="94"/>
      <c r="C31" s="163"/>
      <c r="D31" s="163"/>
      <c r="E31" s="164"/>
      <c r="F31" s="93"/>
    </row>
    <row r="32" spans="2:6" x14ac:dyDescent="0.2">
      <c r="B32" s="94"/>
      <c r="C32" s="163"/>
      <c r="D32" s="163"/>
      <c r="E32" s="164"/>
      <c r="F32" s="93"/>
    </row>
    <row r="33" spans="2:6" x14ac:dyDescent="0.2">
      <c r="B33" s="94"/>
      <c r="C33" s="163"/>
      <c r="D33" s="163"/>
      <c r="E33" s="164"/>
      <c r="F33" s="93"/>
    </row>
    <row r="34" spans="2:6" x14ac:dyDescent="0.2">
      <c r="B34" s="94"/>
      <c r="C34" s="163"/>
      <c r="D34" s="163"/>
      <c r="E34" s="164"/>
      <c r="F34" s="93"/>
    </row>
    <row r="35" spans="2:6" x14ac:dyDescent="0.2">
      <c r="B35" s="94"/>
      <c r="C35" s="163"/>
      <c r="D35" s="163"/>
      <c r="E35" s="164"/>
      <c r="F35" s="93"/>
    </row>
    <row r="36" spans="2:6" x14ac:dyDescent="0.2">
      <c r="B36" s="94"/>
      <c r="C36" s="163"/>
      <c r="D36" s="163"/>
      <c r="E36" s="164"/>
      <c r="F36" s="93"/>
    </row>
    <row r="37" spans="2:6" ht="16" thickBot="1" x14ac:dyDescent="0.25">
      <c r="B37" s="94"/>
      <c r="C37" s="165"/>
      <c r="D37" s="165"/>
      <c r="E37" s="166"/>
      <c r="F37" s="93"/>
    </row>
    <row r="38" spans="2:6" x14ac:dyDescent="0.2">
      <c r="B38" s="94"/>
      <c r="F38" s="93"/>
    </row>
    <row r="39" spans="2:6" ht="16" thickBot="1" x14ac:dyDescent="0.25">
      <c r="B39" s="98"/>
      <c r="C39" s="95"/>
      <c r="D39" s="95"/>
      <c r="E39" s="95"/>
      <c r="F39" s="16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EEAC1-4FAF-45FE-AAC5-40E1C3D4A8BF}">
  <sheetPr codeName="Sheet2">
    <tabColor rgb="FF0070C0"/>
  </sheetPr>
  <dimension ref="A1:Y80"/>
  <sheetViews>
    <sheetView showGridLines="0" zoomScaleNormal="100" workbookViewId="0"/>
  </sheetViews>
  <sheetFormatPr baseColWidth="10" defaultColWidth="8.83203125" defaultRowHeight="15" x14ac:dyDescent="0.2"/>
  <cols>
    <col min="1" max="2" width="9.5" customWidth="1"/>
    <col min="3" max="3" width="11.5" customWidth="1"/>
    <col min="4" max="4" width="12.5" customWidth="1"/>
    <col min="5" max="5" width="12.83203125" customWidth="1"/>
    <col min="6" max="6" width="11.33203125" customWidth="1"/>
    <col min="14" max="14" width="15.1640625" customWidth="1"/>
    <col min="15" max="15" width="16.6640625" customWidth="1"/>
    <col min="16" max="16" width="13.33203125" customWidth="1"/>
  </cols>
  <sheetData>
    <row r="1" spans="2:25" ht="21.75" customHeight="1" x14ac:dyDescent="0.2"/>
    <row r="3" spans="2:25" ht="26" x14ac:dyDescent="0.3">
      <c r="G3" s="96" t="s">
        <v>251</v>
      </c>
    </row>
    <row r="4" spans="2:25" ht="14.5" customHeight="1" thickBot="1" x14ac:dyDescent="0.25"/>
    <row r="5" spans="2:25" ht="14.5" customHeight="1" thickBot="1" x14ac:dyDescent="0.25">
      <c r="B5" s="90"/>
      <c r="C5" s="91"/>
      <c r="D5" s="91"/>
      <c r="E5" s="91"/>
      <c r="F5" s="91"/>
      <c r="G5" s="91"/>
      <c r="H5" s="91"/>
      <c r="I5" s="91"/>
      <c r="J5" s="91"/>
      <c r="K5" s="91"/>
      <c r="L5" s="91"/>
      <c r="M5" s="91"/>
      <c r="N5" s="91"/>
      <c r="O5" s="91"/>
      <c r="P5" s="92"/>
    </row>
    <row r="6" spans="2:25" ht="14.5" customHeight="1" x14ac:dyDescent="0.2">
      <c r="B6" s="94"/>
      <c r="C6" s="1"/>
      <c r="D6" s="1"/>
      <c r="E6" s="1"/>
      <c r="F6" s="1"/>
      <c r="G6" s="1"/>
      <c r="H6" s="1"/>
      <c r="I6" s="1"/>
      <c r="J6" s="1"/>
      <c r="K6" s="1"/>
      <c r="L6" s="1"/>
      <c r="M6" s="1"/>
      <c r="N6" s="1"/>
      <c r="O6" s="1"/>
      <c r="Q6" s="94"/>
    </row>
    <row r="7" spans="2:25" ht="21" thickBot="1" x14ac:dyDescent="0.3">
      <c r="B7" s="94"/>
      <c r="C7" s="128" t="s">
        <v>250</v>
      </c>
      <c r="D7" s="47"/>
      <c r="E7" s="48"/>
      <c r="F7" s="48"/>
      <c r="G7" s="46"/>
      <c r="H7" s="46"/>
      <c r="I7" s="46"/>
      <c r="J7" s="46"/>
      <c r="K7" s="46"/>
      <c r="L7" s="46"/>
      <c r="M7" s="46"/>
      <c r="N7" s="46"/>
      <c r="O7" s="48"/>
      <c r="Q7" s="94"/>
    </row>
    <row r="8" spans="2:25" ht="14.5" customHeight="1" x14ac:dyDescent="0.25">
      <c r="B8" s="94"/>
      <c r="C8" s="13"/>
      <c r="D8" s="50"/>
      <c r="E8" s="1"/>
      <c r="F8" s="1"/>
      <c r="G8" s="49"/>
      <c r="H8" s="49"/>
      <c r="I8" s="49"/>
      <c r="J8" s="49"/>
      <c r="K8" s="49"/>
      <c r="L8" s="49"/>
      <c r="M8" s="49"/>
      <c r="N8" s="49"/>
      <c r="O8" s="1"/>
      <c r="Q8" s="94"/>
    </row>
    <row r="9" spans="2:25" ht="14.5" customHeight="1" x14ac:dyDescent="0.2">
      <c r="B9" s="94"/>
      <c r="C9" s="45" t="s">
        <v>5</v>
      </c>
      <c r="D9" s="45"/>
      <c r="E9" s="1"/>
      <c r="F9" s="1"/>
      <c r="G9" s="49"/>
      <c r="H9" s="49"/>
      <c r="I9" s="49"/>
      <c r="J9" s="49"/>
      <c r="K9" s="49"/>
      <c r="L9" s="49"/>
      <c r="M9" s="49"/>
      <c r="N9" s="49"/>
      <c r="O9" s="49"/>
      <c r="Q9" s="94"/>
    </row>
    <row r="10" spans="2:25" ht="14.5" customHeight="1" x14ac:dyDescent="0.2">
      <c r="B10" s="94"/>
      <c r="C10" s="97" t="s">
        <v>120</v>
      </c>
      <c r="D10" s="97"/>
      <c r="E10" s="97"/>
      <c r="F10" s="97"/>
      <c r="G10" s="97"/>
      <c r="H10" s="97"/>
      <c r="I10" s="97"/>
      <c r="J10" s="97"/>
      <c r="K10" s="97"/>
      <c r="L10" s="97"/>
      <c r="M10" s="97"/>
      <c r="N10" s="97"/>
      <c r="O10" s="97"/>
      <c r="Q10" s="94"/>
    </row>
    <row r="11" spans="2:25" ht="14.5" customHeight="1" x14ac:dyDescent="0.2">
      <c r="B11" s="94"/>
      <c r="C11" s="97" t="s">
        <v>121</v>
      </c>
      <c r="D11" s="97"/>
      <c r="E11" s="97"/>
      <c r="F11" s="97"/>
      <c r="G11" s="97"/>
      <c r="H11" s="97"/>
      <c r="I11" s="97"/>
      <c r="J11" s="97"/>
      <c r="K11" s="97"/>
      <c r="L11" s="97"/>
      <c r="M11" s="97"/>
      <c r="N11" s="97"/>
      <c r="O11" s="97"/>
      <c r="Q11" s="94"/>
    </row>
    <row r="12" spans="2:25" ht="14.5" customHeight="1" x14ac:dyDescent="0.2">
      <c r="B12" s="94"/>
      <c r="C12" s="97" t="s">
        <v>119</v>
      </c>
      <c r="D12" s="97"/>
      <c r="E12" s="97"/>
      <c r="F12" s="97"/>
      <c r="G12" s="97"/>
      <c r="H12" s="97"/>
      <c r="I12" s="97"/>
      <c r="J12" s="97"/>
      <c r="K12" s="97"/>
      <c r="L12" s="97"/>
      <c r="M12" s="97"/>
      <c r="N12" s="97"/>
      <c r="O12" s="97"/>
      <c r="Q12" s="94"/>
      <c r="Y12" s="63"/>
    </row>
    <row r="13" spans="2:25" ht="14.5" customHeight="1" x14ac:dyDescent="0.2">
      <c r="B13" s="94"/>
      <c r="C13" s="45"/>
      <c r="D13" s="51"/>
      <c r="E13" s="1"/>
      <c r="F13" s="1"/>
      <c r="G13" s="49"/>
      <c r="H13" s="49"/>
      <c r="I13" s="49"/>
      <c r="J13" s="49"/>
      <c r="K13" s="49"/>
      <c r="L13" s="49"/>
      <c r="M13" s="49"/>
      <c r="N13" s="49"/>
      <c r="O13" s="49"/>
      <c r="Q13" s="94"/>
    </row>
    <row r="14" spans="2:25" ht="14.5" customHeight="1" x14ac:dyDescent="0.2">
      <c r="B14" s="94"/>
      <c r="C14" s="17" t="s">
        <v>6</v>
      </c>
      <c r="D14" s="1"/>
      <c r="E14" s="1"/>
      <c r="F14" s="1"/>
      <c r="G14" s="49"/>
      <c r="H14" s="49"/>
      <c r="I14" s="49"/>
      <c r="J14" s="49"/>
      <c r="K14" s="49"/>
      <c r="L14" s="49"/>
      <c r="M14" s="49"/>
      <c r="N14" s="49"/>
      <c r="O14" s="49"/>
      <c r="Q14" s="94"/>
    </row>
    <row r="15" spans="2:25" ht="14.5" customHeight="1" x14ac:dyDescent="0.2">
      <c r="B15" s="94"/>
      <c r="C15" s="1" t="s">
        <v>7</v>
      </c>
      <c r="D15" s="1"/>
      <c r="E15" s="1"/>
      <c r="F15" s="1"/>
      <c r="G15" s="49"/>
      <c r="H15" s="49"/>
      <c r="I15" s="49"/>
      <c r="J15" s="49"/>
      <c r="K15" s="49"/>
      <c r="L15" s="49"/>
      <c r="M15" s="49"/>
      <c r="N15" s="49"/>
      <c r="O15" s="49"/>
      <c r="Q15" s="94"/>
    </row>
    <row r="16" spans="2:25" ht="14.5" customHeight="1" x14ac:dyDescent="0.2">
      <c r="B16" s="94"/>
      <c r="C16" s="1" t="s">
        <v>8</v>
      </c>
      <c r="D16" s="45"/>
      <c r="E16" s="1"/>
      <c r="F16" s="1"/>
      <c r="G16" s="49"/>
      <c r="H16" s="49"/>
      <c r="I16" s="49"/>
      <c r="J16" s="49"/>
      <c r="K16" s="49"/>
      <c r="L16" s="49"/>
      <c r="M16" s="49"/>
      <c r="N16" s="49"/>
      <c r="O16" s="49"/>
      <c r="Q16" s="94"/>
    </row>
    <row r="17" spans="2:17" ht="14.5" customHeight="1" x14ac:dyDescent="0.2">
      <c r="B17" s="94"/>
      <c r="C17" s="1"/>
      <c r="D17" s="1"/>
      <c r="E17" s="1"/>
      <c r="F17" s="1"/>
      <c r="G17" s="49"/>
      <c r="H17" s="49"/>
      <c r="I17" s="49"/>
      <c r="J17" s="49"/>
      <c r="K17" s="49"/>
      <c r="L17" s="49"/>
      <c r="M17" s="49"/>
      <c r="N17" s="49"/>
      <c r="O17" s="49"/>
      <c r="Q17" s="94"/>
    </row>
    <row r="18" spans="2:17" ht="14.5" customHeight="1" x14ac:dyDescent="0.2">
      <c r="B18" s="94"/>
      <c r="C18" s="17" t="s">
        <v>9</v>
      </c>
      <c r="D18" s="1"/>
      <c r="E18" s="1"/>
      <c r="F18" s="1"/>
      <c r="G18" s="49"/>
      <c r="H18" s="49"/>
      <c r="I18" s="49"/>
      <c r="J18" s="49"/>
      <c r="K18" s="49"/>
      <c r="L18" s="49"/>
      <c r="M18" s="49"/>
      <c r="N18" s="49"/>
      <c r="O18" s="49"/>
      <c r="Q18" s="94"/>
    </row>
    <row r="19" spans="2:17" ht="14.5" customHeight="1" x14ac:dyDescent="0.2">
      <c r="B19" s="94"/>
      <c r="C19" s="1" t="s">
        <v>10</v>
      </c>
      <c r="D19" s="1"/>
      <c r="E19" s="1"/>
      <c r="F19" s="1"/>
      <c r="G19" s="49"/>
      <c r="H19" s="49"/>
      <c r="I19" s="49"/>
      <c r="J19" s="49"/>
      <c r="K19" s="49"/>
      <c r="L19" s="49"/>
      <c r="M19" s="49"/>
      <c r="N19" s="49"/>
      <c r="O19" s="49"/>
      <c r="Q19" s="94"/>
    </row>
    <row r="20" spans="2:17" ht="14.5" customHeight="1" x14ac:dyDescent="0.2">
      <c r="B20" s="94"/>
      <c r="C20" s="1"/>
      <c r="D20" s="1"/>
      <c r="E20" s="1"/>
      <c r="F20" s="1"/>
      <c r="G20" s="49"/>
      <c r="H20" s="49"/>
      <c r="I20" s="49"/>
      <c r="J20" s="49"/>
      <c r="K20" s="49"/>
      <c r="L20" s="49"/>
      <c r="M20" s="49"/>
      <c r="N20" s="49"/>
      <c r="O20" s="49"/>
      <c r="Q20" s="94"/>
    </row>
    <row r="21" spans="2:17" ht="14.5" customHeight="1" x14ac:dyDescent="0.2">
      <c r="B21" s="94"/>
      <c r="C21" s="17" t="s">
        <v>11</v>
      </c>
      <c r="D21" s="1"/>
      <c r="E21" s="1"/>
      <c r="F21" s="1"/>
      <c r="G21" s="49"/>
      <c r="H21" s="49"/>
      <c r="I21" s="49"/>
      <c r="J21" s="49"/>
      <c r="K21" s="49"/>
      <c r="L21" s="49"/>
      <c r="M21" s="49"/>
      <c r="N21" s="49"/>
      <c r="O21" s="49"/>
      <c r="Q21" s="94"/>
    </row>
    <row r="22" spans="2:17" ht="14.5" customHeight="1" x14ac:dyDescent="0.2">
      <c r="B22" s="94"/>
      <c r="C22" s="1" t="s">
        <v>424</v>
      </c>
      <c r="D22" s="45"/>
      <c r="E22" s="1"/>
      <c r="F22" s="1"/>
      <c r="G22" s="49"/>
      <c r="H22" s="49"/>
      <c r="I22" s="49"/>
      <c r="J22" s="49"/>
      <c r="K22" s="49"/>
      <c r="L22" s="49"/>
      <c r="M22" s="49"/>
      <c r="N22" s="49"/>
      <c r="O22" s="49"/>
      <c r="Q22" s="94"/>
    </row>
    <row r="23" spans="2:17" ht="14.5" customHeight="1" x14ac:dyDescent="0.2">
      <c r="B23" s="94"/>
      <c r="C23" s="52"/>
      <c r="D23" s="45"/>
      <c r="E23" s="1"/>
      <c r="F23" s="1"/>
      <c r="G23" s="49"/>
      <c r="H23" s="49"/>
      <c r="I23" s="49"/>
      <c r="J23" s="49"/>
      <c r="K23" s="49"/>
      <c r="L23" s="49"/>
      <c r="M23" s="49"/>
      <c r="N23" s="49"/>
      <c r="O23" s="49"/>
      <c r="Q23" s="94"/>
    </row>
    <row r="24" spans="2:17" ht="14.5" customHeight="1" x14ac:dyDescent="0.2">
      <c r="B24" s="94"/>
      <c r="C24" s="17" t="s">
        <v>114</v>
      </c>
      <c r="D24" s="45"/>
      <c r="E24" s="1"/>
      <c r="F24" s="1"/>
      <c r="G24" s="49"/>
      <c r="H24" s="49"/>
      <c r="I24" s="49"/>
      <c r="J24" s="49"/>
      <c r="K24" s="49"/>
      <c r="L24" s="49"/>
      <c r="M24" s="49"/>
      <c r="N24" s="49"/>
      <c r="O24" s="49"/>
      <c r="Q24" s="94"/>
    </row>
    <row r="25" spans="2:17" ht="14.5" customHeight="1" x14ac:dyDescent="0.2">
      <c r="B25" s="94"/>
      <c r="C25" s="1" t="s">
        <v>423</v>
      </c>
      <c r="D25" s="45"/>
      <c r="E25" s="1"/>
      <c r="F25" s="1"/>
      <c r="G25" s="49"/>
      <c r="H25" s="49"/>
      <c r="I25" s="49"/>
      <c r="J25" s="49"/>
      <c r="K25" s="49"/>
      <c r="L25" s="49"/>
      <c r="M25" s="49"/>
      <c r="N25" s="49"/>
      <c r="O25" s="49"/>
      <c r="Q25" s="94"/>
    </row>
    <row r="26" spans="2:17" ht="14.5" customHeight="1" x14ac:dyDescent="0.2">
      <c r="B26" s="94"/>
      <c r="C26" s="17"/>
      <c r="D26" s="45"/>
      <c r="E26" s="1"/>
      <c r="F26" s="1"/>
      <c r="G26" s="49"/>
      <c r="H26" s="49"/>
      <c r="I26" s="49"/>
      <c r="J26" s="49"/>
      <c r="K26" s="49"/>
      <c r="L26" s="49"/>
      <c r="M26" s="49"/>
      <c r="N26" s="49"/>
      <c r="O26" s="49"/>
      <c r="Q26" s="94"/>
    </row>
    <row r="27" spans="2:17" ht="14.5" customHeight="1" x14ac:dyDescent="0.2">
      <c r="B27" s="94"/>
      <c r="C27" s="17" t="s">
        <v>408</v>
      </c>
      <c r="D27" s="45"/>
      <c r="E27" s="1"/>
      <c r="F27" s="1"/>
      <c r="G27" s="49"/>
      <c r="H27" s="49"/>
      <c r="I27" s="49"/>
      <c r="J27" s="49"/>
      <c r="K27" s="49"/>
      <c r="L27" s="49"/>
      <c r="M27" s="49"/>
      <c r="N27" s="49"/>
      <c r="O27" s="49"/>
      <c r="Q27" s="94"/>
    </row>
    <row r="28" spans="2:17" ht="14.5" customHeight="1" x14ac:dyDescent="0.2">
      <c r="B28" s="94"/>
      <c r="C28" s="1" t="s">
        <v>425</v>
      </c>
      <c r="D28" s="45"/>
      <c r="E28" s="1"/>
      <c r="F28" s="1"/>
      <c r="G28" s="49"/>
      <c r="H28" s="49"/>
      <c r="I28" s="49"/>
      <c r="J28" s="49"/>
      <c r="K28" s="49"/>
      <c r="L28" s="49"/>
      <c r="M28" s="49"/>
      <c r="N28" s="49"/>
      <c r="O28" s="49"/>
      <c r="Q28" s="94"/>
    </row>
    <row r="29" spans="2:17" ht="14.5" customHeight="1" x14ac:dyDescent="0.2">
      <c r="B29" s="94"/>
      <c r="C29" s="52"/>
      <c r="D29" s="45"/>
      <c r="E29" s="1"/>
      <c r="F29" s="1"/>
      <c r="G29" s="49"/>
      <c r="H29" s="49"/>
      <c r="I29" s="49"/>
      <c r="J29" s="49"/>
      <c r="K29" s="49"/>
      <c r="L29" s="49"/>
      <c r="M29" s="49"/>
      <c r="N29" s="49"/>
      <c r="O29" s="49"/>
      <c r="Q29" s="94"/>
    </row>
    <row r="30" spans="2:17" ht="14.5" customHeight="1" x14ac:dyDescent="0.2">
      <c r="B30" s="94"/>
      <c r="C30" s="17" t="s">
        <v>12</v>
      </c>
      <c r="D30" s="1"/>
      <c r="E30" s="1"/>
      <c r="F30" s="1"/>
      <c r="G30" s="49"/>
      <c r="H30" s="49"/>
      <c r="I30" s="49"/>
      <c r="J30" s="49"/>
      <c r="K30" s="49"/>
      <c r="L30" s="49"/>
      <c r="M30" s="49"/>
      <c r="N30" s="49"/>
      <c r="O30" s="49"/>
      <c r="Q30" s="94"/>
    </row>
    <row r="31" spans="2:17" ht="14.5" customHeight="1" x14ac:dyDescent="0.2">
      <c r="B31" s="94"/>
      <c r="C31" s="1" t="s">
        <v>13</v>
      </c>
      <c r="D31" s="1"/>
      <c r="E31" s="1"/>
      <c r="F31" s="1"/>
      <c r="G31" s="49"/>
      <c r="H31" s="49"/>
      <c r="I31" s="49"/>
      <c r="J31" s="49"/>
      <c r="K31" s="49"/>
      <c r="L31" s="49"/>
      <c r="M31" s="49"/>
      <c r="N31" s="49"/>
      <c r="O31" s="49"/>
      <c r="Q31" s="94"/>
    </row>
    <row r="32" spans="2:17" ht="16.5" customHeight="1" x14ac:dyDescent="0.2">
      <c r="B32" s="94"/>
      <c r="C32" s="49"/>
      <c r="D32" s="49"/>
      <c r="E32" s="49"/>
      <c r="F32" s="1"/>
      <c r="G32" s="49"/>
      <c r="H32" s="49"/>
      <c r="I32" s="49"/>
      <c r="J32" s="49"/>
      <c r="K32" s="49"/>
      <c r="L32" s="49"/>
      <c r="M32" s="49"/>
      <c r="N32" s="49"/>
      <c r="O32" s="49"/>
      <c r="Q32" s="94"/>
    </row>
    <row r="33" spans="2:17" ht="18.5" customHeight="1" thickBot="1" x14ac:dyDescent="0.3">
      <c r="B33" s="94"/>
      <c r="C33" s="128" t="s">
        <v>14</v>
      </c>
      <c r="D33" s="45"/>
      <c r="E33" s="1"/>
      <c r="F33" s="1"/>
      <c r="G33" s="49"/>
      <c r="H33" s="49"/>
      <c r="I33" s="49"/>
      <c r="J33" s="49"/>
      <c r="K33" s="49"/>
      <c r="L33" s="49"/>
      <c r="M33" s="49"/>
      <c r="N33" s="49"/>
      <c r="O33" s="49"/>
      <c r="Q33" s="94"/>
    </row>
    <row r="34" spans="2:17" ht="14.5" customHeight="1" x14ac:dyDescent="0.2">
      <c r="B34" s="94"/>
      <c r="C34" s="17" t="s">
        <v>15</v>
      </c>
      <c r="D34" s="1"/>
      <c r="E34" s="1"/>
      <c r="F34" s="1"/>
      <c r="G34" s="49"/>
      <c r="H34" s="49"/>
      <c r="I34" s="49"/>
      <c r="J34" s="49"/>
      <c r="K34" s="49"/>
      <c r="L34" s="49"/>
      <c r="M34" s="49"/>
      <c r="N34" s="49"/>
      <c r="O34" s="49"/>
      <c r="Q34" s="94"/>
    </row>
    <row r="35" spans="2:17" ht="14.5" customHeight="1" x14ac:dyDescent="0.2">
      <c r="B35" s="94"/>
      <c r="C35" s="1"/>
      <c r="D35" s="1"/>
      <c r="E35" s="1"/>
      <c r="F35" s="1"/>
      <c r="G35" s="49"/>
      <c r="H35" s="49"/>
      <c r="I35" s="49"/>
      <c r="J35" s="49"/>
      <c r="K35" s="49"/>
      <c r="L35" s="49"/>
      <c r="M35" s="49"/>
      <c r="N35" s="49"/>
      <c r="O35" s="49"/>
      <c r="Q35" s="94"/>
    </row>
    <row r="36" spans="2:17" ht="14.5" customHeight="1" x14ac:dyDescent="0.2">
      <c r="B36" s="94"/>
      <c r="C36" s="17" t="s">
        <v>16</v>
      </c>
      <c r="D36" s="1"/>
      <c r="E36" s="1"/>
      <c r="F36" s="1"/>
      <c r="G36" s="49"/>
      <c r="H36" s="49"/>
      <c r="I36" s="49"/>
      <c r="J36" s="49"/>
      <c r="K36" s="49"/>
      <c r="L36" s="49"/>
      <c r="M36" s="49"/>
      <c r="N36" s="49"/>
      <c r="O36" s="49"/>
      <c r="Q36" s="94"/>
    </row>
    <row r="37" spans="2:17" ht="14.5" customHeight="1" x14ac:dyDescent="0.2">
      <c r="B37" s="94"/>
      <c r="C37" s="1" t="s">
        <v>17</v>
      </c>
      <c r="D37" s="1"/>
      <c r="E37" s="1"/>
      <c r="F37" s="1"/>
      <c r="G37" s="49"/>
      <c r="H37" s="49"/>
      <c r="I37" s="49"/>
      <c r="J37" s="49"/>
      <c r="K37" s="49"/>
      <c r="L37" s="49"/>
      <c r="M37" s="49"/>
      <c r="N37" s="49"/>
      <c r="O37" s="49"/>
      <c r="Q37" s="94"/>
    </row>
    <row r="38" spans="2:17" ht="14.5" customHeight="1" x14ac:dyDescent="0.2">
      <c r="B38" s="94"/>
      <c r="C38" s="1" t="s">
        <v>18</v>
      </c>
      <c r="D38" s="1"/>
      <c r="E38" s="1"/>
      <c r="F38" s="1"/>
      <c r="G38" s="49"/>
      <c r="H38" s="49"/>
      <c r="I38" s="49"/>
      <c r="J38" s="49"/>
      <c r="K38" s="49"/>
      <c r="L38" s="49"/>
      <c r="M38" s="49"/>
      <c r="N38" s="49"/>
      <c r="O38" s="49"/>
      <c r="Q38" s="94"/>
    </row>
    <row r="39" spans="2:17" ht="14.5" customHeight="1" x14ac:dyDescent="0.2">
      <c r="B39" s="94"/>
      <c r="C39" s="1" t="s">
        <v>19</v>
      </c>
      <c r="D39" s="1"/>
      <c r="E39" s="1"/>
      <c r="F39" s="1"/>
      <c r="G39" s="49"/>
      <c r="H39" s="49"/>
      <c r="I39" s="49"/>
      <c r="J39" s="49"/>
      <c r="K39" s="49"/>
      <c r="L39" s="49"/>
      <c r="M39" s="49"/>
      <c r="N39" s="49"/>
      <c r="O39" s="49"/>
      <c r="Q39" s="94"/>
    </row>
    <row r="40" spans="2:17" ht="14.5" customHeight="1" x14ac:dyDescent="0.2">
      <c r="B40" s="94"/>
      <c r="C40" s="1" t="s">
        <v>20</v>
      </c>
      <c r="D40" s="1"/>
      <c r="E40" s="1"/>
      <c r="F40" s="1"/>
      <c r="G40" s="49"/>
      <c r="H40" s="49"/>
      <c r="I40" s="49"/>
      <c r="J40" s="49"/>
      <c r="K40" s="49"/>
      <c r="L40" s="49"/>
      <c r="M40" s="49"/>
      <c r="N40" s="49"/>
      <c r="O40" s="49"/>
      <c r="Q40" s="94"/>
    </row>
    <row r="41" spans="2:17" ht="14.5" customHeight="1" x14ac:dyDescent="0.2">
      <c r="B41" s="94"/>
      <c r="C41" s="1" t="s">
        <v>21</v>
      </c>
      <c r="D41" s="1"/>
      <c r="E41" s="1"/>
      <c r="F41" s="1"/>
      <c r="G41" s="49"/>
      <c r="H41" s="49"/>
      <c r="I41" s="49"/>
      <c r="J41" s="49"/>
      <c r="K41" s="49"/>
      <c r="L41" s="49"/>
      <c r="M41" s="49"/>
      <c r="N41" s="49"/>
      <c r="O41" s="49"/>
      <c r="Q41" s="94"/>
    </row>
    <row r="42" spans="2:17" ht="14.5" customHeight="1" x14ac:dyDescent="0.2">
      <c r="B42" s="94"/>
      <c r="C42" s="1"/>
      <c r="D42" s="1"/>
      <c r="E42" s="1"/>
      <c r="F42" s="1"/>
      <c r="G42" s="49"/>
      <c r="H42" s="49"/>
      <c r="I42" s="49"/>
      <c r="J42" s="49"/>
      <c r="K42" s="49"/>
      <c r="L42" s="49"/>
      <c r="M42" s="49"/>
      <c r="N42" s="49"/>
      <c r="O42" s="49"/>
      <c r="Q42" s="94"/>
    </row>
    <row r="43" spans="2:17" ht="19.5" customHeight="1" thickBot="1" x14ac:dyDescent="0.3">
      <c r="B43" s="94"/>
      <c r="C43" s="128" t="s">
        <v>118</v>
      </c>
      <c r="D43" s="48"/>
      <c r="E43" s="48"/>
      <c r="F43" s="48"/>
      <c r="G43" s="48"/>
      <c r="H43" s="48"/>
      <c r="I43" s="48"/>
      <c r="J43" s="48"/>
      <c r="K43" s="48"/>
      <c r="L43" s="48"/>
      <c r="M43" s="48"/>
      <c r="N43" s="48"/>
      <c r="O43" s="48"/>
      <c r="Q43" s="94"/>
    </row>
    <row r="44" spans="2:17" ht="14.5" customHeight="1" thickBot="1" x14ac:dyDescent="0.25">
      <c r="B44" s="94"/>
      <c r="C44" s="1"/>
      <c r="D44" s="1"/>
      <c r="E44" s="1"/>
      <c r="F44" s="1"/>
      <c r="G44" s="1"/>
      <c r="H44" s="1"/>
      <c r="I44" s="1"/>
      <c r="J44" s="1"/>
      <c r="K44" s="1"/>
      <c r="L44" s="1"/>
      <c r="M44" s="1"/>
      <c r="N44" s="1"/>
      <c r="O44" s="1"/>
      <c r="Q44" s="94"/>
    </row>
    <row r="45" spans="2:17" ht="14.5" customHeight="1" thickTop="1" thickBot="1" x14ac:dyDescent="0.25">
      <c r="B45" s="94"/>
      <c r="C45" s="1" t="s">
        <v>23</v>
      </c>
      <c r="D45" s="45"/>
      <c r="E45" s="85"/>
      <c r="F45" s="1"/>
      <c r="G45" s="49"/>
      <c r="H45" s="49"/>
      <c r="I45" s="49"/>
      <c r="J45" s="49"/>
      <c r="K45" s="49"/>
      <c r="L45" s="49"/>
      <c r="M45" s="49"/>
      <c r="N45" s="49"/>
      <c r="O45" s="49"/>
      <c r="Q45" s="94"/>
    </row>
    <row r="46" spans="2:17" ht="14.5" customHeight="1" thickTop="1" thickBot="1" x14ac:dyDescent="0.25">
      <c r="B46" s="94"/>
      <c r="C46" s="1" t="s">
        <v>24</v>
      </c>
      <c r="D46" s="45"/>
      <c r="E46" s="86"/>
      <c r="F46" s="1"/>
      <c r="G46" s="49"/>
      <c r="H46" s="49"/>
      <c r="I46" s="49"/>
      <c r="J46" s="49"/>
      <c r="K46" s="49"/>
      <c r="L46" s="49"/>
      <c r="M46" s="49"/>
      <c r="N46" s="49"/>
      <c r="O46" s="49"/>
      <c r="Q46" s="94"/>
    </row>
    <row r="47" spans="2:17" ht="14.5" customHeight="1" thickTop="1" thickBot="1" x14ac:dyDescent="0.25">
      <c r="B47" s="94"/>
      <c r="C47" s="1" t="s">
        <v>25</v>
      </c>
      <c r="D47" s="45"/>
      <c r="E47" s="87"/>
      <c r="F47" s="1"/>
      <c r="G47" s="49"/>
      <c r="H47" s="49"/>
      <c r="I47" s="49"/>
      <c r="J47" s="49"/>
      <c r="K47" s="49"/>
      <c r="L47" s="49"/>
      <c r="M47" s="49"/>
      <c r="N47" s="49"/>
      <c r="O47" s="49"/>
      <c r="Q47" s="94"/>
    </row>
    <row r="48" spans="2:17" ht="14.5" customHeight="1" thickTop="1" thickBot="1" x14ac:dyDescent="0.25">
      <c r="B48" s="94"/>
      <c r="C48" s="1" t="s">
        <v>249</v>
      </c>
      <c r="D48" s="45"/>
      <c r="E48" s="89"/>
      <c r="F48" s="49"/>
      <c r="G48" s="49"/>
      <c r="H48" s="49"/>
      <c r="I48" s="49"/>
      <c r="J48" s="49"/>
      <c r="K48" s="49"/>
      <c r="L48" s="49"/>
      <c r="M48" s="49"/>
      <c r="N48" s="49"/>
      <c r="O48" s="49"/>
      <c r="Q48" s="94"/>
    </row>
    <row r="49" spans="1:17" ht="14.5" customHeight="1" thickTop="1" x14ac:dyDescent="0.2">
      <c r="B49" s="94"/>
      <c r="C49" s="1"/>
      <c r="D49" s="45"/>
      <c r="E49" s="49"/>
      <c r="F49" s="1"/>
      <c r="G49" s="49"/>
      <c r="H49" s="49"/>
      <c r="I49" s="49"/>
      <c r="J49" s="49"/>
      <c r="K49" s="49"/>
      <c r="L49" s="49"/>
      <c r="M49" s="49"/>
      <c r="N49" s="49"/>
      <c r="O49" s="49"/>
      <c r="Q49" s="94"/>
    </row>
    <row r="50" spans="1:17" ht="19" customHeight="1" thickBot="1" x14ac:dyDescent="0.3">
      <c r="B50" s="94"/>
      <c r="C50" s="128" t="s">
        <v>22</v>
      </c>
      <c r="D50" s="53"/>
      <c r="E50" s="48"/>
      <c r="F50" s="48"/>
      <c r="G50" s="46"/>
      <c r="H50" s="46"/>
      <c r="I50" s="46"/>
      <c r="J50" s="46"/>
      <c r="K50" s="46"/>
      <c r="L50" s="46"/>
      <c r="M50" s="46"/>
      <c r="N50" s="46"/>
      <c r="O50" s="46"/>
      <c r="Q50" s="94"/>
    </row>
    <row r="51" spans="1:17" ht="14.5" customHeight="1" thickBot="1" x14ac:dyDescent="0.25">
      <c r="B51" s="94"/>
      <c r="Q51" s="94"/>
    </row>
    <row r="52" spans="1:17" ht="14.5" customHeight="1" thickTop="1" thickBot="1" x14ac:dyDescent="0.25">
      <c r="B52" s="94"/>
      <c r="C52" t="s">
        <v>247</v>
      </c>
      <c r="E52" s="69"/>
      <c r="Q52" s="94"/>
    </row>
    <row r="53" spans="1:17" ht="14.5" customHeight="1" thickTop="1" thickBot="1" x14ac:dyDescent="0.25">
      <c r="B53" s="94"/>
      <c r="C53" t="s">
        <v>191</v>
      </c>
      <c r="E53" s="83"/>
      <c r="Q53" s="94"/>
    </row>
    <row r="54" spans="1:17" ht="14.5" customHeight="1" thickTop="1" thickBot="1" x14ac:dyDescent="0.25">
      <c r="B54" s="94"/>
      <c r="C54" t="s">
        <v>248</v>
      </c>
      <c r="E54" s="84"/>
      <c r="Q54" s="94"/>
    </row>
    <row r="55" spans="1:17" ht="14.5" customHeight="1" thickTop="1" x14ac:dyDescent="0.2">
      <c r="A55" s="93"/>
      <c r="B55" s="94"/>
      <c r="Q55" s="94"/>
    </row>
    <row r="56" spans="1:17" ht="14.5" customHeight="1" thickBot="1" x14ac:dyDescent="0.25">
      <c r="A56" s="93"/>
      <c r="B56" s="98"/>
      <c r="C56" s="95"/>
      <c r="D56" s="95"/>
      <c r="E56" s="95"/>
      <c r="F56" s="95"/>
      <c r="G56" s="95"/>
      <c r="H56" s="95"/>
      <c r="I56" s="95"/>
      <c r="J56" s="95"/>
      <c r="K56" s="95"/>
      <c r="L56" s="95"/>
      <c r="M56" s="95"/>
      <c r="N56" s="95"/>
      <c r="O56" s="95"/>
      <c r="P56" s="95"/>
      <c r="Q56" s="94"/>
    </row>
    <row r="57" spans="1:17" ht="14.5" customHeight="1" x14ac:dyDescent="0.2"/>
    <row r="58" spans="1:17" ht="14.5" customHeight="1" x14ac:dyDescent="0.2"/>
    <row r="59" spans="1:17" ht="14.5" customHeight="1" x14ac:dyDescent="0.2"/>
    <row r="60" spans="1:17" ht="14.5" customHeight="1" x14ac:dyDescent="0.2"/>
    <row r="61" spans="1:17" ht="14.5" customHeight="1" x14ac:dyDescent="0.2"/>
    <row r="62" spans="1:17" ht="14.5" customHeight="1" x14ac:dyDescent="0.2"/>
    <row r="63" spans="1:17" ht="14.5" customHeight="1" x14ac:dyDescent="0.2"/>
    <row r="64" spans="1:17" ht="14.5" customHeight="1" x14ac:dyDescent="0.2"/>
    <row r="65" ht="14.5" customHeight="1" x14ac:dyDescent="0.2"/>
    <row r="66" ht="14.5" customHeight="1" x14ac:dyDescent="0.2"/>
    <row r="67" ht="14.5" customHeight="1" x14ac:dyDescent="0.2"/>
    <row r="68" ht="14.5" customHeight="1" x14ac:dyDescent="0.2"/>
    <row r="69" ht="14.5" customHeight="1" x14ac:dyDescent="0.2"/>
    <row r="70" ht="14.5" customHeight="1" x14ac:dyDescent="0.2"/>
    <row r="71" ht="14.5" customHeight="1" x14ac:dyDescent="0.2"/>
    <row r="72" ht="14.5" customHeight="1" x14ac:dyDescent="0.2"/>
    <row r="73" ht="14.5" customHeight="1" x14ac:dyDescent="0.2"/>
    <row r="74" ht="14.5" customHeight="1" x14ac:dyDescent="0.2"/>
    <row r="75" ht="14.5" customHeight="1" x14ac:dyDescent="0.2"/>
    <row r="76" ht="14.5" customHeight="1" x14ac:dyDescent="0.2"/>
    <row r="77" ht="14.5" customHeight="1" x14ac:dyDescent="0.2"/>
    <row r="78" ht="14.5" customHeight="1" x14ac:dyDescent="0.2"/>
    <row r="79" ht="14.5" customHeight="1" x14ac:dyDescent="0.2"/>
    <row r="80" ht="14.5" customHeight="1" x14ac:dyDescent="0.2"/>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90624-58EB-42BD-AF39-886E633ED89E}">
  <sheetPr codeName="Sheet18">
    <tabColor theme="4"/>
  </sheetPr>
  <dimension ref="A3:AA77"/>
  <sheetViews>
    <sheetView showGridLines="0" zoomScaleNormal="100" workbookViewId="0">
      <selection activeCell="F46" sqref="F46"/>
    </sheetView>
  </sheetViews>
  <sheetFormatPr baseColWidth="10" defaultColWidth="8.83203125" defaultRowHeight="15" x14ac:dyDescent="0.2"/>
  <cols>
    <col min="4" max="4" width="5.33203125" customWidth="1"/>
    <col min="15" max="15" width="5.1640625" customWidth="1"/>
  </cols>
  <sheetData>
    <row r="3" spans="2:27" ht="26" x14ac:dyDescent="0.3">
      <c r="J3" s="96" t="s">
        <v>268</v>
      </c>
    </row>
    <row r="4" spans="2:27" ht="16" thickBot="1" x14ac:dyDescent="0.25"/>
    <row r="5" spans="2:27" ht="14.5" customHeight="1" thickBot="1" x14ac:dyDescent="0.25">
      <c r="B5" s="90"/>
      <c r="C5" s="91"/>
      <c r="D5" s="91"/>
      <c r="E5" s="91"/>
      <c r="F5" s="91"/>
      <c r="G5" s="91"/>
      <c r="H5" s="91"/>
      <c r="I5" s="91"/>
      <c r="J5" s="91"/>
      <c r="K5" s="91"/>
      <c r="L5" s="91"/>
      <c r="M5" s="91"/>
      <c r="N5" s="91"/>
      <c r="O5" s="91"/>
      <c r="P5" s="91"/>
      <c r="Q5" s="91"/>
      <c r="R5" s="91"/>
      <c r="S5" s="91"/>
      <c r="T5" s="91"/>
      <c r="U5" s="91"/>
      <c r="V5" s="92"/>
    </row>
    <row r="6" spans="2:27" x14ac:dyDescent="0.2">
      <c r="B6" s="94"/>
      <c r="W6" s="94"/>
    </row>
    <row r="7" spans="2:27" x14ac:dyDescent="0.2">
      <c r="B7" s="94"/>
      <c r="W7" s="94"/>
    </row>
    <row r="8" spans="2:27" ht="14.5" customHeight="1" x14ac:dyDescent="0.25">
      <c r="B8" s="94"/>
      <c r="C8" s="129" t="s">
        <v>268</v>
      </c>
      <c r="W8" s="94"/>
    </row>
    <row r="9" spans="2:27" ht="14.5" customHeight="1" x14ac:dyDescent="0.2">
      <c r="B9" s="94"/>
      <c r="C9" s="1"/>
      <c r="D9" s="1"/>
      <c r="E9" s="1"/>
      <c r="F9" s="1"/>
      <c r="G9" s="1"/>
      <c r="H9" s="1"/>
      <c r="I9" s="1"/>
      <c r="J9" s="1"/>
      <c r="K9" s="1"/>
      <c r="L9" s="1"/>
      <c r="M9" s="1"/>
      <c r="N9" s="1"/>
      <c r="O9" s="1"/>
      <c r="P9" s="1"/>
      <c r="W9" s="94"/>
    </row>
    <row r="10" spans="2:27" ht="14.5" customHeight="1" x14ac:dyDescent="0.2">
      <c r="B10" s="94"/>
      <c r="C10" s="1" t="s">
        <v>206</v>
      </c>
      <c r="D10" s="1"/>
      <c r="E10" s="1"/>
      <c r="F10" s="1"/>
      <c r="G10" s="49"/>
      <c r="H10" s="49"/>
      <c r="I10" s="49"/>
      <c r="J10" s="49"/>
      <c r="K10" s="49"/>
      <c r="L10" s="49"/>
      <c r="M10" s="49"/>
      <c r="N10" s="49"/>
      <c r="O10" s="49"/>
      <c r="P10" s="49"/>
      <c r="W10" s="94"/>
    </row>
    <row r="11" spans="2:27" ht="14.5" customHeight="1" x14ac:dyDescent="0.2">
      <c r="B11" s="94"/>
      <c r="E11" s="1"/>
      <c r="F11" s="1"/>
      <c r="G11" s="49"/>
      <c r="H11" s="49"/>
      <c r="I11" s="49"/>
      <c r="J11" s="49"/>
      <c r="K11" s="49"/>
      <c r="L11" s="49"/>
      <c r="M11" s="49"/>
      <c r="N11" s="49"/>
      <c r="O11" s="49"/>
      <c r="P11" s="49"/>
      <c r="W11" s="94"/>
    </row>
    <row r="12" spans="2:27" ht="14.5" customHeight="1" x14ac:dyDescent="0.2">
      <c r="B12" s="94"/>
      <c r="C12" s="77" t="s">
        <v>208</v>
      </c>
      <c r="D12" t="s">
        <v>205</v>
      </c>
      <c r="E12" s="1"/>
      <c r="F12" s="1"/>
      <c r="G12" s="49"/>
      <c r="H12" s="49"/>
      <c r="I12" s="49"/>
      <c r="J12" s="49"/>
      <c r="K12" s="49"/>
      <c r="L12" s="49"/>
      <c r="M12" s="49"/>
      <c r="N12" s="49"/>
      <c r="O12" s="49"/>
      <c r="P12" s="49"/>
      <c r="W12" s="94"/>
    </row>
    <row r="13" spans="2:27" ht="14.5" customHeight="1" x14ac:dyDescent="0.2">
      <c r="B13" s="94"/>
      <c r="C13" s="77" t="s">
        <v>209</v>
      </c>
      <c r="D13" t="s">
        <v>108</v>
      </c>
      <c r="E13" s="1"/>
      <c r="F13" s="1"/>
      <c r="G13" s="49"/>
      <c r="H13" s="49"/>
      <c r="I13" s="49"/>
      <c r="J13" s="49"/>
      <c r="K13" s="49"/>
      <c r="L13" s="49"/>
      <c r="M13" s="49"/>
      <c r="N13" s="49"/>
      <c r="O13" s="49"/>
      <c r="P13" s="49"/>
      <c r="W13" s="94"/>
      <c r="Z13" s="1"/>
      <c r="AA13" s="1"/>
    </row>
    <row r="14" spans="2:27" ht="14.5" customHeight="1" x14ac:dyDescent="0.2">
      <c r="B14" s="94"/>
      <c r="C14" s="77" t="s">
        <v>210</v>
      </c>
      <c r="D14" t="s">
        <v>109</v>
      </c>
      <c r="E14" s="1"/>
      <c r="F14" s="1"/>
      <c r="G14" s="49"/>
      <c r="H14" s="49"/>
      <c r="I14" s="49"/>
      <c r="J14" s="49"/>
      <c r="K14" s="49"/>
      <c r="L14" s="49"/>
      <c r="M14" s="49"/>
      <c r="N14" s="49"/>
      <c r="O14" s="49"/>
      <c r="P14" s="49"/>
      <c r="W14" s="94"/>
      <c r="Z14" s="1"/>
      <c r="AA14" s="1"/>
    </row>
    <row r="15" spans="2:27" ht="14.5" customHeight="1" x14ac:dyDescent="0.2">
      <c r="B15" s="94"/>
      <c r="E15" s="1"/>
      <c r="F15" s="1"/>
      <c r="G15" s="49"/>
      <c r="H15" s="49"/>
      <c r="I15" s="49"/>
      <c r="J15" s="49"/>
      <c r="K15" s="49"/>
      <c r="L15" s="49"/>
      <c r="M15" s="49"/>
      <c r="N15" s="49"/>
      <c r="O15" s="49"/>
      <c r="P15" s="49"/>
      <c r="W15" s="94"/>
      <c r="Z15" s="1"/>
      <c r="AA15" s="1"/>
    </row>
    <row r="16" spans="2:27" ht="14.5" customHeight="1" x14ac:dyDescent="0.2">
      <c r="B16" s="94"/>
      <c r="D16" t="s">
        <v>211</v>
      </c>
      <c r="F16" s="1"/>
      <c r="G16" s="1"/>
      <c r="H16" s="49"/>
      <c r="I16" s="49"/>
      <c r="J16" s="49"/>
      <c r="K16" s="49"/>
      <c r="L16" s="49"/>
      <c r="M16" s="49"/>
      <c r="N16" s="49"/>
      <c r="O16" s="49"/>
      <c r="P16" s="49"/>
      <c r="W16" s="94"/>
      <c r="Z16" s="1"/>
      <c r="AA16" s="1"/>
    </row>
    <row r="17" spans="2:27" ht="14.5" customHeight="1" x14ac:dyDescent="0.2">
      <c r="B17" s="94"/>
      <c r="C17" s="78" t="s">
        <v>212</v>
      </c>
      <c r="D17" s="1" t="s">
        <v>213</v>
      </c>
      <c r="F17" s="1"/>
      <c r="G17" s="1"/>
      <c r="H17" s="49"/>
      <c r="I17" s="49"/>
      <c r="J17" s="49"/>
      <c r="K17" s="49"/>
      <c r="L17" s="49"/>
      <c r="M17" s="49"/>
      <c r="N17" s="49"/>
      <c r="O17" s="49"/>
      <c r="P17" s="49"/>
      <c r="W17" s="94"/>
      <c r="Z17" s="1"/>
      <c r="AA17" s="1"/>
    </row>
    <row r="18" spans="2:27" ht="14.5" customHeight="1" x14ac:dyDescent="0.2">
      <c r="B18" s="94"/>
      <c r="C18" s="78" t="s">
        <v>220</v>
      </c>
      <c r="D18" s="1" t="s">
        <v>103</v>
      </c>
      <c r="F18" s="1"/>
      <c r="G18" s="1"/>
      <c r="H18" s="49"/>
      <c r="I18" s="49"/>
      <c r="J18" s="49"/>
      <c r="K18" s="49"/>
      <c r="L18" s="49"/>
      <c r="M18" s="49"/>
      <c r="N18" s="49"/>
      <c r="O18" s="49"/>
      <c r="P18" s="49"/>
      <c r="W18" s="94"/>
      <c r="Z18" s="1"/>
      <c r="AA18" s="1"/>
    </row>
    <row r="19" spans="2:27" x14ac:dyDescent="0.2">
      <c r="B19" s="94"/>
      <c r="C19" s="78" t="s">
        <v>221</v>
      </c>
      <c r="D19" s="1" t="s">
        <v>104</v>
      </c>
      <c r="W19" s="94"/>
      <c r="Z19" s="1"/>
      <c r="AA19" s="1"/>
    </row>
    <row r="20" spans="2:27" x14ac:dyDescent="0.2">
      <c r="B20" s="94"/>
      <c r="C20" s="78" t="s">
        <v>215</v>
      </c>
      <c r="D20" s="1" t="s">
        <v>214</v>
      </c>
      <c r="W20" s="94"/>
      <c r="Z20" s="1"/>
      <c r="AA20" s="1"/>
    </row>
    <row r="21" spans="2:27" x14ac:dyDescent="0.2">
      <c r="B21" s="94"/>
      <c r="C21" s="78" t="s">
        <v>216</v>
      </c>
      <c r="D21" s="1" t="s">
        <v>217</v>
      </c>
      <c r="W21" s="94"/>
    </row>
    <row r="22" spans="2:27" x14ac:dyDescent="0.2">
      <c r="B22" s="94"/>
      <c r="C22" s="78" t="s">
        <v>218</v>
      </c>
      <c r="D22" s="1" t="s">
        <v>219</v>
      </c>
      <c r="W22" s="94"/>
    </row>
    <row r="23" spans="2:27" x14ac:dyDescent="0.2">
      <c r="B23" s="94"/>
      <c r="W23" s="94"/>
    </row>
    <row r="24" spans="2:27" x14ac:dyDescent="0.2">
      <c r="B24" s="94"/>
      <c r="W24" s="94"/>
    </row>
    <row r="25" spans="2:27" x14ac:dyDescent="0.2">
      <c r="B25" s="94"/>
      <c r="W25" s="94"/>
    </row>
    <row r="26" spans="2:27" x14ac:dyDescent="0.2">
      <c r="B26" s="94"/>
      <c r="Q26" t="s">
        <v>205</v>
      </c>
      <c r="W26" s="94"/>
    </row>
    <row r="27" spans="2:27" x14ac:dyDescent="0.2">
      <c r="B27" s="94"/>
      <c r="W27" s="94"/>
    </row>
    <row r="28" spans="2:27" x14ac:dyDescent="0.2">
      <c r="B28" s="94"/>
      <c r="W28" s="94"/>
    </row>
    <row r="29" spans="2:27" x14ac:dyDescent="0.2">
      <c r="B29" s="94"/>
      <c r="Q29" t="s">
        <v>207</v>
      </c>
      <c r="W29" s="94"/>
    </row>
    <row r="30" spans="2:27" x14ac:dyDescent="0.2">
      <c r="B30" s="94"/>
      <c r="W30" s="94"/>
    </row>
    <row r="31" spans="2:27" x14ac:dyDescent="0.2">
      <c r="B31" s="94"/>
      <c r="W31" s="94"/>
    </row>
    <row r="32" spans="2:27" x14ac:dyDescent="0.2">
      <c r="B32" s="94"/>
      <c r="W32" s="94"/>
    </row>
    <row r="33" spans="2:23" x14ac:dyDescent="0.2">
      <c r="B33" s="94"/>
      <c r="W33" s="94"/>
    </row>
    <row r="34" spans="2:23" x14ac:dyDescent="0.2">
      <c r="B34" s="94"/>
      <c r="W34" s="94"/>
    </row>
    <row r="35" spans="2:23" x14ac:dyDescent="0.2">
      <c r="B35" s="94"/>
      <c r="W35" s="94"/>
    </row>
    <row r="36" spans="2:23" x14ac:dyDescent="0.2">
      <c r="B36" s="94"/>
      <c r="W36" s="94"/>
    </row>
    <row r="37" spans="2:23" x14ac:dyDescent="0.2">
      <c r="B37" s="94"/>
      <c r="W37" s="94"/>
    </row>
    <row r="38" spans="2:23" x14ac:dyDescent="0.2">
      <c r="B38" s="94"/>
      <c r="W38" s="94"/>
    </row>
    <row r="39" spans="2:23" x14ac:dyDescent="0.2">
      <c r="B39" s="94"/>
      <c r="W39" s="94"/>
    </row>
    <row r="40" spans="2:23" x14ac:dyDescent="0.2">
      <c r="B40" s="94"/>
      <c r="W40" s="94"/>
    </row>
    <row r="41" spans="2:23" x14ac:dyDescent="0.2">
      <c r="B41" s="94"/>
      <c r="W41" s="94"/>
    </row>
    <row r="42" spans="2:23" x14ac:dyDescent="0.2">
      <c r="B42" s="94"/>
      <c r="W42" s="94"/>
    </row>
    <row r="43" spans="2:23" x14ac:dyDescent="0.2">
      <c r="B43" s="94"/>
      <c r="W43" s="94"/>
    </row>
    <row r="44" spans="2:23" x14ac:dyDescent="0.2">
      <c r="B44" s="94"/>
      <c r="W44" s="94"/>
    </row>
    <row r="45" spans="2:23" x14ac:dyDescent="0.2">
      <c r="B45" s="94"/>
      <c r="W45" s="94"/>
    </row>
    <row r="46" spans="2:23" x14ac:dyDescent="0.2">
      <c r="B46" s="94"/>
      <c r="E46" t="s">
        <v>245</v>
      </c>
      <c r="F46" t="s">
        <v>246</v>
      </c>
      <c r="W46" s="94"/>
    </row>
    <row r="47" spans="2:23" x14ac:dyDescent="0.2">
      <c r="B47" s="94"/>
      <c r="W47" s="94"/>
    </row>
    <row r="48" spans="2:23" x14ac:dyDescent="0.2">
      <c r="B48" s="94"/>
      <c r="W48" s="94"/>
    </row>
    <row r="49" spans="2:23" x14ac:dyDescent="0.2">
      <c r="B49" s="94"/>
      <c r="W49" s="94"/>
    </row>
    <row r="50" spans="2:23" x14ac:dyDescent="0.2">
      <c r="B50" s="94"/>
      <c r="W50" s="94"/>
    </row>
    <row r="51" spans="2:23" x14ac:dyDescent="0.2">
      <c r="B51" s="94"/>
      <c r="W51" s="94"/>
    </row>
    <row r="52" spans="2:23" x14ac:dyDescent="0.2">
      <c r="B52" s="94"/>
      <c r="W52" s="94"/>
    </row>
    <row r="53" spans="2:23" x14ac:dyDescent="0.2">
      <c r="B53" s="94"/>
      <c r="W53" s="94"/>
    </row>
    <row r="54" spans="2:23" x14ac:dyDescent="0.2">
      <c r="B54" s="94"/>
      <c r="W54" s="94"/>
    </row>
    <row r="55" spans="2:23" x14ac:dyDescent="0.2">
      <c r="B55" s="94"/>
      <c r="W55" s="94"/>
    </row>
    <row r="56" spans="2:23" x14ac:dyDescent="0.2">
      <c r="B56" s="94"/>
      <c r="W56" s="94"/>
    </row>
    <row r="57" spans="2:23" x14ac:dyDescent="0.2">
      <c r="B57" s="94"/>
      <c r="W57" s="94"/>
    </row>
    <row r="58" spans="2:23" x14ac:dyDescent="0.2">
      <c r="B58" s="94"/>
      <c r="W58" s="94"/>
    </row>
    <row r="59" spans="2:23" x14ac:dyDescent="0.2">
      <c r="B59" s="94"/>
      <c r="W59" s="94"/>
    </row>
    <row r="60" spans="2:23" x14ac:dyDescent="0.2">
      <c r="B60" s="94"/>
      <c r="W60" s="94"/>
    </row>
    <row r="61" spans="2:23" ht="14.5" customHeight="1" x14ac:dyDescent="0.2">
      <c r="B61" s="94"/>
      <c r="T61" s="77" t="s">
        <v>222</v>
      </c>
      <c r="W61" s="94"/>
    </row>
    <row r="62" spans="2:23" x14ac:dyDescent="0.2">
      <c r="B62" s="94"/>
      <c r="W62" s="94"/>
    </row>
    <row r="63" spans="2:23" x14ac:dyDescent="0.2">
      <c r="B63" s="94"/>
      <c r="W63" s="94"/>
    </row>
    <row r="64" spans="2:23" x14ac:dyDescent="0.2">
      <c r="B64" s="94"/>
      <c r="W64" s="94"/>
    </row>
    <row r="65" spans="1:23" x14ac:dyDescent="0.2">
      <c r="B65" s="94"/>
      <c r="W65" s="94"/>
    </row>
    <row r="66" spans="1:23" x14ac:dyDescent="0.2">
      <c r="B66" s="94"/>
      <c r="W66" s="94"/>
    </row>
    <row r="67" spans="1:23" x14ac:dyDescent="0.2">
      <c r="B67" s="94"/>
      <c r="W67" s="94"/>
    </row>
    <row r="68" spans="1:23" x14ac:dyDescent="0.2">
      <c r="B68" s="94"/>
      <c r="W68" s="94"/>
    </row>
    <row r="69" spans="1:23" x14ac:dyDescent="0.2">
      <c r="B69" s="94"/>
      <c r="W69" s="94"/>
    </row>
    <row r="70" spans="1:23" x14ac:dyDescent="0.2">
      <c r="B70" s="94"/>
      <c r="W70" s="94"/>
    </row>
    <row r="71" spans="1:23" x14ac:dyDescent="0.2">
      <c r="B71" s="94"/>
      <c r="W71" s="94"/>
    </row>
    <row r="72" spans="1:23" x14ac:dyDescent="0.2">
      <c r="B72" s="94"/>
      <c r="W72" s="94"/>
    </row>
    <row r="73" spans="1:23" x14ac:dyDescent="0.2">
      <c r="B73" s="94"/>
      <c r="W73" s="94"/>
    </row>
    <row r="74" spans="1:23" x14ac:dyDescent="0.2">
      <c r="B74" s="94"/>
      <c r="W74" s="94"/>
    </row>
    <row r="75" spans="1:23" x14ac:dyDescent="0.2">
      <c r="B75" s="94"/>
      <c r="D75" t="s">
        <v>222</v>
      </c>
      <c r="E75" t="s">
        <v>244</v>
      </c>
      <c r="W75" s="94"/>
    </row>
    <row r="76" spans="1:23" x14ac:dyDescent="0.2">
      <c r="B76" s="94"/>
      <c r="W76" s="94"/>
    </row>
    <row r="77" spans="1:23" ht="16" thickBot="1" x14ac:dyDescent="0.25">
      <c r="A77" s="93"/>
      <c r="B77" s="98"/>
      <c r="C77" s="95"/>
      <c r="D77" s="95"/>
      <c r="E77" s="95"/>
      <c r="F77" s="95"/>
      <c r="G77" s="95"/>
      <c r="H77" s="95"/>
      <c r="I77" s="95"/>
      <c r="J77" s="95"/>
      <c r="K77" s="95"/>
      <c r="L77" s="95"/>
      <c r="M77" s="95"/>
      <c r="N77" s="95"/>
      <c r="O77" s="95"/>
      <c r="P77" s="95"/>
      <c r="Q77" s="95"/>
      <c r="R77" s="95"/>
      <c r="S77" s="95"/>
      <c r="T77" s="95"/>
      <c r="U77" s="95"/>
      <c r="V77" s="95"/>
      <c r="W77" s="94"/>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DBDB4-80B1-42B9-B5DB-D0E267C1A406}">
  <sheetPr codeName="Sheet3">
    <tabColor theme="4"/>
  </sheetPr>
  <dimension ref="B3:X17"/>
  <sheetViews>
    <sheetView showGridLines="0" workbookViewId="0">
      <selection activeCell="D16" sqref="D16"/>
    </sheetView>
  </sheetViews>
  <sheetFormatPr baseColWidth="10" defaultColWidth="8.83203125" defaultRowHeight="15" x14ac:dyDescent="0.2"/>
  <cols>
    <col min="1" max="3" width="9.6640625" customWidth="1"/>
  </cols>
  <sheetData>
    <row r="3" spans="2:24" ht="21" customHeight="1" x14ac:dyDescent="0.2">
      <c r="J3" s="130" t="s">
        <v>123</v>
      </c>
      <c r="K3" s="130"/>
      <c r="L3" s="130"/>
    </row>
    <row r="4" spans="2:24" ht="15" customHeight="1" thickBot="1" x14ac:dyDescent="0.25">
      <c r="J4" s="130"/>
      <c r="K4" s="130"/>
      <c r="L4" s="130"/>
    </row>
    <row r="5" spans="2:24" ht="16" thickBot="1" x14ac:dyDescent="0.25">
      <c r="B5" s="90"/>
      <c r="C5" s="91"/>
      <c r="D5" s="91"/>
      <c r="E5" s="91"/>
      <c r="F5" s="91"/>
      <c r="G5" s="91"/>
      <c r="H5" s="91"/>
      <c r="I5" s="91"/>
      <c r="J5" s="91"/>
      <c r="K5" s="91"/>
      <c r="L5" s="91"/>
      <c r="M5" s="91"/>
      <c r="N5" s="91"/>
      <c r="O5" s="91"/>
      <c r="P5" s="91"/>
      <c r="Q5" s="91"/>
      <c r="R5" s="91"/>
      <c r="S5" s="91"/>
      <c r="T5" s="91"/>
      <c r="U5" s="91"/>
      <c r="V5" s="91"/>
      <c r="W5" s="92"/>
    </row>
    <row r="6" spans="2:24" x14ac:dyDescent="0.2">
      <c r="B6" s="94"/>
      <c r="X6" s="94"/>
    </row>
    <row r="7" spans="2:24" ht="16" customHeight="1" x14ac:dyDescent="0.2">
      <c r="B7" s="94"/>
      <c r="X7" s="94"/>
    </row>
    <row r="8" spans="2:24" x14ac:dyDescent="0.2">
      <c r="B8" s="94"/>
      <c r="C8" s="62">
        <v>1</v>
      </c>
      <c r="D8" s="184" t="s">
        <v>184</v>
      </c>
      <c r="E8" s="185"/>
      <c r="F8" s="185"/>
      <c r="G8" s="185"/>
      <c r="H8" s="185"/>
      <c r="I8" s="185"/>
      <c r="J8" s="185"/>
      <c r="K8" s="185"/>
      <c r="L8" s="185"/>
      <c r="M8" s="185"/>
      <c r="N8" s="185"/>
      <c r="O8" s="185"/>
      <c r="P8" s="185"/>
      <c r="Q8" s="185"/>
      <c r="R8" s="185"/>
      <c r="S8" s="185"/>
      <c r="T8" s="185"/>
      <c r="U8" s="185"/>
      <c r="V8" s="186"/>
      <c r="X8" s="94"/>
    </row>
    <row r="9" spans="2:24" ht="29.5" customHeight="1" x14ac:dyDescent="0.2">
      <c r="B9" s="94"/>
      <c r="C9" s="62">
        <v>2</v>
      </c>
      <c r="D9" s="187" t="s">
        <v>185</v>
      </c>
      <c r="E9" s="188"/>
      <c r="F9" s="188"/>
      <c r="G9" s="188"/>
      <c r="H9" s="188"/>
      <c r="I9" s="188"/>
      <c r="J9" s="188"/>
      <c r="K9" s="188"/>
      <c r="L9" s="188"/>
      <c r="M9" s="188"/>
      <c r="N9" s="188"/>
      <c r="O9" s="188"/>
      <c r="P9" s="188"/>
      <c r="Q9" s="188"/>
      <c r="R9" s="188"/>
      <c r="S9" s="188"/>
      <c r="T9" s="188"/>
      <c r="U9" s="188"/>
      <c r="V9" s="189"/>
      <c r="X9" s="94"/>
    </row>
    <row r="10" spans="2:24" x14ac:dyDescent="0.2">
      <c r="B10" s="94"/>
      <c r="C10" s="62">
        <v>3</v>
      </c>
      <c r="D10" s="184" t="s">
        <v>186</v>
      </c>
      <c r="E10" s="185"/>
      <c r="F10" s="185"/>
      <c r="G10" s="185"/>
      <c r="H10" s="185"/>
      <c r="I10" s="185"/>
      <c r="J10" s="185"/>
      <c r="K10" s="185"/>
      <c r="L10" s="185"/>
      <c r="M10" s="185"/>
      <c r="N10" s="185"/>
      <c r="O10" s="185"/>
      <c r="P10" s="185"/>
      <c r="Q10" s="185"/>
      <c r="R10" s="185"/>
      <c r="S10" s="185"/>
      <c r="T10" s="185"/>
      <c r="U10" s="185"/>
      <c r="V10" s="186"/>
      <c r="X10" s="94"/>
    </row>
    <row r="11" spans="2:24" x14ac:dyDescent="0.2">
      <c r="B11" s="94"/>
      <c r="C11" s="62">
        <v>4</v>
      </c>
      <c r="D11" s="184" t="s">
        <v>187</v>
      </c>
      <c r="E11" s="185"/>
      <c r="F11" s="185"/>
      <c r="G11" s="185"/>
      <c r="H11" s="185"/>
      <c r="I11" s="185"/>
      <c r="J11" s="185"/>
      <c r="K11" s="185"/>
      <c r="L11" s="185"/>
      <c r="M11" s="185"/>
      <c r="N11" s="185"/>
      <c r="O11" s="185"/>
      <c r="P11" s="185"/>
      <c r="Q11" s="185"/>
      <c r="R11" s="185"/>
      <c r="S11" s="185"/>
      <c r="T11" s="185"/>
      <c r="U11" s="185"/>
      <c r="V11" s="186"/>
      <c r="X11" s="94"/>
    </row>
    <row r="12" spans="2:24" x14ac:dyDescent="0.2">
      <c r="B12" s="94"/>
      <c r="C12" s="62">
        <v>5</v>
      </c>
      <c r="D12" s="184" t="s">
        <v>188</v>
      </c>
      <c r="E12" s="185"/>
      <c r="F12" s="185"/>
      <c r="G12" s="185"/>
      <c r="H12" s="185"/>
      <c r="I12" s="185"/>
      <c r="J12" s="185"/>
      <c r="K12" s="185"/>
      <c r="L12" s="185"/>
      <c r="M12" s="185"/>
      <c r="N12" s="185"/>
      <c r="O12" s="185"/>
      <c r="P12" s="185"/>
      <c r="Q12" s="185"/>
      <c r="R12" s="185"/>
      <c r="S12" s="185"/>
      <c r="T12" s="185"/>
      <c r="U12" s="185"/>
      <c r="V12" s="186"/>
      <c r="X12" s="94"/>
    </row>
    <row r="13" spans="2:24" x14ac:dyDescent="0.2">
      <c r="B13" s="94"/>
      <c r="C13" s="62">
        <v>6</v>
      </c>
      <c r="D13" s="184" t="s">
        <v>189</v>
      </c>
      <c r="E13" s="185"/>
      <c r="F13" s="185"/>
      <c r="G13" s="185"/>
      <c r="H13" s="185"/>
      <c r="I13" s="185"/>
      <c r="J13" s="185"/>
      <c r="K13" s="185"/>
      <c r="L13" s="185"/>
      <c r="M13" s="185"/>
      <c r="N13" s="185"/>
      <c r="O13" s="185"/>
      <c r="P13" s="185"/>
      <c r="Q13" s="185"/>
      <c r="R13" s="185"/>
      <c r="S13" s="185"/>
      <c r="T13" s="185"/>
      <c r="U13" s="185"/>
      <c r="V13" s="186"/>
      <c r="X13" s="94"/>
    </row>
    <row r="14" spans="2:24" x14ac:dyDescent="0.2">
      <c r="B14" s="94"/>
      <c r="C14" s="2">
        <v>7</v>
      </c>
      <c r="D14" s="193" t="s">
        <v>422</v>
      </c>
      <c r="E14" s="194"/>
      <c r="F14" s="194"/>
      <c r="G14" s="194"/>
      <c r="H14" s="194"/>
      <c r="I14" s="194"/>
      <c r="J14" s="194"/>
      <c r="K14" s="194"/>
      <c r="L14" s="194"/>
      <c r="M14" s="194"/>
      <c r="N14" s="194"/>
      <c r="O14" s="194"/>
      <c r="P14" s="194"/>
      <c r="Q14" s="194"/>
      <c r="R14" s="194"/>
      <c r="S14" s="194"/>
      <c r="T14" s="194"/>
      <c r="U14" s="194"/>
      <c r="V14" s="195"/>
      <c r="X14" s="94"/>
    </row>
    <row r="15" spans="2:24" ht="30" customHeight="1" x14ac:dyDescent="0.2">
      <c r="B15" s="94"/>
      <c r="C15" s="2">
        <v>8</v>
      </c>
      <c r="D15" s="190" t="s">
        <v>426</v>
      </c>
      <c r="E15" s="191"/>
      <c r="F15" s="191"/>
      <c r="G15" s="191"/>
      <c r="H15" s="191"/>
      <c r="I15" s="191"/>
      <c r="J15" s="191"/>
      <c r="K15" s="191"/>
      <c r="L15" s="191"/>
      <c r="M15" s="191"/>
      <c r="N15" s="191"/>
      <c r="O15" s="191"/>
      <c r="P15" s="191"/>
      <c r="Q15" s="191"/>
      <c r="R15" s="191"/>
      <c r="S15" s="191"/>
      <c r="T15" s="191"/>
      <c r="U15" s="191"/>
      <c r="V15" s="192"/>
      <c r="X15" s="94"/>
    </row>
    <row r="16" spans="2:24" x14ac:dyDescent="0.2">
      <c r="B16" s="94"/>
      <c r="X16" s="94"/>
    </row>
    <row r="17" spans="2:24" ht="16" thickBot="1" x14ac:dyDescent="0.25">
      <c r="B17" s="98"/>
      <c r="C17" s="95"/>
      <c r="D17" s="95"/>
      <c r="E17" s="95"/>
      <c r="F17" s="95"/>
      <c r="G17" s="95"/>
      <c r="H17" s="95"/>
      <c r="I17" s="95"/>
      <c r="J17" s="95"/>
      <c r="K17" s="95"/>
      <c r="L17" s="95"/>
      <c r="M17" s="95"/>
      <c r="N17" s="95"/>
      <c r="O17" s="95"/>
      <c r="P17" s="95"/>
      <c r="Q17" s="95"/>
      <c r="R17" s="95"/>
      <c r="S17" s="95"/>
      <c r="T17" s="95"/>
      <c r="U17" s="95"/>
      <c r="V17" s="95"/>
      <c r="W17" s="95"/>
      <c r="X17" s="94"/>
    </row>
  </sheetData>
  <mergeCells count="8">
    <mergeCell ref="D10:V10"/>
    <mergeCell ref="D8:V8"/>
    <mergeCell ref="D9:V9"/>
    <mergeCell ref="D15:V15"/>
    <mergeCell ref="D14:V14"/>
    <mergeCell ref="D11:V11"/>
    <mergeCell ref="D12:V12"/>
    <mergeCell ref="D13:V1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25269-0E44-45AF-877D-836F164E1A6E}">
  <sheetPr codeName="Sheet4">
    <tabColor theme="9"/>
  </sheetPr>
  <dimension ref="A3:X26"/>
  <sheetViews>
    <sheetView showGridLines="0" workbookViewId="0">
      <selection activeCell="B7" sqref="B1:B7"/>
    </sheetView>
  </sheetViews>
  <sheetFormatPr baseColWidth="10" defaultColWidth="8.83203125" defaultRowHeight="15" x14ac:dyDescent="0.2"/>
  <cols>
    <col min="1" max="1" width="9.6640625" style="1" customWidth="1"/>
    <col min="2" max="2" width="8" style="1" customWidth="1"/>
    <col min="3" max="3" width="24" style="1" bestFit="1" customWidth="1"/>
    <col min="4" max="4" width="26.1640625" style="1" customWidth="1"/>
    <col min="5" max="5" width="16.6640625" style="1" customWidth="1"/>
    <col min="6" max="6" width="17.33203125" style="1" customWidth="1"/>
    <col min="7" max="7" width="15.83203125" style="1" customWidth="1"/>
    <col min="8" max="8" width="16.1640625" style="1" customWidth="1"/>
    <col min="9" max="9" width="19.33203125" style="1" customWidth="1"/>
    <col min="10" max="16384" width="8.83203125" style="1"/>
  </cols>
  <sheetData>
    <row r="3" spans="1:24" ht="26" x14ac:dyDescent="0.2">
      <c r="E3" s="130" t="s">
        <v>269</v>
      </c>
    </row>
    <row r="4" spans="1:24" ht="16" thickBot="1" x14ac:dyDescent="0.25"/>
    <row r="5" spans="1:24" customFormat="1" ht="16" thickBot="1" x14ac:dyDescent="0.25">
      <c r="B5" s="90"/>
      <c r="C5" s="91"/>
      <c r="D5" s="91"/>
      <c r="E5" s="91"/>
      <c r="F5" s="91"/>
      <c r="G5" s="91"/>
      <c r="H5" s="91"/>
      <c r="I5" s="92"/>
      <c r="J5" s="1"/>
      <c r="K5" s="1"/>
      <c r="L5" s="1"/>
      <c r="M5" s="1"/>
      <c r="N5" s="1"/>
      <c r="O5" s="1"/>
      <c r="P5" s="1"/>
      <c r="Q5" s="1"/>
      <c r="R5" s="1"/>
      <c r="S5" s="1"/>
      <c r="T5" s="1"/>
      <c r="U5" s="1"/>
      <c r="V5" s="1"/>
      <c r="W5" s="1"/>
      <c r="X5" s="1"/>
    </row>
    <row r="6" spans="1:24" x14ac:dyDescent="0.2">
      <c r="A6"/>
      <c r="B6" s="94"/>
      <c r="I6"/>
      <c r="J6" s="94"/>
    </row>
    <row r="7" spans="1:24" ht="21" thickBot="1" x14ac:dyDescent="0.3">
      <c r="A7"/>
      <c r="B7" s="94"/>
      <c r="C7" s="47" t="s">
        <v>26</v>
      </c>
      <c r="D7" s="48"/>
      <c r="E7" s="46"/>
      <c r="F7" s="48"/>
      <c r="G7" s="46"/>
      <c r="H7" s="48"/>
      <c r="I7"/>
      <c r="J7" s="94"/>
    </row>
    <row r="8" spans="1:24" x14ac:dyDescent="0.2">
      <c r="A8"/>
      <c r="B8" s="94"/>
      <c r="I8"/>
      <c r="J8" s="94"/>
    </row>
    <row r="9" spans="1:24" ht="19" x14ac:dyDescent="0.25">
      <c r="A9"/>
      <c r="B9" s="94"/>
      <c r="E9" s="129" t="s">
        <v>190</v>
      </c>
      <c r="F9" s="129" t="s">
        <v>191</v>
      </c>
      <c r="G9" s="129" t="s">
        <v>271</v>
      </c>
      <c r="H9" s="129" t="s">
        <v>122</v>
      </c>
      <c r="I9"/>
      <c r="J9" s="94"/>
    </row>
    <row r="10" spans="1:24" ht="16" thickBot="1" x14ac:dyDescent="0.25">
      <c r="A10"/>
      <c r="B10" s="94"/>
      <c r="F10" s="12"/>
      <c r="I10"/>
      <c r="J10" s="94"/>
      <c r="K10"/>
    </row>
    <row r="11" spans="1:24" ht="18" thickTop="1" thickBot="1" x14ac:dyDescent="0.25">
      <c r="A11"/>
      <c r="B11" s="94"/>
      <c r="C11" s="45" t="s">
        <v>27</v>
      </c>
      <c r="E11" s="81" t="s">
        <v>28</v>
      </c>
      <c r="I11"/>
      <c r="J11" s="94"/>
      <c r="K11"/>
    </row>
    <row r="12" spans="1:24" ht="17" thickTop="1" thickBot="1" x14ac:dyDescent="0.25">
      <c r="A12"/>
      <c r="B12" s="94"/>
      <c r="F12" s="12"/>
      <c r="I12"/>
      <c r="J12" s="94"/>
      <c r="K12"/>
    </row>
    <row r="13" spans="1:24" ht="18" thickTop="1" thickBot="1" x14ac:dyDescent="0.25">
      <c r="A13"/>
      <c r="B13" s="94"/>
      <c r="C13" s="45" t="s">
        <v>225</v>
      </c>
      <c r="E13" s="70"/>
      <c r="F13" s="102">
        <v>41424</v>
      </c>
      <c r="G13" s="133">
        <f>IF(E13="",F13,E13)</f>
        <v>41424</v>
      </c>
      <c r="H13" s="132" t="s">
        <v>324</v>
      </c>
      <c r="I13"/>
      <c r="J13" s="94"/>
      <c r="K13"/>
    </row>
    <row r="14" spans="1:24" ht="17" thickTop="1" thickBot="1" x14ac:dyDescent="0.25">
      <c r="A14"/>
      <c r="B14" s="94"/>
      <c r="F14" s="12"/>
      <c r="I14"/>
      <c r="J14" s="94"/>
      <c r="K14"/>
    </row>
    <row r="15" spans="1:24" ht="18" thickTop="1" thickBot="1" x14ac:dyDescent="0.25">
      <c r="A15"/>
      <c r="B15" s="94"/>
      <c r="C15" s="45" t="s">
        <v>29</v>
      </c>
      <c r="E15" s="81" t="s">
        <v>113</v>
      </c>
      <c r="F15"/>
      <c r="G15"/>
      <c r="I15"/>
      <c r="J15" s="94"/>
      <c r="K15"/>
    </row>
    <row r="16" spans="1:24" ht="17" thickTop="1" thickBot="1" x14ac:dyDescent="0.25">
      <c r="A16"/>
      <c r="B16" s="94"/>
      <c r="F16" s="12"/>
      <c r="I16"/>
      <c r="J16" s="94"/>
      <c r="K16"/>
    </row>
    <row r="17" spans="1:11" ht="18" thickTop="1" thickBot="1" x14ac:dyDescent="0.25">
      <c r="A17"/>
      <c r="B17" s="94"/>
      <c r="C17" s="45" t="s">
        <v>31</v>
      </c>
      <c r="E17" s="70"/>
      <c r="F17" s="102">
        <v>62.03</v>
      </c>
      <c r="G17" s="133">
        <f>IF(E17="",F17,E17)</f>
        <v>62.03</v>
      </c>
      <c r="H17" s="132" t="s">
        <v>324</v>
      </c>
      <c r="I17"/>
      <c r="J17" s="94"/>
      <c r="K17"/>
    </row>
    <row r="18" spans="1:11" ht="16" thickTop="1" x14ac:dyDescent="0.2">
      <c r="A18"/>
      <c r="B18" s="94"/>
      <c r="I18"/>
      <c r="J18" s="94"/>
      <c r="K18"/>
    </row>
    <row r="19" spans="1:11" ht="17" thickBot="1" x14ac:dyDescent="0.25">
      <c r="A19"/>
      <c r="B19" s="94"/>
      <c r="C19" s="45" t="s">
        <v>36</v>
      </c>
      <c r="E19" s="14" t="s">
        <v>32</v>
      </c>
      <c r="F19" s="14" t="s">
        <v>35</v>
      </c>
      <c r="G19" s="14" t="s">
        <v>33</v>
      </c>
      <c r="I19"/>
      <c r="J19" s="94"/>
      <c r="K19"/>
    </row>
    <row r="20" spans="1:11" ht="17" thickTop="1" thickBot="1" x14ac:dyDescent="0.25">
      <c r="A20"/>
      <c r="B20" s="94"/>
      <c r="E20" s="147" t="s">
        <v>37</v>
      </c>
      <c r="F20" s="147" t="s">
        <v>37</v>
      </c>
      <c r="G20" s="147" t="s">
        <v>37</v>
      </c>
      <c r="I20"/>
      <c r="J20" s="94"/>
      <c r="K20"/>
    </row>
    <row r="21" spans="1:11" ht="17" thickTop="1" thickBot="1" x14ac:dyDescent="0.25">
      <c r="A21"/>
      <c r="B21" s="94"/>
      <c r="I21"/>
      <c r="J21" s="94"/>
      <c r="K21"/>
    </row>
    <row r="22" spans="1:11" ht="18" thickTop="1" thickBot="1" x14ac:dyDescent="0.25">
      <c r="A22"/>
      <c r="B22" s="94"/>
      <c r="C22" s="45" t="s">
        <v>38</v>
      </c>
      <c r="E22" s="147" t="s">
        <v>37</v>
      </c>
      <c r="H22"/>
      <c r="I22"/>
      <c r="J22" s="94"/>
      <c r="K22"/>
    </row>
    <row r="23" spans="1:11" ht="17" thickTop="1" thickBot="1" x14ac:dyDescent="0.25">
      <c r="A23"/>
      <c r="B23" s="94"/>
      <c r="I23"/>
      <c r="J23" s="94"/>
      <c r="K23"/>
    </row>
    <row r="24" spans="1:11" ht="18" thickTop="1" thickBot="1" x14ac:dyDescent="0.25">
      <c r="A24"/>
      <c r="B24" s="94"/>
      <c r="C24" s="45" t="s">
        <v>411</v>
      </c>
      <c r="E24" s="150">
        <v>2018</v>
      </c>
      <c r="I24"/>
      <c r="J24" s="94"/>
      <c r="K24"/>
    </row>
    <row r="25" spans="1:11" ht="17" thickTop="1" thickBot="1" x14ac:dyDescent="0.25">
      <c r="A25"/>
      <c r="B25" s="98"/>
      <c r="C25" s="95"/>
      <c r="D25" s="95"/>
      <c r="E25" s="95"/>
      <c r="F25" s="95"/>
      <c r="G25" s="95"/>
      <c r="H25" s="95"/>
      <c r="I25" s="95"/>
      <c r="J25" s="94"/>
      <c r="K25"/>
    </row>
    <row r="26" spans="1:11" x14ac:dyDescent="0.2">
      <c r="A26"/>
      <c r="B26"/>
      <c r="C26"/>
      <c r="D26"/>
      <c r="E26"/>
      <c r="F26"/>
      <c r="G26"/>
      <c r="H26"/>
      <c r="I26"/>
      <c r="J26"/>
      <c r="K26"/>
    </row>
  </sheetData>
  <phoneticPr fontId="2" type="noConversion"/>
  <dataValidations count="1">
    <dataValidation type="list" allowBlank="1" showInputMessage="1" showErrorMessage="1" sqref="E20:G20 E22" xr:uid="{5F8BB012-E4DC-4C77-BF47-9D2A4B11A1FF}">
      <formula1>"Yes,No"</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90830-D025-4979-BC05-B7ACF903CF0F}">
  <sheetPr codeName="Sheet5">
    <tabColor theme="9"/>
  </sheetPr>
  <dimension ref="A3:T38"/>
  <sheetViews>
    <sheetView showGridLines="0" zoomScaleNormal="100" workbookViewId="0">
      <selection activeCell="A7" sqref="A7"/>
    </sheetView>
  </sheetViews>
  <sheetFormatPr baseColWidth="10" defaultColWidth="8.83203125" defaultRowHeight="15" x14ac:dyDescent="0.2"/>
  <cols>
    <col min="1" max="1" width="8.5" customWidth="1"/>
    <col min="2" max="2" width="9.83203125" customWidth="1"/>
    <col min="3" max="3" width="49.5" customWidth="1"/>
    <col min="4" max="4" width="17.6640625" customWidth="1"/>
    <col min="5" max="5" width="19.33203125" customWidth="1"/>
    <col min="6" max="6" width="20.5" customWidth="1"/>
    <col min="7" max="7" width="25.33203125" customWidth="1"/>
    <col min="8" max="8" width="15.1640625" customWidth="1"/>
  </cols>
  <sheetData>
    <row r="3" spans="2:20" ht="24.5" customHeight="1" x14ac:dyDescent="0.3">
      <c r="D3" s="1"/>
      <c r="E3" s="96" t="s">
        <v>270</v>
      </c>
    </row>
    <row r="4" spans="2:20" ht="15" customHeight="1" thickBot="1" x14ac:dyDescent="0.35">
      <c r="F4" s="96"/>
    </row>
    <row r="5" spans="2:20" ht="16" thickBot="1" x14ac:dyDescent="0.25">
      <c r="B5" s="90"/>
      <c r="C5" s="91"/>
      <c r="D5" s="91"/>
      <c r="E5" s="91"/>
      <c r="F5" s="91"/>
      <c r="G5" s="91"/>
      <c r="H5" s="92"/>
      <c r="I5" s="1"/>
      <c r="J5" s="1"/>
      <c r="K5" s="1"/>
      <c r="L5" s="1"/>
      <c r="M5" s="1"/>
      <c r="N5" s="1"/>
      <c r="O5" s="1"/>
      <c r="P5" s="1"/>
      <c r="Q5" s="1"/>
      <c r="R5" s="1"/>
      <c r="S5" s="1"/>
      <c r="T5" s="1"/>
    </row>
    <row r="6" spans="2:20" x14ac:dyDescent="0.2">
      <c r="B6" s="94"/>
      <c r="C6" s="1"/>
      <c r="D6" s="1"/>
      <c r="E6" s="1"/>
      <c r="F6" s="1"/>
      <c r="G6" s="1"/>
      <c r="I6" s="94"/>
    </row>
    <row r="7" spans="2:20" x14ac:dyDescent="0.2">
      <c r="B7" s="94"/>
      <c r="I7" s="94"/>
    </row>
    <row r="8" spans="2:20" ht="19" x14ac:dyDescent="0.25">
      <c r="B8" s="94"/>
      <c r="C8" s="1"/>
      <c r="D8" s="15" t="s">
        <v>190</v>
      </c>
      <c r="E8" s="15" t="s">
        <v>191</v>
      </c>
      <c r="F8" s="15" t="s">
        <v>271</v>
      </c>
      <c r="G8" s="15" t="s">
        <v>122</v>
      </c>
      <c r="I8" s="94"/>
    </row>
    <row r="9" spans="2:20" ht="19" x14ac:dyDescent="0.25">
      <c r="B9" s="94"/>
      <c r="C9" s="15" t="s">
        <v>43</v>
      </c>
      <c r="D9" s="1"/>
      <c r="E9" s="1"/>
      <c r="F9" s="1"/>
      <c r="G9" s="1"/>
      <c r="I9" s="94"/>
    </row>
    <row r="10" spans="2:20" ht="16" thickBot="1" x14ac:dyDescent="0.25">
      <c r="B10" s="94"/>
      <c r="C10" s="17" t="str">
        <f>"Skin antiseptic solution costs per ICU patient per day" &amp; "("&amp;c_currency&amp;")"</f>
        <v>Skin antiseptic solution costs per ICU patient per day(€)</v>
      </c>
      <c r="D10" s="17"/>
      <c r="E10" s="17"/>
      <c r="F10" s="1"/>
      <c r="G10" s="1" t="s">
        <v>410</v>
      </c>
      <c r="I10" s="94"/>
    </row>
    <row r="11" spans="2:20" ht="17" thickTop="1" thickBot="1" x14ac:dyDescent="0.25">
      <c r="B11" s="94"/>
      <c r="C11" s="1" t="s">
        <v>32</v>
      </c>
      <c r="D11" s="69"/>
      <c r="E11" s="102">
        <v>1.98</v>
      </c>
      <c r="F11" s="103">
        <f>IF(D11="",E11,D11)</f>
        <v>1.98</v>
      </c>
      <c r="G11" s="132" t="s">
        <v>275</v>
      </c>
      <c r="I11" s="94"/>
    </row>
    <row r="12" spans="2:20" ht="17" thickTop="1" thickBot="1" x14ac:dyDescent="0.25">
      <c r="B12" s="94"/>
      <c r="C12" s="1" t="s">
        <v>33</v>
      </c>
      <c r="D12" s="69"/>
      <c r="E12" s="102">
        <v>3.53</v>
      </c>
      <c r="F12" s="103">
        <f>IF(D12="",E12,D12)</f>
        <v>3.53</v>
      </c>
      <c r="G12" s="132" t="s">
        <v>275</v>
      </c>
      <c r="I12" s="94"/>
    </row>
    <row r="13" spans="2:20" ht="17" thickTop="1" thickBot="1" x14ac:dyDescent="0.25">
      <c r="B13" s="94"/>
      <c r="C13" s="1" t="s">
        <v>34</v>
      </c>
      <c r="D13" s="69"/>
      <c r="E13" s="102">
        <v>3.45</v>
      </c>
      <c r="F13" s="103">
        <f>IF(D13="",E13,D13)</f>
        <v>3.45</v>
      </c>
      <c r="G13" s="132" t="s">
        <v>275</v>
      </c>
      <c r="I13" s="94"/>
    </row>
    <row r="14" spans="2:20" ht="17" thickTop="1" thickBot="1" x14ac:dyDescent="0.25">
      <c r="B14" s="94"/>
      <c r="C14" s="1" t="s">
        <v>35</v>
      </c>
      <c r="D14" s="69"/>
      <c r="E14" s="102">
        <v>4.8499999999999996</v>
      </c>
      <c r="F14" s="103">
        <f>IF(D14="",E14,D14)</f>
        <v>4.8499999999999996</v>
      </c>
      <c r="G14" s="132" t="s">
        <v>275</v>
      </c>
      <c r="I14" s="94"/>
    </row>
    <row r="15" spans="2:20" ht="17" thickTop="1" thickBot="1" x14ac:dyDescent="0.25">
      <c r="B15" s="94"/>
      <c r="C15" s="17" t="str">
        <f>"Semipermeable transparent dressing" &amp; "("&amp;c_currency&amp;")"</f>
        <v>Semipermeable transparent dressing(€)</v>
      </c>
      <c r="D15" s="1"/>
      <c r="E15" s="1"/>
      <c r="F15" s="1"/>
      <c r="G15" s="1"/>
      <c r="I15" s="94"/>
    </row>
    <row r="16" spans="2:20" ht="16.5" customHeight="1" thickTop="1" thickBot="1" x14ac:dyDescent="0.25">
      <c r="B16" s="94"/>
      <c r="C16" s="1" t="s">
        <v>32</v>
      </c>
      <c r="D16" s="69"/>
      <c r="E16" s="102">
        <v>0.12</v>
      </c>
      <c r="F16" s="103">
        <f>IF(D16="",E16,D16)</f>
        <v>0.12</v>
      </c>
      <c r="G16" s="132" t="s">
        <v>275</v>
      </c>
      <c r="I16" s="94"/>
    </row>
    <row r="17" spans="2:9" ht="15" customHeight="1" thickTop="1" thickBot="1" x14ac:dyDescent="0.25">
      <c r="B17" s="94"/>
      <c r="C17" s="1" t="s">
        <v>33</v>
      </c>
      <c r="D17" s="69"/>
      <c r="E17" s="102">
        <v>0.12</v>
      </c>
      <c r="F17" s="103">
        <f>IF(D17="",E17,D17)</f>
        <v>0.12</v>
      </c>
      <c r="G17" s="132" t="s">
        <v>275</v>
      </c>
      <c r="I17" s="94"/>
    </row>
    <row r="18" spans="2:9" ht="17" thickTop="1" thickBot="1" x14ac:dyDescent="0.25">
      <c r="B18" s="94"/>
      <c r="C18" s="1" t="s">
        <v>34</v>
      </c>
      <c r="D18" s="69"/>
      <c r="E18" s="102">
        <v>0.12</v>
      </c>
      <c r="F18" s="103">
        <f>IF(D18="",E18,D18)</f>
        <v>0.12</v>
      </c>
      <c r="G18" s="132" t="s">
        <v>275</v>
      </c>
      <c r="I18" s="94"/>
    </row>
    <row r="19" spans="2:9" ht="17" thickTop="1" thickBot="1" x14ac:dyDescent="0.25">
      <c r="B19" s="94"/>
      <c r="C19" s="1" t="s">
        <v>35</v>
      </c>
      <c r="D19" s="69"/>
      <c r="E19" s="102">
        <v>0.12</v>
      </c>
      <c r="F19" s="103">
        <f>IF(D19="",E19,D19)</f>
        <v>0.12</v>
      </c>
      <c r="G19" s="132" t="s">
        <v>275</v>
      </c>
      <c r="I19" s="94"/>
    </row>
    <row r="20" spans="2:9" ht="21" thickTop="1" thickBot="1" x14ac:dyDescent="0.3">
      <c r="B20" s="94"/>
      <c r="C20" s="15" t="s">
        <v>19</v>
      </c>
      <c r="D20" s="1"/>
      <c r="E20" s="1"/>
      <c r="F20" s="1"/>
      <c r="G20" s="1"/>
      <c r="I20" s="94"/>
    </row>
    <row r="21" spans="2:9" ht="17" thickTop="1" thickBot="1" x14ac:dyDescent="0.25">
      <c r="B21" s="94"/>
      <c r="C21" s="1" t="str">
        <f>"Direct Cost of treating CRBSI  (mean/episode)" &amp; "("&amp;c_currency&amp;")"</f>
        <v>Direct Cost of treating CRBSI  (mean/episode)(€)</v>
      </c>
      <c r="D21" s="69"/>
      <c r="E21" s="102">
        <v>715.01</v>
      </c>
      <c r="F21" s="103">
        <f>IF(D21="",E21,D21)</f>
        <v>715.01</v>
      </c>
      <c r="G21" s="132" t="s">
        <v>274</v>
      </c>
      <c r="I21" s="94"/>
    </row>
    <row r="22" spans="2:9" ht="20" thickTop="1" x14ac:dyDescent="0.25">
      <c r="B22" s="94"/>
      <c r="C22" s="15" t="s">
        <v>20</v>
      </c>
      <c r="D22" s="1"/>
      <c r="E22" s="1"/>
      <c r="F22" s="1"/>
      <c r="G22" s="1"/>
      <c r="I22" s="94"/>
    </row>
    <row r="23" spans="2:9" ht="16" thickBot="1" x14ac:dyDescent="0.25">
      <c r="B23" s="94"/>
      <c r="C23" s="17" t="str">
        <f>"Cost per ICU patient per day" &amp; "("&amp;c_currency&amp;")"</f>
        <v>Cost per ICU patient per day(€)</v>
      </c>
      <c r="D23" s="1"/>
      <c r="E23" s="1"/>
      <c r="F23" s="1"/>
      <c r="G23" s="1"/>
      <c r="I23" s="94"/>
    </row>
    <row r="24" spans="2:9" ht="18" thickTop="1" thickBot="1" x14ac:dyDescent="0.25">
      <c r="B24" s="94"/>
      <c r="C24" s="131" t="s">
        <v>48</v>
      </c>
      <c r="D24" s="69"/>
      <c r="E24" s="102">
        <v>1125.4100000000001</v>
      </c>
      <c r="F24" s="103">
        <f>IF(D24="",E24,D24)</f>
        <v>1125.4100000000001</v>
      </c>
      <c r="G24" s="132" t="s">
        <v>273</v>
      </c>
      <c r="I24" s="94"/>
    </row>
    <row r="25" spans="2:9" ht="17" thickTop="1" thickBot="1" x14ac:dyDescent="0.25">
      <c r="B25" s="94"/>
      <c r="C25" s="17" t="s">
        <v>45</v>
      </c>
      <c r="D25" s="1"/>
      <c r="E25" s="1"/>
      <c r="F25" s="1"/>
      <c r="G25" s="1"/>
      <c r="I25" s="94"/>
    </row>
    <row r="26" spans="2:9" ht="18" thickTop="1" thickBot="1" x14ac:dyDescent="0.25">
      <c r="B26" s="94"/>
      <c r="C26" s="131" t="s">
        <v>49</v>
      </c>
      <c r="D26" s="69"/>
      <c r="E26" s="102">
        <v>11.77</v>
      </c>
      <c r="F26" s="103">
        <f>IF(D26="",E26,D26)</f>
        <v>11.77</v>
      </c>
      <c r="G26" s="132" t="s">
        <v>273</v>
      </c>
      <c r="I26" s="94"/>
    </row>
    <row r="27" spans="2:9" ht="21" thickTop="1" thickBot="1" x14ac:dyDescent="0.3">
      <c r="B27" s="94"/>
      <c r="C27" s="15" t="s">
        <v>50</v>
      </c>
      <c r="D27" s="17"/>
      <c r="E27" s="17"/>
      <c r="F27" s="1"/>
      <c r="G27" s="1"/>
      <c r="I27" s="94"/>
    </row>
    <row r="28" spans="2:9" ht="18" thickTop="1" thickBot="1" x14ac:dyDescent="0.25">
      <c r="B28" s="94"/>
      <c r="C28" s="131" t="str">
        <f>"Cost per catheter charge" &amp; "("&amp;c_currency&amp;")"</f>
        <v>Cost per catheter charge(€)</v>
      </c>
      <c r="D28" s="69"/>
      <c r="E28" s="102">
        <v>117.02</v>
      </c>
      <c r="F28" s="133">
        <f>IF(D28="",E28,D28)</f>
        <v>117.02</v>
      </c>
      <c r="G28" s="132" t="s">
        <v>274</v>
      </c>
      <c r="I28" s="94"/>
    </row>
    <row r="29" spans="2:9" ht="20" thickTop="1" x14ac:dyDescent="0.25">
      <c r="B29" s="94"/>
      <c r="C29" s="15" t="str">
        <f>"Adverse Event Cost" &amp; "("&amp;c_currency&amp;")"</f>
        <v>Adverse Event Cost(€)</v>
      </c>
      <c r="D29" s="17"/>
      <c r="E29" s="17"/>
      <c r="F29" s="1"/>
      <c r="G29" s="1"/>
      <c r="I29" s="94"/>
    </row>
    <row r="30" spans="2:9" ht="16" thickBot="1" x14ac:dyDescent="0.25">
      <c r="B30" s="94"/>
      <c r="C30" s="17" t="s">
        <v>51</v>
      </c>
      <c r="D30" s="17"/>
      <c r="E30" s="17"/>
      <c r="F30" s="1"/>
      <c r="G30" s="17"/>
      <c r="I30" s="94"/>
    </row>
    <row r="31" spans="2:9" ht="17" thickTop="1" thickBot="1" x14ac:dyDescent="0.25">
      <c r="B31" s="94"/>
      <c r="C31" s="1" t="s">
        <v>52</v>
      </c>
      <c r="D31" s="69"/>
      <c r="E31" s="102">
        <v>29.11</v>
      </c>
      <c r="F31" s="103">
        <f>IF(D31="",E31,D31)</f>
        <v>29.11</v>
      </c>
      <c r="G31" s="132" t="s">
        <v>274</v>
      </c>
      <c r="I31" s="94"/>
    </row>
    <row r="32" spans="2:9" ht="17" thickTop="1" thickBot="1" x14ac:dyDescent="0.25">
      <c r="B32" s="94"/>
      <c r="C32" s="1" t="s">
        <v>53</v>
      </c>
      <c r="D32" s="69"/>
      <c r="E32" s="102">
        <v>4.8499999999999996</v>
      </c>
      <c r="F32" s="103">
        <f>IF(D32="",E32,D32)</f>
        <v>4.8499999999999996</v>
      </c>
      <c r="G32" s="132" t="s">
        <v>274</v>
      </c>
      <c r="I32" s="94"/>
    </row>
    <row r="33" spans="1:9" ht="17" thickTop="1" thickBot="1" x14ac:dyDescent="0.25">
      <c r="B33" s="94"/>
      <c r="C33" s="1" t="s">
        <v>54</v>
      </c>
      <c r="D33" s="69"/>
      <c r="E33" s="102">
        <v>116.9</v>
      </c>
      <c r="F33" s="103">
        <f>IF(D33="",E33,D33)</f>
        <v>116.9</v>
      </c>
      <c r="G33" s="132" t="s">
        <v>274</v>
      </c>
      <c r="I33" s="94"/>
    </row>
    <row r="34" spans="1:9" ht="18" thickTop="1" thickBot="1" x14ac:dyDescent="0.25">
      <c r="B34" s="94"/>
      <c r="C34" s="131" t="s">
        <v>44</v>
      </c>
      <c r="D34" s="69"/>
      <c r="E34" s="102">
        <v>0.12</v>
      </c>
      <c r="F34" s="103">
        <f>IF(D34="",E34,D34)</f>
        <v>0.12</v>
      </c>
      <c r="G34" s="132" t="s">
        <v>274</v>
      </c>
      <c r="I34" s="94"/>
    </row>
    <row r="35" spans="1:9" ht="20" thickTop="1" x14ac:dyDescent="0.25">
      <c r="B35" s="94"/>
      <c r="C35" s="15"/>
      <c r="D35" s="17"/>
      <c r="E35" s="17"/>
      <c r="F35" s="1"/>
      <c r="G35" s="17"/>
      <c r="I35" s="94"/>
    </row>
    <row r="36" spans="1:9" ht="19" x14ac:dyDescent="0.25">
      <c r="B36" s="94"/>
      <c r="C36" s="15"/>
      <c r="D36" s="17"/>
      <c r="E36" s="17"/>
      <c r="F36" s="1"/>
      <c r="G36" s="1"/>
      <c r="I36" s="94"/>
    </row>
    <row r="37" spans="1:9" x14ac:dyDescent="0.2">
      <c r="B37" s="94"/>
      <c r="C37" s="1"/>
      <c r="D37" s="1"/>
      <c r="E37" s="1"/>
      <c r="F37" s="1"/>
      <c r="G37" s="1"/>
      <c r="I37" s="94"/>
    </row>
    <row r="38" spans="1:9" ht="16" thickBot="1" x14ac:dyDescent="0.25">
      <c r="A38" s="93"/>
      <c r="B38" s="98"/>
      <c r="C38" s="95"/>
      <c r="D38" s="95"/>
      <c r="E38" s="95"/>
      <c r="F38" s="95"/>
      <c r="G38" s="95"/>
      <c r="H38" s="95"/>
      <c r="I38" s="94"/>
    </row>
  </sheetData>
  <phoneticPr fontId="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FBB23-9E14-47B9-B564-2DB335E0ADD5}">
  <sheetPr codeName="Sheet6">
    <tabColor theme="9"/>
  </sheetPr>
  <dimension ref="A1:AK87"/>
  <sheetViews>
    <sheetView showGridLines="0" zoomScaleNormal="100" workbookViewId="0">
      <selection activeCell="Z51" sqref="Z51:Z58"/>
    </sheetView>
  </sheetViews>
  <sheetFormatPr baseColWidth="10" defaultColWidth="8.83203125" defaultRowHeight="15" x14ac:dyDescent="0.2"/>
  <cols>
    <col min="1" max="1" width="11.6640625" customWidth="1"/>
    <col min="2" max="2" width="3.83203125" customWidth="1"/>
    <col min="3" max="3" width="4.5" customWidth="1"/>
    <col min="5" max="5" width="16.1640625" customWidth="1"/>
    <col min="6" max="6" width="11.33203125" customWidth="1"/>
    <col min="7" max="7" width="12" bestFit="1" customWidth="1"/>
    <col min="8" max="8" width="11.83203125" bestFit="1" customWidth="1"/>
    <col min="9" max="9" width="9.6640625" bestFit="1" customWidth="1"/>
    <col min="10" max="10" width="12" bestFit="1" customWidth="1"/>
    <col min="11" max="11" width="15.6640625" customWidth="1"/>
    <col min="12" max="12" width="10.83203125" customWidth="1"/>
    <col min="13" max="13" width="12" bestFit="1" customWidth="1"/>
    <col min="14" max="14" width="11.83203125" bestFit="1" customWidth="1"/>
    <col min="15" max="15" width="9.6640625" bestFit="1" customWidth="1"/>
    <col min="16" max="16" width="12" bestFit="1" customWidth="1"/>
    <col min="17" max="17" width="14.83203125" customWidth="1"/>
    <col min="18" max="18" width="12.1640625" customWidth="1"/>
    <col min="19" max="19" width="12" customWidth="1"/>
    <col min="20" max="20" width="11.83203125" customWidth="1"/>
    <col min="21" max="21" width="9.6640625" customWidth="1"/>
    <col min="22" max="22" width="12" customWidth="1"/>
    <col min="23" max="23" width="15" customWidth="1"/>
    <col min="24" max="24" width="9.6640625" customWidth="1"/>
    <col min="25" max="25" width="12" customWidth="1"/>
    <col min="26" max="26" width="11.83203125" customWidth="1"/>
    <col min="27" max="27" width="9.6640625" customWidth="1"/>
    <col min="28" max="28" width="12" customWidth="1"/>
    <col min="29" max="29" width="15.33203125" customWidth="1"/>
  </cols>
  <sheetData>
    <row r="1" spans="1:37" x14ac:dyDescent="0.2">
      <c r="A1" t="s">
        <v>349</v>
      </c>
    </row>
    <row r="3" spans="1:37" ht="26" x14ac:dyDescent="0.3">
      <c r="J3" s="105" t="s">
        <v>57</v>
      </c>
    </row>
    <row r="4" spans="1:37" ht="16" thickBot="1" x14ac:dyDescent="0.25"/>
    <row r="5" spans="1:37" ht="16" thickBot="1" x14ac:dyDescent="0.25">
      <c r="B5" s="90"/>
      <c r="C5" s="91"/>
      <c r="D5" s="91"/>
      <c r="E5" s="91"/>
      <c r="F5" s="91"/>
      <c r="G5" s="91"/>
      <c r="H5" s="91"/>
      <c r="I5" s="91"/>
      <c r="J5" s="91"/>
      <c r="K5" s="91"/>
      <c r="L5" s="91"/>
      <c r="M5" s="91"/>
      <c r="N5" s="91"/>
      <c r="O5" s="91"/>
      <c r="P5" s="91"/>
      <c r="Q5" s="91"/>
      <c r="R5" s="91"/>
      <c r="S5" s="91"/>
      <c r="T5" s="91"/>
      <c r="U5" s="91"/>
      <c r="V5" s="91"/>
      <c r="W5" s="91"/>
      <c r="X5" s="91"/>
      <c r="Y5" s="91"/>
      <c r="Z5" s="91"/>
      <c r="AA5" s="91"/>
      <c r="AB5" s="91"/>
      <c r="AC5" s="92"/>
      <c r="AD5" s="1"/>
      <c r="AE5" s="1"/>
      <c r="AF5" s="1"/>
      <c r="AG5" s="1"/>
      <c r="AH5" s="1"/>
    </row>
    <row r="6" spans="1:37" x14ac:dyDescent="0.2">
      <c r="B6" s="94"/>
      <c r="AD6" s="94"/>
      <c r="AE6" s="1"/>
      <c r="AF6" s="1"/>
      <c r="AG6" s="1"/>
      <c r="AH6" s="1"/>
    </row>
    <row r="7" spans="1:37" x14ac:dyDescent="0.2">
      <c r="B7" s="94"/>
      <c r="D7" s="1"/>
      <c r="F7" s="17"/>
      <c r="G7" s="17"/>
      <c r="H7" s="17"/>
      <c r="I7" s="17"/>
      <c r="J7" s="17"/>
      <c r="K7" s="17"/>
      <c r="L7" s="17"/>
      <c r="M7" s="17"/>
      <c r="N7" s="17"/>
      <c r="O7" s="17"/>
      <c r="P7" s="17"/>
      <c r="Q7" s="17"/>
      <c r="R7" s="17"/>
      <c r="S7" s="17"/>
      <c r="T7" s="17"/>
      <c r="U7" s="17"/>
      <c r="V7" s="17"/>
      <c r="W7" s="17"/>
      <c r="X7" s="17"/>
      <c r="Y7" s="17"/>
      <c r="Z7" s="17"/>
      <c r="AA7" s="17"/>
      <c r="AB7" s="17"/>
      <c r="AD7" s="94"/>
      <c r="AE7" s="1"/>
      <c r="AF7" s="1"/>
      <c r="AG7" s="1"/>
      <c r="AH7" s="1"/>
      <c r="AI7" s="1"/>
      <c r="AJ7" s="1"/>
      <c r="AK7" s="1"/>
    </row>
    <row r="8" spans="1:37" x14ac:dyDescent="0.2">
      <c r="B8" s="94"/>
      <c r="D8" s="1"/>
      <c r="E8" s="1"/>
      <c r="F8" s="199"/>
      <c r="G8" s="199"/>
      <c r="H8" s="199"/>
      <c r="I8" s="199"/>
      <c r="J8" s="199"/>
      <c r="K8" s="199"/>
      <c r="L8" s="199"/>
      <c r="M8" s="199"/>
      <c r="N8" s="199"/>
      <c r="O8" s="199"/>
      <c r="P8" s="199"/>
      <c r="Q8" s="199"/>
      <c r="R8" s="199"/>
      <c r="S8" s="199"/>
      <c r="T8" s="199"/>
      <c r="U8" s="199"/>
      <c r="V8" s="199"/>
      <c r="W8" s="199"/>
      <c r="X8" s="199"/>
      <c r="Y8" s="199"/>
      <c r="Z8" s="199"/>
      <c r="AA8" s="199"/>
      <c r="AB8" s="199"/>
      <c r="AD8" s="94"/>
      <c r="AE8" s="1"/>
      <c r="AF8" s="1"/>
      <c r="AG8" s="1"/>
      <c r="AH8" s="1"/>
      <c r="AI8" s="1"/>
      <c r="AJ8" s="1"/>
      <c r="AK8" s="1"/>
    </row>
    <row r="9" spans="1:37" x14ac:dyDescent="0.2">
      <c r="B9" s="94"/>
      <c r="D9" s="1"/>
      <c r="E9" s="106"/>
      <c r="F9" s="200" t="s">
        <v>34</v>
      </c>
      <c r="G9" s="200"/>
      <c r="H9" s="200"/>
      <c r="K9" s="106"/>
      <c r="L9" s="196" t="s">
        <v>35</v>
      </c>
      <c r="M9" s="197"/>
      <c r="N9" s="198"/>
      <c r="Q9" s="106"/>
      <c r="R9" s="196" t="s">
        <v>32</v>
      </c>
      <c r="S9" s="197"/>
      <c r="T9" s="198"/>
      <c r="W9" s="106"/>
      <c r="X9" s="196" t="s">
        <v>33</v>
      </c>
      <c r="Y9" s="197"/>
      <c r="Z9" s="198"/>
      <c r="AD9" s="94"/>
      <c r="AE9" s="1"/>
      <c r="AF9" s="1"/>
      <c r="AG9" s="1"/>
      <c r="AH9" s="1"/>
      <c r="AI9" s="1"/>
      <c r="AJ9" s="1"/>
      <c r="AK9" s="1"/>
    </row>
    <row r="10" spans="1:37" ht="16" thickBot="1" x14ac:dyDescent="0.25">
      <c r="B10" s="94"/>
      <c r="D10" s="1"/>
      <c r="E10" s="2"/>
      <c r="F10" s="134" t="s">
        <v>190</v>
      </c>
      <c r="G10" s="134" t="s">
        <v>191</v>
      </c>
      <c r="H10" s="134" t="s">
        <v>192</v>
      </c>
      <c r="K10" s="2"/>
      <c r="L10" s="2" t="s">
        <v>190</v>
      </c>
      <c r="M10" s="2" t="s">
        <v>191</v>
      </c>
      <c r="N10" s="2" t="s">
        <v>192</v>
      </c>
      <c r="Q10" s="2"/>
      <c r="R10" s="2" t="s">
        <v>190</v>
      </c>
      <c r="S10" s="2" t="s">
        <v>191</v>
      </c>
      <c r="T10" s="2" t="s">
        <v>192</v>
      </c>
      <c r="W10" s="2"/>
      <c r="X10" s="2" t="s">
        <v>190</v>
      </c>
      <c r="Y10" s="2" t="s">
        <v>191</v>
      </c>
      <c r="Z10" s="2" t="s">
        <v>192</v>
      </c>
      <c r="AD10" s="94"/>
      <c r="AE10" s="1"/>
      <c r="AF10" s="1"/>
      <c r="AG10" s="1"/>
      <c r="AH10" s="1"/>
      <c r="AI10" s="1"/>
      <c r="AJ10" s="1"/>
      <c r="AK10" s="1"/>
    </row>
    <row r="11" spans="1:37" ht="17" thickTop="1" thickBot="1" x14ac:dyDescent="0.25">
      <c r="B11" s="94"/>
      <c r="D11" s="1"/>
      <c r="E11" s="2" t="s">
        <v>282</v>
      </c>
      <c r="F11" s="69"/>
      <c r="G11" s="102">
        <v>4.141479942744776E-4</v>
      </c>
      <c r="H11" s="103">
        <v>4.14179894198256E-4</v>
      </c>
      <c r="I11" s="132" t="s">
        <v>324</v>
      </c>
      <c r="K11" s="2" t="s">
        <v>282</v>
      </c>
      <c r="L11" s="70"/>
      <c r="M11" s="102">
        <v>1.6530839568988686E-4</v>
      </c>
      <c r="N11" s="103">
        <v>1.6533191737849306E-4</v>
      </c>
      <c r="O11" s="132" t="s">
        <v>324</v>
      </c>
      <c r="Q11" s="2" t="s">
        <v>282</v>
      </c>
      <c r="R11" s="69"/>
      <c r="S11" s="102">
        <v>2.7379060180927575E-4</v>
      </c>
      <c r="T11" s="104">
        <v>2.7383555306571784E-4</v>
      </c>
      <c r="U11" s="132" t="s">
        <v>324</v>
      </c>
      <c r="W11" s="2" t="s">
        <v>282</v>
      </c>
      <c r="X11" s="70"/>
      <c r="Y11" s="102">
        <v>3.3599290300574279E-4</v>
      </c>
      <c r="Z11" s="103">
        <v>3.3611188301699806E-4</v>
      </c>
      <c r="AA11" s="132" t="s">
        <v>324</v>
      </c>
      <c r="AD11" s="94"/>
      <c r="AI11" s="1"/>
      <c r="AJ11" s="1"/>
      <c r="AK11" s="1"/>
    </row>
    <row r="12" spans="1:37" ht="17" thickTop="1" thickBot="1" x14ac:dyDescent="0.25">
      <c r="B12" s="94"/>
      <c r="D12" s="1"/>
      <c r="E12" s="2" t="s">
        <v>281</v>
      </c>
      <c r="F12" s="69"/>
      <c r="G12" s="102">
        <v>5.2184469278558989E-4</v>
      </c>
      <c r="H12" s="103">
        <v>5.218848880929538E-4</v>
      </c>
      <c r="I12" s="132" t="s">
        <v>324</v>
      </c>
      <c r="K12" s="2" t="s">
        <v>281</v>
      </c>
      <c r="L12" s="70"/>
      <c r="M12" s="102">
        <v>2.8856899247609296E-4</v>
      </c>
      <c r="N12" s="103">
        <v>2.8861005288294099E-4</v>
      </c>
      <c r="O12" s="132" t="s">
        <v>324</v>
      </c>
      <c r="Q12" s="2" t="s">
        <v>281</v>
      </c>
      <c r="R12" s="69"/>
      <c r="S12" s="102">
        <v>4.8619130321287193E-4</v>
      </c>
      <c r="T12" s="104">
        <v>4.8627112666117957E-4</v>
      </c>
      <c r="U12" s="132" t="s">
        <v>324</v>
      </c>
      <c r="W12" s="2" t="s">
        <v>281</v>
      </c>
      <c r="X12" s="70"/>
      <c r="Y12" s="102">
        <v>5.4100110483971584E-4</v>
      </c>
      <c r="Z12" s="103">
        <v>5.4119268125983394E-4</v>
      </c>
      <c r="AA12" s="132" t="s">
        <v>324</v>
      </c>
      <c r="AD12" s="94"/>
      <c r="AI12" s="1"/>
      <c r="AJ12" s="1"/>
      <c r="AK12" s="1"/>
    </row>
    <row r="13" spans="1:37" ht="17" thickTop="1" thickBot="1" x14ac:dyDescent="0.25">
      <c r="B13" s="94"/>
      <c r="D13" s="1"/>
      <c r="E13" s="2" t="s">
        <v>290</v>
      </c>
      <c r="F13" s="69"/>
      <c r="G13" s="102">
        <v>1.8251079747682068E-10</v>
      </c>
      <c r="H13" s="103">
        <v>1.8252485544790525E-10</v>
      </c>
      <c r="I13" s="132" t="s">
        <v>324</v>
      </c>
      <c r="K13" s="2" t="s">
        <v>290</v>
      </c>
      <c r="L13" s="70"/>
      <c r="M13" s="102">
        <v>3.14788591792465E-6</v>
      </c>
      <c r="N13" s="103">
        <v>3.1483338297927693E-6</v>
      </c>
      <c r="O13" s="132" t="s">
        <v>324</v>
      </c>
      <c r="Q13" s="2" t="s">
        <v>290</v>
      </c>
      <c r="R13" s="69"/>
      <c r="S13" s="102">
        <v>1.028366006795696E-5</v>
      </c>
      <c r="T13" s="104">
        <v>1.0285348451114832E-5</v>
      </c>
      <c r="U13" s="132" t="s">
        <v>324</v>
      </c>
      <c r="W13" s="2" t="s">
        <v>290</v>
      </c>
      <c r="X13" s="70"/>
      <c r="Y13" s="102">
        <v>1.2648160113148569E-6</v>
      </c>
      <c r="Z13" s="103">
        <v>1.2652639012015653E-6</v>
      </c>
      <c r="AA13" s="132" t="s">
        <v>324</v>
      </c>
      <c r="AD13" s="94"/>
      <c r="AI13" s="1"/>
      <c r="AJ13" s="1"/>
      <c r="AK13" s="1"/>
    </row>
    <row r="14" spans="1:37" ht="17" thickTop="1" thickBot="1" x14ac:dyDescent="0.25">
      <c r="B14" s="94"/>
      <c r="D14" s="1"/>
      <c r="E14" s="2" t="s">
        <v>291</v>
      </c>
      <c r="F14" s="69"/>
      <c r="G14" s="102">
        <v>8.5601308816577137E-5</v>
      </c>
      <c r="H14" s="103">
        <v>8.5607902293460592E-5</v>
      </c>
      <c r="I14" s="132" t="s">
        <v>324</v>
      </c>
      <c r="K14" s="2" t="s">
        <v>291</v>
      </c>
      <c r="L14" s="70"/>
      <c r="M14" s="102">
        <v>5.2311858636064257E-6</v>
      </c>
      <c r="N14" s="103">
        <v>5.2319302076817004E-6</v>
      </c>
      <c r="O14" s="132" t="s">
        <v>324</v>
      </c>
      <c r="Q14" s="2" t="s">
        <v>291</v>
      </c>
      <c r="R14" s="69"/>
      <c r="S14" s="102">
        <v>4.4734560295616998E-6</v>
      </c>
      <c r="T14" s="104">
        <v>4.4741904867265492E-6</v>
      </c>
      <c r="U14" s="132" t="s">
        <v>324</v>
      </c>
      <c r="W14" s="2" t="s">
        <v>291</v>
      </c>
      <c r="X14" s="70"/>
      <c r="Y14" s="102">
        <v>9.2426790826836392E-6</v>
      </c>
      <c r="Z14" s="103">
        <v>9.2459520508072177E-6</v>
      </c>
      <c r="AA14" s="132" t="s">
        <v>324</v>
      </c>
      <c r="AD14" s="94"/>
      <c r="AI14" s="1"/>
      <c r="AJ14" s="1"/>
      <c r="AK14" s="1"/>
    </row>
    <row r="15" spans="1:37" ht="17" thickTop="1" thickBot="1" x14ac:dyDescent="0.25">
      <c r="B15" s="94"/>
      <c r="D15" s="1"/>
      <c r="E15" s="2" t="s">
        <v>292</v>
      </c>
      <c r="F15" s="69"/>
      <c r="G15" s="102">
        <v>1.4231139803257023E-10</v>
      </c>
      <c r="H15" s="103">
        <v>1.4232235962797283E-10</v>
      </c>
      <c r="I15" s="132" t="s">
        <v>324</v>
      </c>
      <c r="K15" s="2" t="s">
        <v>292</v>
      </c>
      <c r="L15" s="70"/>
      <c r="M15" s="102">
        <v>1.0116529736230047E-10</v>
      </c>
      <c r="N15" s="103">
        <v>1.0117969214613694E-10</v>
      </c>
      <c r="O15" s="132" t="s">
        <v>324</v>
      </c>
      <c r="Q15" s="2" t="s">
        <v>292</v>
      </c>
      <c r="R15" s="69"/>
      <c r="S15" s="102">
        <v>1.757536011614231E-10</v>
      </c>
      <c r="T15" s="104">
        <v>1.7578245659014938E-10</v>
      </c>
      <c r="U15" s="132" t="s">
        <v>324</v>
      </c>
      <c r="W15" s="2" t="s">
        <v>292</v>
      </c>
      <c r="X15" s="70"/>
      <c r="Y15" s="102">
        <v>2.5914800231829972E-10</v>
      </c>
      <c r="Z15" s="103">
        <v>2.5923977042398521E-10</v>
      </c>
      <c r="AA15" s="132" t="s">
        <v>324</v>
      </c>
      <c r="AD15" s="94"/>
      <c r="AI15" s="1"/>
      <c r="AJ15" s="1"/>
      <c r="AK15" s="1"/>
    </row>
    <row r="16" spans="1:37" ht="17" thickTop="1" thickBot="1" x14ac:dyDescent="0.25">
      <c r="B16" s="94"/>
      <c r="D16" s="1"/>
      <c r="E16" s="2" t="s">
        <v>293</v>
      </c>
      <c r="F16" s="69"/>
      <c r="G16" s="102">
        <v>0</v>
      </c>
      <c r="H16" s="104">
        <v>0</v>
      </c>
      <c r="I16" s="132" t="s">
        <v>324</v>
      </c>
      <c r="K16" s="2" t="s">
        <v>293</v>
      </c>
      <c r="L16" s="70"/>
      <c r="M16" s="102">
        <v>0</v>
      </c>
      <c r="N16" s="103">
        <v>0</v>
      </c>
      <c r="O16" s="132" t="s">
        <v>324</v>
      </c>
      <c r="Q16" s="2" t="s">
        <v>293</v>
      </c>
      <c r="R16" s="69"/>
      <c r="S16" s="102">
        <v>0</v>
      </c>
      <c r="T16" s="104">
        <v>0</v>
      </c>
      <c r="U16" s="132" t="s">
        <v>324</v>
      </c>
      <c r="W16" s="2" t="s">
        <v>293</v>
      </c>
      <c r="X16" s="70"/>
      <c r="Y16" s="102"/>
      <c r="Z16" s="103">
        <v>0</v>
      </c>
      <c r="AA16" s="132" t="s">
        <v>324</v>
      </c>
      <c r="AD16" s="94"/>
      <c r="AI16" s="1"/>
      <c r="AJ16" s="1"/>
      <c r="AK16" s="1"/>
    </row>
    <row r="17" spans="2:37" ht="17" thickTop="1" thickBot="1" x14ac:dyDescent="0.25">
      <c r="B17" s="94"/>
      <c r="D17" s="1"/>
      <c r="E17" s="2" t="s">
        <v>294</v>
      </c>
      <c r="F17" s="69"/>
      <c r="G17" s="102">
        <v>0.75746638952816181</v>
      </c>
      <c r="H17" s="104">
        <v>0.75752473369600681</v>
      </c>
      <c r="I17" s="132" t="s">
        <v>324</v>
      </c>
      <c r="K17" s="2" t="s">
        <v>294</v>
      </c>
      <c r="L17" s="70"/>
      <c r="M17" s="102">
        <v>0.78448997954586308</v>
      </c>
      <c r="N17" s="103">
        <v>0.78460160442091287</v>
      </c>
      <c r="O17" s="132" t="s">
        <v>324</v>
      </c>
      <c r="Q17" s="2" t="s">
        <v>294</v>
      </c>
      <c r="R17" s="69"/>
      <c r="S17" s="102">
        <v>0.76802750507531492</v>
      </c>
      <c r="T17" s="104">
        <v>0.76815360071595085</v>
      </c>
      <c r="U17" s="132" t="s">
        <v>324</v>
      </c>
      <c r="W17" s="2" t="s">
        <v>294</v>
      </c>
      <c r="X17" s="70"/>
      <c r="Y17" s="102">
        <v>0.76958060688455421</v>
      </c>
      <c r="Z17" s="103">
        <v>0.76985312665640004</v>
      </c>
      <c r="AA17" s="132" t="s">
        <v>324</v>
      </c>
      <c r="AD17" s="94"/>
      <c r="AI17" s="1"/>
      <c r="AJ17" s="1"/>
      <c r="AK17" s="1"/>
    </row>
    <row r="18" spans="2:37" ht="17" thickTop="1" thickBot="1" x14ac:dyDescent="0.25">
      <c r="B18" s="94"/>
      <c r="D18" s="1"/>
      <c r="E18" s="2" t="s">
        <v>295</v>
      </c>
      <c r="F18" s="69"/>
      <c r="G18" s="102">
        <v>0.24143499666220411</v>
      </c>
      <c r="H18" s="104">
        <v>0.24145359329456123</v>
      </c>
      <c r="I18" s="132" t="s">
        <v>324</v>
      </c>
      <c r="K18" s="2" t="s">
        <v>295</v>
      </c>
      <c r="L18" s="70"/>
      <c r="M18" s="102">
        <v>0.21490549439673351</v>
      </c>
      <c r="N18" s="107">
        <v>0.21493607324360856</v>
      </c>
      <c r="O18" s="132" t="s">
        <v>324</v>
      </c>
      <c r="Q18" s="2" t="s">
        <v>295</v>
      </c>
      <c r="R18" s="69"/>
      <c r="S18" s="102">
        <v>0.23103360152672697</v>
      </c>
      <c r="T18" s="104">
        <v>0.23107153288960189</v>
      </c>
      <c r="U18" s="132" t="s">
        <v>324</v>
      </c>
      <c r="W18" s="2" t="s">
        <v>295</v>
      </c>
      <c r="X18" s="70"/>
      <c r="Y18" s="102">
        <v>0.22917790205019159</v>
      </c>
      <c r="Z18" s="103">
        <v>0.22925905730413135</v>
      </c>
      <c r="AA18" s="132" t="s">
        <v>324</v>
      </c>
      <c r="AD18" s="94"/>
      <c r="AI18" s="1"/>
      <c r="AJ18" s="1"/>
      <c r="AK18" s="1"/>
    </row>
    <row r="19" spans="2:37" ht="17" thickTop="1" thickBot="1" x14ac:dyDescent="0.25">
      <c r="B19" s="94"/>
      <c r="D19" s="1"/>
      <c r="E19" s="2" t="s">
        <v>283</v>
      </c>
      <c r="F19" s="69"/>
      <c r="G19" s="102">
        <v>4.27675691443434E-4</v>
      </c>
      <c r="H19" s="103">
        <v>4.2770978054099449E-4</v>
      </c>
      <c r="I19" s="132" t="s">
        <v>324</v>
      </c>
      <c r="J19" s="1"/>
      <c r="K19" s="2" t="s">
        <v>283</v>
      </c>
      <c r="L19" s="70"/>
      <c r="M19" s="102">
        <v>1.8044810552832172E-4</v>
      </c>
      <c r="N19" s="103">
        <v>1.8047611406851239E-4</v>
      </c>
      <c r="O19" s="132" t="s">
        <v>324</v>
      </c>
      <c r="P19" s="1"/>
      <c r="Q19" s="2" t="s">
        <v>283</v>
      </c>
      <c r="R19" s="69"/>
      <c r="S19" s="102">
        <v>3.1153876767780992E-4</v>
      </c>
      <c r="T19" s="104">
        <v>3.1153876774011371E-4</v>
      </c>
      <c r="U19" s="132" t="s">
        <v>324</v>
      </c>
      <c r="V19" s="1"/>
      <c r="W19" s="2" t="s">
        <v>283</v>
      </c>
      <c r="X19" s="70"/>
      <c r="Y19" s="102">
        <v>3.5757380435456421E-4</v>
      </c>
      <c r="Z19" s="103">
        <v>3.5770871534286663E-4</v>
      </c>
      <c r="AA19" s="132" t="s">
        <v>324</v>
      </c>
      <c r="AB19" s="1"/>
      <c r="AD19" s="94"/>
      <c r="AI19" s="1"/>
      <c r="AJ19" s="1"/>
      <c r="AK19" s="1"/>
    </row>
    <row r="20" spans="2:37" ht="17" thickTop="1" thickBot="1" x14ac:dyDescent="0.25">
      <c r="B20" s="94"/>
      <c r="D20" s="1"/>
      <c r="E20" s="2" t="s">
        <v>297</v>
      </c>
      <c r="F20" s="69"/>
      <c r="G20" s="102">
        <v>5.4708118905447188E-4</v>
      </c>
      <c r="H20" s="103">
        <v>5.4712479570409047E-4</v>
      </c>
      <c r="I20" s="132" t="s">
        <v>324</v>
      </c>
      <c r="J20" s="1"/>
      <c r="K20" s="2" t="s">
        <v>297</v>
      </c>
      <c r="L20" s="70"/>
      <c r="M20" s="102">
        <v>3.1480620964460115E-4</v>
      </c>
      <c r="N20" s="103">
        <v>3.1485507279198241E-4</v>
      </c>
      <c r="O20" s="132" t="s">
        <v>324</v>
      </c>
      <c r="P20" s="1"/>
      <c r="Q20" s="2" t="s">
        <v>297</v>
      </c>
      <c r="R20" s="69"/>
      <c r="S20" s="102">
        <v>5.5322239264037412E-4</v>
      </c>
      <c r="T20" s="104">
        <v>5.5322239275101164E-4</v>
      </c>
      <c r="U20" s="132" t="s">
        <v>324</v>
      </c>
      <c r="V20" s="1"/>
      <c r="W20" s="2" t="s">
        <v>297</v>
      </c>
      <c r="X20" s="70"/>
      <c r="Y20" s="102">
        <v>5.7577470701183334E-4</v>
      </c>
      <c r="Z20" s="103">
        <v>5.7599194421941542E-4</v>
      </c>
      <c r="AA20" s="132" t="s">
        <v>324</v>
      </c>
      <c r="AB20" s="1"/>
      <c r="AD20" s="94"/>
      <c r="AI20" s="1"/>
      <c r="AJ20" s="1"/>
      <c r="AK20" s="1"/>
    </row>
    <row r="21" spans="2:37" ht="17" thickTop="1" thickBot="1" x14ac:dyDescent="0.25">
      <c r="B21" s="94"/>
      <c r="D21" s="1"/>
      <c r="E21" s="2" t="s">
        <v>303</v>
      </c>
      <c r="F21" s="69"/>
      <c r="G21" s="102">
        <v>1.8886599622133221E-10</v>
      </c>
      <c r="H21" s="103">
        <v>1.8888105031839655E-10</v>
      </c>
      <c r="I21" s="132" t="s">
        <v>324</v>
      </c>
      <c r="K21" s="2" t="s">
        <v>303</v>
      </c>
      <c r="L21" s="70"/>
      <c r="M21" s="102">
        <v>3.4345411052227627E-6</v>
      </c>
      <c r="N21" s="103">
        <v>3.4350742029923429E-6</v>
      </c>
      <c r="O21" s="132" t="s">
        <v>324</v>
      </c>
      <c r="Q21" s="2" t="s">
        <v>303</v>
      </c>
      <c r="R21" s="69"/>
      <c r="S21" s="102">
        <v>1.1701494796403625E-5</v>
      </c>
      <c r="T21" s="104">
        <v>1.1701494798743775E-5</v>
      </c>
      <c r="U21" s="132" t="s">
        <v>324</v>
      </c>
      <c r="W21" s="2" t="s">
        <v>303</v>
      </c>
      <c r="X21" s="70"/>
      <c r="Y21" s="102">
        <v>1.3469180164028824E-6</v>
      </c>
      <c r="Z21" s="103">
        <v>1.3474262025131128E-6</v>
      </c>
      <c r="AA21" s="132" t="s">
        <v>324</v>
      </c>
      <c r="AD21" s="94"/>
      <c r="AI21" s="1"/>
      <c r="AJ21" s="1"/>
      <c r="AK21" s="1"/>
    </row>
    <row r="22" spans="2:37" ht="17" thickTop="1" thickBot="1" x14ac:dyDescent="0.25">
      <c r="B22" s="94"/>
      <c r="D22" s="1"/>
      <c r="E22" s="2" t="s">
        <v>310</v>
      </c>
      <c r="F22" s="69"/>
      <c r="G22" s="102">
        <v>1.3056129738784228E-4</v>
      </c>
      <c r="H22" s="103">
        <v>1.3057170414439479E-4</v>
      </c>
      <c r="I22" s="132" t="s">
        <v>324</v>
      </c>
      <c r="K22" s="2" t="s">
        <v>310</v>
      </c>
      <c r="L22" s="70"/>
      <c r="M22" s="102">
        <v>5.8879121803857834E-6</v>
      </c>
      <c r="N22" s="103">
        <v>5.888826082055522E-6</v>
      </c>
      <c r="O22" s="132" t="s">
        <v>324</v>
      </c>
      <c r="Q22" s="2" t="s">
        <v>310</v>
      </c>
      <c r="R22" s="69"/>
      <c r="S22" s="102">
        <v>5.0906594815171747E-6</v>
      </c>
      <c r="T22" s="104">
        <v>5.0906594825352422E-6</v>
      </c>
      <c r="U22" s="132" t="s">
        <v>324</v>
      </c>
      <c r="W22" s="2" t="s">
        <v>310</v>
      </c>
      <c r="X22" s="70"/>
      <c r="Y22" s="102">
        <v>9.8389281198193053E-6</v>
      </c>
      <c r="Z22" s="103">
        <v>9.8426403031512951E-6</v>
      </c>
      <c r="AA22" s="132" t="s">
        <v>324</v>
      </c>
      <c r="AD22" s="94"/>
      <c r="AI22" s="1"/>
      <c r="AJ22" s="1"/>
      <c r="AK22" s="1"/>
    </row>
    <row r="23" spans="2:37" ht="17" thickTop="1" thickBot="1" x14ac:dyDescent="0.25">
      <c r="B23" s="94"/>
      <c r="D23" s="1"/>
      <c r="E23" s="2" t="s">
        <v>317</v>
      </c>
      <c r="F23" s="69"/>
      <c r="G23" s="102">
        <v>1.4827059703352992E-10</v>
      </c>
      <c r="H23" s="103">
        <v>1.4828241535977278E-10</v>
      </c>
      <c r="I23" s="132" t="s">
        <v>324</v>
      </c>
      <c r="K23" s="2" t="s">
        <v>317</v>
      </c>
      <c r="L23" s="70"/>
      <c r="M23" s="102">
        <v>1.1037060338138326E-10</v>
      </c>
      <c r="N23" s="103">
        <v>1.1038773473043026E-10</v>
      </c>
      <c r="O23" s="132" t="s">
        <v>324</v>
      </c>
      <c r="Q23" s="2" t="s">
        <v>317</v>
      </c>
      <c r="R23" s="69"/>
      <c r="S23" s="102">
        <v>1.999873398124252E-10</v>
      </c>
      <c r="T23" s="104">
        <v>1.9998733985242014E-10</v>
      </c>
      <c r="U23" s="132" t="s">
        <v>324</v>
      </c>
      <c r="W23" s="2" t="s">
        <v>317</v>
      </c>
      <c r="X23" s="70"/>
      <c r="Y23" s="102">
        <v>2.75914803360114E-10</v>
      </c>
      <c r="Z23" s="103">
        <v>2.7601890477457801E-10</v>
      </c>
      <c r="AA23" s="132" t="s">
        <v>324</v>
      </c>
      <c r="AD23" s="94"/>
      <c r="AI23" s="1"/>
      <c r="AJ23" s="1"/>
      <c r="AK23" s="1"/>
    </row>
    <row r="24" spans="2:37" ht="17" thickTop="1" thickBot="1" x14ac:dyDescent="0.25">
      <c r="B24" s="94"/>
      <c r="D24" s="1"/>
      <c r="E24" s="2" t="s">
        <v>325</v>
      </c>
      <c r="F24" s="69"/>
      <c r="G24" s="102">
        <v>0</v>
      </c>
      <c r="H24" s="104">
        <v>0</v>
      </c>
      <c r="I24" s="132" t="s">
        <v>324</v>
      </c>
      <c r="K24" s="2" t="s">
        <v>325</v>
      </c>
      <c r="L24" s="70"/>
      <c r="M24" s="102">
        <v>0</v>
      </c>
      <c r="N24" s="103">
        <v>0</v>
      </c>
      <c r="O24" s="132" t="s">
        <v>324</v>
      </c>
      <c r="Q24" s="2" t="s">
        <v>325</v>
      </c>
      <c r="R24" s="69"/>
      <c r="S24" s="102">
        <v>0</v>
      </c>
      <c r="T24" s="104">
        <v>0</v>
      </c>
      <c r="U24" s="132" t="s">
        <v>324</v>
      </c>
      <c r="W24" s="2" t="s">
        <v>325</v>
      </c>
      <c r="X24" s="70"/>
      <c r="Y24" s="102"/>
      <c r="Z24" s="103">
        <v>0</v>
      </c>
      <c r="AA24" s="132" t="s">
        <v>324</v>
      </c>
      <c r="AD24" s="94"/>
      <c r="AI24" s="1"/>
      <c r="AJ24" s="1"/>
      <c r="AK24" s="1"/>
    </row>
    <row r="25" spans="2:37" ht="17" thickTop="1" thickBot="1" x14ac:dyDescent="0.25">
      <c r="B25" s="94"/>
      <c r="D25" s="1"/>
      <c r="E25" s="2" t="s">
        <v>332</v>
      </c>
      <c r="F25" s="69"/>
      <c r="G25" s="102">
        <v>0.67785338643809478</v>
      </c>
      <c r="H25" s="104">
        <v>0.67790741665464505</v>
      </c>
      <c r="I25" s="132" t="s">
        <v>324</v>
      </c>
      <c r="K25" s="2" t="s">
        <v>332</v>
      </c>
      <c r="L25" s="70"/>
      <c r="M25" s="102">
        <v>0.72189022211628318</v>
      </c>
      <c r="N25" s="103">
        <v>0.72200227145722906</v>
      </c>
      <c r="O25" s="132" t="s">
        <v>324</v>
      </c>
      <c r="Q25" s="2" t="s">
        <v>332</v>
      </c>
      <c r="R25" s="69"/>
      <c r="S25" s="102">
        <v>0.68481606261044137</v>
      </c>
      <c r="T25" s="104">
        <v>0.68481606274739593</v>
      </c>
      <c r="U25" s="132" t="s">
        <v>324</v>
      </c>
      <c r="W25" s="2" t="s">
        <v>332</v>
      </c>
      <c r="X25" s="70"/>
      <c r="Y25" s="102">
        <v>0.68525080834504282</v>
      </c>
      <c r="Z25" s="103">
        <v>0.68550935039332217</v>
      </c>
      <c r="AA25" s="132" t="s">
        <v>324</v>
      </c>
      <c r="AD25" s="94"/>
      <c r="AI25" s="1"/>
      <c r="AJ25" s="1"/>
      <c r="AK25" s="1"/>
    </row>
    <row r="26" spans="2:37" ht="17" thickTop="1" thickBot="1" x14ac:dyDescent="0.25">
      <c r="B26" s="94"/>
      <c r="D26" s="1"/>
      <c r="E26" s="2" t="s">
        <v>339</v>
      </c>
      <c r="F26" s="69"/>
      <c r="G26" s="102">
        <v>0.32096159357847759</v>
      </c>
      <c r="H26" s="104">
        <v>0.32098717672780208</v>
      </c>
      <c r="I26" s="132" t="s">
        <v>324</v>
      </c>
      <c r="K26" s="2" t="s">
        <v>339</v>
      </c>
      <c r="L26" s="70"/>
      <c r="M26" s="102">
        <v>0.27745000850013307</v>
      </c>
      <c r="N26" s="103">
        <v>0.27749307334523754</v>
      </c>
      <c r="O26" s="132" t="s">
        <v>324</v>
      </c>
      <c r="Q26" s="2" t="s">
        <v>339</v>
      </c>
      <c r="R26" s="69"/>
      <c r="S26" s="102">
        <v>0.31430238367498781</v>
      </c>
      <c r="T26" s="104">
        <v>0.3143023837378443</v>
      </c>
      <c r="U26" s="132" t="s">
        <v>324</v>
      </c>
      <c r="W26" s="2" t="s">
        <v>339</v>
      </c>
      <c r="X26" s="70"/>
      <c r="Y26" s="102">
        <v>0.3134275038169469</v>
      </c>
      <c r="Z26" s="103">
        <v>0.31354575860459116</v>
      </c>
      <c r="AA26" s="132" t="s">
        <v>324</v>
      </c>
      <c r="AD26" s="94"/>
      <c r="AI26" s="1"/>
      <c r="AJ26" s="1"/>
      <c r="AK26" s="1"/>
    </row>
    <row r="27" spans="2:37" ht="17" thickTop="1" thickBot="1" x14ac:dyDescent="0.25">
      <c r="B27" s="94"/>
      <c r="D27" s="1"/>
      <c r="E27" s="2" t="s">
        <v>284</v>
      </c>
      <c r="F27" s="69"/>
      <c r="G27" s="102">
        <v>0</v>
      </c>
      <c r="H27" s="103">
        <f t="shared" ref="H27:H34" si="0">IF(F27="",G27,F27)</f>
        <v>0</v>
      </c>
      <c r="I27" s="132" t="s">
        <v>324</v>
      </c>
      <c r="K27" s="2" t="s">
        <v>284</v>
      </c>
      <c r="L27" s="70"/>
      <c r="M27" s="102">
        <v>1.5704249450717903E-4</v>
      </c>
      <c r="N27" s="103">
        <v>1.5706348861753967E-4</v>
      </c>
      <c r="O27" s="132" t="s">
        <v>324</v>
      </c>
      <c r="Q27" s="2" t="s">
        <v>284</v>
      </c>
      <c r="R27" s="69"/>
      <c r="S27" s="102">
        <v>3.3904812075292073E-4</v>
      </c>
      <c r="T27" s="104">
        <v>3.3911704049671882E-4</v>
      </c>
      <c r="U27" s="132" t="s">
        <v>324</v>
      </c>
      <c r="W27" s="2" t="s">
        <v>284</v>
      </c>
      <c r="X27" s="70"/>
      <c r="Y27" s="102">
        <v>3.1504271612670234E-4</v>
      </c>
      <c r="Z27" s="103">
        <v>3.1514739823364056E-4</v>
      </c>
      <c r="AA27" s="132" t="s">
        <v>324</v>
      </c>
      <c r="AD27" s="94"/>
      <c r="AI27" s="1"/>
      <c r="AJ27" s="1"/>
      <c r="AK27" s="1"/>
    </row>
    <row r="28" spans="2:37" ht="17" thickTop="1" thickBot="1" x14ac:dyDescent="0.25">
      <c r="B28" s="94"/>
      <c r="D28" s="1"/>
      <c r="E28" s="2" t="s">
        <v>296</v>
      </c>
      <c r="F28" s="69"/>
      <c r="G28" s="102">
        <v>0</v>
      </c>
      <c r="H28" s="103">
        <f t="shared" si="0"/>
        <v>0</v>
      </c>
      <c r="I28" s="132" t="s">
        <v>324</v>
      </c>
      <c r="K28" s="2" t="s">
        <v>296</v>
      </c>
      <c r="L28" s="70"/>
      <c r="M28" s="102">
        <v>2.7412519041201808E-4</v>
      </c>
      <c r="N28" s="103">
        <v>2.7416183663645692E-4</v>
      </c>
      <c r="O28" s="132" t="s">
        <v>324</v>
      </c>
      <c r="Q28" s="2" t="s">
        <v>296</v>
      </c>
      <c r="R28" s="69"/>
      <c r="S28" s="102">
        <v>6.0207983685292555E-4</v>
      </c>
      <c r="T28" s="104">
        <v>6.0220222416482031E-4</v>
      </c>
      <c r="U28" s="132" t="s">
        <v>324</v>
      </c>
      <c r="W28" s="2" t="s">
        <v>296</v>
      </c>
      <c r="X28" s="70"/>
      <c r="Y28" s="102">
        <v>5.0728282596726969E-4</v>
      </c>
      <c r="Z28" s="103">
        <v>5.0745138544291382E-4</v>
      </c>
      <c r="AA28" s="132" t="s">
        <v>324</v>
      </c>
      <c r="AD28" s="94"/>
      <c r="AI28" s="1"/>
      <c r="AJ28" s="1"/>
      <c r="AK28" s="1"/>
    </row>
    <row r="29" spans="2:37" ht="17" thickTop="1" thickBot="1" x14ac:dyDescent="0.25">
      <c r="B29" s="94"/>
      <c r="D29" s="1"/>
      <c r="E29" s="2" t="s">
        <v>304</v>
      </c>
      <c r="F29" s="69"/>
      <c r="G29" s="102">
        <v>0</v>
      </c>
      <c r="H29" s="103">
        <f t="shared" si="0"/>
        <v>0</v>
      </c>
      <c r="I29" s="132" t="s">
        <v>324</v>
      </c>
      <c r="K29" s="2" t="s">
        <v>304</v>
      </c>
      <c r="L29" s="70"/>
      <c r="M29" s="102">
        <v>3.1475688899085719E-6</v>
      </c>
      <c r="N29" s="103">
        <v>3.1479896703403257E-6</v>
      </c>
      <c r="O29" s="132" t="s">
        <v>324</v>
      </c>
      <c r="Q29" s="2" t="s">
        <v>304</v>
      </c>
      <c r="R29" s="69"/>
      <c r="S29" s="102">
        <v>1.2739680779787792E-5</v>
      </c>
      <c r="T29" s="104">
        <v>1.2742270428518076E-5</v>
      </c>
      <c r="U29" s="132" t="s">
        <v>324</v>
      </c>
      <c r="W29" s="2" t="s">
        <v>304</v>
      </c>
      <c r="X29" s="70"/>
      <c r="Y29" s="102">
        <v>1.1864590607335804E-6</v>
      </c>
      <c r="Z29" s="103">
        <v>1.1868532962702738E-6</v>
      </c>
      <c r="AA29" s="132" t="s">
        <v>324</v>
      </c>
      <c r="AD29" s="94"/>
      <c r="AI29" s="1"/>
      <c r="AJ29" s="1"/>
      <c r="AK29" s="1"/>
    </row>
    <row r="30" spans="2:37" ht="17" thickTop="1" thickBot="1" x14ac:dyDescent="0.25">
      <c r="B30" s="94"/>
      <c r="D30" s="1"/>
      <c r="E30" s="2" t="s">
        <v>311</v>
      </c>
      <c r="F30" s="69"/>
      <c r="G30" s="102">
        <v>0</v>
      </c>
      <c r="H30" s="103">
        <f t="shared" si="0"/>
        <v>0</v>
      </c>
      <c r="I30" s="132" t="s">
        <v>324</v>
      </c>
      <c r="K30" s="2" t="s">
        <v>311</v>
      </c>
      <c r="L30" s="70"/>
      <c r="M30" s="102">
        <v>4.7532118337485541E-6</v>
      </c>
      <c r="N30" s="103">
        <v>4.7538472633761743E-6</v>
      </c>
      <c r="O30" s="132" t="s">
        <v>324</v>
      </c>
      <c r="Q30" s="2" t="s">
        <v>311</v>
      </c>
      <c r="R30" s="69"/>
      <c r="S30" s="102">
        <v>5.5380933389831864E-6</v>
      </c>
      <c r="T30" s="104">
        <v>5.5392190906116135E-6</v>
      </c>
      <c r="U30" s="132" t="s">
        <v>324</v>
      </c>
      <c r="W30" s="2" t="s">
        <v>311</v>
      </c>
      <c r="X30" s="70"/>
      <c r="Y30" s="102">
        <v>8.6679094437010876E-6</v>
      </c>
      <c r="Z30" s="103">
        <v>8.670789608760836E-6</v>
      </c>
      <c r="AA30" s="132" t="s">
        <v>324</v>
      </c>
      <c r="AD30" s="94"/>
      <c r="AI30" s="1"/>
      <c r="AJ30" s="1"/>
      <c r="AK30" s="1"/>
    </row>
    <row r="31" spans="2:37" ht="17" thickTop="1" thickBot="1" x14ac:dyDescent="0.25">
      <c r="B31" s="94"/>
      <c r="D31" s="1"/>
      <c r="E31" s="2" t="s">
        <v>318</v>
      </c>
      <c r="F31" s="69"/>
      <c r="G31" s="102">
        <v>0</v>
      </c>
      <c r="H31" s="103">
        <f t="shared" si="0"/>
        <v>0</v>
      </c>
      <c r="I31" s="132" t="s">
        <v>324</v>
      </c>
      <c r="K31" s="2" t="s">
        <v>318</v>
      </c>
      <c r="L31" s="70"/>
      <c r="M31" s="102">
        <v>9.5653956654344645E-11</v>
      </c>
      <c r="N31" s="103">
        <v>9.5666744083178709E-11</v>
      </c>
      <c r="O31" s="132" t="s">
        <v>324</v>
      </c>
      <c r="Q31" s="2" t="s">
        <v>318</v>
      </c>
      <c r="R31" s="69"/>
      <c r="S31" s="102">
        <v>2.1763341332120341E-10</v>
      </c>
      <c r="T31" s="104">
        <v>2.1767765258451121E-10</v>
      </c>
      <c r="U31" s="132" t="s">
        <v>324</v>
      </c>
      <c r="W31" s="2" t="s">
        <v>318</v>
      </c>
      <c r="X31" s="70"/>
      <c r="Y31" s="102">
        <v>2.4306101244203532E-10</v>
      </c>
      <c r="Z31" s="103">
        <v>2.4314177653399652E-10</v>
      </c>
      <c r="AA31" s="132" t="s">
        <v>324</v>
      </c>
      <c r="AD31" s="94"/>
      <c r="AI31" s="1"/>
      <c r="AJ31" s="1"/>
      <c r="AK31" s="1"/>
    </row>
    <row r="32" spans="2:37" ht="17" thickTop="1" thickBot="1" x14ac:dyDescent="0.25">
      <c r="B32" s="94"/>
      <c r="D32" s="1"/>
      <c r="E32" s="2" t="s">
        <v>326</v>
      </c>
      <c r="F32" s="69"/>
      <c r="G32" s="102">
        <v>0</v>
      </c>
      <c r="H32" s="103">
        <f t="shared" si="0"/>
        <v>0</v>
      </c>
      <c r="I32" s="132" t="s">
        <v>324</v>
      </c>
      <c r="K32" s="2" t="s">
        <v>326</v>
      </c>
      <c r="L32" s="70"/>
      <c r="M32" s="102">
        <v>0</v>
      </c>
      <c r="N32" s="103">
        <v>0</v>
      </c>
      <c r="O32" s="132" t="s">
        <v>324</v>
      </c>
      <c r="Q32" s="2" t="s">
        <v>326</v>
      </c>
      <c r="R32" s="69"/>
      <c r="S32" s="102">
        <v>0</v>
      </c>
      <c r="T32" s="104">
        <v>0</v>
      </c>
      <c r="U32" s="132" t="s">
        <v>324</v>
      </c>
      <c r="W32" s="2" t="s">
        <v>326</v>
      </c>
      <c r="X32" s="70"/>
      <c r="Y32" s="102"/>
      <c r="Z32" s="103">
        <v>0</v>
      </c>
      <c r="AA32" s="132" t="s">
        <v>324</v>
      </c>
      <c r="AD32" s="94"/>
      <c r="AI32" s="1"/>
      <c r="AJ32" s="1"/>
      <c r="AK32" s="1"/>
    </row>
    <row r="33" spans="2:37" ht="17" thickTop="1" thickBot="1" x14ac:dyDescent="0.25">
      <c r="B33" s="94"/>
      <c r="D33" s="1"/>
      <c r="E33" s="2" t="s">
        <v>333</v>
      </c>
      <c r="F33" s="69"/>
      <c r="G33" s="102">
        <v>1</v>
      </c>
      <c r="H33" s="103">
        <f t="shared" si="0"/>
        <v>1</v>
      </c>
      <c r="I33" s="132" t="s">
        <v>324</v>
      </c>
      <c r="K33" s="2" t="s">
        <v>333</v>
      </c>
      <c r="L33" s="70"/>
      <c r="M33" s="102">
        <v>0.89203676879953853</v>
      </c>
      <c r="N33" s="103">
        <v>0.89215602007880979</v>
      </c>
      <c r="O33" s="132" t="s">
        <v>324</v>
      </c>
      <c r="Q33" s="2" t="s">
        <v>333</v>
      </c>
      <c r="R33" s="69"/>
      <c r="S33" s="102">
        <v>0.79310694854557395</v>
      </c>
      <c r="T33" s="104">
        <v>0.79326816674544742</v>
      </c>
      <c r="U33" s="132" t="s">
        <v>324</v>
      </c>
      <c r="W33" s="2" t="s">
        <v>333</v>
      </c>
      <c r="X33" s="70"/>
      <c r="Y33" s="102">
        <v>0.75170823847914725</v>
      </c>
      <c r="Z33" s="103">
        <v>0.75195801540836582</v>
      </c>
      <c r="AA33" s="132" t="s">
        <v>324</v>
      </c>
      <c r="AD33" s="94"/>
      <c r="AI33" s="1"/>
      <c r="AJ33" s="1"/>
      <c r="AK33" s="1"/>
    </row>
    <row r="34" spans="2:37" ht="17" thickTop="1" thickBot="1" x14ac:dyDescent="0.25">
      <c r="B34" s="94"/>
      <c r="D34" s="1"/>
      <c r="E34" s="2" t="s">
        <v>340</v>
      </c>
      <c r="F34" s="69"/>
      <c r="G34" s="102">
        <v>0</v>
      </c>
      <c r="H34" s="103">
        <f t="shared" si="0"/>
        <v>0</v>
      </c>
      <c r="I34" s="132" t="s">
        <v>324</v>
      </c>
      <c r="K34" s="2" t="s">
        <v>340</v>
      </c>
      <c r="L34" s="70"/>
      <c r="M34" s="102">
        <v>0.10739049624383977</v>
      </c>
      <c r="N34" s="103">
        <v>0.10740485266333567</v>
      </c>
      <c r="O34" s="132" t="s">
        <v>324</v>
      </c>
      <c r="Q34" s="2" t="s">
        <v>340</v>
      </c>
      <c r="R34" s="69"/>
      <c r="S34" s="102">
        <v>0.20573041259262828</v>
      </c>
      <c r="T34" s="104">
        <v>0.20577223228269431</v>
      </c>
      <c r="U34" s="132" t="s">
        <v>324</v>
      </c>
      <c r="W34" s="2" t="s">
        <v>340</v>
      </c>
      <c r="X34" s="70"/>
      <c r="Y34" s="102">
        <v>0.24712741265019003</v>
      </c>
      <c r="Z34" s="103">
        <v>0.24720952792191087</v>
      </c>
      <c r="AA34" s="132" t="s">
        <v>324</v>
      </c>
      <c r="AD34" s="94"/>
      <c r="AI34" s="1"/>
      <c r="AJ34" s="1"/>
      <c r="AK34" s="1"/>
    </row>
    <row r="35" spans="2:37" ht="17" thickTop="1" thickBot="1" x14ac:dyDescent="0.25">
      <c r="B35" s="94"/>
      <c r="D35" s="1"/>
      <c r="E35" s="2" t="s">
        <v>285</v>
      </c>
      <c r="F35" s="69"/>
      <c r="G35" s="102">
        <v>1.0535654403310231E-2</v>
      </c>
      <c r="H35" s="103">
        <v>1.0557738310648544E-2</v>
      </c>
      <c r="I35" s="132" t="s">
        <v>324</v>
      </c>
      <c r="K35" s="2" t="s">
        <v>285</v>
      </c>
      <c r="L35" s="70"/>
      <c r="M35" s="102">
        <v>6.7420714478553633E-4</v>
      </c>
      <c r="N35" s="103">
        <v>6.7434624380095255E-4</v>
      </c>
      <c r="O35" s="132" t="s">
        <v>324</v>
      </c>
      <c r="Q35" s="2" t="s">
        <v>285</v>
      </c>
      <c r="R35" s="69"/>
      <c r="S35" s="102">
        <v>4.853677827515204E-4</v>
      </c>
      <c r="T35" s="104">
        <v>4.8546640461145766E-4</v>
      </c>
      <c r="U35" s="132" t="s">
        <v>324</v>
      </c>
      <c r="W35" s="2" t="s">
        <v>285</v>
      </c>
      <c r="X35" s="70"/>
      <c r="Y35" s="102">
        <v>4.2321480177597275E-4</v>
      </c>
      <c r="Z35" s="103">
        <v>4.2340387366569972E-4</v>
      </c>
      <c r="AA35" s="132" t="s">
        <v>324</v>
      </c>
      <c r="AD35" s="94"/>
      <c r="AI35" s="1"/>
      <c r="AJ35" s="1"/>
      <c r="AK35" s="1"/>
    </row>
    <row r="36" spans="2:37" ht="17" thickTop="1" thickBot="1" x14ac:dyDescent="0.25">
      <c r="B36" s="94"/>
      <c r="D36" s="1"/>
      <c r="E36" s="2" t="s">
        <v>298</v>
      </c>
      <c r="F36" s="69"/>
      <c r="G36" s="102">
        <v>1.9846402648104132E-2</v>
      </c>
      <c r="H36" s="103">
        <v>1.9888002922781124E-2</v>
      </c>
      <c r="I36" s="132" t="s">
        <v>324</v>
      </c>
      <c r="K36" s="2" t="s">
        <v>298</v>
      </c>
      <c r="L36" s="70"/>
      <c r="M36" s="102">
        <v>1.1047256470766431E-3</v>
      </c>
      <c r="N36" s="103">
        <v>1.1049535684966427E-3</v>
      </c>
      <c r="O36" s="132" t="s">
        <v>324</v>
      </c>
      <c r="Q36" s="2" t="s">
        <v>298</v>
      </c>
      <c r="R36" s="69"/>
      <c r="S36" s="102">
        <v>8.6192657407151965E-4</v>
      </c>
      <c r="T36" s="104">
        <v>8.6210170889687294E-4</v>
      </c>
      <c r="U36" s="132" t="s">
        <v>324</v>
      </c>
      <c r="W36" s="2" t="s">
        <v>298</v>
      </c>
      <c r="X36" s="70"/>
      <c r="Y36" s="102">
        <v>6.8148480285977345E-4</v>
      </c>
      <c r="Z36" s="103">
        <v>6.8178925728564941E-4</v>
      </c>
      <c r="AA36" s="132" t="s">
        <v>324</v>
      </c>
      <c r="AD36" s="94"/>
      <c r="AI36" s="1"/>
      <c r="AJ36" s="1"/>
      <c r="AK36" s="1"/>
    </row>
    <row r="37" spans="2:37" ht="17" thickTop="1" thickBot="1" x14ac:dyDescent="0.25">
      <c r="B37" s="94"/>
      <c r="D37" s="1"/>
      <c r="E37" s="2" t="s">
        <v>305</v>
      </c>
      <c r="F37" s="69"/>
      <c r="G37" s="102">
        <v>4.956528236783713E-9</v>
      </c>
      <c r="H37" s="103">
        <v>4.9669176730836042E-9</v>
      </c>
      <c r="I37" s="132" t="s">
        <v>324</v>
      </c>
      <c r="K37" s="2" t="s">
        <v>305</v>
      </c>
      <c r="L37" s="70"/>
      <c r="M37" s="102">
        <v>1.0551468747689691E-5</v>
      </c>
      <c r="N37" s="103">
        <v>1.0553645673468881E-5</v>
      </c>
      <c r="O37" s="132" t="s">
        <v>324</v>
      </c>
      <c r="Q37" s="2" t="s">
        <v>305</v>
      </c>
      <c r="R37" s="69"/>
      <c r="S37" s="102">
        <v>1.8228952885843062E-5</v>
      </c>
      <c r="T37" s="104">
        <v>1.8232656826034806E-5</v>
      </c>
      <c r="U37" s="132" t="s">
        <v>324</v>
      </c>
      <c r="W37" s="2" t="s">
        <v>305</v>
      </c>
      <c r="X37" s="70"/>
      <c r="Y37" s="102">
        <v>1.5945070066911672E-6</v>
      </c>
      <c r="Z37" s="103">
        <v>1.5952193552472028E-6</v>
      </c>
      <c r="AA37" s="132" t="s">
        <v>324</v>
      </c>
      <c r="AD37" s="94"/>
      <c r="AI37" s="1"/>
      <c r="AJ37" s="1"/>
      <c r="AK37" s="1"/>
    </row>
    <row r="38" spans="2:37" ht="17" thickTop="1" thickBot="1" x14ac:dyDescent="0.25">
      <c r="B38" s="94"/>
      <c r="D38" s="1"/>
      <c r="E38" s="2" t="s">
        <v>312</v>
      </c>
      <c r="F38" s="69"/>
      <c r="G38" s="102">
        <v>3.6010161720280681E-2</v>
      </c>
      <c r="H38" s="103">
        <v>3.6085643037740985E-2</v>
      </c>
      <c r="I38" s="132" t="s">
        <v>324</v>
      </c>
      <c r="K38" s="2" t="s">
        <v>312</v>
      </c>
      <c r="L38" s="70"/>
      <c r="M38" s="102">
        <v>8.9659171147693785E-5</v>
      </c>
      <c r="N38" s="103">
        <v>8.9677669175378794E-5</v>
      </c>
      <c r="O38" s="132" t="s">
        <v>324</v>
      </c>
      <c r="Q38" s="2" t="s">
        <v>312</v>
      </c>
      <c r="R38" s="69"/>
      <c r="S38" s="102">
        <v>7.9406390766318854E-6</v>
      </c>
      <c r="T38" s="104">
        <v>7.942252534761282E-6</v>
      </c>
      <c r="U38" s="132" t="s">
        <v>324</v>
      </c>
      <c r="W38" s="2" t="s">
        <v>312</v>
      </c>
      <c r="X38" s="70"/>
      <c r="Y38" s="102">
        <v>1.1649270048884836E-5</v>
      </c>
      <c r="Z38" s="103">
        <v>1.1654474378914977E-5</v>
      </c>
      <c r="AA38" s="132" t="s">
        <v>324</v>
      </c>
      <c r="AD38" s="94"/>
      <c r="AI38" s="1"/>
      <c r="AJ38" s="1"/>
      <c r="AK38" s="1"/>
    </row>
    <row r="39" spans="2:37" ht="17" thickTop="1" thickBot="1" x14ac:dyDescent="0.25">
      <c r="B39" s="94"/>
      <c r="D39" s="1"/>
      <c r="E39" s="2" t="s">
        <v>319</v>
      </c>
      <c r="F39" s="69"/>
      <c r="G39" s="102">
        <v>4.6713822231616919E-9</v>
      </c>
      <c r="H39" s="103">
        <v>4.681173961596632E-9</v>
      </c>
      <c r="I39" s="132" t="s">
        <v>324</v>
      </c>
      <c r="K39" s="2" t="s">
        <v>319</v>
      </c>
      <c r="L39" s="70"/>
      <c r="M39" s="102">
        <v>3.7675651731888534E-10</v>
      </c>
      <c r="N39" s="103">
        <v>3.7683424782206378E-10</v>
      </c>
      <c r="O39" s="132" t="s">
        <v>324</v>
      </c>
      <c r="Q39" s="2" t="s">
        <v>319</v>
      </c>
      <c r="R39" s="69"/>
      <c r="S39" s="102">
        <v>3.1155573941114315E-10</v>
      </c>
      <c r="T39" s="104">
        <v>3.1161904440909887E-10</v>
      </c>
      <c r="U39" s="132" t="s">
        <v>324</v>
      </c>
      <c r="W39" s="2" t="s">
        <v>319</v>
      </c>
      <c r="X39" s="70"/>
      <c r="Y39" s="102">
        <v>3.2661380137059763E-10</v>
      </c>
      <c r="Z39" s="103">
        <v>3.2675971660885703E-10</v>
      </c>
      <c r="AA39" s="132" t="s">
        <v>324</v>
      </c>
      <c r="AD39" s="94"/>
      <c r="AI39" s="1"/>
      <c r="AJ39" s="1"/>
      <c r="AK39" s="1"/>
    </row>
    <row r="40" spans="2:37" ht="17" thickTop="1" thickBot="1" x14ac:dyDescent="0.25">
      <c r="B40" s="94"/>
      <c r="D40" s="1"/>
      <c r="E40" s="2" t="s">
        <v>327</v>
      </c>
      <c r="F40" s="69"/>
      <c r="G40" s="102">
        <v>0</v>
      </c>
      <c r="H40" s="104">
        <v>0</v>
      </c>
      <c r="I40" s="132" t="s">
        <v>324</v>
      </c>
      <c r="K40" s="2" t="s">
        <v>327</v>
      </c>
      <c r="L40" s="70"/>
      <c r="M40" s="102">
        <v>0</v>
      </c>
      <c r="N40" s="103">
        <v>0</v>
      </c>
      <c r="O40" s="132" t="s">
        <v>324</v>
      </c>
      <c r="Q40" s="2" t="s">
        <v>327</v>
      </c>
      <c r="R40" s="69"/>
      <c r="S40" s="102">
        <v>0</v>
      </c>
      <c r="T40" s="104">
        <v>0</v>
      </c>
      <c r="U40" s="132" t="s">
        <v>324</v>
      </c>
      <c r="W40" s="2" t="s">
        <v>327</v>
      </c>
      <c r="X40" s="70"/>
      <c r="Y40" s="102"/>
      <c r="Z40" s="103">
        <v>0</v>
      </c>
      <c r="AA40" s="132" t="s">
        <v>324</v>
      </c>
      <c r="AD40" s="94"/>
      <c r="AI40" s="1"/>
      <c r="AJ40" s="1"/>
      <c r="AK40" s="1"/>
    </row>
    <row r="41" spans="2:37" ht="17" thickTop="1" thickBot="1" x14ac:dyDescent="0.25">
      <c r="B41" s="94"/>
      <c r="D41" s="1"/>
      <c r="E41" s="2" t="s">
        <v>334</v>
      </c>
      <c r="F41" s="69"/>
      <c r="G41" s="102">
        <v>0.63121643015452811</v>
      </c>
      <c r="H41" s="104">
        <v>0.6325395302316883</v>
      </c>
      <c r="I41" s="132" t="s">
        <v>324</v>
      </c>
      <c r="K41" s="2" t="s">
        <v>334</v>
      </c>
      <c r="L41" s="70"/>
      <c r="M41" s="102">
        <v>0.78335598576113408</v>
      </c>
      <c r="N41" s="103">
        <v>0.7835176038145506</v>
      </c>
      <c r="O41" s="132" t="s">
        <v>324</v>
      </c>
      <c r="Q41" s="2" t="s">
        <v>334</v>
      </c>
      <c r="R41" s="69"/>
      <c r="S41" s="102">
        <v>0.79277824065772684</v>
      </c>
      <c r="T41" s="104">
        <v>0.79293932523604027</v>
      </c>
      <c r="U41" s="132" t="s">
        <v>324</v>
      </c>
      <c r="W41" s="2" t="s">
        <v>334</v>
      </c>
      <c r="X41" s="70"/>
      <c r="Y41" s="102">
        <v>0.65839670276288675</v>
      </c>
      <c r="Z41" s="103">
        <v>0.6586908425431095</v>
      </c>
      <c r="AA41" s="132" t="s">
        <v>324</v>
      </c>
      <c r="AD41" s="94"/>
      <c r="AI41" s="1"/>
      <c r="AJ41" s="1"/>
      <c r="AK41" s="1"/>
    </row>
    <row r="42" spans="2:37" ht="17" thickTop="1" thickBot="1" x14ac:dyDescent="0.25">
      <c r="B42" s="94"/>
      <c r="D42" s="1"/>
      <c r="E42" s="2" t="s">
        <v>341</v>
      </c>
      <c r="F42" s="69"/>
      <c r="G42" s="102">
        <v>0.30029961434594021</v>
      </c>
      <c r="H42" s="104">
        <v>0.30092907584904943</v>
      </c>
      <c r="I42" s="132" t="s">
        <v>324</v>
      </c>
      <c r="K42" s="2" t="s">
        <v>341</v>
      </c>
      <c r="L42" s="70"/>
      <c r="M42" s="102">
        <v>0.21455859803439067</v>
      </c>
      <c r="N42" s="103">
        <v>0.21460286468146864</v>
      </c>
      <c r="O42" s="132" t="s">
        <v>324</v>
      </c>
      <c r="Q42" s="2" t="s">
        <v>341</v>
      </c>
      <c r="R42" s="69"/>
      <c r="S42" s="102">
        <v>0.20564514640058035</v>
      </c>
      <c r="T42" s="104">
        <v>0.20568693142947148</v>
      </c>
      <c r="U42" s="132" t="s">
        <v>324</v>
      </c>
      <c r="W42" s="2" t="s">
        <v>341</v>
      </c>
      <c r="X42" s="70"/>
      <c r="Y42" s="102">
        <v>0.3400388014269341</v>
      </c>
      <c r="Z42" s="103">
        <v>0.34019071430544517</v>
      </c>
      <c r="AA42" s="132" t="s">
        <v>324</v>
      </c>
      <c r="AD42" s="94"/>
      <c r="AI42" s="1"/>
      <c r="AJ42" s="1"/>
      <c r="AK42" s="1"/>
    </row>
    <row r="43" spans="2:37" ht="17" thickTop="1" thickBot="1" x14ac:dyDescent="0.25">
      <c r="B43" s="94"/>
      <c r="D43" s="1"/>
      <c r="E43" s="2" t="s">
        <v>286</v>
      </c>
      <c r="F43" s="69"/>
      <c r="G43" s="102"/>
      <c r="H43" s="103">
        <f t="shared" ref="H43:H72" si="1">IF(F43="",G43,F43)</f>
        <v>0</v>
      </c>
      <c r="I43" s="132" t="s">
        <v>324</v>
      </c>
      <c r="K43" s="2" t="s">
        <v>286</v>
      </c>
      <c r="L43" s="70"/>
      <c r="M43" s="102">
        <v>0</v>
      </c>
      <c r="N43" s="103">
        <f t="shared" ref="N43:N74" si="2">IF(L43="",M43,L43)</f>
        <v>0</v>
      </c>
      <c r="O43" s="132" t="s">
        <v>324</v>
      </c>
      <c r="Q43" s="2" t="s">
        <v>286</v>
      </c>
      <c r="R43" s="69"/>
      <c r="S43" s="102">
        <v>0</v>
      </c>
      <c r="T43" s="104">
        <f t="shared" ref="T43:T74" si="3">IF(R43="",S43,R43)</f>
        <v>0</v>
      </c>
      <c r="U43" s="132" t="s">
        <v>324</v>
      </c>
      <c r="W43" s="2" t="s">
        <v>286</v>
      </c>
      <c r="X43" s="70"/>
      <c r="Y43" s="102">
        <v>0</v>
      </c>
      <c r="Z43" s="103">
        <f t="shared" ref="Z43:Z74" si="4">IF(X43="",Y43,X43)</f>
        <v>0</v>
      </c>
      <c r="AA43" s="132" t="s">
        <v>324</v>
      </c>
      <c r="AD43" s="94"/>
      <c r="AI43" s="1"/>
      <c r="AJ43" s="1"/>
      <c r="AK43" s="1"/>
    </row>
    <row r="44" spans="2:37" ht="17" thickTop="1" thickBot="1" x14ac:dyDescent="0.25">
      <c r="B44" s="94"/>
      <c r="D44" s="1"/>
      <c r="E44" s="2" t="s">
        <v>299</v>
      </c>
      <c r="F44" s="69"/>
      <c r="G44" s="102">
        <v>0</v>
      </c>
      <c r="H44" s="103">
        <f t="shared" si="1"/>
        <v>0</v>
      </c>
      <c r="I44" s="132" t="s">
        <v>324</v>
      </c>
      <c r="K44" s="2" t="s">
        <v>299</v>
      </c>
      <c r="L44" s="70"/>
      <c r="M44" s="102">
        <v>0</v>
      </c>
      <c r="N44" s="103">
        <f t="shared" si="2"/>
        <v>0</v>
      </c>
      <c r="O44" s="132" t="s">
        <v>324</v>
      </c>
      <c r="Q44" s="2" t="s">
        <v>299</v>
      </c>
      <c r="R44" s="69"/>
      <c r="S44" s="102">
        <v>0</v>
      </c>
      <c r="T44" s="104">
        <f t="shared" si="3"/>
        <v>0</v>
      </c>
      <c r="U44" s="132" t="s">
        <v>324</v>
      </c>
      <c r="W44" s="2" t="s">
        <v>299</v>
      </c>
      <c r="X44" s="70"/>
      <c r="Y44" s="102">
        <v>0</v>
      </c>
      <c r="Z44" s="103">
        <f t="shared" si="4"/>
        <v>0</v>
      </c>
      <c r="AA44" s="132" t="s">
        <v>324</v>
      </c>
      <c r="AD44" s="94"/>
      <c r="AI44" s="1"/>
      <c r="AJ44" s="1"/>
      <c r="AK44" s="1"/>
    </row>
    <row r="45" spans="2:37" ht="17" thickTop="1" thickBot="1" x14ac:dyDescent="0.25">
      <c r="B45" s="94"/>
      <c r="D45" s="1"/>
      <c r="E45" s="2" t="s">
        <v>306</v>
      </c>
      <c r="F45" s="69"/>
      <c r="G45" s="102">
        <v>0</v>
      </c>
      <c r="H45" s="103">
        <f t="shared" si="1"/>
        <v>0</v>
      </c>
      <c r="I45" s="132" t="s">
        <v>324</v>
      </c>
      <c r="K45" s="2" t="s">
        <v>306</v>
      </c>
      <c r="L45" s="70"/>
      <c r="M45" s="102">
        <v>0</v>
      </c>
      <c r="N45" s="103">
        <f t="shared" si="2"/>
        <v>0</v>
      </c>
      <c r="O45" s="132" t="s">
        <v>324</v>
      </c>
      <c r="Q45" s="2" t="s">
        <v>306</v>
      </c>
      <c r="R45" s="69"/>
      <c r="S45" s="102">
        <v>0</v>
      </c>
      <c r="T45" s="104">
        <f t="shared" si="3"/>
        <v>0</v>
      </c>
      <c r="U45" s="132" t="s">
        <v>324</v>
      </c>
      <c r="W45" s="2" t="s">
        <v>306</v>
      </c>
      <c r="X45" s="70"/>
      <c r="Y45" s="102">
        <v>0</v>
      </c>
      <c r="Z45" s="103">
        <f t="shared" si="4"/>
        <v>0</v>
      </c>
      <c r="AA45" s="132" t="s">
        <v>324</v>
      </c>
      <c r="AD45" s="94"/>
      <c r="AI45" s="1"/>
      <c r="AJ45" s="1"/>
      <c r="AK45" s="1"/>
    </row>
    <row r="46" spans="2:37" ht="17" thickTop="1" thickBot="1" x14ac:dyDescent="0.25">
      <c r="B46" s="94"/>
      <c r="D46" s="1"/>
      <c r="E46" s="2" t="s">
        <v>313</v>
      </c>
      <c r="F46" s="69"/>
      <c r="G46" s="102">
        <v>0</v>
      </c>
      <c r="H46" s="103">
        <f t="shared" si="1"/>
        <v>0</v>
      </c>
      <c r="I46" s="132" t="s">
        <v>324</v>
      </c>
      <c r="K46" s="2" t="s">
        <v>313</v>
      </c>
      <c r="L46" s="70"/>
      <c r="M46" s="102">
        <v>0</v>
      </c>
      <c r="N46" s="103">
        <f t="shared" si="2"/>
        <v>0</v>
      </c>
      <c r="O46" s="132" t="s">
        <v>324</v>
      </c>
      <c r="Q46" s="2" t="s">
        <v>313</v>
      </c>
      <c r="R46" s="69"/>
      <c r="S46" s="102">
        <v>0</v>
      </c>
      <c r="T46" s="104">
        <f t="shared" si="3"/>
        <v>0</v>
      </c>
      <c r="U46" s="132" t="s">
        <v>324</v>
      </c>
      <c r="W46" s="2" t="s">
        <v>313</v>
      </c>
      <c r="X46" s="70"/>
      <c r="Y46" s="102">
        <v>0</v>
      </c>
      <c r="Z46" s="103">
        <f t="shared" si="4"/>
        <v>0</v>
      </c>
      <c r="AA46" s="132" t="s">
        <v>324</v>
      </c>
      <c r="AD46" s="94"/>
      <c r="AI46" s="1"/>
      <c r="AJ46" s="1"/>
      <c r="AK46" s="1"/>
    </row>
    <row r="47" spans="2:37" ht="17" thickTop="1" thickBot="1" x14ac:dyDescent="0.25">
      <c r="B47" s="94"/>
      <c r="D47" s="1"/>
      <c r="E47" s="2" t="s">
        <v>320</v>
      </c>
      <c r="F47" s="69"/>
      <c r="G47" s="102">
        <v>0</v>
      </c>
      <c r="H47" s="103">
        <f t="shared" si="1"/>
        <v>0</v>
      </c>
      <c r="I47" s="132" t="s">
        <v>324</v>
      </c>
      <c r="K47" s="2" t="s">
        <v>320</v>
      </c>
      <c r="L47" s="70"/>
      <c r="M47" s="102">
        <v>0</v>
      </c>
      <c r="N47" s="103">
        <f t="shared" si="2"/>
        <v>0</v>
      </c>
      <c r="O47" s="132" t="s">
        <v>324</v>
      </c>
      <c r="Q47" s="2" t="s">
        <v>320</v>
      </c>
      <c r="R47" s="69"/>
      <c r="S47" s="102">
        <v>0</v>
      </c>
      <c r="T47" s="104">
        <f t="shared" si="3"/>
        <v>0</v>
      </c>
      <c r="U47" s="132" t="s">
        <v>324</v>
      </c>
      <c r="W47" s="2" t="s">
        <v>320</v>
      </c>
      <c r="X47" s="70"/>
      <c r="Y47" s="102">
        <v>0</v>
      </c>
      <c r="Z47" s="103">
        <f t="shared" si="4"/>
        <v>0</v>
      </c>
      <c r="AA47" s="132" t="s">
        <v>324</v>
      </c>
      <c r="AD47" s="94"/>
      <c r="AI47" s="1"/>
      <c r="AJ47" s="1"/>
      <c r="AK47" s="1"/>
    </row>
    <row r="48" spans="2:37" ht="17" thickTop="1" thickBot="1" x14ac:dyDescent="0.25">
      <c r="B48" s="94"/>
      <c r="D48" s="1"/>
      <c r="E48" s="2" t="s">
        <v>328</v>
      </c>
      <c r="F48" s="69"/>
      <c r="G48" s="102">
        <v>1</v>
      </c>
      <c r="H48" s="103">
        <f t="shared" si="1"/>
        <v>1</v>
      </c>
      <c r="I48" s="132" t="s">
        <v>324</v>
      </c>
      <c r="K48" s="2" t="s">
        <v>328</v>
      </c>
      <c r="L48" s="70"/>
      <c r="M48" s="102">
        <v>1</v>
      </c>
      <c r="N48" s="103">
        <f t="shared" si="2"/>
        <v>1</v>
      </c>
      <c r="O48" s="132" t="s">
        <v>324</v>
      </c>
      <c r="Q48" s="2" t="s">
        <v>328</v>
      </c>
      <c r="R48" s="69"/>
      <c r="S48" s="102">
        <v>1</v>
      </c>
      <c r="T48" s="104">
        <f t="shared" si="3"/>
        <v>1</v>
      </c>
      <c r="U48" s="132" t="s">
        <v>324</v>
      </c>
      <c r="W48" s="2" t="s">
        <v>328</v>
      </c>
      <c r="X48" s="70"/>
      <c r="Y48" s="102">
        <v>1</v>
      </c>
      <c r="Z48" s="103">
        <f t="shared" si="4"/>
        <v>1</v>
      </c>
      <c r="AA48" s="132" t="s">
        <v>324</v>
      </c>
      <c r="AD48" s="94"/>
      <c r="AI48" s="1"/>
      <c r="AJ48" s="1"/>
      <c r="AK48" s="1"/>
    </row>
    <row r="49" spans="2:37" ht="17" thickTop="1" thickBot="1" x14ac:dyDescent="0.25">
      <c r="B49" s="94"/>
      <c r="D49" s="1"/>
      <c r="E49" s="2" t="s">
        <v>335</v>
      </c>
      <c r="F49" s="69"/>
      <c r="G49" s="102">
        <v>0</v>
      </c>
      <c r="H49" s="103">
        <f t="shared" si="1"/>
        <v>0</v>
      </c>
      <c r="I49" s="132" t="s">
        <v>324</v>
      </c>
      <c r="K49" s="2" t="s">
        <v>335</v>
      </c>
      <c r="L49" s="70"/>
      <c r="M49" s="102">
        <v>0</v>
      </c>
      <c r="N49" s="103">
        <f t="shared" si="2"/>
        <v>0</v>
      </c>
      <c r="O49" s="132" t="s">
        <v>324</v>
      </c>
      <c r="Q49" s="2" t="s">
        <v>335</v>
      </c>
      <c r="R49" s="69"/>
      <c r="S49" s="102">
        <v>0</v>
      </c>
      <c r="T49" s="104">
        <f t="shared" si="3"/>
        <v>0</v>
      </c>
      <c r="U49" s="132" t="s">
        <v>324</v>
      </c>
      <c r="W49" s="2" t="s">
        <v>335</v>
      </c>
      <c r="X49" s="70"/>
      <c r="Y49" s="102">
        <v>0</v>
      </c>
      <c r="Z49" s="103">
        <f t="shared" si="4"/>
        <v>0</v>
      </c>
      <c r="AA49" s="132" t="s">
        <v>324</v>
      </c>
      <c r="AD49" s="94"/>
      <c r="AI49" s="1"/>
      <c r="AJ49" s="1"/>
      <c r="AK49" s="1"/>
    </row>
    <row r="50" spans="2:37" ht="17" thickTop="1" thickBot="1" x14ac:dyDescent="0.25">
      <c r="B50" s="94"/>
      <c r="D50" s="1"/>
      <c r="E50" s="2" t="s">
        <v>342</v>
      </c>
      <c r="F50" s="69"/>
      <c r="G50" s="102">
        <v>0</v>
      </c>
      <c r="H50" s="103">
        <f t="shared" si="1"/>
        <v>0</v>
      </c>
      <c r="I50" s="132" t="s">
        <v>324</v>
      </c>
      <c r="K50" s="2" t="s">
        <v>342</v>
      </c>
      <c r="L50" s="70"/>
      <c r="M50" s="102">
        <v>0</v>
      </c>
      <c r="N50" s="103">
        <f t="shared" si="2"/>
        <v>0</v>
      </c>
      <c r="O50" s="132" t="s">
        <v>324</v>
      </c>
      <c r="Q50" s="2" t="s">
        <v>342</v>
      </c>
      <c r="R50" s="69"/>
      <c r="S50" s="102">
        <v>0</v>
      </c>
      <c r="T50" s="104">
        <f t="shared" si="3"/>
        <v>0</v>
      </c>
      <c r="U50" s="132" t="s">
        <v>324</v>
      </c>
      <c r="W50" s="2" t="s">
        <v>342</v>
      </c>
      <c r="X50" s="70"/>
      <c r="Y50" s="102">
        <v>0</v>
      </c>
      <c r="Z50" s="103">
        <f t="shared" si="4"/>
        <v>0</v>
      </c>
      <c r="AA50" s="132" t="s">
        <v>324</v>
      </c>
      <c r="AD50" s="94"/>
      <c r="AI50" s="1"/>
      <c r="AJ50" s="1"/>
      <c r="AK50" s="1"/>
    </row>
    <row r="51" spans="2:37" ht="17" thickTop="1" thickBot="1" x14ac:dyDescent="0.25">
      <c r="B51" s="94"/>
      <c r="D51" s="1"/>
      <c r="E51" s="2" t="s">
        <v>287</v>
      </c>
      <c r="F51" s="69"/>
      <c r="G51" s="102">
        <v>3.0704897244826967E-4</v>
      </c>
      <c r="H51" s="103">
        <v>3.0704897248064482E-4</v>
      </c>
      <c r="I51" s="132" t="s">
        <v>324</v>
      </c>
      <c r="K51" s="2" t="s">
        <v>287</v>
      </c>
      <c r="L51" s="70"/>
      <c r="M51" s="102">
        <v>2.3378119383526827E-4</v>
      </c>
      <c r="N51" s="103">
        <v>2.3378119386908817E-4</v>
      </c>
      <c r="O51" s="132" t="s">
        <v>324</v>
      </c>
      <c r="Q51" s="2" t="s">
        <v>287</v>
      </c>
      <c r="R51" s="69"/>
      <c r="S51" s="102">
        <v>3.192885327659598E-4</v>
      </c>
      <c r="T51" s="104">
        <v>3.1929019942910909E-4</v>
      </c>
      <c r="U51" s="132" t="s">
        <v>324</v>
      </c>
      <c r="W51" s="2" t="s">
        <v>287</v>
      </c>
      <c r="X51" s="70"/>
      <c r="Y51" s="102">
        <v>4.8217991119768843E-4</v>
      </c>
      <c r="Z51" s="103">
        <v>4.8217991137751708E-4</v>
      </c>
      <c r="AA51" s="132" t="s">
        <v>324</v>
      </c>
      <c r="AD51" s="94"/>
      <c r="AI51" s="1"/>
      <c r="AJ51" s="1"/>
      <c r="AK51" s="1"/>
    </row>
    <row r="52" spans="2:37" ht="17" thickTop="1" thickBot="1" x14ac:dyDescent="0.25">
      <c r="B52" s="94"/>
      <c r="D52" s="1"/>
      <c r="E52" s="2" t="s">
        <v>300</v>
      </c>
      <c r="F52" s="69"/>
      <c r="G52" s="102">
        <v>3.864528653232999E-4</v>
      </c>
      <c r="H52" s="103">
        <v>3.8645286536404737E-4</v>
      </c>
      <c r="I52" s="132" t="s">
        <v>324</v>
      </c>
      <c r="K52" s="2" t="s">
        <v>300</v>
      </c>
      <c r="L52" s="70"/>
      <c r="M52" s="102">
        <v>4.0864068922428197E-4</v>
      </c>
      <c r="N52" s="103">
        <v>4.0864068928339787E-4</v>
      </c>
      <c r="O52" s="132" t="s">
        <v>324</v>
      </c>
      <c r="Q52" s="2" t="s">
        <v>300</v>
      </c>
      <c r="R52" s="69"/>
      <c r="S52" s="102">
        <v>5.6697323942676413E-4</v>
      </c>
      <c r="T52" s="104">
        <v>5.669761989862466E-4</v>
      </c>
      <c r="U52" s="132" t="s">
        <v>324</v>
      </c>
      <c r="W52" s="2" t="s">
        <v>300</v>
      </c>
      <c r="X52" s="70"/>
      <c r="Y52" s="102">
        <v>7.7659951803500985E-4</v>
      </c>
      <c r="Z52" s="103">
        <v>7.765995183246421E-4</v>
      </c>
      <c r="AA52" s="132" t="s">
        <v>324</v>
      </c>
      <c r="AD52" s="94"/>
      <c r="AI52" s="1"/>
      <c r="AJ52" s="1"/>
      <c r="AK52" s="1"/>
    </row>
    <row r="53" spans="2:37" ht="17" thickTop="1" thickBot="1" x14ac:dyDescent="0.25">
      <c r="B53" s="94"/>
      <c r="D53" s="1"/>
      <c r="E53" s="2" t="s">
        <v>307</v>
      </c>
      <c r="F53" s="69"/>
      <c r="G53" s="102">
        <v>1.3529648785974654E-10</v>
      </c>
      <c r="H53" s="103">
        <v>1.3529648787401215E-10</v>
      </c>
      <c r="I53" s="132" t="s">
        <v>324</v>
      </c>
      <c r="K53" s="2" t="s">
        <v>307</v>
      </c>
      <c r="L53" s="70"/>
      <c r="M53" s="102">
        <v>4.6210458781445691E-6</v>
      </c>
      <c r="N53" s="103">
        <v>4.6210458788130721E-6</v>
      </c>
      <c r="O53" s="132" t="s">
        <v>324</v>
      </c>
      <c r="Q53" s="2" t="s">
        <v>307</v>
      </c>
      <c r="R53" s="69"/>
      <c r="S53" s="102">
        <v>1.199259737806239E-5</v>
      </c>
      <c r="T53" s="104">
        <v>1.1992659978557124E-5</v>
      </c>
      <c r="U53" s="132" t="s">
        <v>324</v>
      </c>
      <c r="W53" s="2" t="s">
        <v>307</v>
      </c>
      <c r="X53" s="70"/>
      <c r="Y53" s="102">
        <v>1.8225640423254969E-6</v>
      </c>
      <c r="Z53" s="103">
        <v>1.8225640430052209E-6</v>
      </c>
      <c r="AA53" s="132" t="s">
        <v>324</v>
      </c>
      <c r="AD53" s="94"/>
      <c r="AI53" s="1"/>
      <c r="AJ53" s="1"/>
      <c r="AK53" s="1"/>
    </row>
    <row r="54" spans="2:37" ht="17" thickTop="1" thickBot="1" x14ac:dyDescent="0.25">
      <c r="B54" s="94"/>
      <c r="D54" s="1"/>
      <c r="E54" s="2" t="s">
        <v>314</v>
      </c>
      <c r="F54" s="69"/>
      <c r="G54" s="102">
        <v>6.119250450915153E-5</v>
      </c>
      <c r="H54" s="103">
        <v>6.1192504515603644E-5</v>
      </c>
      <c r="I54" s="132" t="s">
        <v>324</v>
      </c>
      <c r="K54" s="2" t="s">
        <v>314</v>
      </c>
      <c r="L54" s="70"/>
      <c r="M54" s="102">
        <v>6.7708788214541943E-6</v>
      </c>
      <c r="N54" s="103">
        <v>6.7708788224337023E-6</v>
      </c>
      <c r="O54" s="132" t="s">
        <v>324</v>
      </c>
      <c r="Q54" s="2" t="s">
        <v>314</v>
      </c>
      <c r="R54" s="69"/>
      <c r="S54" s="102">
        <v>5.2199007431607707E-6</v>
      </c>
      <c r="T54" s="104">
        <v>5.2199279906667681E-6</v>
      </c>
      <c r="U54" s="132" t="s">
        <v>324</v>
      </c>
      <c r="W54" s="2" t="s">
        <v>314</v>
      </c>
      <c r="X54" s="70"/>
      <c r="Y54" s="102">
        <v>1.3285540308530775E-5</v>
      </c>
      <c r="Z54" s="103">
        <v>1.3285540313485608E-5</v>
      </c>
      <c r="AA54" s="132" t="s">
        <v>324</v>
      </c>
      <c r="AD54" s="94"/>
      <c r="AI54" s="1"/>
      <c r="AJ54" s="1"/>
      <c r="AK54" s="1"/>
    </row>
    <row r="55" spans="2:37" ht="17" thickTop="1" thickBot="1" x14ac:dyDescent="0.25">
      <c r="B55" s="94"/>
      <c r="D55" s="1"/>
      <c r="E55" s="2" t="s">
        <v>321</v>
      </c>
      <c r="F55" s="69"/>
      <c r="G55" s="102">
        <v>0</v>
      </c>
      <c r="H55" s="103">
        <v>0</v>
      </c>
      <c r="I55" s="132" t="s">
        <v>324</v>
      </c>
      <c r="K55" s="2" t="s">
        <v>321</v>
      </c>
      <c r="L55" s="70"/>
      <c r="M55" s="102">
        <v>0</v>
      </c>
      <c r="N55" s="103">
        <v>0</v>
      </c>
      <c r="O55" s="132" t="s">
        <v>324</v>
      </c>
      <c r="Q55" s="2" t="s">
        <v>321</v>
      </c>
      <c r="R55" s="69"/>
      <c r="S55" s="102">
        <v>0</v>
      </c>
      <c r="T55" s="104">
        <v>0</v>
      </c>
      <c r="U55" s="132" t="s">
        <v>324</v>
      </c>
      <c r="W55" s="2" t="s">
        <v>321</v>
      </c>
      <c r="X55" s="70"/>
      <c r="Y55" s="102">
        <v>0</v>
      </c>
      <c r="Z55" s="103">
        <v>0</v>
      </c>
      <c r="AA55" s="132" t="s">
        <v>324</v>
      </c>
      <c r="AD55" s="94"/>
      <c r="AI55" s="1"/>
      <c r="AJ55" s="1"/>
      <c r="AK55" s="1"/>
    </row>
    <row r="56" spans="2:37" ht="17" thickTop="1" thickBot="1" x14ac:dyDescent="0.25">
      <c r="B56" s="94"/>
      <c r="D56" s="1"/>
      <c r="E56" s="2" t="s">
        <v>329</v>
      </c>
      <c r="F56" s="69"/>
      <c r="G56" s="102">
        <v>5.70950748768169E-5</v>
      </c>
      <c r="H56" s="104">
        <v>5.7095074882836986E-5</v>
      </c>
      <c r="I56" s="132" t="s">
        <v>324</v>
      </c>
      <c r="K56" s="2" t="s">
        <v>329</v>
      </c>
      <c r="L56" s="70"/>
      <c r="M56" s="102">
        <v>2.0621239456224827E-4</v>
      </c>
      <c r="N56" s="103">
        <v>2.0621239459207995E-4</v>
      </c>
      <c r="O56" s="132" t="s">
        <v>324</v>
      </c>
      <c r="Q56" s="2" t="s">
        <v>329</v>
      </c>
      <c r="R56" s="69"/>
      <c r="S56" s="102">
        <v>1.9152179992755296E-4</v>
      </c>
      <c r="T56" s="104">
        <v>1.9152279965755723E-4</v>
      </c>
      <c r="U56" s="132" t="s">
        <v>324</v>
      </c>
      <c r="W56" s="2" t="s">
        <v>329</v>
      </c>
      <c r="X56" s="70"/>
      <c r="Y56" s="102">
        <v>5.1168891188297749E-4</v>
      </c>
      <c r="Z56" s="103">
        <v>5.1168891207381149E-4</v>
      </c>
      <c r="AA56" s="132" t="s">
        <v>324</v>
      </c>
      <c r="AD56" s="94"/>
      <c r="AI56" s="1"/>
      <c r="AJ56" s="1"/>
      <c r="AK56" s="1"/>
    </row>
    <row r="57" spans="2:37" ht="17" thickTop="1" thickBot="1" x14ac:dyDescent="0.25">
      <c r="B57" s="94"/>
      <c r="D57" s="1"/>
      <c r="E57" s="2" t="s">
        <v>336</v>
      </c>
      <c r="F57" s="69"/>
      <c r="G57" s="102">
        <v>0.75625283214087669</v>
      </c>
      <c r="H57" s="104">
        <v>0.75625283222061579</v>
      </c>
      <c r="I57" s="132" t="s">
        <v>324</v>
      </c>
      <c r="K57" s="2" t="s">
        <v>336</v>
      </c>
      <c r="L57" s="70"/>
      <c r="M57" s="102">
        <v>0.8460989776886535</v>
      </c>
      <c r="N57" s="103">
        <v>0.84609897781105425</v>
      </c>
      <c r="O57" s="132" t="s">
        <v>324</v>
      </c>
      <c r="Q57" s="2" t="s">
        <v>336</v>
      </c>
      <c r="R57" s="69"/>
      <c r="S57" s="102">
        <v>0.75131077686849546</v>
      </c>
      <c r="T57" s="104">
        <v>0.75131469865664935</v>
      </c>
      <c r="U57" s="132" t="s">
        <v>324</v>
      </c>
      <c r="W57" s="2" t="s">
        <v>336</v>
      </c>
      <c r="X57" s="70"/>
      <c r="Y57" s="102">
        <v>0.75965811764157887</v>
      </c>
      <c r="Z57" s="103">
        <v>0.7596581179248928</v>
      </c>
      <c r="AA57" s="132" t="s">
        <v>324</v>
      </c>
      <c r="AD57" s="94"/>
      <c r="AI57" s="1"/>
      <c r="AJ57" s="1"/>
      <c r="AK57" s="1"/>
    </row>
    <row r="58" spans="2:37" ht="17" thickTop="1" thickBot="1" x14ac:dyDescent="0.25">
      <c r="B58" s="94"/>
      <c r="D58" s="1"/>
      <c r="E58" s="2" t="s">
        <v>343</v>
      </c>
      <c r="F58" s="69"/>
      <c r="G58" s="102">
        <v>0.24293537820122968</v>
      </c>
      <c r="H58" s="104">
        <v>0.24293537822684472</v>
      </c>
      <c r="I58" s="132" t="s">
        <v>324</v>
      </c>
      <c r="K58" s="2" t="s">
        <v>343</v>
      </c>
      <c r="L58" s="70"/>
      <c r="M58" s="102">
        <v>0.15304099596436024</v>
      </c>
      <c r="N58" s="103">
        <v>0.15304099598649989</v>
      </c>
      <c r="O58" s="132" t="s">
        <v>324</v>
      </c>
      <c r="Q58" s="2" t="s">
        <v>343</v>
      </c>
      <c r="R58" s="69"/>
      <c r="S58" s="102">
        <v>0.2475890071605199</v>
      </c>
      <c r="T58" s="104">
        <v>0.24759029955730857</v>
      </c>
      <c r="U58" s="132" t="s">
        <v>324</v>
      </c>
      <c r="W58" s="2" t="s">
        <v>343</v>
      </c>
      <c r="X58" s="70"/>
      <c r="Y58" s="102">
        <v>0.23855630554000515</v>
      </c>
      <c r="Z58" s="103">
        <v>0.23855630562897456</v>
      </c>
      <c r="AA58" s="132" t="s">
        <v>324</v>
      </c>
      <c r="AD58" s="94"/>
      <c r="AI58" s="1"/>
      <c r="AJ58" s="1"/>
      <c r="AK58" s="1"/>
    </row>
    <row r="59" spans="2:37" ht="17" thickTop="1" thickBot="1" x14ac:dyDescent="0.25">
      <c r="B59" s="94"/>
      <c r="D59" s="1"/>
      <c r="E59" s="2" t="s">
        <v>288</v>
      </c>
      <c r="F59" s="69"/>
      <c r="G59" s="102">
        <v>0</v>
      </c>
      <c r="H59" s="103">
        <f t="shared" si="1"/>
        <v>0</v>
      </c>
      <c r="I59" s="132" t="s">
        <v>324</v>
      </c>
      <c r="K59" s="2" t="s">
        <v>288</v>
      </c>
      <c r="L59" s="70"/>
      <c r="M59" s="102">
        <v>0</v>
      </c>
      <c r="N59" s="103">
        <f t="shared" si="2"/>
        <v>0</v>
      </c>
      <c r="O59" s="132" t="s">
        <v>324</v>
      </c>
      <c r="Q59" s="2" t="s">
        <v>288</v>
      </c>
      <c r="R59" s="69"/>
      <c r="S59" s="102">
        <v>0</v>
      </c>
      <c r="T59" s="104">
        <f t="shared" si="3"/>
        <v>0</v>
      </c>
      <c r="U59" s="132" t="s">
        <v>324</v>
      </c>
      <c r="W59" s="2" t="s">
        <v>288</v>
      </c>
      <c r="X59" s="70"/>
      <c r="Y59" s="102">
        <v>0</v>
      </c>
      <c r="Z59" s="103">
        <f t="shared" si="4"/>
        <v>0</v>
      </c>
      <c r="AA59" s="132" t="s">
        <v>324</v>
      </c>
      <c r="AD59" s="94"/>
      <c r="AI59" s="1"/>
      <c r="AJ59" s="1"/>
      <c r="AK59" s="1"/>
    </row>
    <row r="60" spans="2:37" ht="17" thickTop="1" thickBot="1" x14ac:dyDescent="0.25">
      <c r="B60" s="94"/>
      <c r="D60" s="1"/>
      <c r="E60" s="2" t="s">
        <v>301</v>
      </c>
      <c r="F60" s="69"/>
      <c r="G60" s="102">
        <v>0</v>
      </c>
      <c r="H60" s="103">
        <f t="shared" si="1"/>
        <v>0</v>
      </c>
      <c r="I60" s="132" t="s">
        <v>324</v>
      </c>
      <c r="K60" s="2" t="s">
        <v>301</v>
      </c>
      <c r="L60" s="70"/>
      <c r="M60" s="102">
        <v>0</v>
      </c>
      <c r="N60" s="103">
        <f t="shared" si="2"/>
        <v>0</v>
      </c>
      <c r="O60" s="132" t="s">
        <v>324</v>
      </c>
      <c r="Q60" s="2" t="s">
        <v>301</v>
      </c>
      <c r="R60" s="69"/>
      <c r="S60" s="102">
        <v>0</v>
      </c>
      <c r="T60" s="104">
        <f t="shared" si="3"/>
        <v>0</v>
      </c>
      <c r="U60" s="132" t="s">
        <v>324</v>
      </c>
      <c r="W60" s="2" t="s">
        <v>301</v>
      </c>
      <c r="X60" s="70"/>
      <c r="Y60" s="102">
        <v>0</v>
      </c>
      <c r="Z60" s="103">
        <f t="shared" si="4"/>
        <v>0</v>
      </c>
      <c r="AA60" s="132" t="s">
        <v>324</v>
      </c>
      <c r="AD60" s="94"/>
      <c r="AI60" s="1"/>
      <c r="AJ60" s="1"/>
      <c r="AK60" s="1"/>
    </row>
    <row r="61" spans="2:37" ht="17" thickTop="1" thickBot="1" x14ac:dyDescent="0.25">
      <c r="B61" s="94"/>
      <c r="D61" s="1"/>
      <c r="E61" s="2" t="s">
        <v>308</v>
      </c>
      <c r="F61" s="69"/>
      <c r="G61" s="102">
        <v>0</v>
      </c>
      <c r="H61" s="103">
        <f t="shared" si="1"/>
        <v>0</v>
      </c>
      <c r="I61" s="132" t="s">
        <v>324</v>
      </c>
      <c r="K61" s="2" t="s">
        <v>308</v>
      </c>
      <c r="L61" s="70"/>
      <c r="M61" s="102">
        <v>0</v>
      </c>
      <c r="N61" s="103">
        <f t="shared" si="2"/>
        <v>0</v>
      </c>
      <c r="O61" s="132" t="s">
        <v>324</v>
      </c>
      <c r="Q61" s="2" t="s">
        <v>308</v>
      </c>
      <c r="R61" s="69"/>
      <c r="S61" s="102">
        <v>0</v>
      </c>
      <c r="T61" s="104">
        <f t="shared" si="3"/>
        <v>0</v>
      </c>
      <c r="U61" s="132" t="s">
        <v>324</v>
      </c>
      <c r="W61" s="2" t="s">
        <v>308</v>
      </c>
      <c r="X61" s="70"/>
      <c r="Y61" s="102">
        <v>0</v>
      </c>
      <c r="Z61" s="103">
        <f t="shared" si="4"/>
        <v>0</v>
      </c>
      <c r="AA61" s="132" t="s">
        <v>324</v>
      </c>
      <c r="AD61" s="94"/>
      <c r="AI61" s="1"/>
      <c r="AJ61" s="1"/>
      <c r="AK61" s="1"/>
    </row>
    <row r="62" spans="2:37" ht="17" thickTop="1" thickBot="1" x14ac:dyDescent="0.25">
      <c r="B62" s="94"/>
      <c r="D62" s="1"/>
      <c r="E62" s="2" t="s">
        <v>315</v>
      </c>
      <c r="F62" s="69"/>
      <c r="G62" s="102">
        <v>0</v>
      </c>
      <c r="H62" s="103">
        <f t="shared" si="1"/>
        <v>0</v>
      </c>
      <c r="I62" s="132" t="s">
        <v>324</v>
      </c>
      <c r="K62" s="2" t="s">
        <v>315</v>
      </c>
      <c r="L62" s="70"/>
      <c r="M62" s="102">
        <v>0</v>
      </c>
      <c r="N62" s="103">
        <f t="shared" si="2"/>
        <v>0</v>
      </c>
      <c r="O62" s="132" t="s">
        <v>324</v>
      </c>
      <c r="Q62" s="2" t="s">
        <v>315</v>
      </c>
      <c r="R62" s="69"/>
      <c r="S62" s="102">
        <v>0</v>
      </c>
      <c r="T62" s="104">
        <f t="shared" si="3"/>
        <v>0</v>
      </c>
      <c r="U62" s="132" t="s">
        <v>324</v>
      </c>
      <c r="W62" s="2" t="s">
        <v>315</v>
      </c>
      <c r="X62" s="70"/>
      <c r="Y62" s="102">
        <v>0</v>
      </c>
      <c r="Z62" s="103">
        <f t="shared" si="4"/>
        <v>0</v>
      </c>
      <c r="AA62" s="132" t="s">
        <v>324</v>
      </c>
      <c r="AD62" s="94"/>
      <c r="AI62" s="1"/>
      <c r="AJ62" s="1"/>
      <c r="AK62" s="1"/>
    </row>
    <row r="63" spans="2:37" ht="17" thickTop="1" thickBot="1" x14ac:dyDescent="0.25">
      <c r="B63" s="94"/>
      <c r="D63" s="1"/>
      <c r="E63" s="2" t="s">
        <v>322</v>
      </c>
      <c r="F63" s="69"/>
      <c r="G63" s="102">
        <v>0</v>
      </c>
      <c r="H63" s="103">
        <f t="shared" si="1"/>
        <v>0</v>
      </c>
      <c r="I63" s="132" t="s">
        <v>324</v>
      </c>
      <c r="K63" s="2" t="s">
        <v>322</v>
      </c>
      <c r="L63" s="70"/>
      <c r="M63" s="102">
        <v>0</v>
      </c>
      <c r="N63" s="103">
        <f t="shared" si="2"/>
        <v>0</v>
      </c>
      <c r="O63" s="132" t="s">
        <v>324</v>
      </c>
      <c r="Q63" s="2" t="s">
        <v>322</v>
      </c>
      <c r="R63" s="69"/>
      <c r="S63" s="102">
        <v>0</v>
      </c>
      <c r="T63" s="104">
        <f t="shared" si="3"/>
        <v>0</v>
      </c>
      <c r="U63" s="132" t="s">
        <v>324</v>
      </c>
      <c r="W63" s="2" t="s">
        <v>322</v>
      </c>
      <c r="X63" s="70"/>
      <c r="Y63" s="102">
        <v>0</v>
      </c>
      <c r="Z63" s="103">
        <f t="shared" si="4"/>
        <v>0</v>
      </c>
      <c r="AA63" s="132" t="s">
        <v>324</v>
      </c>
      <c r="AD63" s="94"/>
      <c r="AI63" s="1"/>
      <c r="AJ63" s="1"/>
      <c r="AK63" s="1"/>
    </row>
    <row r="64" spans="2:37" ht="17" thickTop="1" thickBot="1" x14ac:dyDescent="0.25">
      <c r="B64" s="94"/>
      <c r="D64" s="1"/>
      <c r="E64" s="2" t="s">
        <v>330</v>
      </c>
      <c r="F64" s="69"/>
      <c r="G64" s="102">
        <v>0</v>
      </c>
      <c r="H64" s="103">
        <f t="shared" si="1"/>
        <v>0</v>
      </c>
      <c r="I64" s="132" t="s">
        <v>324</v>
      </c>
      <c r="K64" s="2" t="s">
        <v>330</v>
      </c>
      <c r="L64" s="70"/>
      <c r="M64" s="102">
        <v>0</v>
      </c>
      <c r="N64" s="103">
        <f t="shared" si="2"/>
        <v>0</v>
      </c>
      <c r="O64" s="132" t="s">
        <v>324</v>
      </c>
      <c r="Q64" s="2" t="s">
        <v>330</v>
      </c>
      <c r="R64" s="69"/>
      <c r="S64" s="102">
        <v>0</v>
      </c>
      <c r="T64" s="104">
        <f t="shared" si="3"/>
        <v>0</v>
      </c>
      <c r="U64" s="132" t="s">
        <v>324</v>
      </c>
      <c r="W64" s="2" t="s">
        <v>330</v>
      </c>
      <c r="X64" s="70"/>
      <c r="Y64" s="102">
        <v>0</v>
      </c>
      <c r="Z64" s="103">
        <f t="shared" si="4"/>
        <v>0</v>
      </c>
      <c r="AA64" s="132" t="s">
        <v>324</v>
      </c>
      <c r="AD64" s="94"/>
      <c r="AI64" s="1"/>
      <c r="AJ64" s="1"/>
      <c r="AK64" s="1"/>
    </row>
    <row r="65" spans="1:37" ht="17" thickTop="1" thickBot="1" x14ac:dyDescent="0.25">
      <c r="B65" s="94"/>
      <c r="D65" s="1"/>
      <c r="E65" s="2" t="s">
        <v>337</v>
      </c>
      <c r="F65" s="69"/>
      <c r="G65" s="102">
        <v>1</v>
      </c>
      <c r="H65" s="103">
        <f t="shared" si="1"/>
        <v>1</v>
      </c>
      <c r="I65" s="132" t="s">
        <v>324</v>
      </c>
      <c r="K65" s="2" t="s">
        <v>337</v>
      </c>
      <c r="L65" s="70"/>
      <c r="M65" s="102">
        <v>1</v>
      </c>
      <c r="N65" s="103">
        <f t="shared" si="2"/>
        <v>1</v>
      </c>
      <c r="O65" s="132" t="s">
        <v>324</v>
      </c>
      <c r="Q65" s="2" t="s">
        <v>337</v>
      </c>
      <c r="R65" s="69"/>
      <c r="S65" s="102">
        <v>1</v>
      </c>
      <c r="T65" s="104">
        <f t="shared" si="3"/>
        <v>1</v>
      </c>
      <c r="U65" s="132" t="s">
        <v>324</v>
      </c>
      <c r="W65" s="2" t="s">
        <v>337</v>
      </c>
      <c r="X65" s="70"/>
      <c r="Y65" s="102">
        <v>1</v>
      </c>
      <c r="Z65" s="103">
        <f t="shared" si="4"/>
        <v>1</v>
      </c>
      <c r="AA65" s="132" t="s">
        <v>324</v>
      </c>
      <c r="AD65" s="94"/>
      <c r="AI65" s="1"/>
      <c r="AJ65" s="1"/>
      <c r="AK65" s="1"/>
    </row>
    <row r="66" spans="1:37" ht="17" thickTop="1" thickBot="1" x14ac:dyDescent="0.25">
      <c r="B66" s="94"/>
      <c r="D66" s="1"/>
      <c r="E66" s="2" t="s">
        <v>344</v>
      </c>
      <c r="F66" s="69"/>
      <c r="G66" s="102">
        <v>0</v>
      </c>
      <c r="H66" s="103">
        <f t="shared" si="1"/>
        <v>0</v>
      </c>
      <c r="I66" s="132" t="s">
        <v>324</v>
      </c>
      <c r="K66" s="2" t="s">
        <v>344</v>
      </c>
      <c r="L66" s="70"/>
      <c r="M66" s="102">
        <v>0</v>
      </c>
      <c r="N66" s="103">
        <f t="shared" si="2"/>
        <v>0</v>
      </c>
      <c r="O66" s="132" t="s">
        <v>324</v>
      </c>
      <c r="Q66" s="2" t="s">
        <v>344</v>
      </c>
      <c r="R66" s="69"/>
      <c r="S66" s="102">
        <v>0</v>
      </c>
      <c r="T66" s="104">
        <f t="shared" si="3"/>
        <v>0</v>
      </c>
      <c r="U66" s="132" t="s">
        <v>324</v>
      </c>
      <c r="W66" s="2" t="s">
        <v>344</v>
      </c>
      <c r="X66" s="70"/>
      <c r="Y66" s="102">
        <v>0</v>
      </c>
      <c r="Z66" s="103">
        <f t="shared" si="4"/>
        <v>0</v>
      </c>
      <c r="AA66" s="132" t="s">
        <v>324</v>
      </c>
      <c r="AD66" s="94"/>
      <c r="AI66" s="1"/>
      <c r="AJ66" s="1"/>
      <c r="AK66" s="1"/>
    </row>
    <row r="67" spans="1:37" ht="17" thickTop="1" thickBot="1" x14ac:dyDescent="0.25">
      <c r="B67" s="94"/>
      <c r="D67" s="1"/>
      <c r="E67" s="2" t="s">
        <v>289</v>
      </c>
      <c r="F67" s="69"/>
      <c r="G67" s="102">
        <v>0</v>
      </c>
      <c r="H67" s="103">
        <f t="shared" si="1"/>
        <v>0</v>
      </c>
      <c r="I67" s="132" t="s">
        <v>324</v>
      </c>
      <c r="K67" s="2" t="s">
        <v>289</v>
      </c>
      <c r="L67" s="70"/>
      <c r="M67" s="102">
        <v>0</v>
      </c>
      <c r="N67" s="103">
        <f t="shared" si="2"/>
        <v>0</v>
      </c>
      <c r="O67" s="132" t="s">
        <v>324</v>
      </c>
      <c r="Q67" s="2" t="s">
        <v>289</v>
      </c>
      <c r="R67" s="69"/>
      <c r="S67" s="102">
        <v>0</v>
      </c>
      <c r="T67" s="104">
        <f t="shared" si="3"/>
        <v>0</v>
      </c>
      <c r="U67" s="132" t="s">
        <v>324</v>
      </c>
      <c r="W67" s="2" t="s">
        <v>289</v>
      </c>
      <c r="X67" s="70"/>
      <c r="Y67" s="102">
        <v>0</v>
      </c>
      <c r="Z67" s="103">
        <f t="shared" si="4"/>
        <v>0</v>
      </c>
      <c r="AA67" s="132" t="s">
        <v>324</v>
      </c>
      <c r="AD67" s="94"/>
      <c r="AI67" s="1"/>
      <c r="AJ67" s="1"/>
      <c r="AK67" s="1"/>
    </row>
    <row r="68" spans="1:37" ht="17" thickTop="1" thickBot="1" x14ac:dyDescent="0.25">
      <c r="B68" s="94"/>
      <c r="D68" s="1"/>
      <c r="E68" s="2" t="s">
        <v>302</v>
      </c>
      <c r="F68" s="69"/>
      <c r="G68" s="102">
        <v>0</v>
      </c>
      <c r="H68" s="103">
        <f t="shared" si="1"/>
        <v>0</v>
      </c>
      <c r="I68" s="132" t="s">
        <v>324</v>
      </c>
      <c r="K68" s="2" t="s">
        <v>302</v>
      </c>
      <c r="L68" s="70"/>
      <c r="M68" s="102">
        <v>0</v>
      </c>
      <c r="N68" s="103">
        <f t="shared" si="2"/>
        <v>0</v>
      </c>
      <c r="O68" s="132" t="s">
        <v>324</v>
      </c>
      <c r="Q68" s="2" t="s">
        <v>302</v>
      </c>
      <c r="R68" s="69"/>
      <c r="S68" s="102">
        <v>0</v>
      </c>
      <c r="T68" s="104">
        <f t="shared" si="3"/>
        <v>0</v>
      </c>
      <c r="U68" s="132" t="s">
        <v>324</v>
      </c>
      <c r="W68" s="2" t="s">
        <v>302</v>
      </c>
      <c r="X68" s="70"/>
      <c r="Y68" s="102">
        <v>0</v>
      </c>
      <c r="Z68" s="103">
        <f t="shared" si="4"/>
        <v>0</v>
      </c>
      <c r="AA68" s="132" t="s">
        <v>324</v>
      </c>
      <c r="AD68" s="94"/>
      <c r="AI68" s="1"/>
      <c r="AJ68" s="1"/>
      <c r="AK68" s="1"/>
    </row>
    <row r="69" spans="1:37" ht="17" thickTop="1" thickBot="1" x14ac:dyDescent="0.25">
      <c r="B69" s="94"/>
      <c r="D69" s="1"/>
      <c r="E69" s="2" t="s">
        <v>309</v>
      </c>
      <c r="F69" s="69"/>
      <c r="G69" s="102">
        <v>0</v>
      </c>
      <c r="H69" s="103">
        <f t="shared" si="1"/>
        <v>0</v>
      </c>
      <c r="I69" s="132" t="s">
        <v>324</v>
      </c>
      <c r="K69" s="2" t="s">
        <v>309</v>
      </c>
      <c r="L69" s="70"/>
      <c r="M69" s="102">
        <v>0</v>
      </c>
      <c r="N69" s="103">
        <f t="shared" si="2"/>
        <v>0</v>
      </c>
      <c r="O69" s="132" t="s">
        <v>324</v>
      </c>
      <c r="Q69" s="2" t="s">
        <v>309</v>
      </c>
      <c r="R69" s="69"/>
      <c r="S69" s="102">
        <v>0</v>
      </c>
      <c r="T69" s="104">
        <f t="shared" si="3"/>
        <v>0</v>
      </c>
      <c r="U69" s="132" t="s">
        <v>324</v>
      </c>
      <c r="W69" s="2" t="s">
        <v>309</v>
      </c>
      <c r="X69" s="70"/>
      <c r="Y69" s="102">
        <v>0</v>
      </c>
      <c r="Z69" s="103">
        <f t="shared" si="4"/>
        <v>0</v>
      </c>
      <c r="AA69" s="132" t="s">
        <v>324</v>
      </c>
      <c r="AD69" s="94"/>
      <c r="AI69" s="1"/>
      <c r="AJ69" s="1"/>
      <c r="AK69" s="1"/>
    </row>
    <row r="70" spans="1:37" ht="17" thickTop="1" thickBot="1" x14ac:dyDescent="0.25">
      <c r="B70" s="94"/>
      <c r="D70" s="1"/>
      <c r="E70" s="2" t="s">
        <v>316</v>
      </c>
      <c r="F70" s="69"/>
      <c r="G70" s="102">
        <v>0</v>
      </c>
      <c r="H70" s="103">
        <f t="shared" si="1"/>
        <v>0</v>
      </c>
      <c r="I70" s="132" t="s">
        <v>324</v>
      </c>
      <c r="K70" s="2" t="s">
        <v>316</v>
      </c>
      <c r="L70" s="70"/>
      <c r="M70" s="102">
        <v>0</v>
      </c>
      <c r="N70" s="103">
        <f t="shared" si="2"/>
        <v>0</v>
      </c>
      <c r="O70" s="132" t="s">
        <v>324</v>
      </c>
      <c r="Q70" s="2" t="s">
        <v>316</v>
      </c>
      <c r="R70" s="69"/>
      <c r="S70" s="102">
        <v>0</v>
      </c>
      <c r="T70" s="104">
        <f t="shared" si="3"/>
        <v>0</v>
      </c>
      <c r="U70" s="132" t="s">
        <v>324</v>
      </c>
      <c r="W70" s="2" t="s">
        <v>316</v>
      </c>
      <c r="X70" s="70"/>
      <c r="Y70" s="102">
        <v>0</v>
      </c>
      <c r="Z70" s="103">
        <f t="shared" si="4"/>
        <v>0</v>
      </c>
      <c r="AA70" s="132" t="s">
        <v>324</v>
      </c>
      <c r="AD70" s="94"/>
      <c r="AI70" s="1"/>
      <c r="AJ70" s="1"/>
      <c r="AK70" s="1"/>
    </row>
    <row r="71" spans="1:37" ht="17" thickTop="1" thickBot="1" x14ac:dyDescent="0.25">
      <c r="B71" s="94"/>
      <c r="D71" s="1"/>
      <c r="E71" s="2" t="s">
        <v>323</v>
      </c>
      <c r="F71" s="69"/>
      <c r="G71" s="102">
        <v>0</v>
      </c>
      <c r="H71" s="103">
        <f t="shared" si="1"/>
        <v>0</v>
      </c>
      <c r="I71" s="132" t="s">
        <v>324</v>
      </c>
      <c r="K71" s="2" t="s">
        <v>323</v>
      </c>
      <c r="L71" s="70"/>
      <c r="M71" s="102">
        <v>0</v>
      </c>
      <c r="N71" s="103">
        <f t="shared" si="2"/>
        <v>0</v>
      </c>
      <c r="O71" s="132" t="s">
        <v>324</v>
      </c>
      <c r="Q71" s="2" t="s">
        <v>323</v>
      </c>
      <c r="R71" s="69"/>
      <c r="S71" s="102">
        <v>0</v>
      </c>
      <c r="T71" s="104">
        <f t="shared" si="3"/>
        <v>0</v>
      </c>
      <c r="U71" s="132" t="s">
        <v>324</v>
      </c>
      <c r="W71" s="2" t="s">
        <v>323</v>
      </c>
      <c r="X71" s="70"/>
      <c r="Y71" s="102">
        <v>0</v>
      </c>
      <c r="Z71" s="103">
        <f t="shared" si="4"/>
        <v>0</v>
      </c>
      <c r="AA71" s="132" t="s">
        <v>324</v>
      </c>
      <c r="AD71" s="94"/>
      <c r="AI71" s="1"/>
      <c r="AJ71" s="1"/>
      <c r="AK71" s="1"/>
    </row>
    <row r="72" spans="1:37" ht="17" thickTop="1" thickBot="1" x14ac:dyDescent="0.25">
      <c r="B72" s="94"/>
      <c r="D72" s="1"/>
      <c r="E72" s="2" t="s">
        <v>331</v>
      </c>
      <c r="F72" s="69"/>
      <c r="G72" s="102">
        <v>0</v>
      </c>
      <c r="H72" s="103">
        <f t="shared" si="1"/>
        <v>0</v>
      </c>
      <c r="I72" s="132" t="s">
        <v>324</v>
      </c>
      <c r="K72" s="2" t="s">
        <v>331</v>
      </c>
      <c r="L72" s="70"/>
      <c r="M72" s="102">
        <v>0</v>
      </c>
      <c r="N72" s="103">
        <f t="shared" si="2"/>
        <v>0</v>
      </c>
      <c r="O72" s="132" t="s">
        <v>324</v>
      </c>
      <c r="Q72" s="2" t="s">
        <v>331</v>
      </c>
      <c r="R72" s="69"/>
      <c r="S72" s="102">
        <v>0</v>
      </c>
      <c r="T72" s="104">
        <f t="shared" si="3"/>
        <v>0</v>
      </c>
      <c r="U72" s="132" t="s">
        <v>324</v>
      </c>
      <c r="W72" s="2" t="s">
        <v>331</v>
      </c>
      <c r="X72" s="70"/>
      <c r="Y72" s="102">
        <v>0</v>
      </c>
      <c r="Z72" s="103">
        <f t="shared" si="4"/>
        <v>0</v>
      </c>
      <c r="AA72" s="132" t="s">
        <v>324</v>
      </c>
      <c r="AD72" s="94"/>
      <c r="AI72" s="1"/>
      <c r="AJ72" s="1"/>
      <c r="AK72" s="1"/>
    </row>
    <row r="73" spans="1:37" ht="17" thickTop="1" thickBot="1" x14ac:dyDescent="0.25">
      <c r="B73" s="94"/>
      <c r="D73" s="1"/>
      <c r="E73" s="2" t="s">
        <v>338</v>
      </c>
      <c r="F73" s="69"/>
      <c r="G73" s="102">
        <v>0</v>
      </c>
      <c r="H73" s="103">
        <f t="shared" ref="H73" si="5">IF(F73="",G73,F73)</f>
        <v>0</v>
      </c>
      <c r="I73" s="132" t="s">
        <v>324</v>
      </c>
      <c r="K73" s="2" t="s">
        <v>338</v>
      </c>
      <c r="L73" s="70"/>
      <c r="M73" s="102">
        <v>0</v>
      </c>
      <c r="N73" s="103">
        <f t="shared" si="2"/>
        <v>0</v>
      </c>
      <c r="O73" s="132" t="s">
        <v>324</v>
      </c>
      <c r="Q73" s="2" t="s">
        <v>338</v>
      </c>
      <c r="R73" s="69"/>
      <c r="S73" s="102">
        <v>0</v>
      </c>
      <c r="T73" s="104">
        <f t="shared" si="3"/>
        <v>0</v>
      </c>
      <c r="U73" s="132" t="s">
        <v>324</v>
      </c>
      <c r="W73" s="2" t="s">
        <v>338</v>
      </c>
      <c r="X73" s="70"/>
      <c r="Y73" s="102">
        <v>0</v>
      </c>
      <c r="Z73" s="103">
        <f t="shared" si="4"/>
        <v>0</v>
      </c>
      <c r="AA73" s="132" t="s">
        <v>324</v>
      </c>
      <c r="AD73" s="94"/>
      <c r="AI73" s="1"/>
      <c r="AJ73" s="1"/>
      <c r="AK73" s="1"/>
    </row>
    <row r="74" spans="1:37" ht="17" thickTop="1" thickBot="1" x14ac:dyDescent="0.25">
      <c r="B74" s="94"/>
      <c r="D74" s="1"/>
      <c r="E74" s="2" t="s">
        <v>345</v>
      </c>
      <c r="F74" s="69"/>
      <c r="G74" s="102">
        <v>1</v>
      </c>
      <c r="H74" s="103">
        <f t="shared" ref="H74" si="6">IF(F74="",G74,F74)</f>
        <v>1</v>
      </c>
      <c r="I74" s="132" t="s">
        <v>324</v>
      </c>
      <c r="K74" s="2" t="s">
        <v>345</v>
      </c>
      <c r="L74" s="70"/>
      <c r="M74" s="102">
        <v>1</v>
      </c>
      <c r="N74" s="103">
        <f t="shared" si="2"/>
        <v>1</v>
      </c>
      <c r="O74" s="132" t="s">
        <v>324</v>
      </c>
      <c r="Q74" s="2" t="s">
        <v>345</v>
      </c>
      <c r="R74" s="69"/>
      <c r="S74" s="102">
        <v>1</v>
      </c>
      <c r="T74" s="104">
        <f t="shared" si="3"/>
        <v>1</v>
      </c>
      <c r="U74" s="132" t="s">
        <v>324</v>
      </c>
      <c r="W74" s="2" t="s">
        <v>345</v>
      </c>
      <c r="X74" s="70"/>
      <c r="Y74" s="102">
        <v>1</v>
      </c>
      <c r="Z74" s="103">
        <f t="shared" si="4"/>
        <v>1</v>
      </c>
      <c r="AA74" s="132" t="s">
        <v>324</v>
      </c>
      <c r="AD74" s="94"/>
      <c r="AE74" s="1"/>
      <c r="AF74" s="1"/>
      <c r="AG74" s="1"/>
      <c r="AH74" s="1"/>
      <c r="AI74" s="1"/>
      <c r="AJ74" s="1"/>
      <c r="AK74" s="1"/>
    </row>
    <row r="75" spans="1:37" ht="16" thickTop="1" x14ac:dyDescent="0.2">
      <c r="B75" s="94"/>
      <c r="D75" s="1"/>
      <c r="AD75" s="94"/>
      <c r="AE75" s="1"/>
      <c r="AF75" s="1"/>
      <c r="AG75" s="1"/>
      <c r="AH75" s="1"/>
      <c r="AI75" s="1"/>
      <c r="AJ75" s="1"/>
      <c r="AK75" s="1"/>
    </row>
    <row r="76" spans="1:37" x14ac:dyDescent="0.2">
      <c r="B76" s="94"/>
      <c r="AD76" s="94"/>
      <c r="AE76" s="1"/>
      <c r="AG76" s="1"/>
      <c r="AH76" s="1"/>
      <c r="AI76" s="1"/>
      <c r="AJ76" s="1"/>
      <c r="AK76" s="1"/>
    </row>
    <row r="77" spans="1:37" ht="16" thickBot="1" x14ac:dyDescent="0.25">
      <c r="A77" s="93"/>
      <c r="B77" s="98"/>
      <c r="C77" s="95"/>
      <c r="D77" s="95"/>
      <c r="E77" s="95"/>
      <c r="F77" s="95"/>
      <c r="G77" s="95"/>
      <c r="H77" s="95"/>
      <c r="I77" s="95"/>
      <c r="J77" s="95"/>
      <c r="K77" s="95"/>
      <c r="L77" s="95"/>
      <c r="M77" s="95"/>
      <c r="N77" s="95"/>
      <c r="O77" s="95"/>
      <c r="P77" s="95"/>
      <c r="Q77" s="95"/>
      <c r="R77" s="95"/>
      <c r="S77" s="95"/>
      <c r="T77" s="95"/>
      <c r="U77" s="95"/>
      <c r="V77" s="95"/>
      <c r="W77" s="95"/>
      <c r="X77" s="95"/>
      <c r="Y77" s="95"/>
      <c r="Z77" s="95"/>
      <c r="AA77" s="95"/>
      <c r="AB77" s="95"/>
      <c r="AC77" s="95"/>
      <c r="AD77" s="94"/>
      <c r="AE77" s="1"/>
    </row>
    <row r="87" spans="6:6" x14ac:dyDescent="0.2">
      <c r="F87" s="1"/>
    </row>
  </sheetData>
  <mergeCells count="5">
    <mergeCell ref="X9:Z9"/>
    <mergeCell ref="F8:AB8"/>
    <mergeCell ref="L9:N9"/>
    <mergeCell ref="F9:H9"/>
    <mergeCell ref="R9:T9"/>
  </mergeCells>
  <phoneticPr fontId="2"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15DA4-F2D5-4E27-94FA-15B6D99D1F17}">
  <sheetPr codeName="Sheet19">
    <tabColor theme="9"/>
  </sheetPr>
  <dimension ref="A3:BD36"/>
  <sheetViews>
    <sheetView showGridLines="0" zoomScale="94" zoomScaleNormal="94" workbookViewId="0">
      <selection activeCell="M12" sqref="M12"/>
    </sheetView>
  </sheetViews>
  <sheetFormatPr baseColWidth="10" defaultColWidth="8.83203125" defaultRowHeight="15" x14ac:dyDescent="0.2"/>
  <cols>
    <col min="4" max="4" width="14.5" customWidth="1"/>
    <col min="5" max="5" width="17.5" customWidth="1"/>
    <col min="6" max="6" width="16.33203125" bestFit="1" customWidth="1"/>
    <col min="7" max="7" width="7.6640625" customWidth="1"/>
    <col min="8" max="8" width="8.33203125" customWidth="1"/>
    <col min="9" max="9" width="15" customWidth="1"/>
    <col min="10" max="10" width="13" customWidth="1"/>
    <col min="35" max="40" width="11.83203125" bestFit="1" customWidth="1"/>
    <col min="46" max="46" width="11.83203125" bestFit="1" customWidth="1"/>
  </cols>
  <sheetData>
    <row r="3" spans="2:56" ht="26" x14ac:dyDescent="0.3">
      <c r="I3" s="96" t="s">
        <v>280</v>
      </c>
    </row>
    <row r="4" spans="2:56" ht="16" thickBot="1" x14ac:dyDescent="0.25"/>
    <row r="5" spans="2:56" ht="16" thickBot="1" x14ac:dyDescent="0.25">
      <c r="B5" s="90"/>
      <c r="C5" s="91"/>
      <c r="D5" s="91"/>
      <c r="E5" s="91"/>
      <c r="F5" s="91"/>
      <c r="G5" s="91"/>
      <c r="H5" s="91"/>
      <c r="I5" s="91"/>
      <c r="J5" s="91"/>
      <c r="K5" s="91"/>
      <c r="L5" s="91"/>
      <c r="M5" s="91"/>
      <c r="N5" s="91"/>
      <c r="O5" s="91"/>
      <c r="P5" s="91"/>
      <c r="Q5" s="91"/>
      <c r="R5" s="91"/>
      <c r="S5" s="91"/>
      <c r="T5" s="91"/>
      <c r="U5" s="91"/>
      <c r="V5" s="91"/>
      <c r="W5" s="91"/>
      <c r="X5" s="91"/>
      <c r="Y5" s="91"/>
      <c r="Z5" s="91"/>
      <c r="AA5" s="91"/>
      <c r="AB5" s="91"/>
      <c r="AC5" s="91"/>
      <c r="AD5" s="91"/>
      <c r="AE5" s="91"/>
      <c r="AF5" s="91"/>
      <c r="AG5" s="91"/>
      <c r="AH5" s="91"/>
      <c r="AI5" s="91"/>
      <c r="AJ5" s="91"/>
      <c r="AK5" s="91"/>
      <c r="AL5" s="91"/>
      <c r="AM5" s="91"/>
      <c r="AN5" s="91"/>
      <c r="AO5" s="91"/>
      <c r="AP5" s="91"/>
      <c r="AQ5" s="91"/>
      <c r="AR5" s="91"/>
      <c r="AS5" s="91"/>
      <c r="AT5" s="91"/>
      <c r="AU5" s="91"/>
      <c r="AV5" s="91"/>
      <c r="AW5" s="91"/>
      <c r="AX5" s="91"/>
      <c r="AY5" s="91"/>
      <c r="AZ5" s="91"/>
      <c r="BA5" s="91"/>
      <c r="BB5" s="91"/>
      <c r="BC5" s="92"/>
    </row>
    <row r="6" spans="2:56" x14ac:dyDescent="0.2">
      <c r="B6" s="119"/>
      <c r="BD6" s="94"/>
    </row>
    <row r="7" spans="2:56" x14ac:dyDescent="0.2">
      <c r="B7" s="119"/>
      <c r="AI7">
        <f>(1-(1-p_tp1_1)^$AI$34)</f>
        <v>4.1426483230466715E-6</v>
      </c>
      <c r="AJ7">
        <f>(1-(1-p_tp1_2)^$AI$34)</f>
        <v>5.220197548783112E-6</v>
      </c>
      <c r="AK7">
        <f>(1-(1-p_tp1_3)^$AI$34)</f>
        <v>1.8252066524837574E-12</v>
      </c>
      <c r="AL7">
        <f>(1-(1-p_tp1_4)^$AI$34)</f>
        <v>8.5611530209472875E-7</v>
      </c>
      <c r="AM7">
        <f>(1-(1-p_tp1_5)^$AI$34)</f>
        <v>1.4231948952669882E-12</v>
      </c>
      <c r="AN7">
        <f>(1-(1-p_tp1_6)^$AI$34)</f>
        <v>0</v>
      </c>
      <c r="AO7">
        <f>(1-(1-p_tp1_7)^$AI$34)</f>
        <v>1.4068654076258236E-2</v>
      </c>
      <c r="AP7">
        <f>(1-(1-p_tp1_8)^$AI$34)</f>
        <v>2.7596980115801584E-3</v>
      </c>
      <c r="BD7" s="94"/>
    </row>
    <row r="8" spans="2:56" ht="21" x14ac:dyDescent="0.25">
      <c r="B8" s="119"/>
      <c r="C8" s="13" t="s">
        <v>39</v>
      </c>
      <c r="D8" s="1"/>
      <c r="E8" s="1"/>
      <c r="F8" s="1"/>
      <c r="G8" s="1"/>
      <c r="H8" s="1"/>
      <c r="I8" s="1"/>
      <c r="AH8" s="204" t="s">
        <v>56</v>
      </c>
      <c r="AI8" s="204"/>
      <c r="AJ8" s="204"/>
      <c r="AK8" s="204"/>
      <c r="AL8" s="204"/>
      <c r="AM8" s="204"/>
      <c r="AN8" s="204"/>
      <c r="AO8" s="204"/>
      <c r="AP8" s="204"/>
      <c r="AQ8" s="204"/>
      <c r="AR8" s="204"/>
      <c r="AS8" s="204"/>
      <c r="AT8" s="204"/>
      <c r="AU8" s="204"/>
      <c r="AV8" s="204"/>
      <c r="AW8" s="204"/>
      <c r="AX8" s="204"/>
      <c r="AY8" s="204"/>
      <c r="AZ8" s="204"/>
      <c r="BA8" s="204"/>
      <c r="BD8" s="94"/>
    </row>
    <row r="9" spans="2:56" x14ac:dyDescent="0.2">
      <c r="B9" s="119"/>
      <c r="C9" s="1"/>
      <c r="D9" s="1"/>
      <c r="E9" s="1"/>
      <c r="F9" s="1"/>
      <c r="G9" s="1"/>
      <c r="H9" s="1"/>
      <c r="I9" s="1"/>
      <c r="BD9" s="94"/>
    </row>
    <row r="10" spans="2:56" ht="48" x14ac:dyDescent="0.2">
      <c r="B10" s="119"/>
      <c r="C10" s="99" t="s">
        <v>40</v>
      </c>
      <c r="D10" s="99" t="s">
        <v>41</v>
      </c>
      <c r="E10" s="99" t="str">
        <f>"Drug acquisition cost per treatment cycle" &amp; "("&amp;c_currency&amp;")"</f>
        <v>Drug acquisition cost per treatment cycle(€)</v>
      </c>
      <c r="F10" s="100" t="str">
        <f>"Treatment Cost" &amp; "("&amp;c_currency&amp;")"</f>
        <v>Treatment Cost(€)</v>
      </c>
      <c r="G10" s="202" t="str">
        <f>"ICU Cost" &amp; "("&amp;c_currency&amp;")"</f>
        <v>ICU Cost(€)</v>
      </c>
      <c r="H10" s="203"/>
      <c r="I10" s="99" t="str">
        <f>"Resource Cost" &amp; "("&amp;c_currency&amp;")"</f>
        <v>Resource Cost(€)</v>
      </c>
      <c r="J10" s="99" t="s">
        <v>272</v>
      </c>
      <c r="K10" s="142"/>
      <c r="L10" s="196" t="s">
        <v>34</v>
      </c>
      <c r="M10" s="197"/>
      <c r="N10" s="197"/>
      <c r="O10" s="197"/>
      <c r="P10" s="197"/>
      <c r="Q10" s="197"/>
      <c r="R10" s="197"/>
      <c r="S10" s="197"/>
      <c r="T10" s="198"/>
      <c r="U10" s="1"/>
      <c r="V10" s="1"/>
      <c r="W10" s="196" t="s">
        <v>35</v>
      </c>
      <c r="X10" s="197"/>
      <c r="Y10" s="197"/>
      <c r="Z10" s="197"/>
      <c r="AA10" s="197"/>
      <c r="AB10" s="197"/>
      <c r="AC10" s="197"/>
      <c r="AD10" s="197"/>
      <c r="AE10" s="198"/>
      <c r="AF10" s="12"/>
      <c r="AG10" s="12"/>
      <c r="AH10" s="196" t="s">
        <v>34</v>
      </c>
      <c r="AI10" s="197"/>
      <c r="AJ10" s="197"/>
      <c r="AK10" s="197"/>
      <c r="AL10" s="197"/>
      <c r="AM10" s="197"/>
      <c r="AN10" s="197"/>
      <c r="AO10" s="197"/>
      <c r="AP10" s="198"/>
      <c r="AQ10" s="1"/>
      <c r="AR10" s="1"/>
      <c r="AS10" s="196" t="s">
        <v>35</v>
      </c>
      <c r="AT10" s="197"/>
      <c r="AU10" s="197"/>
      <c r="AV10" s="197"/>
      <c r="AW10" s="197"/>
      <c r="AX10" s="197"/>
      <c r="AY10" s="197"/>
      <c r="AZ10" s="197"/>
      <c r="BA10" s="198"/>
      <c r="BB10" s="142"/>
      <c r="BD10" s="94"/>
    </row>
    <row r="11" spans="2:56" x14ac:dyDescent="0.2">
      <c r="B11" s="119"/>
      <c r="C11" s="14" t="s">
        <v>32</v>
      </c>
      <c r="D11" s="68">
        <v>1</v>
      </c>
      <c r="E11" s="71">
        <f>Parameters!H271+Parameters!H275</f>
        <v>2.1</v>
      </c>
      <c r="F11" s="201">
        <f>p_treatment_cost</f>
        <v>715.01</v>
      </c>
      <c r="G11" s="201">
        <f>p_ICU_cost</f>
        <v>1125.4100000000001</v>
      </c>
      <c r="H11" s="201">
        <f>Parameters!F284*Parameters!F285</f>
        <v>13246.075700000001</v>
      </c>
      <c r="I11" s="201">
        <f>p_Reso_cost</f>
        <v>117.02</v>
      </c>
      <c r="J11" s="201">
        <f>SUM(Parameters!H279:H282)</f>
        <v>150.98000000000002</v>
      </c>
      <c r="K11" s="143"/>
      <c r="L11" s="2"/>
      <c r="M11" s="2" t="s">
        <v>58</v>
      </c>
      <c r="N11" s="2" t="s">
        <v>59</v>
      </c>
      <c r="O11" s="2" t="s">
        <v>60</v>
      </c>
      <c r="P11" s="2" t="s">
        <v>61</v>
      </c>
      <c r="Q11" s="2" t="s">
        <v>62</v>
      </c>
      <c r="R11" s="2" t="s">
        <v>63</v>
      </c>
      <c r="S11" s="2" t="s">
        <v>64</v>
      </c>
      <c r="T11" s="2" t="s">
        <v>65</v>
      </c>
      <c r="U11" s="1"/>
      <c r="V11" s="1"/>
      <c r="W11" s="2"/>
      <c r="X11" s="2" t="s">
        <v>58</v>
      </c>
      <c r="Y11" s="2" t="s">
        <v>59</v>
      </c>
      <c r="Z11" s="2" t="s">
        <v>60</v>
      </c>
      <c r="AA11" s="2" t="s">
        <v>61</v>
      </c>
      <c r="AB11" s="2" t="s">
        <v>62</v>
      </c>
      <c r="AC11" s="2" t="s">
        <v>63</v>
      </c>
      <c r="AD11" s="2" t="s">
        <v>64</v>
      </c>
      <c r="AE11" s="2" t="s">
        <v>65</v>
      </c>
      <c r="AF11" s="1"/>
      <c r="AH11" s="2"/>
      <c r="AI11" s="2" t="s">
        <v>58</v>
      </c>
      <c r="AJ11" s="2" t="s">
        <v>59</v>
      </c>
      <c r="AK11" s="2" t="s">
        <v>60</v>
      </c>
      <c r="AL11" s="2" t="s">
        <v>61</v>
      </c>
      <c r="AM11" s="2" t="s">
        <v>62</v>
      </c>
      <c r="AN11" s="2" t="s">
        <v>63</v>
      </c>
      <c r="AO11" s="2" t="s">
        <v>64</v>
      </c>
      <c r="AP11" s="2" t="s">
        <v>65</v>
      </c>
      <c r="AQ11" s="1"/>
      <c r="AR11" s="1"/>
      <c r="AS11" s="2"/>
      <c r="AT11" s="2" t="s">
        <v>58</v>
      </c>
      <c r="AU11" s="2" t="s">
        <v>59</v>
      </c>
      <c r="AV11" s="2" t="s">
        <v>60</v>
      </c>
      <c r="AW11" s="2" t="s">
        <v>61</v>
      </c>
      <c r="AX11" s="2" t="s">
        <v>62</v>
      </c>
      <c r="AY11" s="2" t="s">
        <v>63</v>
      </c>
      <c r="AZ11" s="2" t="s">
        <v>64</v>
      </c>
      <c r="BA11" s="2" t="s">
        <v>65</v>
      </c>
      <c r="BB11" s="143"/>
      <c r="BD11" s="94"/>
    </row>
    <row r="12" spans="2:56" x14ac:dyDescent="0.2">
      <c r="B12" s="119"/>
      <c r="C12" s="14" t="s">
        <v>33</v>
      </c>
      <c r="D12" s="68">
        <v>1</v>
      </c>
      <c r="E12" s="71">
        <f>Parameters!H272+Parameters!H276</f>
        <v>3.65</v>
      </c>
      <c r="F12" s="201"/>
      <c r="G12" s="201"/>
      <c r="H12" s="201"/>
      <c r="I12" s="201"/>
      <c r="J12" s="201"/>
      <c r="K12" s="143"/>
      <c r="L12" s="2" t="s">
        <v>58</v>
      </c>
      <c r="M12" s="2">
        <f t="shared" ref="M12:T19" si="0">AI12/SUM($AI12:$AP12)</f>
        <v>0.14585766735849745</v>
      </c>
      <c r="N12" s="2">
        <f t="shared" si="0"/>
        <v>0.14619520240036341</v>
      </c>
      <c r="O12" s="2">
        <f t="shared" si="0"/>
        <v>0.12600001412211553</v>
      </c>
      <c r="P12" s="2">
        <f t="shared" si="0"/>
        <v>0.14357621899069178</v>
      </c>
      <c r="Q12" s="2">
        <f t="shared" si="0"/>
        <v>0.12568692613086224</v>
      </c>
      <c r="R12" s="2">
        <f t="shared" si="0"/>
        <v>0</v>
      </c>
      <c r="S12" s="2">
        <f t="shared" si="0"/>
        <v>0.15723576639415657</v>
      </c>
      <c r="T12" s="2">
        <f t="shared" si="0"/>
        <v>0.1554482046033131</v>
      </c>
      <c r="U12" s="1" t="b">
        <f>SUM(M12:T12)=1</f>
        <v>1</v>
      </c>
      <c r="V12" s="1"/>
      <c r="W12" s="2" t="s">
        <v>58</v>
      </c>
      <c r="X12" s="2">
        <f t="shared" ref="X12:AE19" si="1">AT12/SUM($AT12:$BA12)</f>
        <v>0.14363326839880675</v>
      </c>
      <c r="Y12" s="2">
        <f t="shared" si="1"/>
        <v>0.14443571330269944</v>
      </c>
      <c r="Z12" s="2">
        <f t="shared" si="1"/>
        <v>0.13805504560628409</v>
      </c>
      <c r="AA12" s="2">
        <f t="shared" si="1"/>
        <v>0.13875802043266453</v>
      </c>
      <c r="AB12" s="2">
        <f t="shared" si="1"/>
        <v>0.12448654380961879</v>
      </c>
      <c r="AC12" s="2">
        <f t="shared" si="1"/>
        <v>0</v>
      </c>
      <c r="AD12" s="2">
        <f t="shared" si="1"/>
        <v>0.1563212315582837</v>
      </c>
      <c r="AE12" s="2">
        <f t="shared" si="1"/>
        <v>0.15431017689164264</v>
      </c>
      <c r="AF12" s="1" t="b">
        <f>SUM(X12:AE12)=1</f>
        <v>1</v>
      </c>
      <c r="AG12" s="1"/>
      <c r="AH12" s="2" t="s">
        <v>58</v>
      </c>
      <c r="AI12" s="2">
        <f>p_tp1_1^AI34</f>
        <v>0.92506423418857375</v>
      </c>
      <c r="AJ12" s="2">
        <f>p_tp1_2^AI34</f>
        <v>0.92720496220562121</v>
      </c>
      <c r="AK12" s="2">
        <f>p_tp1_3^$AI$34</f>
        <v>0.79912224487411398</v>
      </c>
      <c r="AL12" s="2">
        <f>p_tp1_4^$AI$34</f>
        <v>0.91059474262583229</v>
      </c>
      <c r="AM12" s="2">
        <f>p_tp1_5^$AI$34</f>
        <v>0.79713656590291193</v>
      </c>
      <c r="AN12" s="2">
        <f>p_tp1_6^$AI$34</f>
        <v>0</v>
      </c>
      <c r="AO12" s="2">
        <f>p_tp1_7^$AI$34</f>
        <v>0.99722686136862881</v>
      </c>
      <c r="AP12" s="2">
        <f>p_tp1_8^$AI$34</f>
        <v>0.98588971667779113</v>
      </c>
      <c r="AQ12" s="1"/>
      <c r="AR12" s="1"/>
      <c r="AS12" s="2" t="s">
        <v>58</v>
      </c>
      <c r="AT12" s="2">
        <f>p_tp_CHG4_1_1^$AI$34</f>
        <v>0.9166078388565202</v>
      </c>
      <c r="AU12" s="2">
        <f>p_tp_CHG4_1_2^$AI$34</f>
        <v>0.92172870881483837</v>
      </c>
      <c r="AV12" s="2">
        <f>p_tp_CHG4_1_3^$AI$34</f>
        <v>0.88100993876336298</v>
      </c>
      <c r="AW12" s="2">
        <f>p_tp_CHG4_1_4^$AI$34</f>
        <v>0.88549603201712102</v>
      </c>
      <c r="AX12" s="2">
        <f>p_tp_CHG4_1_5^$AI$34</f>
        <v>0.794421398051262</v>
      </c>
      <c r="AY12" s="2">
        <f>p_tp_CHG4_1_6^$AI$34</f>
        <v>0</v>
      </c>
      <c r="AZ12" s="2">
        <f>p_tp_CHG4_1_7^$AI$34</f>
        <v>0.99757714785259632</v>
      </c>
      <c r="BA12" s="2">
        <f>p_tp_CHG4_1_8^$AI$34</f>
        <v>0.98474343256949071</v>
      </c>
      <c r="BB12" s="143"/>
      <c r="BD12" s="94"/>
    </row>
    <row r="13" spans="2:56" x14ac:dyDescent="0.2">
      <c r="B13" s="119"/>
      <c r="C13" s="14" t="s">
        <v>34</v>
      </c>
      <c r="D13" s="68">
        <v>1</v>
      </c>
      <c r="E13" s="71">
        <f>Parameters!H273+Parameters!H277</f>
        <v>3.5700000000000003</v>
      </c>
      <c r="F13" s="201"/>
      <c r="G13" s="201"/>
      <c r="H13" s="201"/>
      <c r="I13" s="201"/>
      <c r="J13" s="201"/>
      <c r="K13" s="143"/>
      <c r="L13" s="2" t="s">
        <v>59</v>
      </c>
      <c r="M13" s="2">
        <f t="shared" si="0"/>
        <v>0.14574616732979537</v>
      </c>
      <c r="N13" s="2">
        <f t="shared" si="0"/>
        <v>0.14610548328388626</v>
      </c>
      <c r="O13" s="2">
        <f t="shared" si="0"/>
        <v>0.12590632131685628</v>
      </c>
      <c r="P13" s="2">
        <f t="shared" si="0"/>
        <v>0.14402707535394746</v>
      </c>
      <c r="Q13" s="2">
        <f t="shared" si="0"/>
        <v>0.12560199792549337</v>
      </c>
      <c r="R13" s="2">
        <f t="shared" si="0"/>
        <v>0</v>
      </c>
      <c r="S13" s="2">
        <f t="shared" si="0"/>
        <v>0.15689075575021821</v>
      </c>
      <c r="T13" s="2">
        <f t="shared" si="0"/>
        <v>0.15572219903980314</v>
      </c>
      <c r="U13" s="1" t="b">
        <f t="shared" ref="U13:U19" si="2">SUM(M13:T13)=1</f>
        <v>1</v>
      </c>
      <c r="V13" s="1"/>
      <c r="W13" s="2" t="s">
        <v>59</v>
      </c>
      <c r="X13" s="2">
        <f t="shared" si="1"/>
        <v>0.14362856988346376</v>
      </c>
      <c r="Y13" s="2">
        <f t="shared" si="1"/>
        <v>0.14443011127300984</v>
      </c>
      <c r="Z13" s="2">
        <f t="shared" si="1"/>
        <v>0.138049869401206</v>
      </c>
      <c r="AA13" s="2">
        <f t="shared" si="1"/>
        <v>0.13879599230660408</v>
      </c>
      <c r="AB13" s="2">
        <f t="shared" si="1"/>
        <v>0.12448179642841431</v>
      </c>
      <c r="AC13" s="2">
        <f t="shared" si="1"/>
        <v>0</v>
      </c>
      <c r="AD13" s="2">
        <f t="shared" si="1"/>
        <v>0.15604937174368044</v>
      </c>
      <c r="AE13" s="2">
        <f t="shared" si="1"/>
        <v>0.15456428896362159</v>
      </c>
      <c r="AF13" s="1" t="b">
        <f t="shared" ref="AF13:AF19" si="3">SUM(X13:AE13)=1</f>
        <v>1</v>
      </c>
      <c r="AG13" s="1"/>
      <c r="AH13" s="2" t="s">
        <v>59</v>
      </c>
      <c r="AI13" s="2">
        <f>p_tp2_1^$AI$34</f>
        <v>0.92536163903856239</v>
      </c>
      <c r="AJ13" s="2">
        <f>p_tp2_2^$AI$34</f>
        <v>0.92764298342175888</v>
      </c>
      <c r="AK13" s="2">
        <f>p_tp2_3^$AI$34</f>
        <v>0.79939583999793939</v>
      </c>
      <c r="AL13" s="2">
        <f>p_tp2_4^$AI$34</f>
        <v>0.91444689735050799</v>
      </c>
      <c r="AM13" s="2">
        <f>p_tp2_5^$AI$34</f>
        <v>0.7974636506485473</v>
      </c>
      <c r="AN13" s="2">
        <f>p_tp2_6^$AI$34</f>
        <v>0</v>
      </c>
      <c r="AO13" s="2">
        <f>p_tp2_7^$AI$34</f>
        <v>0.99612010079486268</v>
      </c>
      <c r="AP13" s="2">
        <f>p_tp2_8^$AI$34</f>
        <v>0.98870078011789186</v>
      </c>
      <c r="AQ13" s="1"/>
      <c r="AR13" s="1"/>
      <c r="AS13" s="2" t="s">
        <v>59</v>
      </c>
      <c r="AT13" s="2">
        <f>p_tp_CHG4_2_1^$AI$34</f>
        <v>0.91741153693649669</v>
      </c>
      <c r="AU13" s="2">
        <f>p_tp_CHG4_2_2^$AI$34</f>
        <v>0.92253129353296159</v>
      </c>
      <c r="AV13" s="2">
        <f>p_tp_CHG4_2_3^$AI$34</f>
        <v>0.88177820724666534</v>
      </c>
      <c r="AW13" s="2">
        <f>p_tp_CHG4_2_4^$AI$34</f>
        <v>0.88654398443110816</v>
      </c>
      <c r="AX13" s="2">
        <f>p_tp_CHG4_2_5^$AI$34</f>
        <v>0.79511364817366936</v>
      </c>
      <c r="AY13" s="2">
        <f>p_tp_CHG4_2_6^$AI$34</f>
        <v>0</v>
      </c>
      <c r="AZ13" s="2">
        <f>p_tp_CHG4_2_7^$AI$34</f>
        <v>0.99674802920826866</v>
      </c>
      <c r="BA13" s="2">
        <f>p_tp_CHG4_2_8^$AI$34</f>
        <v>0.98726222790260121</v>
      </c>
      <c r="BB13" s="143"/>
      <c r="BD13" s="94"/>
    </row>
    <row r="14" spans="2:56" x14ac:dyDescent="0.2">
      <c r="B14" s="119"/>
      <c r="C14" s="14" t="s">
        <v>35</v>
      </c>
      <c r="D14" s="68">
        <v>1</v>
      </c>
      <c r="E14" s="71">
        <f>Parameters!H274+Parameters!H278</f>
        <v>4.97</v>
      </c>
      <c r="F14" s="201"/>
      <c r="G14" s="201"/>
      <c r="H14" s="201"/>
      <c r="I14" s="201"/>
      <c r="J14" s="201"/>
      <c r="K14" s="143"/>
      <c r="L14" s="2" t="s">
        <v>60</v>
      </c>
      <c r="M14" s="2">
        <f t="shared" si="0"/>
        <v>0</v>
      </c>
      <c r="N14" s="2">
        <f t="shared" si="0"/>
        <v>0</v>
      </c>
      <c r="O14" s="2">
        <f t="shared" si="0"/>
        <v>0</v>
      </c>
      <c r="P14" s="2">
        <f t="shared" si="0"/>
        <v>0</v>
      </c>
      <c r="Q14" s="2">
        <f t="shared" si="0"/>
        <v>0</v>
      </c>
      <c r="R14" s="2">
        <f t="shared" si="0"/>
        <v>0</v>
      </c>
      <c r="S14" s="2">
        <f t="shared" si="0"/>
        <v>1</v>
      </c>
      <c r="T14" s="2">
        <f t="shared" si="0"/>
        <v>0</v>
      </c>
      <c r="U14" s="1" t="b">
        <f t="shared" si="2"/>
        <v>1</v>
      </c>
      <c r="V14" s="1"/>
      <c r="W14" s="2" t="s">
        <v>60</v>
      </c>
      <c r="X14" s="2">
        <f t="shared" si="1"/>
        <v>0.14373444424449225</v>
      </c>
      <c r="Y14" s="2">
        <f t="shared" si="1"/>
        <v>0.14453737787818799</v>
      </c>
      <c r="Z14" s="2">
        <f t="shared" si="1"/>
        <v>0.13822303819224624</v>
      </c>
      <c r="AA14" s="2">
        <f t="shared" si="1"/>
        <v>0.13879395582254647</v>
      </c>
      <c r="AB14" s="2">
        <f t="shared" si="1"/>
        <v>0.12456834991424079</v>
      </c>
      <c r="AC14" s="2">
        <f t="shared" si="1"/>
        <v>0</v>
      </c>
      <c r="AD14" s="2">
        <f t="shared" si="1"/>
        <v>0.15671281427125655</v>
      </c>
      <c r="AE14" s="2">
        <f t="shared" si="1"/>
        <v>0.15343001967702974</v>
      </c>
      <c r="AF14" s="1" t="b">
        <f t="shared" si="3"/>
        <v>1</v>
      </c>
      <c r="AG14" s="1"/>
      <c r="AH14" s="2" t="s">
        <v>60</v>
      </c>
      <c r="AI14" s="2">
        <f>p_tp3_1^$AI$34</f>
        <v>0</v>
      </c>
      <c r="AJ14" s="2">
        <f>p_tp3_2^$AI$34</f>
        <v>0</v>
      </c>
      <c r="AK14" s="2">
        <f>p_tp3_3^$AI$34</f>
        <v>0</v>
      </c>
      <c r="AL14" s="2">
        <f>p_tp3_4^$AI$34</f>
        <v>0</v>
      </c>
      <c r="AM14" s="2">
        <f>p_tp3_5^$AI$34</f>
        <v>0</v>
      </c>
      <c r="AN14" s="2">
        <f>p_tp3_6^$AI$34</f>
        <v>0</v>
      </c>
      <c r="AO14" s="2">
        <f>p_tp3_7^$AI$34</f>
        <v>1</v>
      </c>
      <c r="AP14" s="2">
        <f>p_tp3_8^$AI$34</f>
        <v>0</v>
      </c>
      <c r="AQ14" s="1"/>
      <c r="AR14" s="1"/>
      <c r="AS14" s="2" t="s">
        <v>60</v>
      </c>
      <c r="AT14" s="2">
        <f>p_tp_CHG4_3_1^$AI$34</f>
        <v>0.91613769414821411</v>
      </c>
      <c r="AU14" s="2">
        <f>p_tp_CHG4_3_2^$AI$34</f>
        <v>0.92125544982323393</v>
      </c>
      <c r="AV14" s="2">
        <f>p_tp_CHG4_3_3^$AI$34</f>
        <v>0.88100897563707925</v>
      </c>
      <c r="AW14" s="2">
        <f>p_tp_CHG4_3_4^$AI$34</f>
        <v>0.88464790271625693</v>
      </c>
      <c r="AX14" s="2">
        <f>p_tp_CHG4_3_5^$AI$34</f>
        <v>0.7939764296173808</v>
      </c>
      <c r="AY14" s="2">
        <f>p_tp_CHG4_3_6^$AI$34</f>
        <v>0</v>
      </c>
      <c r="AZ14" s="2">
        <f>p_tp_CHG4_3_7^$AI$34</f>
        <v>0.99885950834257176</v>
      </c>
      <c r="BA14" s="2">
        <f>p_tp_CHG4_3_8^$AI$34</f>
        <v>0.97793556150626981</v>
      </c>
      <c r="BB14" s="143"/>
      <c r="BD14" s="94"/>
    </row>
    <row r="15" spans="2:56" x14ac:dyDescent="0.2">
      <c r="B15" s="119"/>
      <c r="C15" s="36"/>
      <c r="D15" s="12"/>
      <c r="E15" s="144"/>
      <c r="F15" s="143"/>
      <c r="G15" s="143"/>
      <c r="H15" s="143"/>
      <c r="I15" s="143"/>
      <c r="J15" s="143"/>
      <c r="K15" s="143"/>
      <c r="L15" s="2" t="s">
        <v>61</v>
      </c>
      <c r="M15" s="2">
        <f t="shared" si="0"/>
        <v>0.14656537618523291</v>
      </c>
      <c r="N15" s="2">
        <f t="shared" si="0"/>
        <v>0.14749645753134186</v>
      </c>
      <c r="O15" s="2">
        <f t="shared" si="0"/>
        <v>0.12669414578980392</v>
      </c>
      <c r="P15" s="2">
        <f t="shared" si="0"/>
        <v>0.14837783248681818</v>
      </c>
      <c r="Q15" s="2">
        <f t="shared" si="0"/>
        <v>0.12661910106343158</v>
      </c>
      <c r="R15" s="2">
        <f t="shared" si="0"/>
        <v>0</v>
      </c>
      <c r="S15" s="2">
        <f t="shared" si="0"/>
        <v>0.15268857951817191</v>
      </c>
      <c r="T15" s="2">
        <f t="shared" si="0"/>
        <v>0.15155850742519952</v>
      </c>
      <c r="U15" s="1" t="b">
        <f t="shared" si="2"/>
        <v>1</v>
      </c>
      <c r="V15" s="1"/>
      <c r="W15" s="2" t="s">
        <v>61</v>
      </c>
      <c r="X15" s="2">
        <f t="shared" si="1"/>
        <v>0.14403792671930277</v>
      </c>
      <c r="Y15" s="2">
        <f t="shared" si="1"/>
        <v>0.14475096656227329</v>
      </c>
      <c r="Z15" s="2">
        <f t="shared" si="1"/>
        <v>0.13817264052338518</v>
      </c>
      <c r="AA15" s="2">
        <f t="shared" si="1"/>
        <v>0.14116104840300592</v>
      </c>
      <c r="AB15" s="2">
        <f t="shared" si="1"/>
        <v>0.12472385788914267</v>
      </c>
      <c r="AC15" s="2">
        <f t="shared" si="1"/>
        <v>0</v>
      </c>
      <c r="AD15" s="2">
        <f t="shared" si="1"/>
        <v>0.15457117904545525</v>
      </c>
      <c r="AE15" s="2">
        <f t="shared" si="1"/>
        <v>0.15258238085743497</v>
      </c>
      <c r="AF15" s="1" t="b">
        <f t="shared" si="3"/>
        <v>1</v>
      </c>
      <c r="AG15" s="1"/>
      <c r="AH15" s="2" t="s">
        <v>61</v>
      </c>
      <c r="AI15" s="2">
        <f>p_tp4_1^$AI$34</f>
        <v>0.95551103925539393</v>
      </c>
      <c r="AJ15" s="2">
        <f>p_tp4_2^$AI$34</f>
        <v>0.96158108477233439</v>
      </c>
      <c r="AK15" s="2">
        <f>p_tp4_3^$AI$34</f>
        <v>0.82596352605266277</v>
      </c>
      <c r="AL15" s="2">
        <f>p_tp4_4^AI$34</f>
        <v>0.96732707691318287</v>
      </c>
      <c r="AM15" s="2">
        <f>p_tp4_5^$AI$34</f>
        <v>0.82547428318812666</v>
      </c>
      <c r="AN15" s="2">
        <f>p_tp4_6^$AI$34</f>
        <v>0</v>
      </c>
      <c r="AO15" s="2">
        <f>p_tp4_7^$AI$34</f>
        <v>0.99543034716092715</v>
      </c>
      <c r="AP15" s="2">
        <f>p_tp4_8^$AI$34</f>
        <v>0.98806301124507701</v>
      </c>
      <c r="AQ15" s="1"/>
      <c r="AR15" s="1"/>
      <c r="AS15" s="2" t="s">
        <v>61</v>
      </c>
      <c r="AT15" s="2">
        <f>p_tp_CHG4_4_1^$AI$34</f>
        <v>0.9295844053873682</v>
      </c>
      <c r="AU15" s="2">
        <f>p_tp_CHG4_4_2^$AI$34</f>
        <v>0.93418618447112967</v>
      </c>
      <c r="AV15" s="2">
        <f>p_tp_CHG4_4_3^$AI$34</f>
        <v>0.89173132942992228</v>
      </c>
      <c r="AW15" s="2">
        <f>p_tp_CHG4_4_4^$AI$34</f>
        <v>0.91101775922730355</v>
      </c>
      <c r="AX15" s="2">
        <f>p_tp_CHG4_4_5^$AI$34</f>
        <v>0.80493628250731963</v>
      </c>
      <c r="AY15" s="2">
        <f>p_tp_CHG4_4_6^$AI$34</f>
        <v>0</v>
      </c>
      <c r="AZ15" s="2">
        <f>p_tp_CHG4_4_7^$AI$34</f>
        <v>0.99756335595559642</v>
      </c>
      <c r="BA15" s="2">
        <f>p_tp_CHG4_4_8^$AI$34</f>
        <v>0.98472815467802521</v>
      </c>
      <c r="BB15" s="143"/>
      <c r="BD15" s="94"/>
    </row>
    <row r="16" spans="2:56" x14ac:dyDescent="0.2">
      <c r="B16" s="119"/>
      <c r="C16" s="36"/>
      <c r="D16" s="12"/>
      <c r="E16" s="144"/>
      <c r="F16" s="143"/>
      <c r="G16" s="143"/>
      <c r="H16" s="143"/>
      <c r="I16" s="143"/>
      <c r="J16" s="143"/>
      <c r="K16" s="143"/>
      <c r="L16" s="2" t="s">
        <v>62</v>
      </c>
      <c r="M16" s="2">
        <f t="shared" si="0"/>
        <v>0</v>
      </c>
      <c r="N16" s="2">
        <f t="shared" si="0"/>
        <v>0</v>
      </c>
      <c r="O16" s="2">
        <f t="shared" si="0"/>
        <v>0</v>
      </c>
      <c r="P16" s="2">
        <f t="shared" si="0"/>
        <v>0</v>
      </c>
      <c r="Q16" s="2">
        <f t="shared" si="0"/>
        <v>0</v>
      </c>
      <c r="R16" s="2">
        <f t="shared" si="0"/>
        <v>1</v>
      </c>
      <c r="S16" s="2">
        <f t="shared" si="0"/>
        <v>0</v>
      </c>
      <c r="T16" s="2">
        <f t="shared" si="0"/>
        <v>0</v>
      </c>
      <c r="U16" s="1" t="b">
        <f t="shared" si="2"/>
        <v>1</v>
      </c>
      <c r="V16" s="1"/>
      <c r="W16" s="2" t="s">
        <v>62</v>
      </c>
      <c r="X16" s="2">
        <f t="shared" si="1"/>
        <v>0</v>
      </c>
      <c r="Y16" s="2">
        <f t="shared" si="1"/>
        <v>0</v>
      </c>
      <c r="Z16" s="2">
        <f t="shared" si="1"/>
        <v>0</v>
      </c>
      <c r="AA16" s="2">
        <f t="shared" si="1"/>
        <v>0</v>
      </c>
      <c r="AB16" s="2">
        <f t="shared" si="1"/>
        <v>0</v>
      </c>
      <c r="AC16" s="2">
        <f t="shared" si="1"/>
        <v>1</v>
      </c>
      <c r="AD16" s="2">
        <f t="shared" si="1"/>
        <v>0</v>
      </c>
      <c r="AE16" s="2">
        <f t="shared" si="1"/>
        <v>0</v>
      </c>
      <c r="AF16" s="1" t="b">
        <f t="shared" si="3"/>
        <v>1</v>
      </c>
      <c r="AG16" s="1"/>
      <c r="AH16" s="2" t="s">
        <v>62</v>
      </c>
      <c r="AI16" s="2">
        <f>p_tp5_1^$AI$34</f>
        <v>0</v>
      </c>
      <c r="AJ16" s="2">
        <f>p_tp5_2^$AI$34</f>
        <v>0</v>
      </c>
      <c r="AK16" s="2">
        <f>p_tp5_3^$AI$34</f>
        <v>0</v>
      </c>
      <c r="AL16" s="2">
        <f>p_tp5_4^$AI$34</f>
        <v>0</v>
      </c>
      <c r="AM16" s="2">
        <f>p_tp5_5^$AI$34</f>
        <v>0</v>
      </c>
      <c r="AN16" s="2">
        <f>p_tp5_6^$AI$34</f>
        <v>1</v>
      </c>
      <c r="AO16" s="2">
        <f>p_tp5_7^$AI$34</f>
        <v>0</v>
      </c>
      <c r="AP16" s="2">
        <f>p_tp5_8^$AI$34</f>
        <v>0</v>
      </c>
      <c r="AQ16" s="1"/>
      <c r="AR16" s="1"/>
      <c r="AS16" s="2" t="s">
        <v>62</v>
      </c>
      <c r="AT16" s="2">
        <f>p_tp_CHG4_5_1^$AI$34</f>
        <v>0</v>
      </c>
      <c r="AU16" s="2">
        <f>p_tp_CHG4_5_2^$AI$34</f>
        <v>0</v>
      </c>
      <c r="AV16" s="2">
        <f>p_tp_CHG4_5_3^$AI$34</f>
        <v>0</v>
      </c>
      <c r="AW16" s="2">
        <f>p_tp_CHG4_5_4^$AI$34</f>
        <v>0</v>
      </c>
      <c r="AX16" s="2">
        <f>p_tp_CHG4_5_5^$AI$34</f>
        <v>0</v>
      </c>
      <c r="AY16" s="2">
        <f>p_tp_CHG4_5_6^$AI$34</f>
        <v>1</v>
      </c>
      <c r="AZ16" s="2">
        <f>p_tp_CHG4_5_7^$AI$34</f>
        <v>0</v>
      </c>
      <c r="BA16" s="2">
        <f>p_tp_CHG4_5_8^$AI$34</f>
        <v>0</v>
      </c>
      <c r="BB16" s="143"/>
      <c r="BD16" s="94"/>
    </row>
    <row r="17" spans="2:56" x14ac:dyDescent="0.2">
      <c r="B17" s="119"/>
      <c r="C17" s="36"/>
      <c r="D17" s="12"/>
      <c r="E17" s="144"/>
      <c r="F17" s="143"/>
      <c r="G17" s="143"/>
      <c r="H17" s="143"/>
      <c r="I17" s="143"/>
      <c r="J17" s="143"/>
      <c r="K17" s="143"/>
      <c r="L17" s="2" t="s">
        <v>63</v>
      </c>
      <c r="M17" s="2">
        <f t="shared" si="0"/>
        <v>0.14319039080789348</v>
      </c>
      <c r="N17" s="2">
        <f t="shared" si="0"/>
        <v>0.14352011154454516</v>
      </c>
      <c r="O17" s="2">
        <f t="shared" si="0"/>
        <v>0.12369571723679942</v>
      </c>
      <c r="P17" s="2">
        <f t="shared" si="0"/>
        <v>0.14089928205967481</v>
      </c>
      <c r="Q17" s="2">
        <f t="shared" si="0"/>
        <v>0</v>
      </c>
      <c r="R17" s="2">
        <f t="shared" si="0"/>
        <v>0.14080166304054997</v>
      </c>
      <c r="S17" s="2">
        <f t="shared" si="0"/>
        <v>0.15482050084230375</v>
      </c>
      <c r="T17" s="2">
        <f t="shared" si="0"/>
        <v>0.1530723344682334</v>
      </c>
      <c r="U17" s="1" t="b">
        <f t="shared" si="2"/>
        <v>1</v>
      </c>
      <c r="V17" s="1"/>
      <c r="W17" s="2" t="s">
        <v>63</v>
      </c>
      <c r="X17" s="2">
        <f t="shared" si="1"/>
        <v>0.14117413600604137</v>
      </c>
      <c r="Y17" s="2">
        <f t="shared" si="1"/>
        <v>0.14196472936933308</v>
      </c>
      <c r="Z17" s="2">
        <f t="shared" si="1"/>
        <v>0.13574206309475886</v>
      </c>
      <c r="AA17" s="2">
        <f t="shared" si="1"/>
        <v>0.13626160283333574</v>
      </c>
      <c r="AB17" s="2">
        <f t="shared" si="1"/>
        <v>0</v>
      </c>
      <c r="AC17" s="2">
        <f t="shared" si="1"/>
        <v>0.14099710330386142</v>
      </c>
      <c r="AD17" s="2">
        <f t="shared" si="1"/>
        <v>0.15322910132513315</v>
      </c>
      <c r="AE17" s="2">
        <f t="shared" si="1"/>
        <v>0.15063126406753632</v>
      </c>
      <c r="AF17" s="1" t="b">
        <f t="shared" si="3"/>
        <v>1</v>
      </c>
      <c r="AG17" s="1"/>
      <c r="AH17" s="2" t="s">
        <v>63</v>
      </c>
      <c r="AI17" s="2">
        <f>p_tp6_1^$AI$34</f>
        <v>0.9222997193481034</v>
      </c>
      <c r="AJ17" s="2">
        <f>p_tp6_2^$AI$34</f>
        <v>0.92442347458867058</v>
      </c>
      <c r="AK17" s="2">
        <f>p_tp6_3^$AI$34</f>
        <v>0.79673310931262209</v>
      </c>
      <c r="AL17" s="2">
        <f>p_tp6_4^$AI$34</f>
        <v>0.90754252130181134</v>
      </c>
      <c r="AM17" s="2">
        <f>p_tp6_5^$AI$34</f>
        <v>0</v>
      </c>
      <c r="AN17" s="2">
        <f>p_tp6_6^$AI$34</f>
        <v>0.90691375010121678</v>
      </c>
      <c r="AO17" s="2">
        <f>p_tp6_7^$AI$34</f>
        <v>0.9972101037684864</v>
      </c>
      <c r="AP17" s="2">
        <f>p_tp6_8^$AI$34</f>
        <v>0.98595003703438533</v>
      </c>
      <c r="AQ17" s="1"/>
      <c r="AR17" s="1"/>
      <c r="AS17" s="2" t="s">
        <v>63</v>
      </c>
      <c r="AT17" s="2">
        <f>p_tp_CHG4_6_1^$AI$34</f>
        <v>0.91978875494934598</v>
      </c>
      <c r="AU17" s="2">
        <f>p_tp_CHG4_6_2^$AI$34</f>
        <v>0.92493969056592507</v>
      </c>
      <c r="AV17" s="2">
        <f>p_tp_CHG4_6_3^$AI$34</f>
        <v>0.88439728933663075</v>
      </c>
      <c r="AW17" s="2">
        <f>p_tp_CHG4_6_4^$AI$34</f>
        <v>0.88778223521136157</v>
      </c>
      <c r="AX17" s="2">
        <f>p_tp_CHG4_6_5^$AI$34</f>
        <v>0</v>
      </c>
      <c r="AY17" s="2">
        <f>p_tp_CHG4_6_6^$AI$34</f>
        <v>0.91863533766392735</v>
      </c>
      <c r="AZ17" s="2">
        <f>p_tp_CHG4_6_7^$AI$34</f>
        <v>0.99833020634757152</v>
      </c>
      <c r="BA17" s="2">
        <f>p_tp_CHG4_6_8^$AI$34</f>
        <v>0.98140457418628269</v>
      </c>
      <c r="BB17" s="143"/>
      <c r="BD17" s="94"/>
    </row>
    <row r="18" spans="2:56" x14ac:dyDescent="0.2">
      <c r="B18" s="119"/>
      <c r="C18" s="36"/>
      <c r="D18" s="12"/>
      <c r="E18" s="144"/>
      <c r="F18" s="143"/>
      <c r="G18" s="143"/>
      <c r="H18" s="143"/>
      <c r="I18" s="143"/>
      <c r="J18" s="143"/>
      <c r="K18" s="143"/>
      <c r="L18" s="2" t="s">
        <v>64</v>
      </c>
      <c r="M18" s="2">
        <f t="shared" si="0"/>
        <v>0</v>
      </c>
      <c r="N18" s="2">
        <f t="shared" si="0"/>
        <v>0</v>
      </c>
      <c r="O18" s="2">
        <f t="shared" si="0"/>
        <v>0</v>
      </c>
      <c r="P18" s="2">
        <f t="shared" si="0"/>
        <v>0</v>
      </c>
      <c r="Q18" s="2">
        <f t="shared" si="0"/>
        <v>0</v>
      </c>
      <c r="R18" s="2">
        <f t="shared" si="0"/>
        <v>0</v>
      </c>
      <c r="S18" s="2">
        <f t="shared" si="0"/>
        <v>1</v>
      </c>
      <c r="T18" s="2">
        <f t="shared" si="0"/>
        <v>0</v>
      </c>
      <c r="U18" s="1" t="b">
        <f t="shared" si="2"/>
        <v>1</v>
      </c>
      <c r="V18" s="1"/>
      <c r="W18" s="2" t="s">
        <v>64</v>
      </c>
      <c r="X18" s="2">
        <f t="shared" si="1"/>
        <v>0</v>
      </c>
      <c r="Y18" s="2">
        <f t="shared" si="1"/>
        <v>0</v>
      </c>
      <c r="Z18" s="2">
        <f t="shared" si="1"/>
        <v>0</v>
      </c>
      <c r="AA18" s="2">
        <f t="shared" si="1"/>
        <v>0</v>
      </c>
      <c r="AB18" s="2">
        <f t="shared" si="1"/>
        <v>0</v>
      </c>
      <c r="AC18" s="2">
        <f t="shared" si="1"/>
        <v>0</v>
      </c>
      <c r="AD18" s="2">
        <f t="shared" si="1"/>
        <v>1</v>
      </c>
      <c r="AE18" s="2">
        <f t="shared" si="1"/>
        <v>0</v>
      </c>
      <c r="AF18" s="1" t="b">
        <f t="shared" si="3"/>
        <v>1</v>
      </c>
      <c r="AG18" s="1"/>
      <c r="AH18" s="2" t="s">
        <v>64</v>
      </c>
      <c r="AI18" s="2">
        <f>p_tp7_1^$AI$34</f>
        <v>0</v>
      </c>
      <c r="AJ18" s="2">
        <f>p_tp7_2^$AI$34</f>
        <v>0</v>
      </c>
      <c r="AK18" s="2">
        <f>p_tp7_3^$AI$34</f>
        <v>0</v>
      </c>
      <c r="AL18" s="2">
        <f>p_tp7_4^$AI$34</f>
        <v>0</v>
      </c>
      <c r="AM18" s="2">
        <f>p_tp7_5^$AI$34</f>
        <v>0</v>
      </c>
      <c r="AN18" s="2">
        <f>p_tp7_6^$AI$34</f>
        <v>0</v>
      </c>
      <c r="AO18" s="2">
        <f>p_tp7_7^$AI$34</f>
        <v>1</v>
      </c>
      <c r="AP18" s="2">
        <f>p_tp7_8^$AI$34</f>
        <v>0</v>
      </c>
      <c r="AQ18" s="1"/>
      <c r="AR18" s="1"/>
      <c r="AS18" s="2" t="s">
        <v>64</v>
      </c>
      <c r="AT18" s="2">
        <f>p_tp_CHG4_7_1^$AI$34</f>
        <v>0</v>
      </c>
      <c r="AU18" s="2">
        <f>p_tp_CHG4_7_2^$AI$34</f>
        <v>0</v>
      </c>
      <c r="AV18" s="2">
        <f>p_tp_CHG4_7_3^$AI$34</f>
        <v>0</v>
      </c>
      <c r="AW18" s="2">
        <f>p_tp_CHG4_7_4^$AI$34</f>
        <v>0</v>
      </c>
      <c r="AX18" s="2">
        <f>p_tp_CHG4_7_5^$AI$34</f>
        <v>0</v>
      </c>
      <c r="AY18" s="2">
        <f>p_tp_CHG4_7_6^$AI$34</f>
        <v>0</v>
      </c>
      <c r="AZ18" s="2">
        <f>p_tp_CHG4_7_7^$AI$34</f>
        <v>1</v>
      </c>
      <c r="BA18" s="2">
        <f>p_tp_CHG4_7_8^$AI$34</f>
        <v>0</v>
      </c>
      <c r="BB18" s="143"/>
      <c r="BD18" s="94"/>
    </row>
    <row r="19" spans="2:56" x14ac:dyDescent="0.2">
      <c r="B19" s="119"/>
      <c r="C19" s="36"/>
      <c r="D19" s="12"/>
      <c r="E19" s="144"/>
      <c r="F19" s="143"/>
      <c r="G19" s="143"/>
      <c r="H19" s="143"/>
      <c r="I19" s="143"/>
      <c r="J19" s="143"/>
      <c r="K19" s="143"/>
      <c r="L19" s="2" t="s">
        <v>65</v>
      </c>
      <c r="M19" s="2">
        <f t="shared" si="0"/>
        <v>0</v>
      </c>
      <c r="N19" s="2">
        <f t="shared" si="0"/>
        <v>0</v>
      </c>
      <c r="O19" s="2">
        <f t="shared" si="0"/>
        <v>0</v>
      </c>
      <c r="P19" s="2">
        <f t="shared" si="0"/>
        <v>0</v>
      </c>
      <c r="Q19" s="2">
        <f t="shared" si="0"/>
        <v>0</v>
      </c>
      <c r="R19" s="2">
        <f t="shared" si="0"/>
        <v>0</v>
      </c>
      <c r="S19" s="2">
        <f t="shared" si="0"/>
        <v>0</v>
      </c>
      <c r="T19" s="2">
        <f t="shared" si="0"/>
        <v>1</v>
      </c>
      <c r="U19" s="1" t="b">
        <f t="shared" si="2"/>
        <v>1</v>
      </c>
      <c r="V19" s="1"/>
      <c r="W19" s="2" t="s">
        <v>65</v>
      </c>
      <c r="X19" s="2">
        <f t="shared" si="1"/>
        <v>0</v>
      </c>
      <c r="Y19" s="2">
        <f t="shared" si="1"/>
        <v>0</v>
      </c>
      <c r="Z19" s="2">
        <f t="shared" si="1"/>
        <v>0</v>
      </c>
      <c r="AA19" s="2">
        <f t="shared" si="1"/>
        <v>0</v>
      </c>
      <c r="AB19" s="2">
        <f t="shared" si="1"/>
        <v>0</v>
      </c>
      <c r="AC19" s="2">
        <f t="shared" si="1"/>
        <v>0</v>
      </c>
      <c r="AD19" s="2">
        <f t="shared" si="1"/>
        <v>0</v>
      </c>
      <c r="AE19" s="2">
        <f t="shared" si="1"/>
        <v>1</v>
      </c>
      <c r="AF19" s="1" t="b">
        <f t="shared" si="3"/>
        <v>1</v>
      </c>
      <c r="AG19" s="1"/>
      <c r="AH19" s="2" t="s">
        <v>65</v>
      </c>
      <c r="AI19" s="2">
        <f>p_tp8_1^$AI$34</f>
        <v>0</v>
      </c>
      <c r="AJ19" s="2">
        <f>p_tp8_2^$AI$34</f>
        <v>0</v>
      </c>
      <c r="AK19" s="2">
        <f>p_tp8_3^$AI$34</f>
        <v>0</v>
      </c>
      <c r="AL19" s="2">
        <f>p_tp8_4^$AI$34</f>
        <v>0</v>
      </c>
      <c r="AM19" s="2">
        <f>p_tp8_5^$AI$34</f>
        <v>0</v>
      </c>
      <c r="AN19" s="2">
        <f>p_tp8_6^$AI$34</f>
        <v>0</v>
      </c>
      <c r="AO19" s="2">
        <f>p_tp8_7^$AI$34</f>
        <v>0</v>
      </c>
      <c r="AP19" s="2">
        <f>p_tp8_8^$AI$34</f>
        <v>1</v>
      </c>
      <c r="AQ19" s="1"/>
      <c r="AR19" s="1"/>
      <c r="AS19" s="2" t="s">
        <v>65</v>
      </c>
      <c r="AT19" s="2">
        <f>p_tp_CHG4_8_1^$AI$34</f>
        <v>0</v>
      </c>
      <c r="AU19" s="2">
        <f>p_tp_CHG4_8_2^$AI$34</f>
        <v>0</v>
      </c>
      <c r="AV19" s="2">
        <f>p_tp_CHG4_8_3^$AI$34</f>
        <v>0</v>
      </c>
      <c r="AW19" s="2">
        <f>p_tp_CHG4_8_4^$AI$34</f>
        <v>0</v>
      </c>
      <c r="AX19" s="2">
        <f>p_tp_CHG4_8_5^$AI$34</f>
        <v>0</v>
      </c>
      <c r="AY19" s="2">
        <f>p_tp_CHG4_8_6^$AI$34</f>
        <v>0</v>
      </c>
      <c r="AZ19" s="2">
        <f>p_tp_CHG4_8_7^$AI$34</f>
        <v>0</v>
      </c>
      <c r="BA19" s="2">
        <f>p_tp_CHG4_8_8^$AI$34</f>
        <v>1</v>
      </c>
      <c r="BB19" s="143"/>
      <c r="BD19" s="94"/>
    </row>
    <row r="20" spans="2:56" x14ac:dyDescent="0.2">
      <c r="B20" s="119"/>
      <c r="C20" s="36"/>
      <c r="D20" s="12"/>
      <c r="E20" s="144"/>
      <c r="F20" s="143"/>
      <c r="G20" s="143"/>
      <c r="H20" s="143"/>
      <c r="I20" s="143"/>
      <c r="J20" s="143"/>
      <c r="K20" s="143"/>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43"/>
      <c r="BD20" s="94"/>
    </row>
    <row r="21" spans="2:56" x14ac:dyDescent="0.2">
      <c r="B21" s="119"/>
      <c r="C21" s="36"/>
      <c r="D21" s="12"/>
      <c r="E21" s="144"/>
      <c r="F21" s="143"/>
      <c r="G21" s="143"/>
      <c r="H21" s="143"/>
      <c r="I21" s="143"/>
      <c r="J21" s="143"/>
      <c r="K21" s="143"/>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43"/>
      <c r="BD21" s="94"/>
    </row>
    <row r="22" spans="2:56" x14ac:dyDescent="0.2">
      <c r="B22" s="119"/>
      <c r="C22" s="36"/>
      <c r="D22" s="12"/>
      <c r="E22" s="144"/>
      <c r="F22" s="143"/>
      <c r="G22" s="143"/>
      <c r="H22" s="143"/>
      <c r="I22" s="143"/>
      <c r="J22" s="143"/>
      <c r="K22" s="143"/>
      <c r="L22" s="1"/>
      <c r="M22" s="1"/>
      <c r="N22" s="1"/>
      <c r="O22" s="199"/>
      <c r="P22" s="199"/>
      <c r="Q22" s="199"/>
      <c r="R22" s="1"/>
      <c r="S22" s="1"/>
      <c r="T22" s="1"/>
      <c r="U22" s="1"/>
      <c r="V22" s="1"/>
      <c r="W22" s="1"/>
      <c r="X22" s="1"/>
      <c r="Y22" s="1"/>
      <c r="Z22" s="199"/>
      <c r="AA22" s="199"/>
      <c r="AB22" s="199"/>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43"/>
      <c r="BD22" s="94"/>
    </row>
    <row r="23" spans="2:56" x14ac:dyDescent="0.2">
      <c r="B23" s="119"/>
      <c r="C23" s="36"/>
      <c r="D23" s="12"/>
      <c r="E23" s="144"/>
      <c r="F23" s="143"/>
      <c r="G23" s="143"/>
      <c r="H23" s="143"/>
      <c r="I23" s="143"/>
      <c r="J23" s="143"/>
      <c r="K23" s="143"/>
      <c r="L23" s="196" t="s">
        <v>32</v>
      </c>
      <c r="M23" s="197"/>
      <c r="N23" s="197"/>
      <c r="O23" s="197"/>
      <c r="P23" s="197"/>
      <c r="Q23" s="197"/>
      <c r="R23" s="197"/>
      <c r="S23" s="197"/>
      <c r="T23" s="198"/>
      <c r="U23" s="1"/>
      <c r="V23" s="1"/>
      <c r="W23" s="196" t="s">
        <v>33</v>
      </c>
      <c r="X23" s="197"/>
      <c r="Y23" s="197"/>
      <c r="Z23" s="197"/>
      <c r="AA23" s="197"/>
      <c r="AB23" s="197"/>
      <c r="AC23" s="197"/>
      <c r="AD23" s="197"/>
      <c r="AE23" s="198"/>
      <c r="AF23" s="12"/>
      <c r="AG23" s="12"/>
      <c r="AH23" s="196" t="s">
        <v>32</v>
      </c>
      <c r="AI23" s="197"/>
      <c r="AJ23" s="197"/>
      <c r="AK23" s="197"/>
      <c r="AL23" s="197"/>
      <c r="AM23" s="197"/>
      <c r="AN23" s="197"/>
      <c r="AO23" s="197"/>
      <c r="AP23" s="198"/>
      <c r="AQ23" s="1"/>
      <c r="AR23" s="1"/>
      <c r="AS23" s="196" t="s">
        <v>33</v>
      </c>
      <c r="AT23" s="197"/>
      <c r="AU23" s="197"/>
      <c r="AV23" s="197"/>
      <c r="AW23" s="197"/>
      <c r="AX23" s="197"/>
      <c r="AY23" s="197"/>
      <c r="AZ23" s="197"/>
      <c r="BA23" s="198"/>
      <c r="BB23" s="143"/>
      <c r="BD23" s="94"/>
    </row>
    <row r="24" spans="2:56" x14ac:dyDescent="0.2">
      <c r="B24" s="119"/>
      <c r="C24" s="36"/>
      <c r="D24" s="12"/>
      <c r="E24" s="144"/>
      <c r="F24" s="143"/>
      <c r="G24" s="143"/>
      <c r="H24" s="143"/>
      <c r="I24" s="143"/>
      <c r="J24" s="143"/>
      <c r="K24" s="143"/>
      <c r="L24" s="2"/>
      <c r="M24" s="2" t="s">
        <v>58</v>
      </c>
      <c r="N24" s="2" t="s">
        <v>59</v>
      </c>
      <c r="O24" s="2" t="s">
        <v>60</v>
      </c>
      <c r="P24" s="2" t="s">
        <v>61</v>
      </c>
      <c r="Q24" s="2" t="s">
        <v>62</v>
      </c>
      <c r="R24" s="2" t="s">
        <v>63</v>
      </c>
      <c r="S24" s="2" t="s">
        <v>64</v>
      </c>
      <c r="T24" s="2" t="s">
        <v>65</v>
      </c>
      <c r="U24" s="1"/>
      <c r="V24" s="1"/>
      <c r="W24" s="2"/>
      <c r="X24" s="2" t="s">
        <v>58</v>
      </c>
      <c r="Y24" s="2" t="s">
        <v>59</v>
      </c>
      <c r="Z24" s="2" t="s">
        <v>60</v>
      </c>
      <c r="AA24" s="2" t="s">
        <v>61</v>
      </c>
      <c r="AB24" s="2" t="s">
        <v>62</v>
      </c>
      <c r="AC24" s="2" t="s">
        <v>63</v>
      </c>
      <c r="AD24" s="2" t="s">
        <v>64</v>
      </c>
      <c r="AE24" s="2" t="s">
        <v>65</v>
      </c>
      <c r="AF24" s="1"/>
      <c r="AG24" s="1"/>
      <c r="AH24" s="2"/>
      <c r="AI24" s="2" t="s">
        <v>58</v>
      </c>
      <c r="AJ24" s="2" t="s">
        <v>59</v>
      </c>
      <c r="AK24" s="2" t="s">
        <v>60</v>
      </c>
      <c r="AL24" s="2" t="s">
        <v>61</v>
      </c>
      <c r="AM24" s="2" t="s">
        <v>62</v>
      </c>
      <c r="AN24" s="2" t="s">
        <v>63</v>
      </c>
      <c r="AO24" s="2" t="s">
        <v>64</v>
      </c>
      <c r="AP24" s="2" t="s">
        <v>65</v>
      </c>
      <c r="AQ24" s="1"/>
      <c r="AR24" s="1"/>
      <c r="AS24" s="2"/>
      <c r="AT24" s="2" t="s">
        <v>58</v>
      </c>
      <c r="AU24" s="2" t="s">
        <v>59</v>
      </c>
      <c r="AV24" s="2" t="s">
        <v>60</v>
      </c>
      <c r="AW24" s="2" t="s">
        <v>61</v>
      </c>
      <c r="AX24" s="2" t="s">
        <v>62</v>
      </c>
      <c r="AY24" s="2" t="s">
        <v>63</v>
      </c>
      <c r="AZ24" s="2" t="s">
        <v>64</v>
      </c>
      <c r="BA24" s="2" t="s">
        <v>65</v>
      </c>
      <c r="BB24" s="143"/>
      <c r="BD24" s="94"/>
    </row>
    <row r="25" spans="2:56" x14ac:dyDescent="0.2">
      <c r="B25" s="119"/>
      <c r="C25" s="36"/>
      <c r="D25" s="12"/>
      <c r="E25" s="144"/>
      <c r="F25" s="143"/>
      <c r="G25" s="143"/>
      <c r="H25" s="143"/>
      <c r="I25" s="143"/>
      <c r="J25" s="143"/>
      <c r="K25" s="143"/>
      <c r="L25" s="2" t="s">
        <v>58</v>
      </c>
      <c r="M25" s="2">
        <f t="shared" ref="M25:T32" si="4">AI25/SUM($AI25:$AP25)</f>
        <v>0.14383092204949233</v>
      </c>
      <c r="N25" s="2">
        <f t="shared" si="4"/>
        <v>0.14465923066196321</v>
      </c>
      <c r="O25" s="2">
        <f t="shared" si="4"/>
        <v>0.13918728269213554</v>
      </c>
      <c r="P25" s="2">
        <f t="shared" si="4"/>
        <v>0.13803350342331627</v>
      </c>
      <c r="Q25" s="2">
        <f t="shared" si="4"/>
        <v>0.12471742097802914</v>
      </c>
      <c r="R25" s="2">
        <f t="shared" si="4"/>
        <v>0</v>
      </c>
      <c r="S25" s="2">
        <f t="shared" si="4"/>
        <v>0.1557155008352166</v>
      </c>
      <c r="T25" s="2">
        <f t="shared" si="4"/>
        <v>0.15385613935984688</v>
      </c>
      <c r="U25" s="1" t="b">
        <f>SUM(M25:T25)=1</f>
        <v>1</v>
      </c>
      <c r="V25" s="1"/>
      <c r="W25" s="2" t="s">
        <v>58</v>
      </c>
      <c r="X25" s="80">
        <f t="shared" ref="X25:AE32" si="5">AT25/SUM($AT25:$BA25)</f>
        <v>0.14426357673633072</v>
      </c>
      <c r="Y25" s="80">
        <f t="shared" si="5"/>
        <v>0.14495238849333661</v>
      </c>
      <c r="Z25" s="80">
        <f t="shared" si="5"/>
        <v>0.13643119024185349</v>
      </c>
      <c r="AA25" s="80">
        <f t="shared" si="5"/>
        <v>0.13917184130307281</v>
      </c>
      <c r="AB25" s="80">
        <f t="shared" si="5"/>
        <v>0.12532244899825837</v>
      </c>
      <c r="AC25" s="80">
        <f t="shared" si="5"/>
        <v>0</v>
      </c>
      <c r="AD25" s="80">
        <f t="shared" si="5"/>
        <v>0.15586763131785591</v>
      </c>
      <c r="AE25" s="80">
        <f t="shared" si="5"/>
        <v>0.15399092290929212</v>
      </c>
      <c r="AF25" s="1" t="b">
        <f>SUM(X25:AE25)=1</f>
        <v>1</v>
      </c>
      <c r="AG25" s="1"/>
      <c r="AH25" s="2" t="s">
        <v>58</v>
      </c>
      <c r="AI25" s="2">
        <f>p_tp_pvi1_1_1^$AI$34</f>
        <v>0.92124447937814935</v>
      </c>
      <c r="AJ25" s="2">
        <f>p_tp_pvi1_1_2^$AI$34</f>
        <v>0.9265498387931268</v>
      </c>
      <c r="AK25" s="2">
        <f>p_tp_pvi1_1_3^$AI$34</f>
        <v>0.891501729618706</v>
      </c>
      <c r="AL25" s="2">
        <f>p_tp_pvi1_1_4^$AI$34</f>
        <v>0.8841117138510608</v>
      </c>
      <c r="AM25" s="2">
        <f>p_tp_pvi1_1_5^$AI$34</f>
        <v>0.79882151849624095</v>
      </c>
      <c r="AN25" s="2">
        <f>p_tp_pvi1_1_6^$AI$34</f>
        <v>0</v>
      </c>
      <c r="AO25" s="2">
        <f>p_tp_pvi1_1_7^$AI$34</f>
        <v>0.99736581990821782</v>
      </c>
      <c r="AP25" s="2">
        <f>p_tp_pvi1_1_8^$AI$34</f>
        <v>0.98545651368988363</v>
      </c>
      <c r="AQ25" s="1"/>
      <c r="AR25" s="1"/>
      <c r="AS25" s="2" t="s">
        <v>58</v>
      </c>
      <c r="AT25" s="2">
        <f>p_tp_pvi4_1_1^$AI$34</f>
        <v>0.92313419530675911</v>
      </c>
      <c r="AU25" s="2">
        <f>p_tp_pvi4_1_2^$AI$34</f>
        <v>0.92754186147868301</v>
      </c>
      <c r="AV25" s="2">
        <f>p_tp_pvi4_1_3^$AI$34</f>
        <v>0.87301521193283649</v>
      </c>
      <c r="AW25" s="2">
        <f>p_tp_pvi4_1_4^$AI$34</f>
        <v>0.89055247788208813</v>
      </c>
      <c r="AX25" s="2">
        <f>p_tp_pvi4_1_5^$AI$34</f>
        <v>0.801931026022765</v>
      </c>
      <c r="AY25" s="2">
        <f>p_tp_pvi4_1_6^$AI$34</f>
        <v>0</v>
      </c>
      <c r="AZ25" s="2">
        <f>p_tp_pvi4_1_7^$AI$34</f>
        <v>0.99738786231510157</v>
      </c>
      <c r="BA25" s="2">
        <f>p_tp_pvi4_1_8^$AI$34</f>
        <v>0.98537891490260709</v>
      </c>
      <c r="BB25" s="143"/>
      <c r="BD25" s="94"/>
    </row>
    <row r="26" spans="2:56" x14ac:dyDescent="0.2">
      <c r="B26" s="119"/>
      <c r="C26" s="36"/>
      <c r="D26" s="12"/>
      <c r="E26" s="144"/>
      <c r="F26" s="143"/>
      <c r="G26" s="143"/>
      <c r="H26" s="143"/>
      <c r="I26" s="143"/>
      <c r="J26" s="143"/>
      <c r="K26" s="143"/>
      <c r="L26" s="2" t="s">
        <v>59</v>
      </c>
      <c r="M26" s="2">
        <f t="shared" si="4"/>
        <v>0.14384588430548284</v>
      </c>
      <c r="N26" s="2">
        <f t="shared" si="4"/>
        <v>0.14467427576364253</v>
      </c>
      <c r="O26" s="2">
        <f t="shared" si="4"/>
        <v>0.13920176211054267</v>
      </c>
      <c r="P26" s="2">
        <f t="shared" si="4"/>
        <v>0.13804798120015549</v>
      </c>
      <c r="Q26" s="2">
        <f t="shared" si="4"/>
        <v>0.12473040844638039</v>
      </c>
      <c r="R26" s="2">
        <f t="shared" si="4"/>
        <v>0</v>
      </c>
      <c r="S26" s="2">
        <f t="shared" si="4"/>
        <v>0.15535243287392586</v>
      </c>
      <c r="T26" s="2">
        <f t="shared" si="4"/>
        <v>0.15414725529987022</v>
      </c>
      <c r="U26" s="1" t="b">
        <f t="shared" ref="U26:U32" si="6">SUM(M26:T26)=1</f>
        <v>1</v>
      </c>
      <c r="V26" s="1"/>
      <c r="W26" s="2" t="s">
        <v>59</v>
      </c>
      <c r="X26" s="80">
        <f t="shared" si="5"/>
        <v>0.14424758062071613</v>
      </c>
      <c r="Y26" s="80">
        <f t="shared" si="5"/>
        <v>0.14493637887574848</v>
      </c>
      <c r="Z26" s="80">
        <f t="shared" si="5"/>
        <v>0.1364169364976342</v>
      </c>
      <c r="AA26" s="80">
        <f t="shared" si="5"/>
        <v>0.13915677607775595</v>
      </c>
      <c r="AB26" s="80">
        <f t="shared" si="5"/>
        <v>0.12530910577149412</v>
      </c>
      <c r="AC26" s="80">
        <f t="shared" si="5"/>
        <v>0</v>
      </c>
      <c r="AD26" s="80">
        <f t="shared" si="5"/>
        <v>0.1555726954437987</v>
      </c>
      <c r="AE26" s="80">
        <f t="shared" si="5"/>
        <v>0.15436052671285247</v>
      </c>
      <c r="AF26" s="1" t="b">
        <f t="shared" ref="AF26:AF32" si="7">SUM(X26:AE26)=1</f>
        <v>1</v>
      </c>
      <c r="AG26" s="1"/>
      <c r="AH26" s="2" t="s">
        <v>59</v>
      </c>
      <c r="AI26" s="2">
        <f>p_tp_pvi1_2_1^$AI$34</f>
        <v>0.92243361499253429</v>
      </c>
      <c r="AJ26" s="2">
        <f>p_tp_pvi1_2_2^$AI$34</f>
        <v>0.92774580123316663</v>
      </c>
      <c r="AK26" s="2">
        <f>p_tp_pvi1_2_3^$AI$34</f>
        <v>0.89265247495207189</v>
      </c>
      <c r="AL26" s="2">
        <f>p_tp_pvi1_2_4^$AI$34</f>
        <v>0.88525367935067945</v>
      </c>
      <c r="AM26" s="2">
        <f>p_tp_pvi1_2_5^$AI$34</f>
        <v>0.79985271819351267</v>
      </c>
      <c r="AN26" s="2">
        <f>p_tp_pvi1_2_6^$AI$34</f>
        <v>0</v>
      </c>
      <c r="AO26" s="2">
        <f>p_tp_pvi1_2_7^$AI$34</f>
        <v>0.9962211080676594</v>
      </c>
      <c r="AP26" s="2">
        <f>p_tp_pvi1_2_8^$AI$34</f>
        <v>0.98849272354201523</v>
      </c>
      <c r="AQ26" s="1"/>
      <c r="AR26" s="1"/>
      <c r="AS26" s="2" t="s">
        <v>59</v>
      </c>
      <c r="AT26" s="2">
        <f>p_tp_pvi4_2_1^$AI$34</f>
        <v>0.92370925544011684</v>
      </c>
      <c r="AU26" s="2">
        <f>p_tp_pvi4_2_2^$AI$34</f>
        <v>0.92812006996169494</v>
      </c>
      <c r="AV26" s="2">
        <f>p_tp_pvi4_2_3^$AI$34</f>
        <v>0.87356464697304248</v>
      </c>
      <c r="AW26" s="2">
        <f>p_tp_pvi4_2_4^$AI$34</f>
        <v>0.89110958719102873</v>
      </c>
      <c r="AX26" s="2">
        <f>p_tp_pvi4_2_5^$AI$34</f>
        <v>0.80243412259650981</v>
      </c>
      <c r="AY26" s="2">
        <f>p_tp_pvi4_2_6^$AI$34</f>
        <v>0</v>
      </c>
      <c r="AZ26" s="2">
        <f>p_tp_pvi4_2_7^$AI$34</f>
        <v>0.99623118846656966</v>
      </c>
      <c r="BA26" s="2">
        <f>p_tp_pvi4_2_8^$AI$34</f>
        <v>0.98846889899792156</v>
      </c>
      <c r="BB26" s="143"/>
      <c r="BD26" s="94"/>
    </row>
    <row r="27" spans="2:56" x14ac:dyDescent="0.2">
      <c r="B27" s="119"/>
      <c r="C27" s="36"/>
      <c r="D27" s="12"/>
      <c r="E27" s="144"/>
      <c r="F27" s="143"/>
      <c r="G27" s="143"/>
      <c r="H27" s="143"/>
      <c r="I27" s="143"/>
      <c r="J27" s="143"/>
      <c r="K27" s="143"/>
      <c r="L27" s="2" t="s">
        <v>60</v>
      </c>
      <c r="M27" s="2">
        <f t="shared" si="4"/>
        <v>0.14424524592847332</v>
      </c>
      <c r="N27" s="2">
        <f t="shared" si="4"/>
        <v>0.14507595426217751</v>
      </c>
      <c r="O27" s="2">
        <f t="shared" si="4"/>
        <v>0.13958877002500045</v>
      </c>
      <c r="P27" s="2">
        <f t="shared" si="4"/>
        <v>0.13843072638588003</v>
      </c>
      <c r="Q27" s="2">
        <f t="shared" si="4"/>
        <v>0.12507662408805559</v>
      </c>
      <c r="R27" s="2">
        <f t="shared" si="4"/>
        <v>0</v>
      </c>
      <c r="S27" s="2">
        <f t="shared" si="4"/>
        <v>0.15379133965520661</v>
      </c>
      <c r="T27" s="2">
        <f t="shared" si="4"/>
        <v>0.15379133965520661</v>
      </c>
      <c r="U27" s="1" t="b">
        <f t="shared" si="6"/>
        <v>1</v>
      </c>
      <c r="V27" s="1"/>
      <c r="W27" s="2" t="s">
        <v>60</v>
      </c>
      <c r="X27" s="80">
        <f t="shared" si="5"/>
        <v>0.14422313765730144</v>
      </c>
      <c r="Y27" s="80">
        <f t="shared" si="5"/>
        <v>0.14491179860230208</v>
      </c>
      <c r="Z27" s="80">
        <f t="shared" si="5"/>
        <v>0.13639353103529461</v>
      </c>
      <c r="AA27" s="80">
        <f t="shared" si="5"/>
        <v>0.13913307667789546</v>
      </c>
      <c r="AB27" s="80">
        <f t="shared" si="5"/>
        <v>0.12528768892420045</v>
      </c>
      <c r="AC27" s="80">
        <f t="shared" si="5"/>
        <v>0</v>
      </c>
      <c r="AD27" s="80">
        <f t="shared" si="5"/>
        <v>0.15588766012128183</v>
      </c>
      <c r="AE27" s="80">
        <f t="shared" si="5"/>
        <v>0.1541631069817242</v>
      </c>
      <c r="AF27" s="1" t="b">
        <f t="shared" si="7"/>
        <v>1</v>
      </c>
      <c r="AG27" s="1"/>
      <c r="AH27" s="2" t="s">
        <v>60</v>
      </c>
      <c r="AI27" s="2">
        <f>p_tp_pvi1_3_1^$AI$34</f>
        <v>0.92321636907993432</v>
      </c>
      <c r="AJ27" s="2">
        <f>p_tp_pvi1_3_2^$AI$34</f>
        <v>0.928533171908827</v>
      </c>
      <c r="AK27" s="2">
        <f>p_tp_pvi1_3_3^$AI$34</f>
        <v>0.89341341267300955</v>
      </c>
      <c r="AL27" s="2">
        <f>p_tp_pvi1_3_4^$AI$34</f>
        <v>0.88600155769738698</v>
      </c>
      <c r="AM27" s="2">
        <f>p_tp_pvi1_3_5^$AI$34</f>
        <v>0.80053097073722534</v>
      </c>
      <c r="AN27" s="2">
        <f>p_tp_pvi1_3_6^$AI$34</f>
        <v>0</v>
      </c>
      <c r="AO27" s="2">
        <f>p_tp_pvi1_3_8^$AI$34</f>
        <v>0.98431446581486304</v>
      </c>
      <c r="AP27" s="2">
        <f>p_tp_pvi1_3_8^$AI$34</f>
        <v>0.98431446581486304</v>
      </c>
      <c r="AQ27" s="1"/>
      <c r="AR27" s="1"/>
      <c r="AS27" s="2" t="s">
        <v>60</v>
      </c>
      <c r="AT27" s="2">
        <f>p_tp_pvi4_3_1^$AI$34</f>
        <v>0.92253985478949363</v>
      </c>
      <c r="AU27" s="2">
        <f>p_tp_pvi4_3_2^$AI$34</f>
        <v>0.92694495357267015</v>
      </c>
      <c r="AV27" s="2">
        <f>p_tp_pvi4_3_3^$AI$34</f>
        <v>0.87245687730436627</v>
      </c>
      <c r="AW27" s="2">
        <f>p_tp_pvi4_3_4^$AI$34</f>
        <v>0.88998069546813108</v>
      </c>
      <c r="AX27" s="2">
        <f>p_tp_pvi4_3_5^$AI$34</f>
        <v>0.80141708344806362</v>
      </c>
      <c r="AY27" s="2">
        <f>p_tp_pvi4_3_6^$AI$34</f>
        <v>0</v>
      </c>
      <c r="AZ27" s="2">
        <f>p_tp_pvi4_3_7^$AI$34</f>
        <v>0.99715331165158994</v>
      </c>
      <c r="BA27" s="2">
        <f>p_tp_pvi4_3_8^$AI$34</f>
        <v>0.98612200954024176</v>
      </c>
      <c r="BB27" s="143"/>
      <c r="BD27" s="94"/>
    </row>
    <row r="28" spans="2:56" x14ac:dyDescent="0.2">
      <c r="B28" s="119"/>
      <c r="C28" s="36"/>
      <c r="D28" s="12"/>
      <c r="E28" s="144"/>
      <c r="F28" s="143"/>
      <c r="G28" s="143"/>
      <c r="H28" s="143"/>
      <c r="I28" s="143"/>
      <c r="J28" s="143"/>
      <c r="K28" s="143"/>
      <c r="L28" s="2" t="s">
        <v>61</v>
      </c>
      <c r="M28" s="2">
        <f t="shared" si="4"/>
        <v>0.14410394127201151</v>
      </c>
      <c r="N28" s="2">
        <f t="shared" si="4"/>
        <v>0.14493385780158113</v>
      </c>
      <c r="O28" s="2">
        <f t="shared" si="4"/>
        <v>0.13945136407915271</v>
      </c>
      <c r="P28" s="2">
        <f t="shared" si="4"/>
        <v>0.13829730087074182</v>
      </c>
      <c r="Q28" s="2">
        <f t="shared" si="4"/>
        <v>0.12495409894526217</v>
      </c>
      <c r="R28" s="2">
        <f t="shared" si="4"/>
        <v>0</v>
      </c>
      <c r="S28" s="2">
        <f t="shared" si="4"/>
        <v>0.15516960935318971</v>
      </c>
      <c r="T28" s="2">
        <f t="shared" si="4"/>
        <v>0.15308982767806087</v>
      </c>
      <c r="U28" s="1" t="b">
        <f t="shared" si="6"/>
        <v>1</v>
      </c>
      <c r="V28" s="1"/>
      <c r="W28" s="2" t="s">
        <v>61</v>
      </c>
      <c r="X28" s="80">
        <f t="shared" si="5"/>
        <v>0.14431358470665201</v>
      </c>
      <c r="Y28" s="80">
        <f t="shared" si="5"/>
        <v>0.14500272631491803</v>
      </c>
      <c r="Z28" s="80">
        <f t="shared" si="5"/>
        <v>0.13647964067269813</v>
      </c>
      <c r="AA28" s="80">
        <f t="shared" si="5"/>
        <v>0.13922095009269111</v>
      </c>
      <c r="AB28" s="80">
        <f t="shared" si="5"/>
        <v>0.12536662992020114</v>
      </c>
      <c r="AC28" s="80">
        <f t="shared" si="5"/>
        <v>0</v>
      </c>
      <c r="AD28" s="80">
        <f t="shared" si="5"/>
        <v>0.15531967837028654</v>
      </c>
      <c r="AE28" s="80">
        <f t="shared" si="5"/>
        <v>0.15429678992255302</v>
      </c>
      <c r="AF28" s="1" t="b">
        <f t="shared" si="7"/>
        <v>1</v>
      </c>
      <c r="AG28" s="1"/>
      <c r="AH28" s="2" t="s">
        <v>61</v>
      </c>
      <c r="AI28" s="2">
        <f>p_tp_pvi1_4_1^$AI$34</f>
        <v>0.9265344928986381</v>
      </c>
      <c r="AJ28" s="2">
        <f>p_tp_pvi1_4_2^$AI$34</f>
        <v>0.93187054605641773</v>
      </c>
      <c r="AK28" s="2">
        <f>p_tp_pvi1_4_3^$AI$34</f>
        <v>0.89662016014683543</v>
      </c>
      <c r="AL28" s="2">
        <f>p_tp_pvi1_4_4^$AI$34</f>
        <v>0.88919996497285614</v>
      </c>
      <c r="AM28" s="2">
        <f>p_tp_pvi1_4_5^$AI$34</f>
        <v>0.80340816274635041</v>
      </c>
      <c r="AN28" s="2">
        <f>p_tp_pvi1_4_6^$AI$34</f>
        <v>0</v>
      </c>
      <c r="AO28" s="2">
        <f>p_tp_pvi1_4_7^$AI$34</f>
        <v>0.99768260358650607</v>
      </c>
      <c r="AP28" s="2">
        <f>p_tp_pvi1_4_8^$AI$34</f>
        <v>0.98431038459862985</v>
      </c>
      <c r="AQ28" s="1"/>
      <c r="AR28" s="1"/>
      <c r="AS28" s="2" t="s">
        <v>61</v>
      </c>
      <c r="AT28" s="2">
        <f>p_tp_pvi4_4_1^$AI$34</f>
        <v>0.92526801221352639</v>
      </c>
      <c r="AU28" s="2">
        <f>p_tp_pvi4_4_2^$AI$34</f>
        <v>0.92968645062533695</v>
      </c>
      <c r="AV28" s="2">
        <f>p_tp_pvi4_4_3^$AI$34</f>
        <v>0.87504060057502664</v>
      </c>
      <c r="AW28" s="2">
        <f>p_tp_pvi4_4_4^$AI$34</f>
        <v>0.89261653372820127</v>
      </c>
      <c r="AX28" s="2">
        <f>p_tp_pvi4_4_5^$AI$34</f>
        <v>0.80378941940887494</v>
      </c>
      <c r="AY28" s="2">
        <f>p_tp_pvi4_4_6^$AI$34</f>
        <v>0</v>
      </c>
      <c r="AZ28" s="2">
        <f>p_tp_pvi4_4_7^$AI$34</f>
        <v>0.99583369337990668</v>
      </c>
      <c r="BA28" s="2">
        <f>p_tp_pvi4_4_8^$AI$34</f>
        <v>0.98927543372143845</v>
      </c>
      <c r="BB28" s="143"/>
      <c r="BD28" s="94"/>
    </row>
    <row r="29" spans="2:56" x14ac:dyDescent="0.2">
      <c r="B29" s="119"/>
      <c r="C29" s="36"/>
      <c r="D29" s="12"/>
      <c r="E29" s="144"/>
      <c r="F29" s="143"/>
      <c r="G29" s="143"/>
      <c r="H29" s="143"/>
      <c r="I29" s="143"/>
      <c r="J29" s="143"/>
      <c r="K29" s="143"/>
      <c r="L29" s="2" t="s">
        <v>62</v>
      </c>
      <c r="M29" s="2">
        <f t="shared" si="4"/>
        <v>0</v>
      </c>
      <c r="N29" s="2">
        <f t="shared" si="4"/>
        <v>0</v>
      </c>
      <c r="O29" s="2">
        <f t="shared" si="4"/>
        <v>0</v>
      </c>
      <c r="P29" s="2">
        <f t="shared" si="4"/>
        <v>0</v>
      </c>
      <c r="Q29" s="2">
        <f t="shared" si="4"/>
        <v>0</v>
      </c>
      <c r="R29" s="2">
        <f t="shared" si="4"/>
        <v>1</v>
      </c>
      <c r="S29" s="2">
        <f t="shared" si="4"/>
        <v>0</v>
      </c>
      <c r="T29" s="2">
        <f t="shared" si="4"/>
        <v>0</v>
      </c>
      <c r="U29" s="1" t="b">
        <f t="shared" si="6"/>
        <v>1</v>
      </c>
      <c r="V29" s="1"/>
      <c r="W29" s="2" t="s">
        <v>62</v>
      </c>
      <c r="X29" s="80">
        <f t="shared" si="5"/>
        <v>0</v>
      </c>
      <c r="Y29" s="80">
        <f t="shared" si="5"/>
        <v>0</v>
      </c>
      <c r="Z29" s="80">
        <f t="shared" si="5"/>
        <v>0</v>
      </c>
      <c r="AA29" s="80">
        <f t="shared" si="5"/>
        <v>0</v>
      </c>
      <c r="AB29" s="80">
        <f t="shared" si="5"/>
        <v>0</v>
      </c>
      <c r="AC29" s="80">
        <f t="shared" si="5"/>
        <v>1</v>
      </c>
      <c r="AD29" s="80">
        <f t="shared" si="5"/>
        <v>0</v>
      </c>
      <c r="AE29" s="80">
        <f t="shared" si="5"/>
        <v>0</v>
      </c>
      <c r="AF29" s="1" t="b">
        <f t="shared" si="7"/>
        <v>1</v>
      </c>
      <c r="AG29" s="1"/>
      <c r="AH29" s="2" t="s">
        <v>62</v>
      </c>
      <c r="AI29" s="2">
        <f>p_tp_pvi1_5_1^$AI$34</f>
        <v>0</v>
      </c>
      <c r="AJ29" s="2">
        <f>p_tp_pvi1_5_2^$AI$34</f>
        <v>0</v>
      </c>
      <c r="AK29" s="2">
        <f>p_tp_pvi1_5_3^$AI$34</f>
        <v>0</v>
      </c>
      <c r="AL29" s="2">
        <f>p_tp_pvi1_5_4^$AI$34</f>
        <v>0</v>
      </c>
      <c r="AM29" s="2">
        <f>p_tp_pvi1_5_5^$AI$34</f>
        <v>0</v>
      </c>
      <c r="AN29" s="2">
        <f>p_tp_pvi1_5_6^$AI$34</f>
        <v>1</v>
      </c>
      <c r="AO29" s="2">
        <f>p_tp_pvi1_5_7^$AI$34</f>
        <v>0</v>
      </c>
      <c r="AP29" s="2">
        <f>p_tp_pvi1_5_8^$AI$34</f>
        <v>0</v>
      </c>
      <c r="AQ29" s="1"/>
      <c r="AR29" s="1"/>
      <c r="AS29" s="2" t="s">
        <v>62</v>
      </c>
      <c r="AT29" s="2">
        <f>p_tp_pvi4_5_1^$AI$34</f>
        <v>0</v>
      </c>
      <c r="AU29" s="2">
        <f>p_tp_pvi4_5_2^$AI$34</f>
        <v>0</v>
      </c>
      <c r="AV29" s="2">
        <f>p_tp_pvi4_5_3^$AI$34</f>
        <v>0</v>
      </c>
      <c r="AW29" s="2">
        <f>p_tp_pvi4_5_4^$AI$34</f>
        <v>0</v>
      </c>
      <c r="AX29" s="2">
        <f>p_tp_pvi4_5_5^$AI$34</f>
        <v>0</v>
      </c>
      <c r="AY29" s="2">
        <f>p_tp_pvi4_5_6^$AI$34</f>
        <v>1</v>
      </c>
      <c r="AZ29" s="2">
        <f>p_tp_pvi4_5_7^$AI$34</f>
        <v>0</v>
      </c>
      <c r="BA29" s="2">
        <f>p_tp_pvi4_5_8^$AI$34</f>
        <v>0</v>
      </c>
      <c r="BB29" s="143"/>
      <c r="BD29" s="94"/>
    </row>
    <row r="30" spans="2:56" x14ac:dyDescent="0.2">
      <c r="B30" s="119"/>
      <c r="C30" s="36"/>
      <c r="D30" s="12"/>
      <c r="E30" s="144"/>
      <c r="F30" s="143"/>
      <c r="G30" s="143"/>
      <c r="H30" s="143"/>
      <c r="I30" s="143"/>
      <c r="J30" s="143"/>
      <c r="K30" s="143"/>
      <c r="L30" s="2" t="s">
        <v>63</v>
      </c>
      <c r="M30" s="2">
        <f t="shared" si="4"/>
        <v>0.14129084564290806</v>
      </c>
      <c r="N30" s="2">
        <f t="shared" si="4"/>
        <v>0.14210449540724307</v>
      </c>
      <c r="O30" s="2">
        <f t="shared" si="4"/>
        <v>0.13672921605874314</v>
      </c>
      <c r="P30" s="2">
        <f t="shared" si="4"/>
        <v>0.13559660426960643</v>
      </c>
      <c r="Q30" s="2">
        <f t="shared" si="4"/>
        <v>0</v>
      </c>
      <c r="R30" s="2">
        <f t="shared" si="4"/>
        <v>0.1405705594863593</v>
      </c>
      <c r="S30" s="2">
        <f t="shared" si="4"/>
        <v>0.15269695877526257</v>
      </c>
      <c r="T30" s="2">
        <f t="shared" si="4"/>
        <v>0.15101132035987741</v>
      </c>
      <c r="U30" s="1" t="b">
        <f t="shared" si="6"/>
        <v>1</v>
      </c>
      <c r="V30" s="1"/>
      <c r="W30" s="2" t="s">
        <v>63</v>
      </c>
      <c r="X30" s="80">
        <f t="shared" si="5"/>
        <v>0.14171842717672054</v>
      </c>
      <c r="Y30" s="80">
        <f t="shared" si="5"/>
        <v>0.14239547997951105</v>
      </c>
      <c r="Z30" s="80">
        <f t="shared" si="5"/>
        <v>0.13402970467070802</v>
      </c>
      <c r="AA30" s="80">
        <f t="shared" si="5"/>
        <v>0.13671873294951342</v>
      </c>
      <c r="AB30" s="80">
        <f t="shared" si="5"/>
        <v>0</v>
      </c>
      <c r="AC30" s="80">
        <f t="shared" si="5"/>
        <v>0.14180263227999193</v>
      </c>
      <c r="AD30" s="80">
        <f t="shared" si="5"/>
        <v>0.15254585607917159</v>
      </c>
      <c r="AE30" s="80">
        <f t="shared" si="5"/>
        <v>0.15078916686438354</v>
      </c>
      <c r="AF30" s="1" t="b">
        <f t="shared" si="7"/>
        <v>1</v>
      </c>
      <c r="AG30" s="1"/>
      <c r="AH30" s="2" t="s">
        <v>63</v>
      </c>
      <c r="AI30" s="2">
        <f>p_tp_pvi1_6_1^$AI$34</f>
        <v>0.92266034585538304</v>
      </c>
      <c r="AJ30" s="2">
        <f>p_tp_pvi1_6_2^$AI$34</f>
        <v>0.92797365804875642</v>
      </c>
      <c r="AK30" s="2">
        <f>p_tp_pvi1_6_3^$AI$34</f>
        <v>0.89287189982663639</v>
      </c>
      <c r="AL30" s="2">
        <f>p_tp_pvi1_6_4^$AI$34</f>
        <v>0.88547569534976678</v>
      </c>
      <c r="AM30" s="2">
        <f>p_tp_pvi1_6_5^$AI$34</f>
        <v>0</v>
      </c>
      <c r="AN30" s="2">
        <f>p_tp_pvi1_6_6^$AI$34</f>
        <v>0.9179567185871611</v>
      </c>
      <c r="AO30" s="2">
        <f>p_tp_pvi1_6_7^$AI$34</f>
        <v>0.99714477716922512</v>
      </c>
      <c r="AP30" s="2">
        <f>p_tp_pvi1_6_8^$AI$34</f>
        <v>0.98613718700123143</v>
      </c>
      <c r="AQ30" s="1"/>
      <c r="AR30" s="1"/>
      <c r="AS30" s="2" t="s">
        <v>63</v>
      </c>
      <c r="AT30" s="2">
        <f>p_tp_pvi4_6_1^$AI$34</f>
        <v>0.92647155755582855</v>
      </c>
      <c r="AU30" s="2">
        <f>p_tp_pvi4_6_2^$AI$34</f>
        <v>0.93089772977101026</v>
      </c>
      <c r="AV30" s="2">
        <f>p_tp_pvi4_6_3^$AI$34</f>
        <v>0.87620722102831938</v>
      </c>
      <c r="AW30" s="2">
        <f>p_tp_pvi4_6_4^$AI$34</f>
        <v>0.89378650318243125</v>
      </c>
      <c r="AX30" s="2">
        <f>p_tp_pvi4_6_5^$AI$34</f>
        <v>0</v>
      </c>
      <c r="AY30" s="2">
        <f>p_tp_pvi4_6_6^$AI$34</f>
        <v>0.92702204089618279</v>
      </c>
      <c r="AZ30" s="2">
        <f>p_tp_pvi4_6_7^$AI$34</f>
        <v>0.99725490676044504</v>
      </c>
      <c r="BA30" s="2">
        <f>p_tp_pvi4_6_8^$AI$34</f>
        <v>0.98577070794883448</v>
      </c>
      <c r="BB30" s="143"/>
      <c r="BD30" s="94"/>
    </row>
    <row r="31" spans="2:56" x14ac:dyDescent="0.2">
      <c r="B31" s="119"/>
      <c r="C31" s="36"/>
      <c r="D31" s="12"/>
      <c r="E31" s="144"/>
      <c r="F31" s="143"/>
      <c r="G31" s="143"/>
      <c r="H31" s="143"/>
      <c r="I31" s="143"/>
      <c r="J31" s="143"/>
      <c r="K31" s="143"/>
      <c r="L31" s="2" t="s">
        <v>64</v>
      </c>
      <c r="M31" s="2">
        <f t="shared" si="4"/>
        <v>0</v>
      </c>
      <c r="N31" s="2">
        <f t="shared" si="4"/>
        <v>0</v>
      </c>
      <c r="O31" s="2">
        <f t="shared" si="4"/>
        <v>0</v>
      </c>
      <c r="P31" s="2">
        <f t="shared" si="4"/>
        <v>0</v>
      </c>
      <c r="Q31" s="2">
        <f t="shared" si="4"/>
        <v>0</v>
      </c>
      <c r="R31" s="2">
        <f t="shared" si="4"/>
        <v>0</v>
      </c>
      <c r="S31" s="2">
        <f t="shared" si="4"/>
        <v>1</v>
      </c>
      <c r="T31" s="2">
        <f t="shared" si="4"/>
        <v>0</v>
      </c>
      <c r="U31" s="1" t="b">
        <f t="shared" si="6"/>
        <v>1</v>
      </c>
      <c r="V31" s="1"/>
      <c r="W31" s="2" t="s">
        <v>64</v>
      </c>
      <c r="X31" s="80">
        <f t="shared" si="5"/>
        <v>0</v>
      </c>
      <c r="Y31" s="80">
        <f t="shared" si="5"/>
        <v>0</v>
      </c>
      <c r="Z31" s="80">
        <f t="shared" si="5"/>
        <v>0</v>
      </c>
      <c r="AA31" s="80">
        <f t="shared" si="5"/>
        <v>0</v>
      </c>
      <c r="AB31" s="80">
        <f t="shared" si="5"/>
        <v>0</v>
      </c>
      <c r="AC31" s="80">
        <f t="shared" si="5"/>
        <v>0</v>
      </c>
      <c r="AD31" s="80">
        <f t="shared" si="5"/>
        <v>1</v>
      </c>
      <c r="AE31" s="80">
        <f t="shared" si="5"/>
        <v>0</v>
      </c>
      <c r="AF31" s="1" t="b">
        <f t="shared" si="7"/>
        <v>1</v>
      </c>
      <c r="AG31" s="1"/>
      <c r="AH31" s="2" t="s">
        <v>64</v>
      </c>
      <c r="AI31" s="2">
        <f>p_tp_pvi1_7_1^$AI$34</f>
        <v>0</v>
      </c>
      <c r="AJ31" s="2">
        <f>p_tp_pvi1_7_2^$AI$34</f>
        <v>0</v>
      </c>
      <c r="AK31" s="2">
        <f>p_tp_pvi1_7_3^$AI$34</f>
        <v>0</v>
      </c>
      <c r="AL31" s="2">
        <f>p_tp_pvi1_7_4^$AI$34</f>
        <v>0</v>
      </c>
      <c r="AM31" s="2">
        <f>p_tp_pvi1_7_5^$AI$34</f>
        <v>0</v>
      </c>
      <c r="AN31" s="2">
        <f>p_tp_pvi1_7_6^$AI$34</f>
        <v>0</v>
      </c>
      <c r="AO31" s="2">
        <f>p_tp_pvi1_7_7^$AI$34</f>
        <v>1</v>
      </c>
      <c r="AP31" s="2">
        <f>p_tp_pvi1_7_8^$AI$34</f>
        <v>0</v>
      </c>
      <c r="AQ31" s="1"/>
      <c r="AR31" s="1"/>
      <c r="AS31" s="2" t="s">
        <v>64</v>
      </c>
      <c r="AT31" s="2">
        <f>p_tp_pvi4_7_1^$AI$34</f>
        <v>0</v>
      </c>
      <c r="AU31" s="2">
        <f>p_tp_pvi4_7_2^$AI$34</f>
        <v>0</v>
      </c>
      <c r="AV31" s="2">
        <f>p_tp_pvi4_7_3^$AI$34</f>
        <v>0</v>
      </c>
      <c r="AW31" s="2">
        <f>p_tp_pvi4_7_4^$AI$34</f>
        <v>0</v>
      </c>
      <c r="AX31" s="2">
        <f>p_tp_pvi4_7_5^$AI$34</f>
        <v>0</v>
      </c>
      <c r="AY31" s="2">
        <f>p_tp_pvi4_7_6^$AI$34</f>
        <v>0</v>
      </c>
      <c r="AZ31" s="2">
        <f>p_tp_pvi4_7_7^$AI$34</f>
        <v>1</v>
      </c>
      <c r="BA31" s="2">
        <f>p_tp_pvi4_7_8^$AI$34</f>
        <v>0</v>
      </c>
      <c r="BB31" s="143"/>
      <c r="BD31" s="94"/>
    </row>
    <row r="32" spans="2:56" x14ac:dyDescent="0.2">
      <c r="B32" s="119"/>
      <c r="C32" s="36"/>
      <c r="D32" s="12"/>
      <c r="E32" s="144"/>
      <c r="F32" s="143"/>
      <c r="G32" s="143"/>
      <c r="H32" s="143"/>
      <c r="I32" s="143"/>
      <c r="J32" s="143"/>
      <c r="K32" s="143"/>
      <c r="L32" s="2" t="s">
        <v>65</v>
      </c>
      <c r="M32" s="2">
        <f t="shared" si="4"/>
        <v>0</v>
      </c>
      <c r="N32" s="2">
        <f t="shared" si="4"/>
        <v>0</v>
      </c>
      <c r="O32" s="2">
        <f t="shared" si="4"/>
        <v>0</v>
      </c>
      <c r="P32" s="2">
        <f t="shared" si="4"/>
        <v>0</v>
      </c>
      <c r="Q32" s="2">
        <f t="shared" si="4"/>
        <v>0</v>
      </c>
      <c r="R32" s="2">
        <f t="shared" si="4"/>
        <v>0</v>
      </c>
      <c r="S32" s="2">
        <f t="shared" si="4"/>
        <v>0</v>
      </c>
      <c r="T32" s="2">
        <f t="shared" si="4"/>
        <v>1</v>
      </c>
      <c r="U32" s="1" t="b">
        <f t="shared" si="6"/>
        <v>1</v>
      </c>
      <c r="V32" s="1"/>
      <c r="W32" s="2" t="s">
        <v>65</v>
      </c>
      <c r="X32" s="80">
        <f t="shared" si="5"/>
        <v>0</v>
      </c>
      <c r="Y32" s="80">
        <f t="shared" si="5"/>
        <v>0</v>
      </c>
      <c r="Z32" s="80">
        <f t="shared" si="5"/>
        <v>0</v>
      </c>
      <c r="AA32" s="80">
        <f t="shared" si="5"/>
        <v>0</v>
      </c>
      <c r="AB32" s="80">
        <f t="shared" si="5"/>
        <v>0</v>
      </c>
      <c r="AC32" s="80">
        <f t="shared" si="5"/>
        <v>0</v>
      </c>
      <c r="AD32" s="80">
        <f t="shared" si="5"/>
        <v>0</v>
      </c>
      <c r="AE32" s="80">
        <f t="shared" si="5"/>
        <v>1</v>
      </c>
      <c r="AF32" s="1" t="b">
        <f t="shared" si="7"/>
        <v>1</v>
      </c>
      <c r="AG32" s="1"/>
      <c r="AH32" s="2" t="s">
        <v>65</v>
      </c>
      <c r="AI32" s="2">
        <f>p_tp_pvi1_8_1^$AI$34</f>
        <v>0</v>
      </c>
      <c r="AJ32" s="2">
        <f>p_tp_pvi1_8_2^$AI$34</f>
        <v>0</v>
      </c>
      <c r="AK32" s="2">
        <f>p_tp_pvi1_8_3^$AI$34</f>
        <v>0</v>
      </c>
      <c r="AL32" s="2">
        <f>p_tp_pvi1_8_4^$AI$34</f>
        <v>0</v>
      </c>
      <c r="AM32" s="2">
        <f>p_tp_pvi1_8_5^$AI$34</f>
        <v>0</v>
      </c>
      <c r="AN32" s="2">
        <f>p_tp_pvi1_8_6^$AI$34</f>
        <v>0</v>
      </c>
      <c r="AO32" s="2">
        <f>p_tp_pvi1_8_7^$AI$34</f>
        <v>0</v>
      </c>
      <c r="AP32" s="2">
        <f>p_tp_pvi1_8_8^$AI$34</f>
        <v>1</v>
      </c>
      <c r="AQ32" s="1"/>
      <c r="AR32" s="1"/>
      <c r="AS32" s="2" t="s">
        <v>65</v>
      </c>
      <c r="AT32" s="2">
        <f>p_tp_pvi4_8_1^$AI$34</f>
        <v>0</v>
      </c>
      <c r="AU32" s="2">
        <f>p_tp_pvi4_8_2^$AI$34</f>
        <v>0</v>
      </c>
      <c r="AV32" s="2">
        <f>p_tp_pvi4_8_3^$AI$34</f>
        <v>0</v>
      </c>
      <c r="AW32" s="2">
        <f>p_tp_pvi4_8_4^$AI$34</f>
        <v>0</v>
      </c>
      <c r="AX32" s="2">
        <f>p_tp_pvi4_8_5^$AI$34</f>
        <v>0</v>
      </c>
      <c r="AY32" s="2">
        <f>p_tp_pvi4_8_6^$AI$34</f>
        <v>0</v>
      </c>
      <c r="AZ32" s="2">
        <f>p_tp_pvi4_8_7^$AI$34</f>
        <v>0</v>
      </c>
      <c r="BA32" s="2">
        <f>p_tp_pvi4_8_8^$AI$34</f>
        <v>1</v>
      </c>
      <c r="BB32" s="143"/>
      <c r="BD32" s="94"/>
    </row>
    <row r="33" spans="1:56" x14ac:dyDescent="0.2">
      <c r="B33" s="119"/>
      <c r="C33" s="36"/>
      <c r="D33" s="12"/>
      <c r="E33" s="144"/>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3"/>
      <c r="BB33" s="143"/>
      <c r="BD33" s="94"/>
    </row>
    <row r="34" spans="1:56" x14ac:dyDescent="0.2">
      <c r="B34" s="119"/>
      <c r="C34" s="36"/>
      <c r="D34" s="12"/>
      <c r="E34" s="144"/>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t="s">
        <v>412</v>
      </c>
      <c r="AI34" s="1">
        <f>1/100</f>
        <v>0.01</v>
      </c>
      <c r="AJ34" s="143"/>
      <c r="AK34" s="143"/>
      <c r="AL34" s="143"/>
      <c r="AM34" s="143"/>
      <c r="AN34" s="143"/>
      <c r="AO34" s="143"/>
      <c r="AP34" s="143"/>
      <c r="AQ34" s="143"/>
      <c r="AR34" s="143"/>
      <c r="AS34" s="143"/>
      <c r="AT34" s="143"/>
      <c r="AU34" s="143"/>
      <c r="AV34" s="143"/>
      <c r="AW34" s="143"/>
      <c r="AX34" s="143"/>
      <c r="AY34" s="143"/>
      <c r="AZ34" s="143"/>
      <c r="BA34" s="143"/>
      <c r="BB34" s="143"/>
      <c r="BD34" s="94"/>
    </row>
    <row r="35" spans="1:56" x14ac:dyDescent="0.2">
      <c r="B35" s="119"/>
      <c r="C35" s="36"/>
      <c r="D35" s="12"/>
      <c r="E35" s="144"/>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c r="AH35" s="143"/>
      <c r="AI35" s="143"/>
      <c r="AJ35" s="143"/>
      <c r="AK35" s="143"/>
      <c r="AL35" s="143"/>
      <c r="AM35" s="143"/>
      <c r="AN35" s="143"/>
      <c r="AO35" s="143"/>
      <c r="AP35" s="143"/>
      <c r="AQ35" s="143"/>
      <c r="AR35" s="143"/>
      <c r="AS35" s="143"/>
      <c r="AT35" s="143"/>
      <c r="AU35" s="143"/>
      <c r="AV35" s="143"/>
      <c r="AW35" s="143"/>
      <c r="AX35" s="143"/>
      <c r="AY35" s="143"/>
      <c r="AZ35" s="143"/>
      <c r="BA35" s="143"/>
      <c r="BB35" s="143"/>
      <c r="BD35" s="94"/>
    </row>
    <row r="36" spans="1:56" ht="16" thickBot="1" x14ac:dyDescent="0.25">
      <c r="A36" s="93"/>
      <c r="B36" s="98"/>
      <c r="C36" s="95"/>
      <c r="D36" s="95"/>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c r="AX36" s="95"/>
      <c r="AY36" s="95"/>
      <c r="AZ36" s="95"/>
      <c r="BA36" s="95"/>
      <c r="BB36" s="95"/>
      <c r="BC36" s="95"/>
      <c r="BD36" s="94"/>
    </row>
  </sheetData>
  <mergeCells count="17">
    <mergeCell ref="AH8:BA8"/>
    <mergeCell ref="AH10:AP10"/>
    <mergeCell ref="AS10:BA10"/>
    <mergeCell ref="AH23:AP23"/>
    <mergeCell ref="AS23:BA23"/>
    <mergeCell ref="W23:AE23"/>
    <mergeCell ref="L23:T23"/>
    <mergeCell ref="O22:Q22"/>
    <mergeCell ref="Z22:AB22"/>
    <mergeCell ref="L10:T10"/>
    <mergeCell ref="W10:AE10"/>
    <mergeCell ref="J11:J14"/>
    <mergeCell ref="G10:H10"/>
    <mergeCell ref="F11:F14"/>
    <mergeCell ref="G11:G14"/>
    <mergeCell ref="I11:I14"/>
    <mergeCell ref="H11:H14"/>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6BC1D-A6F8-4BF0-8510-872F44CB04AA}">
  <sheetPr codeName="Sheet8">
    <tabColor rgb="FFCC6600"/>
  </sheetPr>
  <dimension ref="A3:O36"/>
  <sheetViews>
    <sheetView showGridLines="0" zoomScale="98" zoomScaleNormal="98" workbookViewId="0">
      <selection activeCell="D13" sqref="D13"/>
    </sheetView>
  </sheetViews>
  <sheetFormatPr baseColWidth="10" defaultColWidth="8.83203125" defaultRowHeight="15" x14ac:dyDescent="0.2"/>
  <cols>
    <col min="1" max="1" width="12.5" customWidth="1"/>
    <col min="2" max="2" width="9.6640625" customWidth="1"/>
    <col min="3" max="3" width="21.5" customWidth="1"/>
    <col min="4" max="5" width="12.33203125" customWidth="1"/>
    <col min="6" max="6" width="20.1640625" customWidth="1"/>
    <col min="7" max="8" width="15.83203125" customWidth="1"/>
    <col min="9" max="9" width="22.33203125" customWidth="1"/>
    <col min="10" max="10" width="15.6640625" customWidth="1"/>
    <col min="11" max="11" width="13.1640625" customWidth="1"/>
    <col min="12" max="12" width="15.83203125" customWidth="1"/>
    <col min="13" max="13" width="13.33203125" bestFit="1" customWidth="1"/>
    <col min="14" max="14" width="13.5" customWidth="1"/>
  </cols>
  <sheetData>
    <row r="3" spans="2:15" ht="26" x14ac:dyDescent="0.3">
      <c r="G3" s="96" t="s">
        <v>116</v>
      </c>
    </row>
    <row r="4" spans="2:15" ht="16" thickBot="1" x14ac:dyDescent="0.25"/>
    <row r="5" spans="2:15" ht="16" thickBot="1" x14ac:dyDescent="0.25">
      <c r="B5" s="90"/>
      <c r="C5" s="91"/>
      <c r="D5" s="91"/>
      <c r="E5" s="91"/>
      <c r="F5" s="91"/>
      <c r="G5" s="91"/>
      <c r="H5" s="91"/>
      <c r="I5" s="91"/>
      <c r="J5" s="91"/>
      <c r="K5" s="91"/>
      <c r="L5" s="91"/>
      <c r="M5" s="91"/>
      <c r="N5" s="92"/>
    </row>
    <row r="6" spans="2:15" ht="37" x14ac:dyDescent="0.45">
      <c r="B6" s="94"/>
      <c r="F6" s="72"/>
      <c r="O6" s="94"/>
    </row>
    <row r="7" spans="2:15" x14ac:dyDescent="0.2">
      <c r="B7" s="94"/>
      <c r="C7" s="1"/>
      <c r="D7" s="1"/>
      <c r="E7" s="1"/>
      <c r="F7" s="1"/>
      <c r="G7" s="1"/>
      <c r="H7" s="1"/>
      <c r="I7" s="1"/>
      <c r="O7" s="94"/>
    </row>
    <row r="8" spans="2:15" ht="18" customHeight="1" x14ac:dyDescent="0.45">
      <c r="B8" s="94"/>
      <c r="C8" s="16"/>
      <c r="D8" s="1"/>
      <c r="E8" s="1"/>
      <c r="F8" s="1"/>
      <c r="G8" s="1"/>
      <c r="H8" s="1"/>
      <c r="I8" s="1"/>
      <c r="J8" s="1"/>
      <c r="K8" s="1"/>
      <c r="L8" s="1"/>
      <c r="M8" s="1"/>
      <c r="O8" s="94"/>
    </row>
    <row r="9" spans="2:15" x14ac:dyDescent="0.2">
      <c r="B9" s="94"/>
      <c r="C9" s="17" t="s">
        <v>85</v>
      </c>
      <c r="D9" s="1"/>
      <c r="E9" s="1"/>
      <c r="F9" s="1"/>
      <c r="G9" s="1"/>
      <c r="H9" s="1"/>
      <c r="I9" s="1"/>
      <c r="J9" s="1"/>
      <c r="K9" s="1"/>
      <c r="L9" s="1"/>
      <c r="M9" s="1"/>
      <c r="O9" s="94"/>
    </row>
    <row r="10" spans="2:15" ht="18.75" customHeight="1" x14ac:dyDescent="0.2">
      <c r="B10" s="94"/>
      <c r="C10" s="18"/>
      <c r="D10" s="18"/>
      <c r="E10" s="18"/>
      <c r="F10" s="30"/>
      <c r="G10" s="30"/>
      <c r="H10" s="30"/>
      <c r="I10" s="112" t="s">
        <v>86</v>
      </c>
      <c r="J10" s="1"/>
      <c r="K10" s="1"/>
      <c r="L10" s="1"/>
      <c r="M10" s="1"/>
      <c r="O10" s="94"/>
    </row>
    <row r="11" spans="2:15" ht="34.5" customHeight="1" thickBot="1" x14ac:dyDescent="0.25">
      <c r="B11" s="94"/>
      <c r="C11" s="110" t="s">
        <v>87</v>
      </c>
      <c r="D11" s="110" t="str">
        <f>"Costs" &amp; "("&amp;c_currency&amp;")"</f>
        <v>Costs(€)</v>
      </c>
      <c r="E11" s="111" t="s">
        <v>88</v>
      </c>
      <c r="F11" s="110" t="str">
        <f>"Incremental Costs" &amp; "(" &amp;c_currency&amp; ")"</f>
        <v>Incremental Costs(€)</v>
      </c>
      <c r="G11" s="110" t="s">
        <v>89</v>
      </c>
      <c r="H11" s="110" t="str">
        <f>"ICER" &amp; "("&amp;c_currency&amp;"/CRBSI Avoided)"</f>
        <v>ICER(€/CRBSI Avoided)</v>
      </c>
      <c r="I11" s="110" t="str">
        <f>"ICER" &amp; "("&amp;c_currency&amp;"/CRBSI Avoided)"</f>
        <v>ICER(€/CRBSI Avoided)</v>
      </c>
      <c r="J11" s="1"/>
      <c r="K11" s="1"/>
      <c r="L11" s="1"/>
      <c r="M11" s="1"/>
      <c r="O11" s="94"/>
    </row>
    <row r="12" spans="2:15" ht="18" thickTop="1" thickBot="1" x14ac:dyDescent="0.25">
      <c r="B12" s="94"/>
      <c r="C12" s="57" t="s">
        <v>34</v>
      </c>
      <c r="D12" s="109">
        <f>D29</f>
        <v>10115.617609028852</v>
      </c>
      <c r="E12" s="108">
        <f>D20</f>
        <v>0.61786425320381477</v>
      </c>
      <c r="F12" s="109"/>
      <c r="G12" s="108"/>
      <c r="H12" s="109"/>
      <c r="I12" s="114"/>
      <c r="J12" s="1"/>
      <c r="K12" s="1"/>
      <c r="L12" s="1"/>
      <c r="M12" s="1"/>
      <c r="O12" s="94"/>
    </row>
    <row r="13" spans="2:15" ht="18" thickTop="1" thickBot="1" x14ac:dyDescent="0.25">
      <c r="B13" s="94"/>
      <c r="C13" s="58" t="s">
        <v>32</v>
      </c>
      <c r="D13" s="109">
        <f>IF(Include_PVIT1="Yes",E29,0)</f>
        <v>14590.107402719583</v>
      </c>
      <c r="E13" s="108">
        <f>IF(Include_PVIT1="Yes",D21,0)</f>
        <v>0.89761178491751203</v>
      </c>
      <c r="F13" s="109">
        <f>IF(Include_PVIT1="Yes",$D$12-D13,0)</f>
        <v>-4474.4897936907309</v>
      </c>
      <c r="G13" s="108">
        <f>IF(Include_PVIT1="Yes",$E$12-E13,0)</f>
        <v>-0.27974753171369726</v>
      </c>
      <c r="H13" s="109">
        <f>IF(Include_PVIT1="Yes",F13/G13,0)</f>
        <v>15994.742710616905</v>
      </c>
      <c r="I13" s="114" t="str">
        <f>IF(Include_PVIT1="Yes",IF(AND(F13=0,G13=0),"No cost and LY difference",IF(AND(F13&lt;0,G13&gt;0),"Intervention less costs and less CRBSI avoided and the ICER for "&amp;C13&amp;" vs intervention is "&amp;TEXT(F13/G13,"£#,0"),(IF(G13=0,IF(F13&gt;0,"Intervention being dominated","Intervention dominant"),IF(AND(F13&lt;0,G13&lt;0),"Intervention dominant",IF(AND(F13&gt;0,G13&gt;0),"Intervention being dominated",F13/G13)))))),"-")</f>
        <v>Intervention dominant</v>
      </c>
      <c r="J13" s="1"/>
      <c r="K13" s="1"/>
      <c r="L13" s="1"/>
      <c r="M13" s="1"/>
      <c r="O13" s="94"/>
    </row>
    <row r="14" spans="2:15" ht="16.5" customHeight="1" thickTop="1" thickBot="1" x14ac:dyDescent="0.25">
      <c r="B14" s="94"/>
      <c r="C14" s="59" t="s">
        <v>35</v>
      </c>
      <c r="D14" s="109">
        <f>IF(Include_CHGT4="Yes",F29,0)</f>
        <v>14544.180813602021</v>
      </c>
      <c r="E14" s="108">
        <f>IF(Include_CHGT4="Yes",D22,0)</f>
        <v>0.89446160501743177</v>
      </c>
      <c r="F14" s="109">
        <f>IF(Include_CHGT4="Yes",$D$12-D14,0)</f>
        <v>-4428.5632045731691</v>
      </c>
      <c r="G14" s="108">
        <f>IF(Include_CHGT4="Yes",$E$12-E14,0)</f>
        <v>-0.276597351813617</v>
      </c>
      <c r="H14" s="109">
        <f>IF(Include_CHGT4="Yes",F14/G14,0)</f>
        <v>16010.866248485714</v>
      </c>
      <c r="I14" s="114" t="str">
        <f>IF(Include_CHGT4="Yes",IF(AND(F14=0,G14=0),"No cost and LY difference",IF(AND(F14&lt;0,G14&gt;0),"Intervention less costs and less CRBSI avoided and the ICER for "&amp;C14&amp;" vs intervention is "&amp;TEXT(F14/G14,"£#,0"),(IF(G14=0,IF(F14&gt;0,"Intervention being dominated","Intervention dominant"),IF(AND(F14&lt;0,G14&lt;0),"Intervention dominant",IF(AND(F14&gt;0,G14&gt;0),"Intervention being dominated",F14/G14)))))),"-")</f>
        <v>Intervention dominant</v>
      </c>
      <c r="J14" s="1"/>
      <c r="K14" s="1"/>
      <c r="L14" s="1"/>
      <c r="M14" s="1"/>
      <c r="O14" s="94"/>
    </row>
    <row r="15" spans="2:15" ht="18" thickTop="1" thickBot="1" x14ac:dyDescent="0.25">
      <c r="B15" s="94"/>
      <c r="C15" s="60" t="s">
        <v>33</v>
      </c>
      <c r="D15" s="109">
        <f>IF(Include_PVIT4="Yes",G29,0)</f>
        <v>14486.628291807112</v>
      </c>
      <c r="E15" s="108">
        <f>IF(Include_PVIT4="Yes",D23,0)</f>
        <v>0.88982546910020865</v>
      </c>
      <c r="F15" s="109">
        <f>IF(Include_PVIT4="Yes",$D$12-D15,0)</f>
        <v>-4371.0106827782602</v>
      </c>
      <c r="G15" s="108">
        <f>IF(Include_PVIT4="Yes",$E$12-E15,0)</f>
        <v>-0.27196121589639388</v>
      </c>
      <c r="H15" s="109">
        <f>IF(Include_PVIT4="Yes",F15/G15,0)</f>
        <v>16072.183926561929</v>
      </c>
      <c r="I15" s="114" t="str">
        <f>IF(Include_PVIT4="Yes",IF(AND(F15=0,G15=0),"No cost and LY difference",IF(AND(F15&lt;0,G15&gt;0),"Intervention less costs and less CRBSI avoided and the ICER for "&amp;C15&amp;" vs intervention is "&amp;TEXT(F15/G15,"£#,0"),(IF(G15=0,IF(F15&gt;0,"Intervention being dominated","Intervention dominant"),IF(AND(F15&lt;0,G15&lt;0),"Intervention dominant",IF(AND(F15&gt;0,G15&gt;0),"Intervention being dominated",F15/G15)))))),"-")</f>
        <v>Intervention dominant</v>
      </c>
      <c r="J15" s="1"/>
      <c r="K15" s="1"/>
      <c r="L15" s="1"/>
      <c r="M15" s="1"/>
      <c r="O15" s="94"/>
    </row>
    <row r="16" spans="2:15" ht="16" thickTop="1" x14ac:dyDescent="0.2">
      <c r="B16" s="94"/>
      <c r="C16" s="1"/>
      <c r="D16" s="1"/>
      <c r="E16" s="22"/>
      <c r="F16" s="1"/>
      <c r="G16" s="1"/>
      <c r="H16" s="1"/>
      <c r="I16" s="1"/>
      <c r="J16" s="1"/>
      <c r="K16" s="1"/>
      <c r="L16" s="1"/>
      <c r="M16" s="1"/>
      <c r="O16" s="94"/>
    </row>
    <row r="17" spans="2:15" x14ac:dyDescent="0.2">
      <c r="B17" s="94"/>
      <c r="C17" s="17" t="s">
        <v>117</v>
      </c>
      <c r="D17" s="1"/>
      <c r="E17" s="1"/>
      <c r="F17" s="1"/>
      <c r="G17" s="1"/>
      <c r="H17" s="1"/>
      <c r="I17" s="1"/>
      <c r="J17" s="1"/>
      <c r="K17" s="1"/>
      <c r="L17" s="1"/>
      <c r="M17" s="1"/>
      <c r="O17" s="94"/>
    </row>
    <row r="18" spans="2:15" x14ac:dyDescent="0.2">
      <c r="B18" s="94"/>
      <c r="C18" s="1"/>
      <c r="D18" s="1"/>
      <c r="E18" s="1"/>
      <c r="F18" s="1"/>
      <c r="G18" s="1"/>
      <c r="H18" s="1"/>
      <c r="I18" s="1"/>
      <c r="J18" s="1"/>
      <c r="K18" s="1"/>
      <c r="L18" s="1"/>
      <c r="M18" s="1"/>
      <c r="O18" s="94"/>
    </row>
    <row r="19" spans="2:15" ht="17" thickBot="1" x14ac:dyDescent="0.25">
      <c r="B19" s="94"/>
      <c r="C19" s="73" t="s">
        <v>87</v>
      </c>
      <c r="D19" s="113" t="s">
        <v>88</v>
      </c>
      <c r="E19" s="23"/>
      <c r="F19" s="23"/>
      <c r="G19" s="23"/>
      <c r="H19" s="23"/>
      <c r="I19" s="23"/>
      <c r="J19" s="1"/>
      <c r="K19" s="1"/>
      <c r="L19" s="1"/>
      <c r="M19" s="1"/>
      <c r="O19" s="94"/>
    </row>
    <row r="20" spans="2:15" ht="18" thickTop="1" thickBot="1" x14ac:dyDescent="0.25">
      <c r="B20" s="94"/>
      <c r="C20" s="19" t="s">
        <v>34</v>
      </c>
      <c r="D20" s="108">
        <f>'PF CHG T1'!R10</f>
        <v>0.61786425320381477</v>
      </c>
      <c r="E20" s="24"/>
      <c r="F20" s="24"/>
      <c r="G20" s="1"/>
      <c r="H20" s="1"/>
      <c r="I20" s="1"/>
      <c r="J20" s="1"/>
      <c r="K20" s="1"/>
      <c r="L20" s="1"/>
      <c r="M20" s="1"/>
      <c r="O20" s="94"/>
    </row>
    <row r="21" spans="2:15" ht="18" thickTop="1" thickBot="1" x14ac:dyDescent="0.25">
      <c r="B21" s="94"/>
      <c r="C21" s="20" t="s">
        <v>32</v>
      </c>
      <c r="D21" s="108">
        <f>IF(Include_PVIT1="Yes",'PF PVI T1'!R10,0)</f>
        <v>0.89761178491751203</v>
      </c>
      <c r="E21" s="24"/>
      <c r="F21" s="24"/>
      <c r="G21" s="1"/>
      <c r="H21" s="1"/>
      <c r="I21" s="1"/>
      <c r="J21" s="1"/>
      <c r="K21" s="1"/>
      <c r="L21" s="1"/>
      <c r="M21" s="1"/>
      <c r="O21" s="94"/>
    </row>
    <row r="22" spans="2:15" ht="18" thickTop="1" thickBot="1" x14ac:dyDescent="0.25">
      <c r="B22" s="94"/>
      <c r="C22" s="19" t="s">
        <v>35</v>
      </c>
      <c r="D22" s="108">
        <f>IF(Include_CHGT4="Yes",'PF CHG T4'!R10,0)</f>
        <v>0.89446160501743177</v>
      </c>
      <c r="E22" s="24"/>
      <c r="F22" s="24"/>
      <c r="G22" s="1"/>
      <c r="H22" s="1"/>
      <c r="I22" s="1"/>
      <c r="J22" s="1"/>
      <c r="K22" s="1"/>
      <c r="L22" s="1"/>
      <c r="M22" s="1"/>
      <c r="O22" s="94"/>
    </row>
    <row r="23" spans="2:15" ht="18" thickTop="1" thickBot="1" x14ac:dyDescent="0.25">
      <c r="B23" s="94"/>
      <c r="C23" s="21" t="s">
        <v>33</v>
      </c>
      <c r="D23" s="108">
        <f>IF(Include_PVIT4="Yes",'PF PVI T4'!R10,0)</f>
        <v>0.88982546910020865</v>
      </c>
      <c r="E23" s="1"/>
      <c r="F23" s="1"/>
      <c r="G23" s="1"/>
      <c r="H23" s="1"/>
      <c r="I23" s="1"/>
      <c r="J23" s="1"/>
      <c r="K23" s="1"/>
      <c r="L23" s="1"/>
      <c r="M23" s="1"/>
      <c r="O23" s="94"/>
    </row>
    <row r="24" spans="2:15" ht="16" thickTop="1" x14ac:dyDescent="0.2">
      <c r="B24" s="94"/>
      <c r="C24" s="1"/>
      <c r="D24" s="1"/>
      <c r="E24" s="1"/>
      <c r="F24" s="1"/>
      <c r="G24" s="1"/>
      <c r="H24" s="1"/>
      <c r="I24" s="1"/>
      <c r="J24" s="1"/>
      <c r="K24" s="1"/>
      <c r="L24" s="1"/>
      <c r="M24" s="1"/>
      <c r="O24" s="94"/>
    </row>
    <row r="25" spans="2:15" x14ac:dyDescent="0.2">
      <c r="B25" s="94"/>
      <c r="C25" s="1"/>
      <c r="D25" s="1"/>
      <c r="E25" s="1"/>
      <c r="F25" s="1"/>
      <c r="G25" s="1"/>
      <c r="H25" s="1"/>
      <c r="I25" s="1"/>
      <c r="J25" s="1"/>
      <c r="K25" s="1"/>
      <c r="L25" s="1"/>
      <c r="M25" s="1"/>
      <c r="O25" s="94"/>
    </row>
    <row r="26" spans="2:15" x14ac:dyDescent="0.2">
      <c r="B26" s="94"/>
      <c r="C26" s="17" t="s">
        <v>90</v>
      </c>
      <c r="D26" s="1"/>
      <c r="E26" s="1"/>
      <c r="F26" s="1"/>
      <c r="G26" s="1"/>
      <c r="H26" s="1"/>
      <c r="I26" s="1"/>
      <c r="J26" s="1"/>
      <c r="K26" s="1"/>
      <c r="L26" s="1"/>
      <c r="M26" s="1"/>
      <c r="O26" s="94"/>
    </row>
    <row r="27" spans="2:15" ht="14.5" customHeight="1" x14ac:dyDescent="0.2">
      <c r="B27" s="94"/>
      <c r="C27" s="25"/>
      <c r="D27" s="26"/>
      <c r="E27" s="26"/>
      <c r="F27" s="26"/>
      <c r="G27" s="26"/>
      <c r="H27" s="205" t="s">
        <v>91</v>
      </c>
      <c r="I27" s="206"/>
      <c r="J27" s="205" t="s">
        <v>92</v>
      </c>
      <c r="K27" s="206"/>
      <c r="L27" s="205" t="s">
        <v>93</v>
      </c>
      <c r="M27" s="206"/>
      <c r="O27" s="94"/>
    </row>
    <row r="28" spans="2:15" ht="17" thickBot="1" x14ac:dyDescent="0.25">
      <c r="B28" s="94"/>
      <c r="C28" s="27"/>
      <c r="D28" s="73" t="str">
        <f>"CHG T1" &amp; "("&amp;c_currency&amp;")"</f>
        <v>CHG T1(€)</v>
      </c>
      <c r="E28" s="73" t="str">
        <f>"PVI T1" &amp; "("&amp;c_currency&amp;")"</f>
        <v>PVI T1(€)</v>
      </c>
      <c r="F28" s="73" t="str">
        <f>"CHG T4" &amp; "("&amp;c_currency&amp;")"</f>
        <v>CHG T4(€)</v>
      </c>
      <c r="G28" s="110" t="str">
        <f>"PVI T4" &amp; "("&amp;c_currency&amp;")"</f>
        <v>PVI T4(€)</v>
      </c>
      <c r="H28" s="110" t="str">
        <f>"Incremental" &amp; "("&amp;c_currency&amp;")"</f>
        <v>Incremental(€)</v>
      </c>
      <c r="I28" s="110" t="s">
        <v>94</v>
      </c>
      <c r="J28" s="110" t="str">
        <f>"Incremental" &amp; "("&amp;c_currency&amp;")"</f>
        <v>Incremental(€)</v>
      </c>
      <c r="K28" s="110" t="s">
        <v>94</v>
      </c>
      <c r="L28" s="110" t="str">
        <f>"Incremental" &amp; "("&amp;c_currency&amp;")"</f>
        <v>Incremental(€)</v>
      </c>
      <c r="M28" s="110" t="s">
        <v>94</v>
      </c>
      <c r="O28" s="94"/>
    </row>
    <row r="29" spans="2:15" ht="17" thickTop="1" thickBot="1" x14ac:dyDescent="0.25">
      <c r="B29" s="94"/>
      <c r="C29" s="28" t="s">
        <v>42</v>
      </c>
      <c r="D29" s="109">
        <f>SUM(D30:D34)</f>
        <v>10115.617609028852</v>
      </c>
      <c r="E29" s="109">
        <f>SUM(E30:E34)</f>
        <v>14590.107402719583</v>
      </c>
      <c r="F29" s="109">
        <f>SUM(F30:F34)</f>
        <v>14544.180813602021</v>
      </c>
      <c r="G29" s="109">
        <f>SUM(G30:G34)</f>
        <v>14486.628291807112</v>
      </c>
      <c r="H29" s="109"/>
      <c r="I29" s="108"/>
      <c r="J29" s="109"/>
      <c r="K29" s="108"/>
      <c r="L29" s="109"/>
      <c r="M29" s="108"/>
      <c r="O29" s="94"/>
    </row>
    <row r="30" spans="2:15" ht="18" thickTop="1" thickBot="1" x14ac:dyDescent="0.25">
      <c r="B30" s="94"/>
      <c r="C30" s="29" t="s">
        <v>95</v>
      </c>
      <c r="D30" s="109">
        <f>'PF CHG T1'!S10</f>
        <v>10.101939358828153</v>
      </c>
      <c r="E30" s="109">
        <f>IF(Include_PVIT1="Yes",'PF PVI T1'!S10,0)</f>
        <v>5.0001797442180793</v>
      </c>
      <c r="F30" s="109">
        <f>IF(Include_CHGT4="Yes",'PF CHG T4'!S10,0)</f>
        <v>11.822674048909503</v>
      </c>
      <c r="G30" s="109">
        <f>IF(Include_PVIT4="Yes",'PF PVI T4'!S10,0)</f>
        <v>8.6983438579607242</v>
      </c>
      <c r="H30" s="109">
        <f>IF(Include_PVIT1="Yes",$D30-E30,0)</f>
        <v>5.1017596146100734</v>
      </c>
      <c r="I30" s="108">
        <f>IF(Include_PVIT1="Yes",H30/SUM($H$30:$H$34),0)</f>
        <v>-1.1401880102182434E-3</v>
      </c>
      <c r="J30" s="109">
        <f>IF(Include_CHGT4="Yes",$D30-F30,0)</f>
        <v>-1.7207346900813505</v>
      </c>
      <c r="K30" s="108">
        <f>IF(Include_CHGT4="Yes",J30/SUM($J$30:$J$34),0)</f>
        <v>3.8855371609113065E-4</v>
      </c>
      <c r="L30" s="109">
        <f>IF(Include_PVIT4="Yes",$D30-G30,0)</f>
        <v>1.4035955008674286</v>
      </c>
      <c r="M30" s="108">
        <f>IF(Include_PVIT4="Yes",L30/SUM($L$30:$L$34),0)</f>
        <v>-3.2111463520269616E-4</v>
      </c>
      <c r="O30" s="94"/>
    </row>
    <row r="31" spans="2:15" ht="18" thickTop="1" thickBot="1" x14ac:dyDescent="0.25">
      <c r="B31" s="94"/>
      <c r="C31" s="29" t="s">
        <v>19</v>
      </c>
      <c r="D31" s="109">
        <f>'PF CHG T1'!T10</f>
        <v>441.77911968325901</v>
      </c>
      <c r="E31" s="109">
        <f>IF(Include_PVIT1="Yes",'PF PVI T1'!T10,0)</f>
        <v>641.80140233387044</v>
      </c>
      <c r="F31" s="109">
        <f>IF(Include_CHGT4="Yes",'PF CHG T4'!T10,0)</f>
        <v>639.54899220351399</v>
      </c>
      <c r="G31" s="109">
        <f>IF(Include_PVIT4="Yes",'PF PVI T4'!T10,0)</f>
        <v>636.23410866133986</v>
      </c>
      <c r="H31" s="109">
        <f>IF(Include_PVIT1="Yes",$D31-E31,0)</f>
        <v>-200.02228265061143</v>
      </c>
      <c r="I31" s="108">
        <f>IF(Include_PVIT1="Yes",H31/SUM($H$30:$H$34),0)</f>
        <v>4.4702813476667998E-2</v>
      </c>
      <c r="J31" s="109">
        <f>IF(Include_CHGT4="Yes",$D31-F31,0)</f>
        <v>-197.76987252025498</v>
      </c>
      <c r="K31" s="108">
        <f>IF(Include_CHGT4="Yes",J31/SUM($J$30:$J$34),0)</f>
        <v>4.4657796080685347E-2</v>
      </c>
      <c r="L31" s="109">
        <f>IF(Include_PVIT4="Yes",$D31-G31,0)</f>
        <v>-194.45498897808085</v>
      </c>
      <c r="M31" s="108">
        <f>IF(Include_PVIT4="Yes",L31/SUM($L$30:$L$34),0)</f>
        <v>4.4487420207923914E-2</v>
      </c>
      <c r="O31" s="94"/>
    </row>
    <row r="32" spans="2:15" ht="18" thickTop="1" thickBot="1" x14ac:dyDescent="0.25">
      <c r="B32" s="94"/>
      <c r="C32" s="29" t="s">
        <v>21</v>
      </c>
      <c r="D32" s="109">
        <f>'PF CHG T1'!V10</f>
        <v>77.725714472026368</v>
      </c>
      <c r="E32" s="109">
        <f>IF(Include_PVIT1="Yes",'PF PVI T1'!V10,0)</f>
        <v>107.11181978895387</v>
      </c>
      <c r="F32" s="109">
        <f>IF(Include_CHGT4="Yes",'PF CHG T4'!V10,0)</f>
        <v>107.08388821536846</v>
      </c>
      <c r="G32" s="109">
        <f>IF(Include_PVIT4="Yes",'PF PVI T4'!V10,0)</f>
        <v>107.34643363851966</v>
      </c>
      <c r="H32" s="109">
        <f>IF(Include_PVIT1="Yes",$D32-E32,0)</f>
        <v>-29.386105316927498</v>
      </c>
      <c r="I32" s="108">
        <f>IF(Include_PVIT1="Yes",H32/SUM($H$30:$H$34),0)</f>
        <v>6.5674762200516072E-3</v>
      </c>
      <c r="J32" s="109">
        <f>IF(Include_CHGT4="Yes",$D32-F32,0)</f>
        <v>-29.358173743342093</v>
      </c>
      <c r="K32" s="108">
        <f>IF(Include_CHGT4="Yes",J32/SUM($J$30:$J$34),0)</f>
        <v>6.6292773495984642E-3</v>
      </c>
      <c r="L32" s="109">
        <f>IF(Include_PVIT4="Yes",$D32-G32,0)</f>
        <v>-29.620719166493288</v>
      </c>
      <c r="M32" s="108">
        <f>IF(Include_PVIT4="Yes",L32/SUM($L$30:$L$34),0)</f>
        <v>6.7766293235563668E-3</v>
      </c>
      <c r="O32" s="94"/>
    </row>
    <row r="33" spans="1:15" ht="18" thickTop="1" thickBot="1" x14ac:dyDescent="0.25">
      <c r="B33" s="94"/>
      <c r="C33" s="29" t="s">
        <v>20</v>
      </c>
      <c r="D33" s="109">
        <f>'PF CHG T1'!U10</f>
        <v>9548.0604795002182</v>
      </c>
      <c r="E33" s="109">
        <f>IF(Include_PVIT1="Yes",'PF PVI T1'!U10,0)</f>
        <v>13801.661845494324</v>
      </c>
      <c r="F33" s="109">
        <f>IF(Include_CHGT4="Yes",'PF CHG T4'!U10,0)</f>
        <v>13751.413588314825</v>
      </c>
      <c r="G33" s="109">
        <f>IF(Include_PVIT4="Yes",'PF PVI T4'!U10,0)</f>
        <v>13699.845044071415</v>
      </c>
      <c r="H33" s="109">
        <f>IF(Include_PVIT1="Yes",$D33-E33,0)</f>
        <v>-4253.6013659941054</v>
      </c>
      <c r="I33" s="108">
        <f>IF(Include_PVIT1="Yes",H33/SUM($H$30:$H$34),0)</f>
        <v>0.95063382913330363</v>
      </c>
      <c r="J33" s="109">
        <f>IF(Include_CHGT4="Yes",$D33-F33,0)</f>
        <v>-4203.3531088146065</v>
      </c>
      <c r="K33" s="108">
        <f>IF(Include_CHGT4="Yes",J33/SUM($J$30:$J$34),0)</f>
        <v>0.94914601297188261</v>
      </c>
      <c r="L33" s="109">
        <f>IF(Include_PVIT4="Yes",$D33-G33,0)</f>
        <v>-4151.7845645711968</v>
      </c>
      <c r="M33" s="108">
        <f>IF(Include_PVIT4="Yes",L33/SUM($L$30:$L$34),0)</f>
        <v>0.94984543984968706</v>
      </c>
      <c r="O33" s="94"/>
    </row>
    <row r="34" spans="1:15" ht="18" thickTop="1" thickBot="1" x14ac:dyDescent="0.25">
      <c r="B34" s="94"/>
      <c r="C34" s="29" t="s">
        <v>96</v>
      </c>
      <c r="D34" s="109">
        <f>'PF CHG T1'!W10</f>
        <v>37.950356014520537</v>
      </c>
      <c r="E34" s="109">
        <f>IF(Include_PVIT1="Yes",'PF PVI T1'!W10,0)</f>
        <v>34.532155358216826</v>
      </c>
      <c r="F34" s="109">
        <f>IF(Include_CHGT4="Yes",'PF CHG T4'!W10,0)</f>
        <v>34.311670819403943</v>
      </c>
      <c r="G34" s="109">
        <f>IF(Include_PVIT4="Yes",'PF PVI T4'!W10,0)</f>
        <v>34.504361577876296</v>
      </c>
      <c r="H34" s="109">
        <f>IF(Include_PVIT1="Yes",$D34-E34,0)</f>
        <v>3.4182006563037106</v>
      </c>
      <c r="I34" s="108">
        <f>IF(Include_PVIT1="Yes",H34/SUM($H$30:$H$34),0)</f>
        <v>-7.6393081980509947E-4</v>
      </c>
      <c r="J34" s="109">
        <f>IF(Include_CHGT4="Yes",$D34-F34,0)</f>
        <v>3.6386851951165937</v>
      </c>
      <c r="K34" s="108">
        <f>IF(Include_CHGT4="Yes",J34/SUM($J$30:$J$34),0)</f>
        <v>-8.2164011825756379E-4</v>
      </c>
      <c r="L34" s="109">
        <f>IF(Include_PVIT4="Yes",$D34-G34,0)</f>
        <v>3.4459944366442414</v>
      </c>
      <c r="M34" s="108">
        <f>IF(Include_PVIT4="Yes",L34/SUM($L$30:$L$34),0)</f>
        <v>-7.8837474596468661E-4</v>
      </c>
      <c r="O34" s="94"/>
    </row>
    <row r="35" spans="1:15" ht="16" thickTop="1" x14ac:dyDescent="0.2">
      <c r="B35" s="94"/>
      <c r="C35" s="1"/>
      <c r="D35" s="1"/>
      <c r="E35" s="1"/>
      <c r="F35" s="1"/>
      <c r="G35" s="1"/>
      <c r="H35" s="1"/>
      <c r="I35" s="1"/>
      <c r="J35" s="1"/>
      <c r="K35" s="1"/>
      <c r="L35" s="1"/>
      <c r="M35" s="1"/>
      <c r="O35" s="94"/>
    </row>
    <row r="36" spans="1:15" ht="16" thickBot="1" x14ac:dyDescent="0.25">
      <c r="A36" s="93"/>
      <c r="B36" s="98"/>
      <c r="C36" s="95"/>
      <c r="D36" s="95"/>
      <c r="E36" s="95"/>
      <c r="F36" s="95"/>
      <c r="G36" s="95"/>
      <c r="H36" s="95"/>
      <c r="I36" s="95"/>
      <c r="J36" s="95"/>
      <c r="K36" s="95"/>
      <c r="L36" s="95"/>
      <c r="M36" s="95"/>
      <c r="N36" s="95"/>
      <c r="O36" s="94"/>
    </row>
  </sheetData>
  <mergeCells count="3">
    <mergeCell ref="H27:I27"/>
    <mergeCell ref="J27:K27"/>
    <mergeCell ref="L27:M27"/>
  </mergeCells>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C8134-1593-4909-B9CA-0C7F7D538673}">
  <sheetPr codeName="Sheet15">
    <tabColor rgb="FFCC6600"/>
  </sheetPr>
  <dimension ref="A3:S196"/>
  <sheetViews>
    <sheetView showGridLines="0" workbookViewId="0"/>
  </sheetViews>
  <sheetFormatPr baseColWidth="10" defaultColWidth="8.83203125" defaultRowHeight="15" x14ac:dyDescent="0.2"/>
  <cols>
    <col min="1" max="1" width="8.6640625" customWidth="1"/>
    <col min="2" max="2" width="19.33203125" customWidth="1"/>
    <col min="3" max="3" width="40.5" customWidth="1"/>
    <col min="4" max="4" width="19.1640625" customWidth="1"/>
    <col min="5" max="5" width="19.33203125" customWidth="1"/>
    <col min="6" max="6" width="14.33203125" customWidth="1"/>
    <col min="7" max="7" width="14.5" customWidth="1"/>
    <col min="8" max="8" width="12.83203125" customWidth="1"/>
    <col min="9" max="9" width="13" customWidth="1"/>
    <col min="10" max="10" width="17.5" customWidth="1"/>
    <col min="11" max="11" width="19" customWidth="1"/>
    <col min="12" max="12" width="17.1640625" customWidth="1"/>
    <col min="13" max="13" width="9.83203125" bestFit="1" customWidth="1"/>
  </cols>
  <sheetData>
    <row r="3" spans="1:19" ht="26" x14ac:dyDescent="0.3">
      <c r="G3" s="96" t="s">
        <v>346</v>
      </c>
    </row>
    <row r="4" spans="1:19" ht="16" thickBot="1" x14ac:dyDescent="0.25"/>
    <row r="5" spans="1:19" ht="14.5" customHeight="1" thickBot="1" x14ac:dyDescent="0.25">
      <c r="B5" s="90"/>
      <c r="C5" s="91"/>
      <c r="D5" s="91"/>
      <c r="E5" s="91"/>
      <c r="F5" s="91"/>
      <c r="G5" s="91"/>
      <c r="H5" s="91"/>
      <c r="I5" s="91"/>
      <c r="J5" s="91"/>
      <c r="K5" s="91"/>
      <c r="L5" s="91"/>
      <c r="M5" s="91"/>
      <c r="N5" s="91"/>
      <c r="O5" s="91"/>
      <c r="P5" s="91"/>
      <c r="Q5" s="91"/>
      <c r="R5" s="92"/>
    </row>
    <row r="6" spans="1:19" x14ac:dyDescent="0.2">
      <c r="A6" s="49"/>
      <c r="B6" s="135"/>
      <c r="R6" s="49"/>
      <c r="S6" s="135"/>
    </row>
    <row r="7" spans="1:19" x14ac:dyDescent="0.2">
      <c r="A7" s="49"/>
      <c r="B7" s="135"/>
      <c r="R7" s="49"/>
      <c r="S7" s="135"/>
    </row>
    <row r="8" spans="1:19" x14ac:dyDescent="0.2">
      <c r="A8" s="49"/>
      <c r="B8" s="135"/>
      <c r="R8" s="49"/>
      <c r="S8" s="135"/>
    </row>
    <row r="9" spans="1:19" x14ac:dyDescent="0.2">
      <c r="A9" s="49"/>
      <c r="B9" s="135"/>
      <c r="R9" s="49"/>
      <c r="S9" s="135"/>
    </row>
    <row r="10" spans="1:19" x14ac:dyDescent="0.2">
      <c r="A10" s="49"/>
      <c r="B10" s="135"/>
      <c r="R10" s="49"/>
      <c r="S10" s="135"/>
    </row>
    <row r="11" spans="1:19" x14ac:dyDescent="0.2">
      <c r="A11" s="49"/>
      <c r="B11" s="135"/>
      <c r="R11" s="49"/>
      <c r="S11" s="135"/>
    </row>
    <row r="12" spans="1:19" x14ac:dyDescent="0.2">
      <c r="A12" s="49"/>
      <c r="B12" s="135"/>
      <c r="R12" s="49"/>
      <c r="S12" s="135"/>
    </row>
    <row r="13" spans="1:19" x14ac:dyDescent="0.2">
      <c r="A13" s="49"/>
      <c r="B13" s="135"/>
      <c r="R13" s="49"/>
      <c r="S13" s="135"/>
    </row>
    <row r="14" spans="1:19" x14ac:dyDescent="0.2">
      <c r="A14" s="49"/>
      <c r="B14" s="135"/>
      <c r="R14" s="49"/>
      <c r="S14" s="135"/>
    </row>
    <row r="15" spans="1:19" x14ac:dyDescent="0.2">
      <c r="A15" s="49"/>
      <c r="B15" s="135"/>
      <c r="R15" s="49"/>
      <c r="S15" s="135"/>
    </row>
    <row r="16" spans="1:19" ht="19" x14ac:dyDescent="0.25">
      <c r="A16" s="49"/>
      <c r="B16" s="135"/>
      <c r="C16" s="141" t="s">
        <v>193</v>
      </c>
      <c r="R16" s="49"/>
      <c r="S16" s="135"/>
    </row>
    <row r="17" spans="1:19" x14ac:dyDescent="0.2">
      <c r="A17" s="49"/>
      <c r="B17" s="135"/>
      <c r="R17" s="49"/>
      <c r="S17" s="135"/>
    </row>
    <row r="18" spans="1:19" x14ac:dyDescent="0.2">
      <c r="A18" s="49"/>
      <c r="B18" s="135"/>
      <c r="R18" s="49"/>
      <c r="S18" s="135"/>
    </row>
    <row r="19" spans="1:19" x14ac:dyDescent="0.2">
      <c r="A19" s="49"/>
      <c r="B19" s="135"/>
      <c r="C19" t="s">
        <v>91</v>
      </c>
      <c r="R19" s="49"/>
      <c r="S19" s="135"/>
    </row>
    <row r="20" spans="1:19" x14ac:dyDescent="0.2">
      <c r="A20" s="49"/>
      <c r="B20" s="135"/>
      <c r="C20" s="2" t="s">
        <v>71</v>
      </c>
      <c r="D20" s="2" t="s">
        <v>128</v>
      </c>
      <c r="E20" s="2" t="s">
        <v>183</v>
      </c>
      <c r="F20" s="2" t="s">
        <v>129</v>
      </c>
      <c r="R20" s="49"/>
      <c r="S20" s="135"/>
    </row>
    <row r="21" spans="1:19" x14ac:dyDescent="0.2">
      <c r="A21" s="49"/>
      <c r="B21" s="135"/>
      <c r="C21" s="62" t="str">
        <f t="shared" ref="C21:C30" si="0">INDEX($C$78:$C$193,MATCH($D21,N$78:N$193,0))</f>
        <v>ICU Cost without CRBSI</v>
      </c>
      <c r="D21" s="62">
        <v>1</v>
      </c>
      <c r="E21" s="62">
        <f t="shared" ref="E21:E30" si="1">INDEX($D$78:$D$193,MATCH($D21,N$78:N$193,0))</f>
        <v>13014.5893448774</v>
      </c>
      <c r="F21" s="62">
        <f t="shared" ref="F21:F30" si="2">INDEX($G$78:$G$193,MATCH($D21,N$78:N$193,0))</f>
        <v>18974.896076356301</v>
      </c>
      <c r="R21" s="49"/>
      <c r="S21" s="135"/>
    </row>
    <row r="22" spans="1:19" x14ac:dyDescent="0.2">
      <c r="A22" s="49"/>
      <c r="B22" s="135"/>
      <c r="C22" s="62" t="str">
        <f t="shared" si="0"/>
        <v>Additional ICU Length of stay (LOS) due to CRBSI</v>
      </c>
      <c r="D22" s="62">
        <v>2</v>
      </c>
      <c r="E22" s="62">
        <f t="shared" si="1"/>
        <v>13398.559579767776</v>
      </c>
      <c r="F22" s="62">
        <f t="shared" si="2"/>
        <v>18590.925841466029</v>
      </c>
      <c r="R22" s="49"/>
      <c r="S22" s="135"/>
    </row>
    <row r="23" spans="1:19" x14ac:dyDescent="0.2">
      <c r="A23" s="49"/>
      <c r="B23" s="135"/>
      <c r="C23" s="62" t="str">
        <f t="shared" si="0"/>
        <v xml:space="preserve">Direct cost of treating CRBSI </v>
      </c>
      <c r="D23" s="62">
        <v>3</v>
      </c>
      <c r="E23" s="62">
        <f t="shared" si="1"/>
        <v>15854.603325758302</v>
      </c>
      <c r="F23" s="62">
        <f t="shared" si="2"/>
        <v>16134.882095475503</v>
      </c>
      <c r="R23" s="49"/>
      <c r="S23" s="135"/>
    </row>
    <row r="24" spans="1:19" x14ac:dyDescent="0.2">
      <c r="A24" s="49"/>
      <c r="B24" s="135"/>
      <c r="C24" s="62" t="str">
        <f t="shared" si="0"/>
        <v>Cost for Catheres charged</v>
      </c>
      <c r="D24" s="62">
        <v>4</v>
      </c>
      <c r="E24" s="62">
        <f t="shared" si="1"/>
        <v>15974.154250831667</v>
      </c>
      <c r="F24" s="62">
        <f t="shared" si="2"/>
        <v>16015.331170402145</v>
      </c>
      <c r="R24" s="49"/>
      <c r="S24" s="135"/>
    </row>
    <row r="25" spans="1:19" x14ac:dyDescent="0.2">
      <c r="A25" s="49"/>
      <c r="B25" s="135"/>
      <c r="C25" s="62" t="str">
        <f t="shared" si="0"/>
        <v>Transition from state 1 to state 3 (PVI T1)</v>
      </c>
      <c r="D25" s="62">
        <v>5</v>
      </c>
      <c r="E25" s="62">
        <f t="shared" si="1"/>
        <v>15997.959042414537</v>
      </c>
      <c r="F25" s="62">
        <f t="shared" si="2"/>
        <v>15992.107788160611</v>
      </c>
      <c r="R25" s="49"/>
      <c r="S25" s="135"/>
    </row>
    <row r="26" spans="1:19" x14ac:dyDescent="0.2">
      <c r="A26" s="49"/>
      <c r="B26" s="135"/>
      <c r="C26" s="62" t="str">
        <f t="shared" si="0"/>
        <v>Transition from state 1 to state 4 (PVI T1)</v>
      </c>
      <c r="D26" s="62">
        <v>6</v>
      </c>
      <c r="E26" s="62">
        <f t="shared" si="1"/>
        <v>15997.74463385566</v>
      </c>
      <c r="F26" s="62">
        <f t="shared" si="2"/>
        <v>15992.283362501501</v>
      </c>
      <c r="R26" s="49"/>
      <c r="S26" s="135"/>
    </row>
    <row r="27" spans="1:19" x14ac:dyDescent="0.2">
      <c r="A27" s="49"/>
      <c r="B27" s="135"/>
      <c r="C27" s="62" t="str">
        <f t="shared" si="0"/>
        <v>Transition from state 1 to state 4 (CHG T1)</v>
      </c>
      <c r="D27" s="62">
        <v>7</v>
      </c>
      <c r="E27" s="62">
        <f t="shared" si="1"/>
        <v>15991.886635947745</v>
      </c>
      <c r="F27" s="62">
        <f t="shared" si="2"/>
        <v>15997.09571493924</v>
      </c>
      <c r="R27" s="49"/>
      <c r="S27" s="135"/>
    </row>
    <row r="28" spans="1:19" x14ac:dyDescent="0.2">
      <c r="A28" s="49"/>
      <c r="B28" s="135"/>
      <c r="C28" s="62" t="str">
        <f t="shared" si="0"/>
        <v>Transition from state 1 to state 2 (PVI T1)</v>
      </c>
      <c r="D28" s="62">
        <v>8</v>
      </c>
      <c r="E28" s="62">
        <f t="shared" si="1"/>
        <v>15992.665293969674</v>
      </c>
      <c r="F28" s="62">
        <f t="shared" si="2"/>
        <v>15996.449507142574</v>
      </c>
      <c r="R28" s="49"/>
      <c r="S28" s="135"/>
    </row>
    <row r="29" spans="1:19" x14ac:dyDescent="0.2">
      <c r="A29" s="49"/>
      <c r="B29" s="135"/>
      <c r="C29" s="62" t="str">
        <f t="shared" si="0"/>
        <v>Transition from state 1 to state 2 (CHG T1)</v>
      </c>
      <c r="D29" s="62">
        <v>9</v>
      </c>
      <c r="E29" s="62">
        <f t="shared" si="1"/>
        <v>15996.633819106861</v>
      </c>
      <c r="F29" s="62">
        <f t="shared" si="2"/>
        <v>15993.188991204532</v>
      </c>
      <c r="R29" s="49"/>
      <c r="S29" s="135"/>
    </row>
    <row r="30" spans="1:19" x14ac:dyDescent="0.2">
      <c r="A30" s="49"/>
      <c r="B30" s="135"/>
      <c r="C30" s="62" t="str">
        <f t="shared" si="0"/>
        <v>Transition from state 1 to state 1 (PVI T1)</v>
      </c>
      <c r="D30" s="62">
        <v>10</v>
      </c>
      <c r="E30" s="62">
        <f t="shared" si="1"/>
        <v>15992.87004312717</v>
      </c>
      <c r="F30" s="62">
        <f t="shared" si="2"/>
        <v>15996.282160604986</v>
      </c>
      <c r="R30" s="49"/>
      <c r="S30" s="135"/>
    </row>
    <row r="31" spans="1:19" x14ac:dyDescent="0.2">
      <c r="A31" s="49"/>
      <c r="B31" s="135"/>
      <c r="R31" s="49"/>
      <c r="S31" s="135"/>
    </row>
    <row r="32" spans="1:19" x14ac:dyDescent="0.2">
      <c r="A32" s="49"/>
      <c r="B32" s="135"/>
      <c r="R32" s="49"/>
      <c r="S32" s="135"/>
    </row>
    <row r="33" spans="1:19" x14ac:dyDescent="0.2">
      <c r="A33" s="49"/>
      <c r="B33" s="135"/>
      <c r="R33" s="49"/>
      <c r="S33" s="135"/>
    </row>
    <row r="34" spans="1:19" x14ac:dyDescent="0.2">
      <c r="A34" s="49"/>
      <c r="B34" s="135"/>
      <c r="R34" s="49"/>
      <c r="S34" s="135"/>
    </row>
    <row r="35" spans="1:19" x14ac:dyDescent="0.2">
      <c r="A35" s="49"/>
      <c r="B35" s="135"/>
      <c r="C35" t="s">
        <v>92</v>
      </c>
      <c r="R35" s="49"/>
      <c r="S35" s="135"/>
    </row>
    <row r="36" spans="1:19" x14ac:dyDescent="0.2">
      <c r="A36" s="49"/>
      <c r="B36" s="135"/>
      <c r="C36" s="2" t="s">
        <v>71</v>
      </c>
      <c r="D36" s="2" t="s">
        <v>128</v>
      </c>
      <c r="E36" s="2" t="s">
        <v>183</v>
      </c>
      <c r="F36" s="2" t="s">
        <v>129</v>
      </c>
      <c r="R36" s="49"/>
      <c r="S36" s="135"/>
    </row>
    <row r="37" spans="1:19" x14ac:dyDescent="0.2">
      <c r="A37" s="49"/>
      <c r="B37" s="135"/>
      <c r="C37" s="62" t="str">
        <f t="shared" ref="C37:C46" si="3">INDEX($C$78:$C$193,MATCH($D37,O$78:O$193,0))</f>
        <v>ICU Cost without CRBSI</v>
      </c>
      <c r="D37" s="62">
        <v>1</v>
      </c>
      <c r="E37" s="62">
        <f t="shared" ref="E37:E46" si="4">INDEX($E$78:$E$193,MATCH($D37,O$78:O$193,0))</f>
        <v>13032.377606579805</v>
      </c>
      <c r="F37" s="62">
        <f t="shared" ref="F37:F46" si="5">INDEX($H$78:$H$193,MATCH($D37,O$78:O$193,0))</f>
        <v>18989.354890391569</v>
      </c>
      <c r="R37" s="49"/>
      <c r="S37" s="135"/>
    </row>
    <row r="38" spans="1:19" x14ac:dyDescent="0.2">
      <c r="A38" s="49"/>
      <c r="B38" s="135"/>
      <c r="C38" s="62" t="str">
        <f t="shared" si="3"/>
        <v>Additional ICU Length of stay (LOS) due to CRBSI</v>
      </c>
      <c r="D38" s="62">
        <v>2</v>
      </c>
      <c r="E38" s="62">
        <f t="shared" si="4"/>
        <v>13414.683117636596</v>
      </c>
      <c r="F38" s="62">
        <f t="shared" si="5"/>
        <v>18607.049379334792</v>
      </c>
      <c r="R38" s="49"/>
      <c r="S38" s="135"/>
    </row>
    <row r="39" spans="1:19" x14ac:dyDescent="0.2">
      <c r="A39" s="49"/>
      <c r="B39" s="135"/>
      <c r="C39" s="62" t="str">
        <f t="shared" si="3"/>
        <v xml:space="preserve">Direct cost of treating CRBSI </v>
      </c>
      <c r="D39" s="62">
        <v>3</v>
      </c>
      <c r="E39" s="62">
        <f t="shared" si="4"/>
        <v>15870.726863627113</v>
      </c>
      <c r="F39" s="62">
        <f t="shared" si="5"/>
        <v>16151.005633344315</v>
      </c>
      <c r="R39" s="49"/>
      <c r="S39" s="135"/>
    </row>
    <row r="40" spans="1:19" x14ac:dyDescent="0.2">
      <c r="A40" s="49"/>
      <c r="B40" s="135"/>
      <c r="C40" s="62" t="str">
        <f t="shared" si="3"/>
        <v>Cost for Catheres charged</v>
      </c>
      <c r="D40" s="62">
        <v>4</v>
      </c>
      <c r="E40" s="62">
        <f t="shared" si="4"/>
        <v>15990.063098053683</v>
      </c>
      <c r="F40" s="62">
        <f t="shared" si="5"/>
        <v>16031.669398917753</v>
      </c>
      <c r="R40" s="49"/>
      <c r="S40" s="135"/>
    </row>
    <row r="41" spans="1:19" x14ac:dyDescent="0.2">
      <c r="A41" s="49"/>
      <c r="B41" s="135"/>
      <c r="C41" s="62" t="str">
        <f t="shared" si="3"/>
        <v>Transition from state 1 to state 3 (CHG T4)</v>
      </c>
      <c r="D41" s="62">
        <v>5</v>
      </c>
      <c r="E41" s="62">
        <f t="shared" si="4"/>
        <v>16014.115027318405</v>
      </c>
      <c r="F41" s="62">
        <f t="shared" si="5"/>
        <v>16008.204732794706</v>
      </c>
      <c r="R41" s="49"/>
      <c r="S41" s="135"/>
    </row>
    <row r="42" spans="1:19" x14ac:dyDescent="0.2">
      <c r="A42" s="49"/>
      <c r="B42" s="135"/>
      <c r="C42" s="62" t="str">
        <f t="shared" si="3"/>
        <v>Transition from state 1 to state 4 (CHG T4)</v>
      </c>
      <c r="D42" s="62">
        <v>6</v>
      </c>
      <c r="E42" s="62">
        <f t="shared" si="4"/>
        <v>16013.940537359251</v>
      </c>
      <c r="F42" s="62">
        <f t="shared" si="5"/>
        <v>16008.347759858025</v>
      </c>
      <c r="R42" s="49"/>
      <c r="S42" s="135"/>
    </row>
    <row r="43" spans="1:19" x14ac:dyDescent="0.2">
      <c r="A43" s="49"/>
      <c r="B43" s="135"/>
      <c r="C43" s="62" t="str">
        <f t="shared" si="3"/>
        <v>Transition from state 1 to state 4 (CHG T1)</v>
      </c>
      <c r="D43" s="62">
        <v>7</v>
      </c>
      <c r="E43" s="62">
        <f t="shared" si="4"/>
        <v>16007.95315408663</v>
      </c>
      <c r="F43" s="62">
        <f t="shared" si="5"/>
        <v>16013.266304082868</v>
      </c>
      <c r="R43" s="49"/>
      <c r="S43" s="135"/>
    </row>
    <row r="44" spans="1:19" x14ac:dyDescent="0.2">
      <c r="A44" s="49"/>
      <c r="B44" s="135"/>
      <c r="C44" s="62" t="str">
        <f t="shared" si="3"/>
        <v>Transition from state 1 to state 2 (CHG T4)</v>
      </c>
      <c r="D44" s="62">
        <v>8</v>
      </c>
      <c r="E44" s="62">
        <f t="shared" si="4"/>
        <v>16008.76667785268</v>
      </c>
      <c r="F44" s="62">
        <f t="shared" si="5"/>
        <v>16012.591248347233</v>
      </c>
      <c r="R44" s="49"/>
      <c r="S44" s="135"/>
    </row>
    <row r="45" spans="1:19" x14ac:dyDescent="0.2">
      <c r="A45" s="49"/>
      <c r="B45" s="135"/>
      <c r="C45" s="62" t="str">
        <f t="shared" si="3"/>
        <v>Transition from state 1 to state 2 (CHG T1)</v>
      </c>
      <c r="D45" s="62">
        <v>9</v>
      </c>
      <c r="E45" s="62">
        <f t="shared" si="4"/>
        <v>16012.778883397481</v>
      </c>
      <c r="F45" s="62">
        <f t="shared" si="5"/>
        <v>16009.294843116641</v>
      </c>
      <c r="R45" s="49"/>
      <c r="S45" s="135"/>
    </row>
    <row r="46" spans="1:19" x14ac:dyDescent="0.2">
      <c r="A46" s="49"/>
      <c r="B46" s="135"/>
      <c r="C46" s="62" t="str">
        <f t="shared" si="3"/>
        <v>Transition from state 1 to state 1 (CHG T4)</v>
      </c>
      <c r="D46" s="62">
        <v>10</v>
      </c>
      <c r="E46" s="62">
        <f t="shared" si="4"/>
        <v>16008.972682712694</v>
      </c>
      <c r="F46" s="62">
        <f t="shared" si="5"/>
        <v>16012.422878215495</v>
      </c>
      <c r="R46" s="49"/>
      <c r="S46" s="135"/>
    </row>
    <row r="47" spans="1:19" x14ac:dyDescent="0.2">
      <c r="A47" s="49"/>
      <c r="B47" s="135"/>
      <c r="R47" s="49"/>
      <c r="S47" s="135"/>
    </row>
    <row r="48" spans="1:19" x14ac:dyDescent="0.2">
      <c r="A48" s="49"/>
      <c r="B48" s="135"/>
      <c r="R48" s="49"/>
      <c r="S48" s="135"/>
    </row>
    <row r="49" spans="1:19" x14ac:dyDescent="0.2">
      <c r="A49" s="49"/>
      <c r="B49" s="135"/>
      <c r="R49" s="49"/>
      <c r="S49" s="135"/>
    </row>
    <row r="50" spans="1:19" x14ac:dyDescent="0.2">
      <c r="A50" s="49"/>
      <c r="B50" s="135"/>
      <c r="R50" s="49"/>
      <c r="S50" s="135"/>
    </row>
    <row r="51" spans="1:19" x14ac:dyDescent="0.2">
      <c r="A51" s="49"/>
      <c r="B51" s="135"/>
      <c r="C51" t="s">
        <v>93</v>
      </c>
      <c r="R51" s="49"/>
      <c r="S51" s="135"/>
    </row>
    <row r="52" spans="1:19" x14ac:dyDescent="0.2">
      <c r="A52" s="49"/>
      <c r="B52" s="135"/>
      <c r="C52" s="2" t="s">
        <v>71</v>
      </c>
      <c r="D52" s="2" t="s">
        <v>128</v>
      </c>
      <c r="E52" s="2" t="s">
        <v>183</v>
      </c>
      <c r="F52" s="2" t="s">
        <v>129</v>
      </c>
      <c r="R52" s="49"/>
      <c r="S52" s="135"/>
    </row>
    <row r="53" spans="1:19" x14ac:dyDescent="0.2">
      <c r="A53" s="49"/>
      <c r="B53" s="135"/>
      <c r="C53" s="62" t="str">
        <f t="shared" ref="C53:C62" si="6">INDEX($C$78:$C$193,MATCH($D53,P$78:P$193,0))</f>
        <v>ICU Cost without CRBSI</v>
      </c>
      <c r="D53" s="62">
        <v>1</v>
      </c>
      <c r="E53" s="62">
        <f t="shared" ref="E53:E62" si="7">INDEX($F$78:$F$193,MATCH($D53,P$78:P$193,0))</f>
        <v>13080.085148319635</v>
      </c>
      <c r="F53" s="62">
        <f t="shared" ref="F53:F62" si="8">INDEX($I$78:$I$193,MATCH($D53,P$78:P$193,0))</f>
        <v>19064.28270480418</v>
      </c>
      <c r="R53" s="49"/>
      <c r="S53" s="135"/>
    </row>
    <row r="54" spans="1:19" x14ac:dyDescent="0.2">
      <c r="A54" s="49"/>
      <c r="B54" s="135"/>
      <c r="C54" s="62" t="str">
        <f t="shared" si="6"/>
        <v>Additional ICU Length of stay (LOS) due to CRBSI</v>
      </c>
      <c r="D54" s="62">
        <v>2</v>
      </c>
      <c r="E54" s="62">
        <f t="shared" si="7"/>
        <v>13476.000795712793</v>
      </c>
      <c r="F54" s="62">
        <f t="shared" si="8"/>
        <v>18668.367057411051</v>
      </c>
      <c r="R54" s="49"/>
      <c r="S54" s="135"/>
    </row>
    <row r="55" spans="1:19" x14ac:dyDescent="0.2">
      <c r="A55" s="49"/>
      <c r="B55" s="135"/>
      <c r="C55" s="62" t="str">
        <f t="shared" si="6"/>
        <v xml:space="preserve">Direct cost of treating CRBSI </v>
      </c>
      <c r="D55" s="62">
        <v>3</v>
      </c>
      <c r="E55" s="62">
        <f t="shared" si="7"/>
        <v>15932.044541703328</v>
      </c>
      <c r="F55" s="62">
        <f t="shared" si="8"/>
        <v>16212.323311420529</v>
      </c>
      <c r="R55" s="49"/>
      <c r="S55" s="135"/>
    </row>
    <row r="56" spans="1:19" x14ac:dyDescent="0.2">
      <c r="A56" s="49"/>
      <c r="B56" s="135"/>
      <c r="C56" s="62" t="str">
        <f t="shared" si="6"/>
        <v>Cost for Catheres charged</v>
      </c>
      <c r="D56" s="62">
        <v>4</v>
      </c>
      <c r="E56" s="62">
        <f t="shared" si="7"/>
        <v>16050.836933178643</v>
      </c>
      <c r="F56" s="62">
        <f t="shared" si="8"/>
        <v>16093.530919945206</v>
      </c>
      <c r="R56" s="49"/>
      <c r="S56" s="135"/>
    </row>
    <row r="57" spans="1:19" x14ac:dyDescent="0.2">
      <c r="A57" s="49"/>
      <c r="B57" s="135"/>
      <c r="C57" s="62" t="str">
        <f t="shared" si="6"/>
        <v>Transition from state 1 to state 3 (PVI T4)</v>
      </c>
      <c r="D57" s="62">
        <v>5</v>
      </c>
      <c r="E57" s="62">
        <f t="shared" si="7"/>
        <v>16075.552456492051</v>
      </c>
      <c r="F57" s="62">
        <f t="shared" si="8"/>
        <v>16069.424334280015</v>
      </c>
      <c r="R57" s="49"/>
      <c r="S57" s="135"/>
    </row>
    <row r="58" spans="1:19" x14ac:dyDescent="0.2">
      <c r="A58" s="49"/>
      <c r="B58" s="135"/>
      <c r="C58" s="62" t="str">
        <f t="shared" si="6"/>
        <v>Transition from state 1 to state 4 (PVI T4)</v>
      </c>
      <c r="D58" s="62">
        <v>6</v>
      </c>
      <c r="E58" s="62">
        <f t="shared" si="7"/>
        <v>16075.42243122957</v>
      </c>
      <c r="F58" s="62">
        <f t="shared" si="8"/>
        <v>16069.531043039495</v>
      </c>
      <c r="R58" s="49"/>
      <c r="S58" s="135"/>
    </row>
    <row r="59" spans="1:19" x14ac:dyDescent="0.2">
      <c r="A59" s="49"/>
      <c r="B59" s="135"/>
      <c r="C59" s="62" t="str">
        <f t="shared" si="6"/>
        <v>Transition from state 1 to state 4 (CHG T1)</v>
      </c>
      <c r="D59" s="62">
        <v>7</v>
      </c>
      <c r="E59" s="62">
        <f t="shared" si="7"/>
        <v>16069.126330571735</v>
      </c>
      <c r="F59" s="62">
        <f t="shared" si="8"/>
        <v>16074.703154110452</v>
      </c>
      <c r="R59" s="49"/>
      <c r="S59" s="135"/>
    </row>
    <row r="60" spans="1:19" x14ac:dyDescent="0.2">
      <c r="A60" s="49"/>
      <c r="B60" s="135"/>
      <c r="C60" s="62" t="str">
        <f t="shared" si="6"/>
        <v>Transition from state 1 to state 2 (PVI T4)</v>
      </c>
      <c r="D60" s="62">
        <v>8</v>
      </c>
      <c r="E60" s="62">
        <f t="shared" si="7"/>
        <v>16070.039945250332</v>
      </c>
      <c r="F60" s="62">
        <f t="shared" si="8"/>
        <v>16073.945411197366</v>
      </c>
      <c r="R60" s="49"/>
      <c r="S60" s="135"/>
    </row>
    <row r="61" spans="1:19" x14ac:dyDescent="0.2">
      <c r="A61" s="49"/>
      <c r="B61" s="135"/>
      <c r="C61" s="62" t="str">
        <f t="shared" si="6"/>
        <v>Transition from state 1 to state 2 (CHG T1)</v>
      </c>
      <c r="D61" s="62">
        <v>9</v>
      </c>
      <c r="E61" s="62">
        <f t="shared" si="7"/>
        <v>16074.129121811282</v>
      </c>
      <c r="F61" s="62">
        <f t="shared" si="8"/>
        <v>16070.585769847581</v>
      </c>
      <c r="R61" s="49"/>
      <c r="S61" s="135"/>
    </row>
    <row r="62" spans="1:19" x14ac:dyDescent="0.2">
      <c r="A62" s="49"/>
      <c r="B62" s="135"/>
      <c r="C62" s="62" t="str">
        <f t="shared" si="6"/>
        <v>Transition from state 1 to state 1 (PVI T4)</v>
      </c>
      <c r="D62" s="62">
        <v>10</v>
      </c>
      <c r="E62" s="62">
        <f t="shared" si="7"/>
        <v>16070.24903310638</v>
      </c>
      <c r="F62" s="62">
        <f t="shared" si="8"/>
        <v>16073.774530126448</v>
      </c>
      <c r="R62" s="49"/>
      <c r="S62" s="135"/>
    </row>
    <row r="63" spans="1:19" x14ac:dyDescent="0.2">
      <c r="A63" s="49"/>
      <c r="B63" s="135"/>
      <c r="R63" s="49"/>
      <c r="S63" s="135"/>
    </row>
    <row r="64" spans="1:19" x14ac:dyDescent="0.2">
      <c r="A64" s="49"/>
      <c r="B64" s="135"/>
      <c r="R64" s="49"/>
      <c r="S64" s="135"/>
    </row>
    <row r="65" spans="1:19" x14ac:dyDescent="0.2">
      <c r="A65" s="49"/>
      <c r="B65" s="135"/>
      <c r="R65" s="49"/>
      <c r="S65" s="135"/>
    </row>
    <row r="66" spans="1:19" x14ac:dyDescent="0.2">
      <c r="A66" s="49"/>
      <c r="B66" s="135"/>
      <c r="R66" s="49"/>
      <c r="S66" s="135"/>
    </row>
    <row r="67" spans="1:19" x14ac:dyDescent="0.2">
      <c r="A67" s="49"/>
      <c r="B67" s="135"/>
      <c r="R67" s="49"/>
      <c r="S67" s="135"/>
    </row>
    <row r="68" spans="1:19" x14ac:dyDescent="0.2">
      <c r="A68" s="49"/>
      <c r="B68" s="135"/>
      <c r="R68" s="49"/>
      <c r="S68" s="135"/>
    </row>
    <row r="69" spans="1:19" x14ac:dyDescent="0.2">
      <c r="A69" s="49"/>
      <c r="B69" s="135"/>
      <c r="R69" s="49"/>
      <c r="S69" s="135"/>
    </row>
    <row r="70" spans="1:19" x14ac:dyDescent="0.2">
      <c r="A70" s="49"/>
      <c r="B70" s="135"/>
      <c r="D70" s="62" t="s">
        <v>91</v>
      </c>
      <c r="E70" s="62" t="s">
        <v>92</v>
      </c>
      <c r="F70" s="62" t="s">
        <v>93</v>
      </c>
      <c r="R70" s="49"/>
      <c r="S70" s="135"/>
    </row>
    <row r="71" spans="1:19" x14ac:dyDescent="0.2">
      <c r="A71" s="49"/>
      <c r="B71" s="135"/>
      <c r="D71" s="64" t="s">
        <v>136</v>
      </c>
      <c r="E71" s="64" t="s">
        <v>136</v>
      </c>
      <c r="F71" s="64" t="s">
        <v>136</v>
      </c>
      <c r="R71" s="49"/>
      <c r="S71" s="135"/>
    </row>
    <row r="72" spans="1:19" x14ac:dyDescent="0.2">
      <c r="A72" s="49"/>
      <c r="B72" s="135"/>
      <c r="D72" s="56">
        <f>Results_1!H13</f>
        <v>15994.742710616905</v>
      </c>
      <c r="E72" s="56">
        <f>Results_1!H14</f>
        <v>16010.866248485714</v>
      </c>
      <c r="F72" s="56">
        <f>Results_1!H15</f>
        <v>16072.183926561929</v>
      </c>
      <c r="R72" s="49"/>
      <c r="S72" s="135"/>
    </row>
    <row r="73" spans="1:19" x14ac:dyDescent="0.2">
      <c r="A73" s="49"/>
      <c r="B73" s="135"/>
      <c r="R73" s="49"/>
      <c r="S73" s="135"/>
    </row>
    <row r="74" spans="1:19" x14ac:dyDescent="0.2">
      <c r="A74" s="49"/>
      <c r="B74" s="135"/>
      <c r="R74" s="49"/>
      <c r="S74" s="135"/>
    </row>
    <row r="75" spans="1:19" ht="16" x14ac:dyDescent="0.2">
      <c r="A75" s="49"/>
      <c r="B75" s="135"/>
      <c r="D75" s="125" t="s">
        <v>132</v>
      </c>
      <c r="E75" s="125"/>
      <c r="F75" s="125"/>
      <c r="G75" s="68" t="s">
        <v>133</v>
      </c>
      <c r="H75" s="68"/>
      <c r="I75" s="68"/>
      <c r="K75" s="62" t="s">
        <v>91</v>
      </c>
      <c r="L75" s="62" t="s">
        <v>92</v>
      </c>
      <c r="M75" s="62" t="s">
        <v>93</v>
      </c>
      <c r="N75" s="122" t="s">
        <v>128</v>
      </c>
      <c r="O75" s="123"/>
      <c r="P75" s="124"/>
      <c r="R75" s="49"/>
      <c r="S75" s="135"/>
    </row>
    <row r="76" spans="1:19" x14ac:dyDescent="0.2">
      <c r="A76" s="49"/>
      <c r="B76" s="135"/>
      <c r="D76" s="68" t="s">
        <v>32</v>
      </c>
      <c r="E76" s="121" t="s">
        <v>130</v>
      </c>
      <c r="F76" s="121" t="s">
        <v>33</v>
      </c>
      <c r="G76" s="68" t="s">
        <v>32</v>
      </c>
      <c r="H76" s="121" t="s">
        <v>130</v>
      </c>
      <c r="I76" s="68" t="s">
        <v>33</v>
      </c>
      <c r="K76" s="65" t="s">
        <v>137</v>
      </c>
      <c r="L76" s="65" t="s">
        <v>137</v>
      </c>
      <c r="M76" s="65" t="s">
        <v>137</v>
      </c>
      <c r="N76" s="66" t="s">
        <v>136</v>
      </c>
      <c r="O76" s="66" t="s">
        <v>136</v>
      </c>
      <c r="P76" s="66" t="s">
        <v>136</v>
      </c>
      <c r="R76" s="49"/>
      <c r="S76" s="135"/>
    </row>
    <row r="77" spans="1:19" x14ac:dyDescent="0.2">
      <c r="A77" s="49">
        <f>p_rows</f>
        <v>273</v>
      </c>
      <c r="B77" s="135"/>
      <c r="C77" s="2" t="s">
        <v>131</v>
      </c>
      <c r="D77" s="68" t="s">
        <v>134</v>
      </c>
      <c r="E77" s="68" t="s">
        <v>134</v>
      </c>
      <c r="F77" s="68" t="s">
        <v>134</v>
      </c>
      <c r="G77" s="68" t="s">
        <v>135</v>
      </c>
      <c r="H77" s="68" t="s">
        <v>135</v>
      </c>
      <c r="I77" s="68" t="s">
        <v>135</v>
      </c>
      <c r="K77" s="62"/>
      <c r="L77" s="62"/>
      <c r="M77" s="62"/>
      <c r="N77" s="62"/>
      <c r="O77" s="62"/>
      <c r="P77" s="62"/>
      <c r="R77" s="49"/>
      <c r="S77" s="135"/>
    </row>
    <row r="78" spans="1:19" x14ac:dyDescent="0.2">
      <c r="A78" s="49">
        <f>IF(C78="","",1)</f>
        <v>1</v>
      </c>
      <c r="B78" s="135"/>
      <c r="C78" s="62" t="s">
        <v>139</v>
      </c>
      <c r="D78" s="62">
        <v>15996.453177448973</v>
      </c>
      <c r="E78" s="62">
        <v>16012.596195902823</v>
      </c>
      <c r="F78" s="62">
        <v>16073.943364475794</v>
      </c>
      <c r="G78" s="62">
        <v>15993.336590683297</v>
      </c>
      <c r="H78" s="62">
        <v>16009.44411418782</v>
      </c>
      <c r="I78" s="62">
        <v>16070.737549072313</v>
      </c>
      <c r="K78" s="62">
        <f>IF(C78="","",ABS(G78-D78))</f>
        <v>3.1165867656764021</v>
      </c>
      <c r="L78" s="62">
        <f>IF(C78="","",ABS(H78-E78))</f>
        <v>3.152081715003078</v>
      </c>
      <c r="M78" s="62">
        <f>IF(C78="","",ABS(I78-F78))</f>
        <v>3.205815403480301</v>
      </c>
      <c r="N78" s="62">
        <f>IF($C78="","",_xlfn.RANK.EQ(K78,K$78:K$193)+COUNTIF(K$78:K78,K78)-1)</f>
        <v>11</v>
      </c>
      <c r="O78" s="62">
        <f>IF($C78="","",_xlfn.RANK.EQ(L78,L$78:L$193)+COUNTIF(L$78:L78,L78)-1)</f>
        <v>11</v>
      </c>
      <c r="P78" s="62">
        <f>IF($C78="","",_xlfn.RANK.EQ(M78,M$78:M$193)+COUNTIF(M$78:M78,M78)-1)</f>
        <v>11</v>
      </c>
      <c r="R78" s="49"/>
      <c r="S78" s="135"/>
    </row>
    <row r="79" spans="1:19" x14ac:dyDescent="0.2">
      <c r="A79" s="49">
        <f t="shared" ref="A79:A110" si="9">IF(C79="","",A78+1)</f>
        <v>2</v>
      </c>
      <c r="B79" s="135"/>
      <c r="C79" s="62" t="s">
        <v>140</v>
      </c>
      <c r="D79" s="62">
        <v>15996.633819106861</v>
      </c>
      <c r="E79" s="62">
        <v>16012.778883397481</v>
      </c>
      <c r="F79" s="62">
        <v>16074.129121811282</v>
      </c>
      <c r="G79" s="62">
        <v>15993.188991204532</v>
      </c>
      <c r="H79" s="62">
        <v>16009.294843116641</v>
      </c>
      <c r="I79" s="62">
        <v>16070.585769847581</v>
      </c>
      <c r="K79" s="62">
        <f>IF(C79="","",ABS(G79-D79))</f>
        <v>3.4448279023290524</v>
      </c>
      <c r="L79" s="62">
        <f t="shared" ref="L79:L142" si="10">IF(C79="","",ABS(H79-E79))</f>
        <v>3.4840402808404178</v>
      </c>
      <c r="M79" s="62">
        <f t="shared" ref="M79:M142" si="11">IF(C79="","",ABS(I79-F79))</f>
        <v>3.543351963700843</v>
      </c>
      <c r="N79" s="62">
        <f>IF($C79="","",_xlfn.RANK.EQ(K79,K$78:K$193)+COUNTIF(K$78:K79,K79)-1)</f>
        <v>9</v>
      </c>
      <c r="O79" s="62">
        <f>IF($C79="","",_xlfn.RANK.EQ(L79,L$78:L$193)+COUNTIF(L$78:L79,L79)-1)</f>
        <v>9</v>
      </c>
      <c r="P79" s="62">
        <f>IF($C79="","",_xlfn.RANK.EQ(M79,M$78:M$193)+COUNTIF(M$78:M79,M79)-1)</f>
        <v>9</v>
      </c>
      <c r="R79" s="49"/>
      <c r="S79" s="135"/>
    </row>
    <row r="80" spans="1:19" x14ac:dyDescent="0.2">
      <c r="A80" s="49">
        <f t="shared" si="9"/>
        <v>3</v>
      </c>
      <c r="B80" s="135"/>
      <c r="C80" s="62" t="s">
        <v>141</v>
      </c>
      <c r="D80" s="62">
        <v>15991.886635947745</v>
      </c>
      <c r="E80" s="62">
        <v>16007.95315408663</v>
      </c>
      <c r="F80" s="62">
        <v>16069.126330571735</v>
      </c>
      <c r="G80" s="62">
        <v>15997.09571493924</v>
      </c>
      <c r="H80" s="62">
        <v>16013.266304082868</v>
      </c>
      <c r="I80" s="62">
        <v>16074.703154110452</v>
      </c>
      <c r="K80" s="62">
        <f t="shared" ref="K80:K143" si="12">IF(C80="","",ABS(G80-D80))</f>
        <v>5.2090789914946072</v>
      </c>
      <c r="L80" s="62">
        <f t="shared" si="10"/>
        <v>5.3131499962382804</v>
      </c>
      <c r="M80" s="62">
        <f t="shared" si="11"/>
        <v>5.5768235387167806</v>
      </c>
      <c r="N80" s="62">
        <f>IF($C80="","",_xlfn.RANK.EQ(K80,K$78:K$193)+COUNTIF(K$78:K80,K80)-1)</f>
        <v>7</v>
      </c>
      <c r="O80" s="62">
        <f>IF($C80="","",_xlfn.RANK.EQ(L80,L$78:L$193)+COUNTIF(L$78:L80,L80)-1)</f>
        <v>7</v>
      </c>
      <c r="P80" s="62">
        <f>IF($C80="","",_xlfn.RANK.EQ(M80,M$78:M$193)+COUNTIF(M$78:M80,M80)-1)</f>
        <v>7</v>
      </c>
      <c r="R80" s="49"/>
      <c r="S80" s="135"/>
    </row>
    <row r="81" spans="1:19" x14ac:dyDescent="0.2">
      <c r="A81" s="49">
        <f t="shared" si="9"/>
        <v>4</v>
      </c>
      <c r="B81" s="135"/>
      <c r="C81" s="62" t="s">
        <v>350</v>
      </c>
      <c r="D81" s="62">
        <v>15994.742710616905</v>
      </c>
      <c r="E81" s="62">
        <v>16010.866248485714</v>
      </c>
      <c r="F81" s="62">
        <v>16072.183926561927</v>
      </c>
      <c r="G81" s="62">
        <v>15994.742710616905</v>
      </c>
      <c r="H81" s="62">
        <v>16010.866248485714</v>
      </c>
      <c r="I81" s="62">
        <v>16072.183926561927</v>
      </c>
      <c r="K81" s="62">
        <f t="shared" si="12"/>
        <v>0</v>
      </c>
      <c r="L81" s="62">
        <f t="shared" si="10"/>
        <v>0</v>
      </c>
      <c r="M81" s="62">
        <f t="shared" si="11"/>
        <v>0</v>
      </c>
      <c r="N81" s="62">
        <f>IF($C81="","",_xlfn.RANK.EQ(K81,K$78:K$193)+COUNTIF(K$78:K81,K81)-1)</f>
        <v>27</v>
      </c>
      <c r="O81" s="62">
        <f>IF($C81="","",_xlfn.RANK.EQ(L81,L$78:L$193)+COUNTIF(L$78:L81,L81)-1)</f>
        <v>31</v>
      </c>
      <c r="P81" s="62">
        <f>IF($C81="","",_xlfn.RANK.EQ(M81,M$78:M$193)+COUNTIF(M$78:M81,M81)-1)</f>
        <v>31</v>
      </c>
      <c r="R81" s="49"/>
      <c r="S81" s="135"/>
    </row>
    <row r="82" spans="1:19" x14ac:dyDescent="0.2">
      <c r="A82" s="49">
        <f t="shared" si="9"/>
        <v>5</v>
      </c>
      <c r="B82" s="135"/>
      <c r="C82" s="62" t="s">
        <v>142</v>
      </c>
      <c r="D82" s="62">
        <v>15995.171913995555</v>
      </c>
      <c r="E82" s="62">
        <v>16011.300342953529</v>
      </c>
      <c r="F82" s="62">
        <v>16072.625432166295</v>
      </c>
      <c r="G82" s="62">
        <v>15994.390080517354</v>
      </c>
      <c r="H82" s="62">
        <v>16010.509599907309</v>
      </c>
      <c r="I82" s="62">
        <v>16071.821189054408</v>
      </c>
      <c r="K82" s="62">
        <f t="shared" si="12"/>
        <v>0.78183347820049676</v>
      </c>
      <c r="L82" s="62">
        <f t="shared" si="10"/>
        <v>0.7907430462200864</v>
      </c>
      <c r="M82" s="62">
        <f t="shared" si="11"/>
        <v>0.80424311188653519</v>
      </c>
      <c r="N82" s="62">
        <f>IF($C82="","",_xlfn.RANK.EQ(K82,K$78:K$193)+COUNTIF(K$78:K82,K82)-1)</f>
        <v>24</v>
      </c>
      <c r="O82" s="62">
        <f>IF($C82="","",_xlfn.RANK.EQ(L82,L$78:L$193)+COUNTIF(L$78:L82,L82)-1)</f>
        <v>28</v>
      </c>
      <c r="P82" s="62">
        <f>IF($C82="","",_xlfn.RANK.EQ(M82,M$78:M$193)+COUNTIF(M$78:M82,M82)-1)</f>
        <v>28</v>
      </c>
      <c r="R82" s="49"/>
      <c r="S82" s="135"/>
    </row>
    <row r="83" spans="1:19" x14ac:dyDescent="0.2">
      <c r="A83" s="49">
        <f t="shared" si="9"/>
        <v>6</v>
      </c>
      <c r="B83" s="135"/>
      <c r="C83" s="62" t="s">
        <v>143</v>
      </c>
      <c r="D83" s="62">
        <v>15995.216970231484</v>
      </c>
      <c r="E83" s="62">
        <v>16011.345909464751</v>
      </c>
      <c r="F83" s="62">
        <v>16072.671764344726</v>
      </c>
      <c r="G83" s="62">
        <v>15994.352836995686</v>
      </c>
      <c r="H83" s="62">
        <v>16010.471934575977</v>
      </c>
      <c r="I83" s="62">
        <v>16071.782890764021</v>
      </c>
      <c r="K83" s="62">
        <f t="shared" si="12"/>
        <v>0.86413323579836288</v>
      </c>
      <c r="L83" s="62">
        <f t="shared" si="10"/>
        <v>0.87397488877468277</v>
      </c>
      <c r="M83" s="62">
        <f t="shared" si="11"/>
        <v>0.88887358070496703</v>
      </c>
      <c r="N83" s="62">
        <f>IF($C83="","",_xlfn.RANK.EQ(K83,K$78:K$193)+COUNTIF(K$78:K83,K83)-1)</f>
        <v>22</v>
      </c>
      <c r="O83" s="62">
        <f>IF($C83="","",_xlfn.RANK.EQ(L83,L$78:L$193)+COUNTIF(L$78:L83,L83)-1)</f>
        <v>26</v>
      </c>
      <c r="P83" s="62">
        <f>IF($C83="","",_xlfn.RANK.EQ(M83,M$78:M$193)+COUNTIF(M$78:M83,M83)-1)</f>
        <v>26</v>
      </c>
      <c r="R83" s="49"/>
      <c r="S83" s="135"/>
    </row>
    <row r="84" spans="1:19" x14ac:dyDescent="0.2">
      <c r="A84" s="49">
        <f t="shared" si="9"/>
        <v>7</v>
      </c>
      <c r="B84" s="135"/>
      <c r="C84" s="62" t="s">
        <v>144</v>
      </c>
      <c r="D84" s="62">
        <v>15994.023738900974</v>
      </c>
      <c r="E84" s="62">
        <v>16010.132912945608</v>
      </c>
      <c r="F84" s="62">
        <v>16071.414197276996</v>
      </c>
      <c r="G84" s="62">
        <v>15995.333825608137</v>
      </c>
      <c r="H84" s="62">
        <v>16011.469177683408</v>
      </c>
      <c r="I84" s="62">
        <v>16072.816785272664</v>
      </c>
      <c r="K84" s="62">
        <f t="shared" si="12"/>
        <v>1.3100867071625544</v>
      </c>
      <c r="L84" s="62">
        <f t="shared" si="10"/>
        <v>1.3362647377998655</v>
      </c>
      <c r="M84" s="62">
        <f t="shared" si="11"/>
        <v>1.4025879956680001</v>
      </c>
      <c r="N84" s="62">
        <f>IF($C84="","",_xlfn.RANK.EQ(K84,K$78:K$193)+COUNTIF(K$78:K84,K84)-1)</f>
        <v>14</v>
      </c>
      <c r="O84" s="62">
        <f>IF($C84="","",_xlfn.RANK.EQ(L84,L$78:L$193)+COUNTIF(L$78:L84,L84)-1)</f>
        <v>18</v>
      </c>
      <c r="P84" s="62">
        <f>IF($C84="","",_xlfn.RANK.EQ(M84,M$78:M$193)+COUNTIF(M$78:M84,M84)-1)</f>
        <v>18</v>
      </c>
      <c r="R84" s="49"/>
      <c r="S84" s="135"/>
    </row>
    <row r="85" spans="1:19" x14ac:dyDescent="0.2">
      <c r="A85" s="49">
        <f t="shared" si="9"/>
        <v>8</v>
      </c>
      <c r="B85" s="135"/>
      <c r="C85" s="62" t="s">
        <v>351</v>
      </c>
      <c r="D85" s="62">
        <v>15994.742710616905</v>
      </c>
      <c r="E85" s="62">
        <v>16010.866248485714</v>
      </c>
      <c r="F85" s="62">
        <v>16072.183926561927</v>
      </c>
      <c r="G85" s="62">
        <v>15994.742710616905</v>
      </c>
      <c r="H85" s="62">
        <v>16010.866248485714</v>
      </c>
      <c r="I85" s="62">
        <v>16072.183926561927</v>
      </c>
      <c r="K85" s="62">
        <f t="shared" si="12"/>
        <v>0</v>
      </c>
      <c r="L85" s="62">
        <f t="shared" si="10"/>
        <v>0</v>
      </c>
      <c r="M85" s="62">
        <f t="shared" si="11"/>
        <v>0</v>
      </c>
      <c r="N85" s="62">
        <f>IF($C85="","",_xlfn.RANK.EQ(K85,K$78:K$193)+COUNTIF(K$78:K85,K85)-1)</f>
        <v>28</v>
      </c>
      <c r="O85" s="62">
        <f>IF($C85="","",_xlfn.RANK.EQ(L85,L$78:L$193)+COUNTIF(L$78:L85,L85)-1)</f>
        <v>32</v>
      </c>
      <c r="P85" s="62">
        <f>IF($C85="","",_xlfn.RANK.EQ(M85,M$78:M$193)+COUNTIF(M$78:M85,M85)-1)</f>
        <v>32</v>
      </c>
      <c r="R85" s="49"/>
      <c r="S85" s="135"/>
    </row>
    <row r="86" spans="1:19" x14ac:dyDescent="0.2">
      <c r="A86" s="49">
        <f t="shared" si="9"/>
        <v>9</v>
      </c>
      <c r="B86" s="135"/>
      <c r="C86" s="62" t="s">
        <v>145</v>
      </c>
      <c r="D86" s="62">
        <v>15995.169531106731</v>
      </c>
      <c r="E86" s="62">
        <v>16011.29799351176</v>
      </c>
      <c r="F86" s="62">
        <v>16072.623276966366</v>
      </c>
      <c r="G86" s="62">
        <v>15994.392043308166</v>
      </c>
      <c r="H86" s="62">
        <v>16010.511535303625</v>
      </c>
      <c r="I86" s="62">
        <v>16071.822964995337</v>
      </c>
      <c r="K86" s="62">
        <f t="shared" si="12"/>
        <v>0.77748779856483452</v>
      </c>
      <c r="L86" s="62">
        <f t="shared" si="10"/>
        <v>0.78645820813471801</v>
      </c>
      <c r="M86" s="62">
        <f t="shared" si="11"/>
        <v>0.80031197102834994</v>
      </c>
      <c r="N86" s="62">
        <f>IF($C86="","",_xlfn.RANK.EQ(K86,K$78:K$193)+COUNTIF(K$78:K86,K86)-1)</f>
        <v>25</v>
      </c>
      <c r="O86" s="62">
        <f>IF($C86="","",_xlfn.RANK.EQ(L86,L$78:L$193)+COUNTIF(L$78:L86,L86)-1)</f>
        <v>29</v>
      </c>
      <c r="P86" s="62">
        <f>IF($C86="","",_xlfn.RANK.EQ(M86,M$78:M$193)+COUNTIF(M$78:M86,M86)-1)</f>
        <v>29</v>
      </c>
      <c r="R86" s="49"/>
      <c r="S86" s="135"/>
    </row>
    <row r="87" spans="1:19" x14ac:dyDescent="0.2">
      <c r="A87" s="49">
        <f t="shared" si="9"/>
        <v>10</v>
      </c>
      <c r="B87" s="135"/>
      <c r="C87" s="62" t="s">
        <v>146</v>
      </c>
      <c r="D87" s="62">
        <v>15995.216191395755</v>
      </c>
      <c r="E87" s="62">
        <v>16011.345182755975</v>
      </c>
      <c r="F87" s="62">
        <v>16072.671261126319</v>
      </c>
      <c r="G87" s="62">
        <v>15994.353709359601</v>
      </c>
      <c r="H87" s="62">
        <v>16010.472766791911</v>
      </c>
      <c r="I87" s="62">
        <v>16071.783543421205</v>
      </c>
      <c r="K87" s="62">
        <f t="shared" si="12"/>
        <v>0.8624820361546881</v>
      </c>
      <c r="L87" s="62">
        <f t="shared" si="10"/>
        <v>0.87241596406420285</v>
      </c>
      <c r="M87" s="62">
        <f t="shared" si="11"/>
        <v>0.88771770511448267</v>
      </c>
      <c r="N87" s="62">
        <f>IF($C87="","",_xlfn.RANK.EQ(K87,K$78:K$193)+COUNTIF(K$78:K87,K87)-1)</f>
        <v>23</v>
      </c>
      <c r="O87" s="62">
        <f>IF($C87="","",_xlfn.RANK.EQ(L87,L$78:L$193)+COUNTIF(L$78:L87,L87)-1)</f>
        <v>27</v>
      </c>
      <c r="P87" s="62">
        <f>IF($C87="","",_xlfn.RANK.EQ(M87,M$78:M$193)+COUNTIF(M$78:M87,M87)-1)</f>
        <v>27</v>
      </c>
      <c r="R87" s="49"/>
      <c r="S87" s="135"/>
    </row>
    <row r="88" spans="1:19" x14ac:dyDescent="0.2">
      <c r="A88" s="49">
        <f t="shared" si="9"/>
        <v>11</v>
      </c>
      <c r="B88" s="135"/>
      <c r="C88" s="62" t="s">
        <v>352</v>
      </c>
      <c r="D88" s="62">
        <v>15994.742710616905</v>
      </c>
      <c r="E88" s="62">
        <v>16010.866248485714</v>
      </c>
      <c r="F88" s="62">
        <v>16072.183926561927</v>
      </c>
      <c r="G88" s="62">
        <v>15994.742710616905</v>
      </c>
      <c r="H88" s="62">
        <v>16010.866248485714</v>
      </c>
      <c r="I88" s="62">
        <v>16072.183926561927</v>
      </c>
      <c r="K88" s="62">
        <f t="shared" si="12"/>
        <v>0</v>
      </c>
      <c r="L88" s="62">
        <f t="shared" si="10"/>
        <v>0</v>
      </c>
      <c r="M88" s="62">
        <f t="shared" si="11"/>
        <v>0</v>
      </c>
      <c r="N88" s="62">
        <f>IF($C88="","",_xlfn.RANK.EQ(K88,K$78:K$193)+COUNTIF(K$78:K88,K88)-1)</f>
        <v>29</v>
      </c>
      <c r="O88" s="62">
        <f>IF($C88="","",_xlfn.RANK.EQ(L88,L$78:L$193)+COUNTIF(L$78:L88,L88)-1)</f>
        <v>33</v>
      </c>
      <c r="P88" s="62">
        <f>IF($C88="","",_xlfn.RANK.EQ(M88,M$78:M$193)+COUNTIF(M$78:M88,M88)-1)</f>
        <v>33</v>
      </c>
      <c r="R88" s="49"/>
      <c r="S88" s="135"/>
    </row>
    <row r="89" spans="1:19" x14ac:dyDescent="0.2">
      <c r="A89" s="49">
        <f t="shared" si="9"/>
        <v>12</v>
      </c>
      <c r="B89" s="135"/>
      <c r="C89" s="62" t="s">
        <v>353</v>
      </c>
      <c r="D89" s="62">
        <v>15994.742710616905</v>
      </c>
      <c r="E89" s="62">
        <v>16010.866248485714</v>
      </c>
      <c r="F89" s="62">
        <v>16072.183926561927</v>
      </c>
      <c r="G89" s="62">
        <v>15994.742710616905</v>
      </c>
      <c r="H89" s="62">
        <v>16010.866248485714</v>
      </c>
      <c r="I89" s="62">
        <v>16072.183926561927</v>
      </c>
      <c r="K89" s="62">
        <f t="shared" si="12"/>
        <v>0</v>
      </c>
      <c r="L89" s="62">
        <f t="shared" si="10"/>
        <v>0</v>
      </c>
      <c r="M89" s="62">
        <f t="shared" si="11"/>
        <v>0</v>
      </c>
      <c r="N89" s="62">
        <f>IF($C89="","",_xlfn.RANK.EQ(K89,K$78:K$193)+COUNTIF(K$78:K89,K89)-1)</f>
        <v>30</v>
      </c>
      <c r="O89" s="62">
        <f>IF($C89="","",_xlfn.RANK.EQ(L89,L$78:L$193)+COUNTIF(L$78:L89,L89)-1)</f>
        <v>34</v>
      </c>
      <c r="P89" s="62">
        <f>IF($C89="","",_xlfn.RANK.EQ(M89,M$78:M$193)+COUNTIF(M$78:M89,M89)-1)</f>
        <v>34</v>
      </c>
      <c r="R89" s="49"/>
      <c r="S89" s="135"/>
    </row>
    <row r="90" spans="1:19" x14ac:dyDescent="0.2">
      <c r="A90" s="49">
        <f t="shared" si="9"/>
        <v>13</v>
      </c>
      <c r="B90" s="135"/>
      <c r="C90" s="62" t="s">
        <v>354</v>
      </c>
      <c r="D90" s="62">
        <v>15994.742710616905</v>
      </c>
      <c r="E90" s="62">
        <v>16010.866248485714</v>
      </c>
      <c r="F90" s="62">
        <v>16072.183926561927</v>
      </c>
      <c r="G90" s="62">
        <v>15994.742710616905</v>
      </c>
      <c r="H90" s="62">
        <v>16010.866248485714</v>
      </c>
      <c r="I90" s="62">
        <v>16072.183926561927</v>
      </c>
      <c r="K90" s="62">
        <f t="shared" si="12"/>
        <v>0</v>
      </c>
      <c r="L90" s="62">
        <f t="shared" si="10"/>
        <v>0</v>
      </c>
      <c r="M90" s="62">
        <f t="shared" si="11"/>
        <v>0</v>
      </c>
      <c r="N90" s="62">
        <f>IF($C90="","",_xlfn.RANK.EQ(K90,K$78:K$193)+COUNTIF(K$78:K90,K90)-1)</f>
        <v>31</v>
      </c>
      <c r="O90" s="62">
        <f>IF($C90="","",_xlfn.RANK.EQ(L90,L$78:L$193)+COUNTIF(L$78:L90,L90)-1)</f>
        <v>35</v>
      </c>
      <c r="P90" s="62">
        <f>IF($C90="","",_xlfn.RANK.EQ(M90,M$78:M$193)+COUNTIF(M$78:M90,M90)-1)</f>
        <v>35</v>
      </c>
      <c r="R90" s="49"/>
      <c r="S90" s="135"/>
    </row>
    <row r="91" spans="1:19" x14ac:dyDescent="0.2">
      <c r="A91" s="49">
        <f t="shared" si="9"/>
        <v>14</v>
      </c>
      <c r="B91" s="135"/>
      <c r="C91" s="62" t="s">
        <v>355</v>
      </c>
      <c r="D91" s="62">
        <v>15994.742710616905</v>
      </c>
      <c r="E91" s="62">
        <v>16010.866248485714</v>
      </c>
      <c r="F91" s="62">
        <v>16072.183926561927</v>
      </c>
      <c r="G91" s="62">
        <v>15994.742710616905</v>
      </c>
      <c r="H91" s="62">
        <v>16010.866248485714</v>
      </c>
      <c r="I91" s="62">
        <v>16072.183926561927</v>
      </c>
      <c r="K91" s="62">
        <f t="shared" si="12"/>
        <v>0</v>
      </c>
      <c r="L91" s="62">
        <f t="shared" si="10"/>
        <v>0</v>
      </c>
      <c r="M91" s="62">
        <f t="shared" si="11"/>
        <v>0</v>
      </c>
      <c r="N91" s="62">
        <f>IF($C91="","",_xlfn.RANK.EQ(K91,K$78:K$193)+COUNTIF(K$78:K91,K91)-1)</f>
        <v>32</v>
      </c>
      <c r="O91" s="62">
        <f>IF($C91="","",_xlfn.RANK.EQ(L91,L$78:L$193)+COUNTIF(L$78:L91,L91)-1)</f>
        <v>36</v>
      </c>
      <c r="P91" s="62">
        <f>IF($C91="","",_xlfn.RANK.EQ(M91,M$78:M$193)+COUNTIF(M$78:M91,M91)-1)</f>
        <v>36</v>
      </c>
      <c r="R91" s="49"/>
      <c r="S91" s="135"/>
    </row>
    <row r="92" spans="1:19" x14ac:dyDescent="0.2">
      <c r="A92" s="49">
        <f t="shared" si="9"/>
        <v>15</v>
      </c>
      <c r="B92" s="135"/>
      <c r="C92" s="62" t="s">
        <v>356</v>
      </c>
      <c r="D92" s="62">
        <v>15994.742710616905</v>
      </c>
      <c r="E92" s="62">
        <v>16010.866248485714</v>
      </c>
      <c r="F92" s="62">
        <v>16072.183926561927</v>
      </c>
      <c r="G92" s="62">
        <v>15994.742710616905</v>
      </c>
      <c r="H92" s="62">
        <v>16010.866248485714</v>
      </c>
      <c r="I92" s="62">
        <v>16072.183926561927</v>
      </c>
      <c r="K92" s="62">
        <f t="shared" si="12"/>
        <v>0</v>
      </c>
      <c r="L92" s="62">
        <f t="shared" si="10"/>
        <v>0</v>
      </c>
      <c r="M92" s="62">
        <f t="shared" si="11"/>
        <v>0</v>
      </c>
      <c r="N92" s="62">
        <f>IF($C92="","",_xlfn.RANK.EQ(K92,K$78:K$193)+COUNTIF(K$78:K92,K92)-1)</f>
        <v>33</v>
      </c>
      <c r="O92" s="62">
        <f>IF($C92="","",_xlfn.RANK.EQ(L92,L$78:L$193)+COUNTIF(L$78:L92,L92)-1)</f>
        <v>37</v>
      </c>
      <c r="P92" s="62">
        <f>IF($C92="","",_xlfn.RANK.EQ(M92,M$78:M$193)+COUNTIF(M$78:M92,M92)-1)</f>
        <v>37</v>
      </c>
      <c r="R92" s="49"/>
      <c r="S92" s="135"/>
    </row>
    <row r="93" spans="1:19" x14ac:dyDescent="0.2">
      <c r="A93" s="49">
        <f t="shared" si="9"/>
        <v>16</v>
      </c>
      <c r="B93" s="135"/>
      <c r="C93" s="62" t="s">
        <v>260</v>
      </c>
      <c r="D93" s="62">
        <v>15995.104966473071</v>
      </c>
      <c r="E93" s="62">
        <v>16011.232630090406</v>
      </c>
      <c r="F93" s="62">
        <v>16072.556553891442</v>
      </c>
      <c r="G93" s="62">
        <v>15994.444911693854</v>
      </c>
      <c r="H93" s="62">
        <v>16010.565057917096</v>
      </c>
      <c r="I93" s="62">
        <v>16071.877601583214</v>
      </c>
      <c r="K93" s="62">
        <f t="shared" si="12"/>
        <v>0.66005477921680722</v>
      </c>
      <c r="L93" s="62">
        <f t="shared" si="10"/>
        <v>0.66757217330996355</v>
      </c>
      <c r="M93" s="62">
        <f t="shared" si="11"/>
        <v>0.67895230822796293</v>
      </c>
      <c r="N93" s="62">
        <f>IF($C93="","",_xlfn.RANK.EQ(K93,K$78:K$193)+COUNTIF(K$78:K93,K93)-1)</f>
        <v>26</v>
      </c>
      <c r="O93" s="62">
        <f>IF($C93="","",_xlfn.RANK.EQ(L93,L$78:L$193)+COUNTIF(L$78:L93,L93)-1)</f>
        <v>30</v>
      </c>
      <c r="P93" s="62">
        <f>IF($C93="","",_xlfn.RANK.EQ(M93,M$78:M$193)+COUNTIF(M$78:M93,M93)-1)</f>
        <v>30</v>
      </c>
      <c r="R93" s="49"/>
      <c r="S93" s="135"/>
    </row>
    <row r="94" spans="1:19" x14ac:dyDescent="0.2">
      <c r="A94" s="49">
        <f t="shared" si="9"/>
        <v>17</v>
      </c>
      <c r="B94" s="135"/>
      <c r="C94" s="62" t="s">
        <v>357</v>
      </c>
      <c r="D94" s="62">
        <v>15994.742710616905</v>
      </c>
      <c r="E94" s="62">
        <v>16010.866248485714</v>
      </c>
      <c r="F94" s="62">
        <v>16072.183926561927</v>
      </c>
      <c r="G94" s="62">
        <v>15994.742710616905</v>
      </c>
      <c r="H94" s="62">
        <v>16010.866248485714</v>
      </c>
      <c r="I94" s="62">
        <v>16072.183926561927</v>
      </c>
      <c r="K94" s="62">
        <f t="shared" si="12"/>
        <v>0</v>
      </c>
      <c r="L94" s="62">
        <f t="shared" si="10"/>
        <v>0</v>
      </c>
      <c r="M94" s="62">
        <f t="shared" si="11"/>
        <v>0</v>
      </c>
      <c r="N94" s="62">
        <f>IF($C94="","",_xlfn.RANK.EQ(K94,K$78:K$193)+COUNTIF(K$78:K94,K94)-1)</f>
        <v>34</v>
      </c>
      <c r="O94" s="62">
        <f>IF($C94="","",_xlfn.RANK.EQ(L94,L$78:L$193)+COUNTIF(L$78:L94,L94)-1)</f>
        <v>38</v>
      </c>
      <c r="P94" s="62">
        <f>IF($C94="","",_xlfn.RANK.EQ(M94,M$78:M$193)+COUNTIF(M$78:M94,M94)-1)</f>
        <v>38</v>
      </c>
      <c r="R94" s="49"/>
      <c r="S94" s="135"/>
    </row>
    <row r="95" spans="1:19" x14ac:dyDescent="0.2">
      <c r="A95" s="49">
        <f t="shared" si="9"/>
        <v>18</v>
      </c>
      <c r="B95" s="135"/>
      <c r="C95" s="62" t="s">
        <v>358</v>
      </c>
      <c r="D95" s="62">
        <v>15994.742710616905</v>
      </c>
      <c r="E95" s="62">
        <v>16010.866248485714</v>
      </c>
      <c r="F95" s="62">
        <v>16072.183926561927</v>
      </c>
      <c r="G95" s="62">
        <v>15994.742710616905</v>
      </c>
      <c r="H95" s="62">
        <v>16010.866248485714</v>
      </c>
      <c r="I95" s="62">
        <v>16072.183926561927</v>
      </c>
      <c r="K95" s="62">
        <f t="shared" si="12"/>
        <v>0</v>
      </c>
      <c r="L95" s="62">
        <f t="shared" si="10"/>
        <v>0</v>
      </c>
      <c r="M95" s="62">
        <f t="shared" si="11"/>
        <v>0</v>
      </c>
      <c r="N95" s="62">
        <f>IF($C95="","",_xlfn.RANK.EQ(K95,K$78:K$193)+COUNTIF(K$78:K95,K95)-1)</f>
        <v>35</v>
      </c>
      <c r="O95" s="62">
        <f>IF($C95="","",_xlfn.RANK.EQ(L95,L$78:L$193)+COUNTIF(L$78:L95,L95)-1)</f>
        <v>39</v>
      </c>
      <c r="P95" s="62">
        <f>IF($C95="","",_xlfn.RANK.EQ(M95,M$78:M$193)+COUNTIF(M$78:M95,M95)-1)</f>
        <v>39</v>
      </c>
      <c r="R95" s="49"/>
      <c r="S95" s="135"/>
    </row>
    <row r="96" spans="1:19" x14ac:dyDescent="0.2">
      <c r="A96" s="49">
        <f t="shared" si="9"/>
        <v>19</v>
      </c>
      <c r="B96" s="135"/>
      <c r="C96" s="62" t="s">
        <v>359</v>
      </c>
      <c r="D96" s="62">
        <v>15994.742710616905</v>
      </c>
      <c r="E96" s="62">
        <v>16010.866248485714</v>
      </c>
      <c r="F96" s="62">
        <v>16072.183926561927</v>
      </c>
      <c r="G96" s="62">
        <v>15994.742710616905</v>
      </c>
      <c r="H96" s="62">
        <v>16010.866248485714</v>
      </c>
      <c r="I96" s="62">
        <v>16072.183926561927</v>
      </c>
      <c r="K96" s="62">
        <f t="shared" si="12"/>
        <v>0</v>
      </c>
      <c r="L96" s="62">
        <f t="shared" si="10"/>
        <v>0</v>
      </c>
      <c r="M96" s="62">
        <f t="shared" si="11"/>
        <v>0</v>
      </c>
      <c r="N96" s="62">
        <f>IF($C96="","",_xlfn.RANK.EQ(K96,K$78:K$193)+COUNTIF(K$78:K96,K96)-1)</f>
        <v>36</v>
      </c>
      <c r="O96" s="62">
        <f>IF($C96="","",_xlfn.RANK.EQ(L96,L$78:L$193)+COUNTIF(L$78:L96,L96)-1)</f>
        <v>40</v>
      </c>
      <c r="P96" s="62">
        <f>IF($C96="","",_xlfn.RANK.EQ(M96,M$78:M$193)+COUNTIF(M$78:M96,M96)-1)</f>
        <v>40</v>
      </c>
      <c r="R96" s="49"/>
      <c r="S96" s="135"/>
    </row>
    <row r="97" spans="1:19" x14ac:dyDescent="0.2">
      <c r="A97" s="49">
        <f t="shared" si="9"/>
        <v>20</v>
      </c>
      <c r="B97" s="135"/>
      <c r="C97" s="62" t="s">
        <v>360</v>
      </c>
      <c r="D97" s="62">
        <v>15994.742710616905</v>
      </c>
      <c r="E97" s="62">
        <v>16010.866248485714</v>
      </c>
      <c r="F97" s="62">
        <v>16072.183926561927</v>
      </c>
      <c r="G97" s="62">
        <v>15994.742710616905</v>
      </c>
      <c r="H97" s="62">
        <v>16010.866248485714</v>
      </c>
      <c r="I97" s="62">
        <v>16072.183926561927</v>
      </c>
      <c r="K97" s="62">
        <f t="shared" si="12"/>
        <v>0</v>
      </c>
      <c r="L97" s="62">
        <f t="shared" si="10"/>
        <v>0</v>
      </c>
      <c r="M97" s="62">
        <f t="shared" si="11"/>
        <v>0</v>
      </c>
      <c r="N97" s="62">
        <f>IF($C97="","",_xlfn.RANK.EQ(K97,K$78:K$193)+COUNTIF(K$78:K97,K97)-1)</f>
        <v>37</v>
      </c>
      <c r="O97" s="62">
        <f>IF($C97="","",_xlfn.RANK.EQ(L97,L$78:L$193)+COUNTIF(L$78:L97,L97)-1)</f>
        <v>41</v>
      </c>
      <c r="P97" s="62">
        <f>IF($C97="","",_xlfn.RANK.EQ(M97,M$78:M$193)+COUNTIF(M$78:M97,M97)-1)</f>
        <v>41</v>
      </c>
      <c r="R97" s="49"/>
      <c r="S97" s="135"/>
    </row>
    <row r="98" spans="1:19" x14ac:dyDescent="0.2">
      <c r="A98" s="49">
        <f t="shared" si="9"/>
        <v>21</v>
      </c>
      <c r="B98" s="135"/>
      <c r="C98" s="62" t="s">
        <v>147</v>
      </c>
      <c r="D98" s="62">
        <v>15992.87004312717</v>
      </c>
      <c r="E98" s="62">
        <v>16010.866248485714</v>
      </c>
      <c r="F98" s="62">
        <v>16072.183926561927</v>
      </c>
      <c r="G98" s="62">
        <v>15996.282160604986</v>
      </c>
      <c r="H98" s="62">
        <v>16010.866248485714</v>
      </c>
      <c r="I98" s="62">
        <v>16072.183926561927</v>
      </c>
      <c r="K98" s="62">
        <f t="shared" si="12"/>
        <v>3.4121174778156274</v>
      </c>
      <c r="L98" s="62">
        <f t="shared" si="10"/>
        <v>0</v>
      </c>
      <c r="M98" s="62">
        <f t="shared" si="11"/>
        <v>0</v>
      </c>
      <c r="N98" s="62">
        <f>IF($C98="","",_xlfn.RANK.EQ(K98,K$78:K$193)+COUNTIF(K$78:K98,K98)-1)</f>
        <v>10</v>
      </c>
      <c r="O98" s="62">
        <f>IF($C98="","",_xlfn.RANK.EQ(L98,L$78:L$193)+COUNTIF(L$78:L98,L98)-1)</f>
        <v>42</v>
      </c>
      <c r="P98" s="62">
        <f>IF($C98="","",_xlfn.RANK.EQ(M98,M$78:M$193)+COUNTIF(M$78:M98,M98)-1)</f>
        <v>42</v>
      </c>
      <c r="R98" s="49"/>
      <c r="S98" s="135"/>
    </row>
    <row r="99" spans="1:19" x14ac:dyDescent="0.2">
      <c r="A99" s="49">
        <f t="shared" si="9"/>
        <v>22</v>
      </c>
      <c r="B99" s="135"/>
      <c r="C99" s="62" t="s">
        <v>148</v>
      </c>
      <c r="D99" s="62">
        <v>15992.665293969674</v>
      </c>
      <c r="E99" s="62">
        <v>16010.866248485714</v>
      </c>
      <c r="F99" s="62">
        <v>16072.183926561927</v>
      </c>
      <c r="G99" s="62">
        <v>15996.449507142574</v>
      </c>
      <c r="H99" s="62">
        <v>16010.866248485714</v>
      </c>
      <c r="I99" s="62">
        <v>16072.183926561927</v>
      </c>
      <c r="K99" s="62">
        <f t="shared" si="12"/>
        <v>3.7842131728993991</v>
      </c>
      <c r="L99" s="62">
        <f t="shared" si="10"/>
        <v>0</v>
      </c>
      <c r="M99" s="62">
        <f t="shared" si="11"/>
        <v>0</v>
      </c>
      <c r="N99" s="62">
        <f>IF($C99="","",_xlfn.RANK.EQ(K99,K$78:K$193)+COUNTIF(K$78:K99,K99)-1)</f>
        <v>8</v>
      </c>
      <c r="O99" s="62">
        <f>IF($C99="","",_xlfn.RANK.EQ(L99,L$78:L$193)+COUNTIF(L$78:L99,L99)-1)</f>
        <v>43</v>
      </c>
      <c r="P99" s="62">
        <f>IF($C99="","",_xlfn.RANK.EQ(M99,M$78:M$193)+COUNTIF(M$78:M99,M99)-1)</f>
        <v>43</v>
      </c>
      <c r="R99" s="49"/>
      <c r="S99" s="135"/>
    </row>
    <row r="100" spans="1:19" x14ac:dyDescent="0.2">
      <c r="A100" s="49">
        <f t="shared" si="9"/>
        <v>23</v>
      </c>
      <c r="B100" s="135"/>
      <c r="C100" s="62" t="s">
        <v>149</v>
      </c>
      <c r="D100" s="62">
        <v>15997.959042414537</v>
      </c>
      <c r="E100" s="62">
        <v>16010.866248485714</v>
      </c>
      <c r="F100" s="62">
        <v>16072.183926561927</v>
      </c>
      <c r="G100" s="62">
        <v>15992.107788160611</v>
      </c>
      <c r="H100" s="62">
        <v>16010.866248485714</v>
      </c>
      <c r="I100" s="62">
        <v>16072.183926561927</v>
      </c>
      <c r="K100" s="62">
        <f t="shared" si="12"/>
        <v>5.8512542539265269</v>
      </c>
      <c r="L100" s="62">
        <f t="shared" si="10"/>
        <v>0</v>
      </c>
      <c r="M100" s="62">
        <f t="shared" si="11"/>
        <v>0</v>
      </c>
      <c r="N100" s="62">
        <f>IF($C100="","",_xlfn.RANK.EQ(K100,K$78:K$193)+COUNTIF(K$78:K100,K100)-1)</f>
        <v>5</v>
      </c>
      <c r="O100" s="62">
        <f>IF($C100="","",_xlfn.RANK.EQ(L100,L$78:L$193)+COUNTIF(L$78:L100,L100)-1)</f>
        <v>44</v>
      </c>
      <c r="P100" s="62">
        <f>IF($C100="","",_xlfn.RANK.EQ(M100,M$78:M$193)+COUNTIF(M$78:M100,M100)-1)</f>
        <v>44</v>
      </c>
      <c r="R100" s="49"/>
      <c r="S100" s="135"/>
    </row>
    <row r="101" spans="1:19" x14ac:dyDescent="0.2">
      <c r="A101" s="49">
        <f t="shared" si="9"/>
        <v>24</v>
      </c>
      <c r="B101" s="135"/>
      <c r="C101" s="62" t="s">
        <v>150</v>
      </c>
      <c r="D101" s="62">
        <v>15997.74463385566</v>
      </c>
      <c r="E101" s="62">
        <v>16010.866248485714</v>
      </c>
      <c r="F101" s="62">
        <v>16072.183926561927</v>
      </c>
      <c r="G101" s="62">
        <v>15992.283362501501</v>
      </c>
      <c r="H101" s="62">
        <v>16010.866248485714</v>
      </c>
      <c r="I101" s="62">
        <v>16072.183926561927</v>
      </c>
      <c r="K101" s="62">
        <f t="shared" si="12"/>
        <v>5.4612713541591802</v>
      </c>
      <c r="L101" s="62">
        <f t="shared" si="10"/>
        <v>0</v>
      </c>
      <c r="M101" s="62">
        <f t="shared" si="11"/>
        <v>0</v>
      </c>
      <c r="N101" s="62">
        <f>IF($C101="","",_xlfn.RANK.EQ(K101,K$78:K$193)+COUNTIF(K$78:K101,K101)-1)</f>
        <v>6</v>
      </c>
      <c r="O101" s="62">
        <f>IF($C101="","",_xlfn.RANK.EQ(L101,L$78:L$193)+COUNTIF(L$78:L101,L101)-1)</f>
        <v>45</v>
      </c>
      <c r="P101" s="62">
        <f>IF($C101="","",_xlfn.RANK.EQ(M101,M$78:M$193)+COUNTIF(M$78:M101,M101)-1)</f>
        <v>45</v>
      </c>
      <c r="R101" s="49"/>
      <c r="S101" s="135"/>
    </row>
    <row r="102" spans="1:19" x14ac:dyDescent="0.2">
      <c r="A102" s="49">
        <f t="shared" si="9"/>
        <v>25</v>
      </c>
      <c r="B102" s="135"/>
      <c r="C102" s="62" t="s">
        <v>361</v>
      </c>
      <c r="D102" s="62">
        <v>15994.742710616905</v>
      </c>
      <c r="E102" s="62">
        <v>16010.866248485714</v>
      </c>
      <c r="F102" s="62">
        <v>16072.183926561927</v>
      </c>
      <c r="G102" s="62">
        <v>15994.742710616905</v>
      </c>
      <c r="H102" s="62">
        <v>16010.866248485714</v>
      </c>
      <c r="I102" s="62">
        <v>16072.183926561927</v>
      </c>
      <c r="K102" s="62">
        <f t="shared" si="12"/>
        <v>0</v>
      </c>
      <c r="L102" s="62">
        <f t="shared" si="10"/>
        <v>0</v>
      </c>
      <c r="M102" s="62">
        <f t="shared" si="11"/>
        <v>0</v>
      </c>
      <c r="N102" s="62">
        <f>IF($C102="","",_xlfn.RANK.EQ(K102,K$78:K$193)+COUNTIF(K$78:K102,K102)-1)</f>
        <v>38</v>
      </c>
      <c r="O102" s="62">
        <f>IF($C102="","",_xlfn.RANK.EQ(L102,L$78:L$193)+COUNTIF(L$78:L102,L102)-1)</f>
        <v>46</v>
      </c>
      <c r="P102" s="62">
        <f>IF($C102="","",_xlfn.RANK.EQ(M102,M$78:M$193)+COUNTIF(M$78:M102,M102)-1)</f>
        <v>46</v>
      </c>
      <c r="R102" s="49"/>
      <c r="S102" s="135"/>
    </row>
    <row r="103" spans="1:19" x14ac:dyDescent="0.2">
      <c r="A103" s="49">
        <f t="shared" si="9"/>
        <v>26</v>
      </c>
      <c r="B103" s="135"/>
      <c r="C103" s="62" t="s">
        <v>151</v>
      </c>
      <c r="D103" s="62">
        <v>15994.150780065631</v>
      </c>
      <c r="E103" s="62">
        <v>16010.866248485714</v>
      </c>
      <c r="F103" s="62">
        <v>16072.183926561927</v>
      </c>
      <c r="G103" s="62">
        <v>15995.229039920068</v>
      </c>
      <c r="H103" s="62">
        <v>16010.866248485714</v>
      </c>
      <c r="I103" s="62">
        <v>16072.183926561927</v>
      </c>
      <c r="K103" s="62">
        <f t="shared" si="12"/>
        <v>1.0782598544374196</v>
      </c>
      <c r="L103" s="62">
        <f t="shared" si="10"/>
        <v>0</v>
      </c>
      <c r="M103" s="62">
        <f t="shared" si="11"/>
        <v>0</v>
      </c>
      <c r="N103" s="62">
        <f>IF($C103="","",_xlfn.RANK.EQ(K103,K$78:K$193)+COUNTIF(K$78:K103,K103)-1)</f>
        <v>18</v>
      </c>
      <c r="O103" s="62">
        <f>IF($C103="","",_xlfn.RANK.EQ(L103,L$78:L$193)+COUNTIF(L$78:L103,L103)-1)</f>
        <v>47</v>
      </c>
      <c r="P103" s="62">
        <f>IF($C103="","",_xlfn.RANK.EQ(M103,M$78:M$193)+COUNTIF(M$78:M103,M103)-1)</f>
        <v>47</v>
      </c>
      <c r="R103" s="49"/>
      <c r="S103" s="135"/>
    </row>
    <row r="104" spans="1:19" x14ac:dyDescent="0.2">
      <c r="A104" s="49">
        <f t="shared" si="9"/>
        <v>27</v>
      </c>
      <c r="B104" s="135"/>
      <c r="C104" s="62" t="s">
        <v>152</v>
      </c>
      <c r="D104" s="62">
        <v>15994.085774101744</v>
      </c>
      <c r="E104" s="62">
        <v>16010.866248485714</v>
      </c>
      <c r="F104" s="62">
        <v>16072.183926561927</v>
      </c>
      <c r="G104" s="62">
        <v>15995.282757060206</v>
      </c>
      <c r="H104" s="62">
        <v>16010.866248485714</v>
      </c>
      <c r="I104" s="62">
        <v>16072.183926561927</v>
      </c>
      <c r="K104" s="62">
        <f t="shared" si="12"/>
        <v>1.1969829584613763</v>
      </c>
      <c r="L104" s="62">
        <f t="shared" si="10"/>
        <v>0</v>
      </c>
      <c r="M104" s="62">
        <f t="shared" si="11"/>
        <v>0</v>
      </c>
      <c r="N104" s="62">
        <f>IF($C104="","",_xlfn.RANK.EQ(K104,K$78:K$193)+COUNTIF(K$78:K104,K104)-1)</f>
        <v>15</v>
      </c>
      <c r="O104" s="62">
        <f>IF($C104="","",_xlfn.RANK.EQ(L104,L$78:L$193)+COUNTIF(L$78:L104,L104)-1)</f>
        <v>48</v>
      </c>
      <c r="P104" s="62">
        <f>IF($C104="","",_xlfn.RANK.EQ(M104,M$78:M$193)+COUNTIF(M$78:M104,M104)-1)</f>
        <v>48</v>
      </c>
      <c r="R104" s="49"/>
      <c r="S104" s="135"/>
    </row>
    <row r="105" spans="1:19" x14ac:dyDescent="0.2">
      <c r="A105" s="49">
        <f t="shared" si="9"/>
        <v>28</v>
      </c>
      <c r="B105" s="135"/>
      <c r="C105" s="62" t="s">
        <v>153</v>
      </c>
      <c r="D105" s="62">
        <v>15995.776076030923</v>
      </c>
      <c r="E105" s="62">
        <v>16010.866248485714</v>
      </c>
      <c r="F105" s="62">
        <v>16072.183926561927</v>
      </c>
      <c r="G105" s="62">
        <v>15993.894470214309</v>
      </c>
      <c r="H105" s="62">
        <v>16010.866248485714</v>
      </c>
      <c r="I105" s="62">
        <v>16072.183926561927</v>
      </c>
      <c r="K105" s="62">
        <f t="shared" si="12"/>
        <v>1.8816058166139555</v>
      </c>
      <c r="L105" s="62">
        <f t="shared" si="10"/>
        <v>0</v>
      </c>
      <c r="M105" s="62">
        <f t="shared" si="11"/>
        <v>0</v>
      </c>
      <c r="N105" s="62">
        <f>IF($C105="","",_xlfn.RANK.EQ(K105,K$78:K$193)+COUNTIF(K$78:K105,K105)-1)</f>
        <v>12</v>
      </c>
      <c r="O105" s="62">
        <f>IF($C105="","",_xlfn.RANK.EQ(L105,L$78:L$193)+COUNTIF(L$78:L105,L105)-1)</f>
        <v>49</v>
      </c>
      <c r="P105" s="62">
        <f>IF($C105="","",_xlfn.RANK.EQ(M105,M$78:M$193)+COUNTIF(M$78:M105,M105)-1)</f>
        <v>49</v>
      </c>
      <c r="R105" s="49"/>
      <c r="S105" s="135"/>
    </row>
    <row r="106" spans="1:19" x14ac:dyDescent="0.2">
      <c r="A106" s="49">
        <f t="shared" si="9"/>
        <v>29</v>
      </c>
      <c r="B106" s="135"/>
      <c r="C106" s="62" t="s">
        <v>154</v>
      </c>
      <c r="D106" s="62">
        <v>15995.707581634077</v>
      </c>
      <c r="E106" s="62">
        <v>16010.866248485714</v>
      </c>
      <c r="F106" s="62">
        <v>16072.183926561927</v>
      </c>
      <c r="G106" s="62">
        <v>15993.950683844483</v>
      </c>
      <c r="H106" s="62">
        <v>16010.866248485714</v>
      </c>
      <c r="I106" s="62">
        <v>16072.183926561927</v>
      </c>
      <c r="K106" s="62">
        <f t="shared" si="12"/>
        <v>1.756897789593495</v>
      </c>
      <c r="L106" s="62">
        <f t="shared" si="10"/>
        <v>0</v>
      </c>
      <c r="M106" s="62">
        <f t="shared" si="11"/>
        <v>0</v>
      </c>
      <c r="N106" s="62">
        <f>IF($C106="","",_xlfn.RANK.EQ(K106,K$78:K$193)+COUNTIF(K$78:K106,K106)-1)</f>
        <v>13</v>
      </c>
      <c r="O106" s="62">
        <f>IF($C106="","",_xlfn.RANK.EQ(L106,L$78:L$193)+COUNTIF(L$78:L106,L106)-1)</f>
        <v>50</v>
      </c>
      <c r="P106" s="62">
        <f>IF($C106="","",_xlfn.RANK.EQ(M106,M$78:M$193)+COUNTIF(M$78:M106,M106)-1)</f>
        <v>50</v>
      </c>
      <c r="R106" s="49"/>
      <c r="S106" s="135"/>
    </row>
    <row r="107" spans="1:19" x14ac:dyDescent="0.2">
      <c r="A107" s="49">
        <f t="shared" si="9"/>
        <v>30</v>
      </c>
      <c r="B107" s="135"/>
      <c r="C107" s="62" t="s">
        <v>362</v>
      </c>
      <c r="D107" s="62">
        <v>15994.742710616905</v>
      </c>
      <c r="E107" s="62">
        <v>16010.866248485714</v>
      </c>
      <c r="F107" s="62">
        <v>16072.183926561927</v>
      </c>
      <c r="G107" s="62">
        <v>15994.742710616905</v>
      </c>
      <c r="H107" s="62">
        <v>16010.866248485714</v>
      </c>
      <c r="I107" s="62">
        <v>16072.183926561927</v>
      </c>
      <c r="K107" s="62">
        <f t="shared" si="12"/>
        <v>0</v>
      </c>
      <c r="L107" s="62">
        <f t="shared" si="10"/>
        <v>0</v>
      </c>
      <c r="M107" s="62">
        <f t="shared" si="11"/>
        <v>0</v>
      </c>
      <c r="N107" s="62">
        <f>IF($C107="","",_xlfn.RANK.EQ(K107,K$78:K$193)+COUNTIF(K$78:K107,K107)-1)</f>
        <v>39</v>
      </c>
      <c r="O107" s="62">
        <f>IF($C107="","",_xlfn.RANK.EQ(L107,L$78:L$193)+COUNTIF(L$78:L107,L107)-1)</f>
        <v>51</v>
      </c>
      <c r="P107" s="62">
        <f>IF($C107="","",_xlfn.RANK.EQ(M107,M$78:M$193)+COUNTIF(M$78:M107,M107)-1)</f>
        <v>51</v>
      </c>
      <c r="R107" s="49"/>
      <c r="S107" s="135"/>
    </row>
    <row r="108" spans="1:19" x14ac:dyDescent="0.2">
      <c r="A108" s="49">
        <f t="shared" si="9"/>
        <v>31</v>
      </c>
      <c r="B108" s="135"/>
      <c r="C108" s="62" t="s">
        <v>155</v>
      </c>
      <c r="D108" s="62">
        <v>15994.171940412878</v>
      </c>
      <c r="E108" s="62">
        <v>16010.866248485714</v>
      </c>
      <c r="F108" s="62">
        <v>16072.183926561927</v>
      </c>
      <c r="G108" s="62">
        <v>15995.211654606239</v>
      </c>
      <c r="H108" s="62">
        <v>16010.866248485714</v>
      </c>
      <c r="I108" s="62">
        <v>16072.183926561927</v>
      </c>
      <c r="K108" s="62">
        <f t="shared" si="12"/>
        <v>1.0397141933608509</v>
      </c>
      <c r="L108" s="62">
        <f t="shared" si="10"/>
        <v>0</v>
      </c>
      <c r="M108" s="62">
        <f t="shared" si="11"/>
        <v>0</v>
      </c>
      <c r="N108" s="62">
        <f>IF($C108="","",_xlfn.RANK.EQ(K108,K$78:K$193)+COUNTIF(K$78:K108,K108)-1)</f>
        <v>19</v>
      </c>
      <c r="O108" s="62">
        <f>IF($C108="","",_xlfn.RANK.EQ(L108,L$78:L$193)+COUNTIF(L$78:L108,L108)-1)</f>
        <v>52</v>
      </c>
      <c r="P108" s="62">
        <f>IF($C108="","",_xlfn.RANK.EQ(M108,M$78:M$193)+COUNTIF(M$78:M108,M108)-1)</f>
        <v>52</v>
      </c>
      <c r="R108" s="49"/>
      <c r="S108" s="135"/>
    </row>
    <row r="109" spans="1:19" x14ac:dyDescent="0.2">
      <c r="A109" s="49">
        <f t="shared" si="9"/>
        <v>32</v>
      </c>
      <c r="B109" s="135"/>
      <c r="C109" s="62" t="s">
        <v>156</v>
      </c>
      <c r="D109" s="62">
        <v>15994.109021777453</v>
      </c>
      <c r="E109" s="62">
        <v>16010.866248485714</v>
      </c>
      <c r="F109" s="62">
        <v>16072.183926561927</v>
      </c>
      <c r="G109" s="62">
        <v>15995.263346724249</v>
      </c>
      <c r="H109" s="62">
        <v>16010.866248485714</v>
      </c>
      <c r="I109" s="62">
        <v>16072.183926561927</v>
      </c>
      <c r="K109" s="62">
        <f t="shared" si="12"/>
        <v>1.1543249467958958</v>
      </c>
      <c r="L109" s="62">
        <f t="shared" si="10"/>
        <v>0</v>
      </c>
      <c r="M109" s="62">
        <f t="shared" si="11"/>
        <v>0</v>
      </c>
      <c r="N109" s="62">
        <f>IF($C109="","",_xlfn.RANK.EQ(K109,K$78:K$193)+COUNTIF(K$78:K109,K109)-1)</f>
        <v>16</v>
      </c>
      <c r="O109" s="62">
        <f>IF($C109="","",_xlfn.RANK.EQ(L109,L$78:L$193)+COUNTIF(L$78:L109,L109)-1)</f>
        <v>53</v>
      </c>
      <c r="P109" s="62">
        <f>IF($C109="","",_xlfn.RANK.EQ(M109,M$78:M$193)+COUNTIF(M$78:M109,M109)-1)</f>
        <v>53</v>
      </c>
      <c r="R109" s="49"/>
      <c r="S109" s="135"/>
    </row>
    <row r="110" spans="1:19" x14ac:dyDescent="0.2">
      <c r="A110" s="49">
        <f t="shared" si="9"/>
        <v>33</v>
      </c>
      <c r="B110" s="135"/>
      <c r="C110" s="62" t="s">
        <v>363</v>
      </c>
      <c r="D110" s="62">
        <v>15994.742710616905</v>
      </c>
      <c r="E110" s="62">
        <v>16010.866248485714</v>
      </c>
      <c r="F110" s="62">
        <v>16072.183926561927</v>
      </c>
      <c r="G110" s="62">
        <v>15994.742710616905</v>
      </c>
      <c r="H110" s="62">
        <v>16010.866248485714</v>
      </c>
      <c r="I110" s="62">
        <v>16072.183926561927</v>
      </c>
      <c r="K110" s="62">
        <f t="shared" si="12"/>
        <v>0</v>
      </c>
      <c r="L110" s="62">
        <f t="shared" si="10"/>
        <v>0</v>
      </c>
      <c r="M110" s="62">
        <f t="shared" si="11"/>
        <v>0</v>
      </c>
      <c r="N110" s="62">
        <f>IF($C110="","",_xlfn.RANK.EQ(K110,K$78:K$193)+COUNTIF(K$78:K110,K110)-1)</f>
        <v>40</v>
      </c>
      <c r="O110" s="62">
        <f>IF($C110="","",_xlfn.RANK.EQ(L110,L$78:L$193)+COUNTIF(L$78:L110,L110)-1)</f>
        <v>54</v>
      </c>
      <c r="P110" s="62">
        <f>IF($C110="","",_xlfn.RANK.EQ(M110,M$78:M$193)+COUNTIF(M$78:M110,M110)-1)</f>
        <v>54</v>
      </c>
      <c r="R110" s="49"/>
      <c r="S110" s="135"/>
    </row>
    <row r="111" spans="1:19" x14ac:dyDescent="0.2">
      <c r="A111" s="49">
        <f t="shared" ref="A111:A142" si="13">IF(C111="","",A110+1)</f>
        <v>34</v>
      </c>
      <c r="B111" s="135"/>
      <c r="C111" s="62" t="s">
        <v>157</v>
      </c>
      <c r="D111" s="62">
        <v>15994.177100871029</v>
      </c>
      <c r="E111" s="62">
        <v>16010.866248485714</v>
      </c>
      <c r="F111" s="62">
        <v>16072.183926561927</v>
      </c>
      <c r="G111" s="62">
        <v>15995.207414777684</v>
      </c>
      <c r="H111" s="62">
        <v>16010.866248485714</v>
      </c>
      <c r="I111" s="62">
        <v>16072.183926561927</v>
      </c>
      <c r="K111" s="62">
        <f t="shared" si="12"/>
        <v>1.0303139066545555</v>
      </c>
      <c r="L111" s="62">
        <f t="shared" si="10"/>
        <v>0</v>
      </c>
      <c r="M111" s="62">
        <f t="shared" si="11"/>
        <v>0</v>
      </c>
      <c r="N111" s="62">
        <f>IF($C111="","",_xlfn.RANK.EQ(K111,K$78:K$193)+COUNTIF(K$78:K111,K111)-1)</f>
        <v>20</v>
      </c>
      <c r="O111" s="62">
        <f>IF($C111="","",_xlfn.RANK.EQ(L111,L$78:L$193)+COUNTIF(L$78:L111,L111)-1)</f>
        <v>55</v>
      </c>
      <c r="P111" s="62">
        <f>IF($C111="","",_xlfn.RANK.EQ(M111,M$78:M$193)+COUNTIF(M$78:M111,M111)-1)</f>
        <v>55</v>
      </c>
      <c r="R111" s="49"/>
      <c r="S111" s="135"/>
    </row>
    <row r="112" spans="1:19" x14ac:dyDescent="0.2">
      <c r="A112" s="49">
        <f t="shared" si="13"/>
        <v>35</v>
      </c>
      <c r="B112" s="135"/>
      <c r="C112" s="62" t="s">
        <v>158</v>
      </c>
      <c r="D112" s="62">
        <v>15994.114763993754</v>
      </c>
      <c r="E112" s="62">
        <v>16010.866248485714</v>
      </c>
      <c r="F112" s="62">
        <v>16072.183926561927</v>
      </c>
      <c r="G112" s="62">
        <v>15995.25862893964</v>
      </c>
      <c r="H112" s="62">
        <v>16010.866248485714</v>
      </c>
      <c r="I112" s="62">
        <v>16072.183926561927</v>
      </c>
      <c r="K112" s="62">
        <f t="shared" si="12"/>
        <v>1.1438649458868895</v>
      </c>
      <c r="L112" s="62">
        <f t="shared" si="10"/>
        <v>0</v>
      </c>
      <c r="M112" s="62">
        <f t="shared" si="11"/>
        <v>0</v>
      </c>
      <c r="N112" s="62">
        <f>IF($C112="","",_xlfn.RANK.EQ(K112,K$78:K$193)+COUNTIF(K$78:K112,K112)-1)</f>
        <v>17</v>
      </c>
      <c r="O112" s="62">
        <f>IF($C112="","",_xlfn.RANK.EQ(L112,L$78:L$193)+COUNTIF(L$78:L112,L112)-1)</f>
        <v>56</v>
      </c>
      <c r="P112" s="62">
        <f>IF($C112="","",_xlfn.RANK.EQ(M112,M$78:M$193)+COUNTIF(M$78:M112,M112)-1)</f>
        <v>56</v>
      </c>
      <c r="R112" s="49"/>
      <c r="S112" s="135"/>
    </row>
    <row r="113" spans="1:19" x14ac:dyDescent="0.2">
      <c r="A113" s="49">
        <f t="shared" si="13"/>
        <v>36</v>
      </c>
      <c r="B113" s="135"/>
      <c r="C113" s="62" t="s">
        <v>364</v>
      </c>
      <c r="D113" s="62">
        <v>15994.742710616905</v>
      </c>
      <c r="E113" s="62">
        <v>16010.866248485714</v>
      </c>
      <c r="F113" s="62">
        <v>16072.183926561927</v>
      </c>
      <c r="G113" s="62">
        <v>15994.742710616905</v>
      </c>
      <c r="H113" s="62">
        <v>16010.866248485714</v>
      </c>
      <c r="I113" s="62">
        <v>16072.183926561927</v>
      </c>
      <c r="K113" s="62">
        <f t="shared" si="12"/>
        <v>0</v>
      </c>
      <c r="L113" s="62">
        <f t="shared" si="10"/>
        <v>0</v>
      </c>
      <c r="M113" s="62">
        <f t="shared" si="11"/>
        <v>0</v>
      </c>
      <c r="N113" s="62">
        <f>IF($C113="","",_xlfn.RANK.EQ(K113,K$78:K$193)+COUNTIF(K$78:K113,K113)-1)</f>
        <v>41</v>
      </c>
      <c r="O113" s="62">
        <f>IF($C113="","",_xlfn.RANK.EQ(L113,L$78:L$193)+COUNTIF(L$78:L113,L113)-1)</f>
        <v>57</v>
      </c>
      <c r="P113" s="62">
        <f>IF($C113="","",_xlfn.RANK.EQ(M113,M$78:M$193)+COUNTIF(M$78:M113,M113)-1)</f>
        <v>57</v>
      </c>
      <c r="R113" s="49"/>
      <c r="S113" s="135"/>
    </row>
    <row r="114" spans="1:19" x14ac:dyDescent="0.2">
      <c r="A114" s="49">
        <f t="shared" si="13"/>
        <v>37</v>
      </c>
      <c r="B114" s="135"/>
      <c r="C114" s="62" t="s">
        <v>365</v>
      </c>
      <c r="D114" s="62">
        <v>15994.742710616905</v>
      </c>
      <c r="E114" s="62">
        <v>16010.866248485714</v>
      </c>
      <c r="F114" s="62">
        <v>16072.183926561927</v>
      </c>
      <c r="G114" s="62">
        <v>15994.742710616905</v>
      </c>
      <c r="H114" s="62">
        <v>16010.866248485714</v>
      </c>
      <c r="I114" s="62">
        <v>16072.183926561927</v>
      </c>
      <c r="K114" s="62">
        <f t="shared" si="12"/>
        <v>0</v>
      </c>
      <c r="L114" s="62">
        <f t="shared" si="10"/>
        <v>0</v>
      </c>
      <c r="M114" s="62">
        <f t="shared" si="11"/>
        <v>0</v>
      </c>
      <c r="N114" s="62">
        <f>IF($C114="","",_xlfn.RANK.EQ(K114,K$78:K$193)+COUNTIF(K$78:K114,K114)-1)</f>
        <v>42</v>
      </c>
      <c r="O114" s="62">
        <f>IF($C114="","",_xlfn.RANK.EQ(L114,L$78:L$193)+COUNTIF(L$78:L114,L114)-1)</f>
        <v>58</v>
      </c>
      <c r="P114" s="62">
        <f>IF($C114="","",_xlfn.RANK.EQ(M114,M$78:M$193)+COUNTIF(M$78:M114,M114)-1)</f>
        <v>58</v>
      </c>
      <c r="R114" s="49"/>
      <c r="S114" s="135"/>
    </row>
    <row r="115" spans="1:19" x14ac:dyDescent="0.2">
      <c r="A115" s="49">
        <f t="shared" si="13"/>
        <v>38</v>
      </c>
      <c r="B115" s="135"/>
      <c r="C115" s="62" t="s">
        <v>366</v>
      </c>
      <c r="D115" s="62">
        <v>15994.742710616905</v>
      </c>
      <c r="E115" s="62">
        <v>16010.866248485714</v>
      </c>
      <c r="F115" s="62">
        <v>16072.183926561927</v>
      </c>
      <c r="G115" s="62">
        <v>15994.742710616905</v>
      </c>
      <c r="H115" s="62">
        <v>16010.866248485714</v>
      </c>
      <c r="I115" s="62">
        <v>16072.183926561927</v>
      </c>
      <c r="K115" s="62">
        <f t="shared" si="12"/>
        <v>0</v>
      </c>
      <c r="L115" s="62">
        <f t="shared" si="10"/>
        <v>0</v>
      </c>
      <c r="M115" s="62">
        <f t="shared" si="11"/>
        <v>0</v>
      </c>
      <c r="N115" s="62">
        <f>IF($C115="","",_xlfn.RANK.EQ(K115,K$78:K$193)+COUNTIF(K$78:K115,K115)-1)</f>
        <v>43</v>
      </c>
      <c r="O115" s="62">
        <f>IF($C115="","",_xlfn.RANK.EQ(L115,L$78:L$193)+COUNTIF(L$78:L115,L115)-1)</f>
        <v>59</v>
      </c>
      <c r="P115" s="62">
        <f>IF($C115="","",_xlfn.RANK.EQ(M115,M$78:M$193)+COUNTIF(M$78:M115,M115)-1)</f>
        <v>59</v>
      </c>
      <c r="R115" s="49"/>
      <c r="S115" s="135"/>
    </row>
    <row r="116" spans="1:19" x14ac:dyDescent="0.2">
      <c r="A116" s="49">
        <f t="shared" si="13"/>
        <v>39</v>
      </c>
      <c r="B116" s="135"/>
      <c r="C116" s="62" t="s">
        <v>367</v>
      </c>
      <c r="D116" s="62">
        <v>15994.742710616905</v>
      </c>
      <c r="E116" s="62">
        <v>16010.866248485714</v>
      </c>
      <c r="F116" s="62">
        <v>16072.183926561927</v>
      </c>
      <c r="G116" s="62">
        <v>15994.742710616905</v>
      </c>
      <c r="H116" s="62">
        <v>16010.866248485714</v>
      </c>
      <c r="I116" s="62">
        <v>16072.183926561927</v>
      </c>
      <c r="K116" s="62">
        <f t="shared" si="12"/>
        <v>0</v>
      </c>
      <c r="L116" s="62">
        <f t="shared" si="10"/>
        <v>0</v>
      </c>
      <c r="M116" s="62">
        <f t="shared" si="11"/>
        <v>0</v>
      </c>
      <c r="N116" s="62">
        <f>IF($C116="","",_xlfn.RANK.EQ(K116,K$78:K$193)+COUNTIF(K$78:K116,K116)-1)</f>
        <v>44</v>
      </c>
      <c r="O116" s="62">
        <f>IF($C116="","",_xlfn.RANK.EQ(L116,L$78:L$193)+COUNTIF(L$78:L116,L116)-1)</f>
        <v>60</v>
      </c>
      <c r="P116" s="62">
        <f>IF($C116="","",_xlfn.RANK.EQ(M116,M$78:M$193)+COUNTIF(M$78:M116,M116)-1)</f>
        <v>60</v>
      </c>
      <c r="R116" s="49"/>
      <c r="S116" s="135"/>
    </row>
    <row r="117" spans="1:19" x14ac:dyDescent="0.2">
      <c r="A117" s="49">
        <f t="shared" si="13"/>
        <v>40</v>
      </c>
      <c r="B117" s="135"/>
      <c r="C117" s="62" t="s">
        <v>368</v>
      </c>
      <c r="D117" s="62">
        <v>15994.742710616905</v>
      </c>
      <c r="E117" s="62">
        <v>16010.866248485714</v>
      </c>
      <c r="F117" s="62">
        <v>16072.183926561927</v>
      </c>
      <c r="G117" s="62">
        <v>15994.742710616905</v>
      </c>
      <c r="H117" s="62">
        <v>16010.866248485714</v>
      </c>
      <c r="I117" s="62">
        <v>16072.183926561927</v>
      </c>
      <c r="K117" s="62">
        <f t="shared" si="12"/>
        <v>0</v>
      </c>
      <c r="L117" s="62">
        <f t="shared" si="10"/>
        <v>0</v>
      </c>
      <c r="M117" s="62">
        <f t="shared" si="11"/>
        <v>0</v>
      </c>
      <c r="N117" s="62">
        <f>IF($C117="","",_xlfn.RANK.EQ(K117,K$78:K$193)+COUNTIF(K$78:K117,K117)-1)</f>
        <v>45</v>
      </c>
      <c r="O117" s="62">
        <f>IF($C117="","",_xlfn.RANK.EQ(L117,L$78:L$193)+COUNTIF(L$78:L117,L117)-1)</f>
        <v>61</v>
      </c>
      <c r="P117" s="62">
        <f>IF($C117="","",_xlfn.RANK.EQ(M117,M$78:M$193)+COUNTIF(M$78:M117,M117)-1)</f>
        <v>61</v>
      </c>
      <c r="R117" s="49"/>
      <c r="S117" s="135"/>
    </row>
    <row r="118" spans="1:19" x14ac:dyDescent="0.2">
      <c r="A118" s="49">
        <f t="shared" si="13"/>
        <v>41</v>
      </c>
      <c r="B118" s="135"/>
      <c r="C118" s="62" t="s">
        <v>369</v>
      </c>
      <c r="D118" s="62">
        <v>15994.742710616905</v>
      </c>
      <c r="E118" s="62">
        <v>16010.866248485714</v>
      </c>
      <c r="F118" s="62">
        <v>16072.183926561927</v>
      </c>
      <c r="G118" s="62">
        <v>15994.742710616905</v>
      </c>
      <c r="H118" s="62">
        <v>16010.866248485714</v>
      </c>
      <c r="I118" s="62">
        <v>16072.183926561927</v>
      </c>
      <c r="K118" s="62">
        <f t="shared" si="12"/>
        <v>0</v>
      </c>
      <c r="L118" s="62">
        <f t="shared" si="10"/>
        <v>0</v>
      </c>
      <c r="M118" s="62">
        <f t="shared" si="11"/>
        <v>0</v>
      </c>
      <c r="N118" s="62">
        <f>IF($C118="","",_xlfn.RANK.EQ(K118,K$78:K$193)+COUNTIF(K$78:K118,K118)-1)</f>
        <v>46</v>
      </c>
      <c r="O118" s="62">
        <f>IF($C118="","",_xlfn.RANK.EQ(L118,L$78:L$193)+COUNTIF(L$78:L118,L118)-1)</f>
        <v>62</v>
      </c>
      <c r="P118" s="62">
        <f>IF($C118="","",_xlfn.RANK.EQ(M118,M$78:M$193)+COUNTIF(M$78:M118,M118)-1)</f>
        <v>62</v>
      </c>
      <c r="R118" s="49"/>
      <c r="S118" s="135"/>
    </row>
    <row r="119" spans="1:19" x14ac:dyDescent="0.2">
      <c r="A119" s="49">
        <f t="shared" si="13"/>
        <v>42</v>
      </c>
      <c r="B119" s="135"/>
      <c r="C119" s="62" t="s">
        <v>261</v>
      </c>
      <c r="D119" s="62">
        <v>15994.23592310811</v>
      </c>
      <c r="E119" s="62">
        <v>16010.866248485714</v>
      </c>
      <c r="F119" s="62">
        <v>16072.183926561927</v>
      </c>
      <c r="G119" s="62">
        <v>15995.159324376877</v>
      </c>
      <c r="H119" s="62">
        <v>16010.866248485714</v>
      </c>
      <c r="I119" s="62">
        <v>16072.183926561927</v>
      </c>
      <c r="K119" s="62">
        <f t="shared" si="12"/>
        <v>0.92340126876661088</v>
      </c>
      <c r="L119" s="62">
        <f t="shared" si="10"/>
        <v>0</v>
      </c>
      <c r="M119" s="62">
        <f t="shared" si="11"/>
        <v>0</v>
      </c>
      <c r="N119" s="62">
        <f>IF($C119="","",_xlfn.RANK.EQ(K119,K$78:K$193)+COUNTIF(K$78:K119,K119)-1)</f>
        <v>21</v>
      </c>
      <c r="O119" s="62">
        <f>IF($C119="","",_xlfn.RANK.EQ(L119,L$78:L$193)+COUNTIF(L$78:L119,L119)-1)</f>
        <v>63</v>
      </c>
      <c r="P119" s="62">
        <f>IF($C119="","",_xlfn.RANK.EQ(M119,M$78:M$193)+COUNTIF(M$78:M119,M119)-1)</f>
        <v>63</v>
      </c>
      <c r="R119" s="49"/>
      <c r="S119" s="135"/>
    </row>
    <row r="120" spans="1:19" x14ac:dyDescent="0.2">
      <c r="A120" s="49">
        <f t="shared" si="13"/>
        <v>43</v>
      </c>
      <c r="B120" s="135"/>
      <c r="C120" s="62" t="s">
        <v>370</v>
      </c>
      <c r="D120" s="62">
        <v>15994.742710616905</v>
      </c>
      <c r="E120" s="62">
        <v>16010.866248485714</v>
      </c>
      <c r="F120" s="62">
        <v>16072.183926561927</v>
      </c>
      <c r="G120" s="62">
        <v>15994.742710616905</v>
      </c>
      <c r="H120" s="62">
        <v>16010.866248485714</v>
      </c>
      <c r="I120" s="62">
        <v>16072.183926561927</v>
      </c>
      <c r="K120" s="62">
        <f t="shared" si="12"/>
        <v>0</v>
      </c>
      <c r="L120" s="62">
        <f t="shared" si="10"/>
        <v>0</v>
      </c>
      <c r="M120" s="62">
        <f t="shared" si="11"/>
        <v>0</v>
      </c>
      <c r="N120" s="62">
        <f>IF($C120="","",_xlfn.RANK.EQ(K120,K$78:K$193)+COUNTIF(K$78:K120,K120)-1)</f>
        <v>47</v>
      </c>
      <c r="O120" s="62">
        <f>IF($C120="","",_xlfn.RANK.EQ(L120,L$78:L$193)+COUNTIF(L$78:L120,L120)-1)</f>
        <v>64</v>
      </c>
      <c r="P120" s="62">
        <f>IF($C120="","",_xlfn.RANK.EQ(M120,M$78:M$193)+COUNTIF(M$78:M120,M120)-1)</f>
        <v>64</v>
      </c>
      <c r="R120" s="49"/>
      <c r="S120" s="135"/>
    </row>
    <row r="121" spans="1:19" x14ac:dyDescent="0.2">
      <c r="A121" s="49">
        <f t="shared" si="13"/>
        <v>44</v>
      </c>
      <c r="B121" s="135"/>
      <c r="C121" s="62" t="s">
        <v>371</v>
      </c>
      <c r="D121" s="62">
        <v>15994.742710616905</v>
      </c>
      <c r="E121" s="62">
        <v>16010.866248485714</v>
      </c>
      <c r="F121" s="62">
        <v>16072.183926561927</v>
      </c>
      <c r="G121" s="62">
        <v>15994.742710616905</v>
      </c>
      <c r="H121" s="62">
        <v>16010.866248485714</v>
      </c>
      <c r="I121" s="62">
        <v>16072.183926561927</v>
      </c>
      <c r="K121" s="62">
        <f t="shared" si="12"/>
        <v>0</v>
      </c>
      <c r="L121" s="62">
        <f t="shared" si="10"/>
        <v>0</v>
      </c>
      <c r="M121" s="62">
        <f t="shared" si="11"/>
        <v>0</v>
      </c>
      <c r="N121" s="62">
        <f>IF($C121="","",_xlfn.RANK.EQ(K121,K$78:K$193)+COUNTIF(K$78:K121,K121)-1)</f>
        <v>48</v>
      </c>
      <c r="O121" s="62">
        <f>IF($C121="","",_xlfn.RANK.EQ(L121,L$78:L$193)+COUNTIF(L$78:L121,L121)-1)</f>
        <v>65</v>
      </c>
      <c r="P121" s="62">
        <f>IF($C121="","",_xlfn.RANK.EQ(M121,M$78:M$193)+COUNTIF(M$78:M121,M121)-1)</f>
        <v>65</v>
      </c>
      <c r="R121" s="49"/>
      <c r="S121" s="135"/>
    </row>
    <row r="122" spans="1:19" x14ac:dyDescent="0.2">
      <c r="A122" s="49">
        <f t="shared" si="13"/>
        <v>45</v>
      </c>
      <c r="B122" s="135"/>
      <c r="C122" s="62" t="s">
        <v>372</v>
      </c>
      <c r="D122" s="62">
        <v>15994.742710616905</v>
      </c>
      <c r="E122" s="62">
        <v>16010.866248485714</v>
      </c>
      <c r="F122" s="62">
        <v>16072.183926561927</v>
      </c>
      <c r="G122" s="62">
        <v>15994.742710616905</v>
      </c>
      <c r="H122" s="62">
        <v>16010.866248485714</v>
      </c>
      <c r="I122" s="62">
        <v>16072.183926561927</v>
      </c>
      <c r="K122" s="62">
        <f t="shared" si="12"/>
        <v>0</v>
      </c>
      <c r="L122" s="62">
        <f t="shared" si="10"/>
        <v>0</v>
      </c>
      <c r="M122" s="62">
        <f t="shared" si="11"/>
        <v>0</v>
      </c>
      <c r="N122" s="62">
        <f>IF($C122="","",_xlfn.RANK.EQ(K122,K$78:K$193)+COUNTIF(K$78:K122,K122)-1)</f>
        <v>49</v>
      </c>
      <c r="O122" s="62">
        <f>IF($C122="","",_xlfn.RANK.EQ(L122,L$78:L$193)+COUNTIF(L$78:L122,L122)-1)</f>
        <v>66</v>
      </c>
      <c r="P122" s="62">
        <f>IF($C122="","",_xlfn.RANK.EQ(M122,M$78:M$193)+COUNTIF(M$78:M122,M122)-1)</f>
        <v>66</v>
      </c>
      <c r="R122" s="49"/>
      <c r="S122" s="135"/>
    </row>
    <row r="123" spans="1:19" x14ac:dyDescent="0.2">
      <c r="A123" s="49">
        <f t="shared" si="13"/>
        <v>46</v>
      </c>
      <c r="B123" s="135"/>
      <c r="C123" s="62" t="s">
        <v>373</v>
      </c>
      <c r="D123" s="62">
        <v>15994.742710616905</v>
      </c>
      <c r="E123" s="62">
        <v>16010.866248485714</v>
      </c>
      <c r="F123" s="62">
        <v>16072.183926561927</v>
      </c>
      <c r="G123" s="62">
        <v>15994.742710616905</v>
      </c>
      <c r="H123" s="62">
        <v>16010.866248485714</v>
      </c>
      <c r="I123" s="62">
        <v>16072.183926561927</v>
      </c>
      <c r="K123" s="62">
        <f t="shared" si="12"/>
        <v>0</v>
      </c>
      <c r="L123" s="62">
        <f t="shared" si="10"/>
        <v>0</v>
      </c>
      <c r="M123" s="62">
        <f t="shared" si="11"/>
        <v>0</v>
      </c>
      <c r="N123" s="62">
        <f>IF($C123="","",_xlfn.RANK.EQ(K123,K$78:K$193)+COUNTIF(K$78:K123,K123)-1)</f>
        <v>50</v>
      </c>
      <c r="O123" s="62">
        <f>IF($C123="","",_xlfn.RANK.EQ(L123,L$78:L$193)+COUNTIF(L$78:L123,L123)-1)</f>
        <v>67</v>
      </c>
      <c r="P123" s="62">
        <f>IF($C123="","",_xlfn.RANK.EQ(M123,M$78:M$193)+COUNTIF(M$78:M123,M123)-1)</f>
        <v>67</v>
      </c>
      <c r="R123" s="49"/>
      <c r="S123" s="135"/>
    </row>
    <row r="124" spans="1:19" x14ac:dyDescent="0.2">
      <c r="A124" s="49">
        <f t="shared" si="13"/>
        <v>47</v>
      </c>
      <c r="B124" s="135"/>
      <c r="C124" s="62" t="s">
        <v>374</v>
      </c>
      <c r="D124" s="62">
        <v>15994.742710616905</v>
      </c>
      <c r="E124" s="62">
        <v>16010.866248485714</v>
      </c>
      <c r="F124" s="62">
        <v>16072.183926561927</v>
      </c>
      <c r="G124" s="62">
        <v>15994.742710616905</v>
      </c>
      <c r="H124" s="62">
        <v>16010.866248485714</v>
      </c>
      <c r="I124" s="62">
        <v>16072.183926561927</v>
      </c>
      <c r="K124" s="62">
        <f t="shared" si="12"/>
        <v>0</v>
      </c>
      <c r="L124" s="62">
        <f t="shared" si="10"/>
        <v>0</v>
      </c>
      <c r="M124" s="62">
        <f t="shared" si="11"/>
        <v>0</v>
      </c>
      <c r="N124" s="62">
        <f>IF($C124="","",_xlfn.RANK.EQ(K124,K$78:K$193)+COUNTIF(K$78:K124,K124)-1)</f>
        <v>51</v>
      </c>
      <c r="O124" s="62">
        <f>IF($C124="","",_xlfn.RANK.EQ(L124,L$78:L$193)+COUNTIF(L$78:L124,L124)-1)</f>
        <v>68</v>
      </c>
      <c r="P124" s="62">
        <f>IF($C124="","",_xlfn.RANK.EQ(M124,M$78:M$193)+COUNTIF(M$78:M124,M124)-1)</f>
        <v>68</v>
      </c>
      <c r="R124" s="49"/>
      <c r="S124" s="135"/>
    </row>
    <row r="125" spans="1:19" x14ac:dyDescent="0.2">
      <c r="A125" s="49">
        <f t="shared" si="13"/>
        <v>48</v>
      </c>
      <c r="B125" s="135"/>
      <c r="C125" s="62" t="s">
        <v>159</v>
      </c>
      <c r="D125" s="62">
        <v>15994.742710616905</v>
      </c>
      <c r="E125" s="62">
        <v>16008.972682712694</v>
      </c>
      <c r="F125" s="62">
        <v>16072.183926561927</v>
      </c>
      <c r="G125" s="62">
        <v>15994.742710616905</v>
      </c>
      <c r="H125" s="62">
        <v>16012.422878215495</v>
      </c>
      <c r="I125" s="62">
        <v>16072.183926561927</v>
      </c>
      <c r="K125" s="62">
        <f t="shared" si="12"/>
        <v>0</v>
      </c>
      <c r="L125" s="62">
        <f t="shared" si="10"/>
        <v>3.4501955028008524</v>
      </c>
      <c r="M125" s="62">
        <f t="shared" si="11"/>
        <v>0</v>
      </c>
      <c r="N125" s="62">
        <f>IF($C125="","",_xlfn.RANK.EQ(K125,K$78:K$193)+COUNTIF(K$78:K125,K125)-1)</f>
        <v>52</v>
      </c>
      <c r="O125" s="62">
        <f>IF($C125="","",_xlfn.RANK.EQ(L125,L$78:L$193)+COUNTIF(L$78:L125,L125)-1)</f>
        <v>10</v>
      </c>
      <c r="P125" s="62">
        <f>IF($C125="","",_xlfn.RANK.EQ(M125,M$78:M$193)+COUNTIF(M$78:M125,M125)-1)</f>
        <v>69</v>
      </c>
      <c r="R125" s="49"/>
      <c r="S125" s="135"/>
    </row>
    <row r="126" spans="1:19" x14ac:dyDescent="0.2">
      <c r="A126" s="49">
        <f t="shared" si="13"/>
        <v>49</v>
      </c>
      <c r="B126" s="135"/>
      <c r="C126" s="62" t="s">
        <v>160</v>
      </c>
      <c r="D126" s="62">
        <v>15994.742710616905</v>
      </c>
      <c r="E126" s="62">
        <v>16008.76667785268</v>
      </c>
      <c r="F126" s="62">
        <v>16072.183926561927</v>
      </c>
      <c r="G126" s="62">
        <v>15994.742710616905</v>
      </c>
      <c r="H126" s="62">
        <v>16012.591248347233</v>
      </c>
      <c r="I126" s="62">
        <v>16072.183926561927</v>
      </c>
      <c r="K126" s="62">
        <f t="shared" si="12"/>
        <v>0</v>
      </c>
      <c r="L126" s="62">
        <f t="shared" si="10"/>
        <v>3.8245704945529724</v>
      </c>
      <c r="M126" s="62">
        <f t="shared" si="11"/>
        <v>0</v>
      </c>
      <c r="N126" s="62">
        <f>IF($C126="","",_xlfn.RANK.EQ(K126,K$78:K$193)+COUNTIF(K$78:K126,K126)-1)</f>
        <v>53</v>
      </c>
      <c r="O126" s="62">
        <f>IF($C126="","",_xlfn.RANK.EQ(L126,L$78:L$193)+COUNTIF(L$78:L126,L126)-1)</f>
        <v>8</v>
      </c>
      <c r="P126" s="62">
        <f>IF($C126="","",_xlfn.RANK.EQ(M126,M$78:M$193)+COUNTIF(M$78:M126,M126)-1)</f>
        <v>70</v>
      </c>
      <c r="R126" s="49"/>
      <c r="S126" s="135"/>
    </row>
    <row r="127" spans="1:19" x14ac:dyDescent="0.2">
      <c r="A127" s="49">
        <f t="shared" si="13"/>
        <v>50</v>
      </c>
      <c r="B127" s="135"/>
      <c r="C127" s="62" t="s">
        <v>161</v>
      </c>
      <c r="D127" s="62">
        <v>15994.742710616905</v>
      </c>
      <c r="E127" s="62">
        <v>16014.115027318405</v>
      </c>
      <c r="F127" s="62">
        <v>16072.183926561927</v>
      </c>
      <c r="G127" s="62">
        <v>15994.742710616905</v>
      </c>
      <c r="H127" s="62">
        <v>16008.204732794706</v>
      </c>
      <c r="I127" s="62">
        <v>16072.183926561927</v>
      </c>
      <c r="K127" s="62">
        <f t="shared" si="12"/>
        <v>0</v>
      </c>
      <c r="L127" s="62">
        <f t="shared" si="10"/>
        <v>5.9102945236991218</v>
      </c>
      <c r="M127" s="62">
        <f t="shared" si="11"/>
        <v>0</v>
      </c>
      <c r="N127" s="62">
        <f>IF($C127="","",_xlfn.RANK.EQ(K127,K$78:K$193)+COUNTIF(K$78:K127,K127)-1)</f>
        <v>54</v>
      </c>
      <c r="O127" s="62">
        <f>IF($C127="","",_xlfn.RANK.EQ(L127,L$78:L$193)+COUNTIF(L$78:L127,L127)-1)</f>
        <v>5</v>
      </c>
      <c r="P127" s="62">
        <f>IF($C127="","",_xlfn.RANK.EQ(M127,M$78:M$193)+COUNTIF(M$78:M127,M127)-1)</f>
        <v>71</v>
      </c>
      <c r="R127" s="49"/>
      <c r="S127" s="135"/>
    </row>
    <row r="128" spans="1:19" x14ac:dyDescent="0.2">
      <c r="A128" s="49">
        <f t="shared" si="13"/>
        <v>51</v>
      </c>
      <c r="B128" s="135"/>
      <c r="C128" s="62" t="s">
        <v>162</v>
      </c>
      <c r="D128" s="62">
        <v>15994.742710616905</v>
      </c>
      <c r="E128" s="62">
        <v>16013.940537359251</v>
      </c>
      <c r="F128" s="62">
        <v>16072.183926561927</v>
      </c>
      <c r="G128" s="62">
        <v>15994.742710616905</v>
      </c>
      <c r="H128" s="62">
        <v>16008.347759858025</v>
      </c>
      <c r="I128" s="62">
        <v>16072.183926561927</v>
      </c>
      <c r="K128" s="62">
        <f t="shared" si="12"/>
        <v>0</v>
      </c>
      <c r="L128" s="62">
        <f t="shared" si="10"/>
        <v>5.5927775012260099</v>
      </c>
      <c r="M128" s="62">
        <f t="shared" si="11"/>
        <v>0</v>
      </c>
      <c r="N128" s="62">
        <f>IF($C128="","",_xlfn.RANK.EQ(K128,K$78:K$193)+COUNTIF(K$78:K128,K128)-1)</f>
        <v>55</v>
      </c>
      <c r="O128" s="62">
        <f>IF($C128="","",_xlfn.RANK.EQ(L128,L$78:L$193)+COUNTIF(L$78:L128,L128)-1)</f>
        <v>6</v>
      </c>
      <c r="P128" s="62">
        <f>IF($C128="","",_xlfn.RANK.EQ(M128,M$78:M$193)+COUNTIF(M$78:M128,M128)-1)</f>
        <v>72</v>
      </c>
      <c r="R128" s="49"/>
      <c r="S128" s="135"/>
    </row>
    <row r="129" spans="1:19" x14ac:dyDescent="0.2">
      <c r="A129" s="49">
        <f t="shared" si="13"/>
        <v>52</v>
      </c>
      <c r="B129" s="135"/>
      <c r="C129" s="62" t="s">
        <v>375</v>
      </c>
      <c r="D129" s="62">
        <v>15994.742710616905</v>
      </c>
      <c r="E129" s="62">
        <v>16010.866248485714</v>
      </c>
      <c r="F129" s="62">
        <v>16072.183926561927</v>
      </c>
      <c r="G129" s="62">
        <v>15994.742710616905</v>
      </c>
      <c r="H129" s="62">
        <v>16010.866248485714</v>
      </c>
      <c r="I129" s="62">
        <v>16072.183926561927</v>
      </c>
      <c r="K129" s="62">
        <f t="shared" si="12"/>
        <v>0</v>
      </c>
      <c r="L129" s="62">
        <f t="shared" si="10"/>
        <v>0</v>
      </c>
      <c r="M129" s="62">
        <f t="shared" si="11"/>
        <v>0</v>
      </c>
      <c r="N129" s="62">
        <f>IF($C129="","",_xlfn.RANK.EQ(K129,K$78:K$193)+COUNTIF(K$78:K129,K129)-1)</f>
        <v>56</v>
      </c>
      <c r="O129" s="62">
        <f>IF($C129="","",_xlfn.RANK.EQ(L129,L$78:L$193)+COUNTIF(L$78:L129,L129)-1)</f>
        <v>69</v>
      </c>
      <c r="P129" s="62">
        <f>IF($C129="","",_xlfn.RANK.EQ(M129,M$78:M$193)+COUNTIF(M$78:M129,M129)-1)</f>
        <v>73</v>
      </c>
      <c r="R129" s="49"/>
      <c r="S129" s="135"/>
    </row>
    <row r="130" spans="1:19" x14ac:dyDescent="0.2">
      <c r="A130" s="49">
        <f t="shared" si="13"/>
        <v>53</v>
      </c>
      <c r="B130" s="135"/>
      <c r="C130" s="62" t="s">
        <v>163</v>
      </c>
      <c r="D130" s="62">
        <v>15994.742710616905</v>
      </c>
      <c r="E130" s="62">
        <v>16010.269620111278</v>
      </c>
      <c r="F130" s="62">
        <v>16072.183926561927</v>
      </c>
      <c r="G130" s="62">
        <v>15994.742710616905</v>
      </c>
      <c r="H130" s="62">
        <v>16011.356437928704</v>
      </c>
      <c r="I130" s="62">
        <v>16072.183926561927</v>
      </c>
      <c r="K130" s="62">
        <f t="shared" si="12"/>
        <v>0</v>
      </c>
      <c r="L130" s="62">
        <f t="shared" si="10"/>
        <v>1.086817817425981</v>
      </c>
      <c r="M130" s="62">
        <f t="shared" si="11"/>
        <v>0</v>
      </c>
      <c r="N130" s="62">
        <f>IF($C130="","",_xlfn.RANK.EQ(K130,K$78:K$193)+COUNTIF(K$78:K130,K130)-1)</f>
        <v>57</v>
      </c>
      <c r="O130" s="62">
        <f>IF($C130="","",_xlfn.RANK.EQ(L130,L$78:L$193)+COUNTIF(L$78:L130,L130)-1)</f>
        <v>22</v>
      </c>
      <c r="P130" s="62">
        <f>IF($C130="","",_xlfn.RANK.EQ(M130,M$78:M$193)+COUNTIF(M$78:M130,M130)-1)</f>
        <v>74</v>
      </c>
      <c r="R130" s="49"/>
      <c r="S130" s="135"/>
    </row>
    <row r="131" spans="1:19" x14ac:dyDescent="0.2">
      <c r="A131" s="49">
        <f t="shared" si="13"/>
        <v>54</v>
      </c>
      <c r="B131" s="135"/>
      <c r="C131" s="62" t="s">
        <v>164</v>
      </c>
      <c r="D131" s="62">
        <v>15994.742710616905</v>
      </c>
      <c r="E131" s="62">
        <v>16010.204436202566</v>
      </c>
      <c r="F131" s="62">
        <v>16072.183926561927</v>
      </c>
      <c r="G131" s="62">
        <v>15994.742710616905</v>
      </c>
      <c r="H131" s="62">
        <v>16011.410303141558</v>
      </c>
      <c r="I131" s="62">
        <v>16072.183926561927</v>
      </c>
      <c r="K131" s="62">
        <f t="shared" si="12"/>
        <v>0</v>
      </c>
      <c r="L131" s="62">
        <f t="shared" si="10"/>
        <v>1.2058669389916759</v>
      </c>
      <c r="M131" s="62">
        <f t="shared" si="11"/>
        <v>0</v>
      </c>
      <c r="N131" s="62">
        <f>IF($C131="","",_xlfn.RANK.EQ(K131,K$78:K$193)+COUNTIF(K$78:K131,K131)-1)</f>
        <v>58</v>
      </c>
      <c r="O131" s="62">
        <f>IF($C131="","",_xlfn.RANK.EQ(L131,L$78:L$193)+COUNTIF(L$78:L131,L131)-1)</f>
        <v>19</v>
      </c>
      <c r="P131" s="62">
        <f>IF($C131="","",_xlfn.RANK.EQ(M131,M$78:M$193)+COUNTIF(M$78:M131,M131)-1)</f>
        <v>75</v>
      </c>
      <c r="R131" s="49"/>
      <c r="S131" s="135"/>
    </row>
    <row r="132" spans="1:19" x14ac:dyDescent="0.2">
      <c r="A132" s="49">
        <f t="shared" si="13"/>
        <v>55</v>
      </c>
      <c r="B132" s="135"/>
      <c r="C132" s="62" t="s">
        <v>165</v>
      </c>
      <c r="D132" s="62">
        <v>15994.742710616905</v>
      </c>
      <c r="E132" s="62">
        <v>16011.906459201573</v>
      </c>
      <c r="F132" s="62">
        <v>16072.183926561927</v>
      </c>
      <c r="G132" s="62">
        <v>15994.742710616905</v>
      </c>
      <c r="H132" s="62">
        <v>16010.012382946446</v>
      </c>
      <c r="I132" s="62">
        <v>16072.183926561927</v>
      </c>
      <c r="K132" s="62">
        <f t="shared" si="12"/>
        <v>0</v>
      </c>
      <c r="L132" s="62">
        <f t="shared" si="10"/>
        <v>1.8940762551264925</v>
      </c>
      <c r="M132" s="62">
        <f t="shared" si="11"/>
        <v>0</v>
      </c>
      <c r="N132" s="62">
        <f>IF($C132="","",_xlfn.RANK.EQ(K132,K$78:K$193)+COUNTIF(K$78:K132,K132)-1)</f>
        <v>59</v>
      </c>
      <c r="O132" s="62">
        <f>IF($C132="","",_xlfn.RANK.EQ(L132,L$78:L$193)+COUNTIF(L$78:L132,L132)-1)</f>
        <v>12</v>
      </c>
      <c r="P132" s="62">
        <f>IF($C132="","",_xlfn.RANK.EQ(M132,M$78:M$193)+COUNTIF(M$78:M132,M132)-1)</f>
        <v>76</v>
      </c>
      <c r="R132" s="49"/>
      <c r="S132" s="135"/>
    </row>
    <row r="133" spans="1:19" x14ac:dyDescent="0.2">
      <c r="A133" s="49">
        <f t="shared" si="13"/>
        <v>56</v>
      </c>
      <c r="B133" s="135"/>
      <c r="C133" s="62" t="s">
        <v>166</v>
      </c>
      <c r="D133" s="62">
        <v>15994.742710616905</v>
      </c>
      <c r="E133" s="62">
        <v>16011.851266829597</v>
      </c>
      <c r="F133" s="62">
        <v>16072.183926561927</v>
      </c>
      <c r="G133" s="62">
        <v>15994.742710616905</v>
      </c>
      <c r="H133" s="62">
        <v>16010.057697536526</v>
      </c>
      <c r="I133" s="62">
        <v>16072.183926561927</v>
      </c>
      <c r="K133" s="62">
        <f t="shared" si="12"/>
        <v>0</v>
      </c>
      <c r="L133" s="62">
        <f t="shared" si="10"/>
        <v>1.793569293071414</v>
      </c>
      <c r="M133" s="62">
        <f t="shared" si="11"/>
        <v>0</v>
      </c>
      <c r="N133" s="62">
        <f>IF($C133="","",_xlfn.RANK.EQ(K133,K$78:K$193)+COUNTIF(K$78:K133,K133)-1)</f>
        <v>60</v>
      </c>
      <c r="O133" s="62">
        <f>IF($C133="","",_xlfn.RANK.EQ(L133,L$78:L$193)+COUNTIF(L$78:L133,L133)-1)</f>
        <v>15</v>
      </c>
      <c r="P133" s="62">
        <f>IF($C133="","",_xlfn.RANK.EQ(M133,M$78:M$193)+COUNTIF(M$78:M133,M133)-1)</f>
        <v>77</v>
      </c>
      <c r="R133" s="49"/>
      <c r="S133" s="135"/>
    </row>
    <row r="134" spans="1:19" x14ac:dyDescent="0.2">
      <c r="A134" s="49">
        <f t="shared" si="13"/>
        <v>57</v>
      </c>
      <c r="B134" s="135"/>
      <c r="C134" s="62" t="s">
        <v>376</v>
      </c>
      <c r="D134" s="62">
        <v>15994.742710616905</v>
      </c>
      <c r="E134" s="62">
        <v>16010.866248485714</v>
      </c>
      <c r="F134" s="62">
        <v>16072.183926561927</v>
      </c>
      <c r="G134" s="62">
        <v>15994.742710616905</v>
      </c>
      <c r="H134" s="62">
        <v>16010.866248485714</v>
      </c>
      <c r="I134" s="62">
        <v>16072.183926561927</v>
      </c>
      <c r="K134" s="62">
        <f t="shared" si="12"/>
        <v>0</v>
      </c>
      <c r="L134" s="62">
        <f t="shared" si="10"/>
        <v>0</v>
      </c>
      <c r="M134" s="62">
        <f t="shared" si="11"/>
        <v>0</v>
      </c>
      <c r="N134" s="62">
        <f>IF($C134="","",_xlfn.RANK.EQ(K134,K$78:K$193)+COUNTIF(K$78:K134,K134)-1)</f>
        <v>61</v>
      </c>
      <c r="O134" s="62">
        <f>IF($C134="","",_xlfn.RANK.EQ(L134,L$78:L$193)+COUNTIF(L$78:L134,L134)-1)</f>
        <v>70</v>
      </c>
      <c r="P134" s="62">
        <f>IF($C134="","",_xlfn.RANK.EQ(M134,M$78:M$193)+COUNTIF(M$78:M134,M134)-1)</f>
        <v>78</v>
      </c>
      <c r="R134" s="49"/>
      <c r="S134" s="135"/>
    </row>
    <row r="135" spans="1:19" x14ac:dyDescent="0.2">
      <c r="A135" s="49">
        <f t="shared" si="13"/>
        <v>58</v>
      </c>
      <c r="B135" s="135"/>
      <c r="C135" s="62" t="s">
        <v>167</v>
      </c>
      <c r="D135" s="62">
        <v>15994.742710616905</v>
      </c>
      <c r="E135" s="62">
        <v>16010.295702157611</v>
      </c>
      <c r="F135" s="62">
        <v>16072.183926561927</v>
      </c>
      <c r="G135" s="62">
        <v>15994.742710616905</v>
      </c>
      <c r="H135" s="62">
        <v>16011.335008893069</v>
      </c>
      <c r="I135" s="62">
        <v>16072.183926561927</v>
      </c>
      <c r="K135" s="62">
        <f t="shared" si="12"/>
        <v>0</v>
      </c>
      <c r="L135" s="62">
        <f t="shared" si="10"/>
        <v>1.0393067354580126</v>
      </c>
      <c r="M135" s="62">
        <f t="shared" si="11"/>
        <v>0</v>
      </c>
      <c r="N135" s="62">
        <f>IF($C135="","",_xlfn.RANK.EQ(K135,K$78:K$193)+COUNTIF(K$78:K135,K135)-1)</f>
        <v>62</v>
      </c>
      <c r="O135" s="62">
        <f>IF($C135="","",_xlfn.RANK.EQ(L135,L$78:L$193)+COUNTIF(L$78:L135,L135)-1)</f>
        <v>24</v>
      </c>
      <c r="P135" s="62">
        <f>IF($C135="","",_xlfn.RANK.EQ(M135,M$78:M$193)+COUNTIF(M$78:M135,M135)-1)</f>
        <v>79</v>
      </c>
      <c r="R135" s="49"/>
      <c r="S135" s="135"/>
    </row>
    <row r="136" spans="1:19" x14ac:dyDescent="0.2">
      <c r="A136" s="49">
        <f t="shared" si="13"/>
        <v>59</v>
      </c>
      <c r="B136" s="135"/>
      <c r="C136" s="62" t="s">
        <v>168</v>
      </c>
      <c r="D136" s="62">
        <v>15994.742710616905</v>
      </c>
      <c r="E136" s="62">
        <v>16010.233154021678</v>
      </c>
      <c r="F136" s="62">
        <v>16072.183926561927</v>
      </c>
      <c r="G136" s="62">
        <v>15994.742710616905</v>
      </c>
      <c r="H136" s="62">
        <v>16011.386396711585</v>
      </c>
      <c r="I136" s="62">
        <v>16072.183926561927</v>
      </c>
      <c r="K136" s="62">
        <f t="shared" si="12"/>
        <v>0</v>
      </c>
      <c r="L136" s="62">
        <f t="shared" si="10"/>
        <v>1.1532426899066195</v>
      </c>
      <c r="M136" s="62">
        <f t="shared" si="11"/>
        <v>0</v>
      </c>
      <c r="N136" s="62">
        <f>IF($C136="","",_xlfn.RANK.EQ(K136,K$78:K$193)+COUNTIF(K$78:K136,K136)-1)</f>
        <v>63</v>
      </c>
      <c r="O136" s="62">
        <f>IF($C136="","",_xlfn.RANK.EQ(L136,L$78:L$193)+COUNTIF(L$78:L136,L136)-1)</f>
        <v>21</v>
      </c>
      <c r="P136" s="62">
        <f>IF($C136="","",_xlfn.RANK.EQ(M136,M$78:M$193)+COUNTIF(M$78:M136,M136)-1)</f>
        <v>80</v>
      </c>
      <c r="R136" s="49"/>
      <c r="S136" s="135"/>
    </row>
    <row r="137" spans="1:19" x14ac:dyDescent="0.2">
      <c r="A137" s="49">
        <f t="shared" si="13"/>
        <v>60</v>
      </c>
      <c r="B137" s="135"/>
      <c r="C137" s="62" t="s">
        <v>262</v>
      </c>
      <c r="D137" s="62">
        <v>15994.742710616905</v>
      </c>
      <c r="E137" s="62">
        <v>16011.861465077114</v>
      </c>
      <c r="F137" s="62">
        <v>16072.183926561927</v>
      </c>
      <c r="G137" s="62">
        <v>15994.742710616905</v>
      </c>
      <c r="H137" s="62">
        <v>16010.048835968832</v>
      </c>
      <c r="I137" s="62">
        <v>16072.183926561927</v>
      </c>
      <c r="K137" s="62">
        <f t="shared" si="12"/>
        <v>0</v>
      </c>
      <c r="L137" s="62">
        <f t="shared" si="10"/>
        <v>1.8126291082826356</v>
      </c>
      <c r="M137" s="62">
        <f t="shared" si="11"/>
        <v>0</v>
      </c>
      <c r="N137" s="62">
        <f>IF($C137="","",_xlfn.RANK.EQ(K137,K$78:K$193)+COUNTIF(K$78:K137,K137)-1)</f>
        <v>64</v>
      </c>
      <c r="O137" s="62">
        <f>IF($C137="","",_xlfn.RANK.EQ(L137,L$78:L$193)+COUNTIF(L$78:L137,L137)-1)</f>
        <v>14</v>
      </c>
      <c r="P137" s="62">
        <f>IF($C137="","",_xlfn.RANK.EQ(M137,M$78:M$193)+COUNTIF(M$78:M137,M137)-1)</f>
        <v>81</v>
      </c>
      <c r="R137" s="49"/>
      <c r="S137" s="135"/>
    </row>
    <row r="138" spans="1:19" x14ac:dyDescent="0.2">
      <c r="A138" s="49">
        <f t="shared" si="13"/>
        <v>61</v>
      </c>
      <c r="B138" s="135"/>
      <c r="C138" s="62" t="s">
        <v>263</v>
      </c>
      <c r="D138" s="62">
        <v>15994.742710616905</v>
      </c>
      <c r="E138" s="62">
        <v>16011.80775416972</v>
      </c>
      <c r="F138" s="62">
        <v>16072.183926561927</v>
      </c>
      <c r="G138" s="62">
        <v>15994.742710616905</v>
      </c>
      <c r="H138" s="62">
        <v>16010.093382751327</v>
      </c>
      <c r="I138" s="62">
        <v>16072.183926561927</v>
      </c>
      <c r="K138" s="62">
        <f t="shared" si="12"/>
        <v>0</v>
      </c>
      <c r="L138" s="62">
        <f t="shared" si="10"/>
        <v>1.714371418393057</v>
      </c>
      <c r="M138" s="62">
        <f t="shared" si="11"/>
        <v>0</v>
      </c>
      <c r="N138" s="62">
        <f>IF($C138="","",_xlfn.RANK.EQ(K138,K$78:K$193)+COUNTIF(K$78:K138,K138)-1)</f>
        <v>65</v>
      </c>
      <c r="O138" s="62">
        <f>IF($C138="","",_xlfn.RANK.EQ(L138,L$78:L$193)+COUNTIF(L$78:L138,L138)-1)</f>
        <v>17</v>
      </c>
      <c r="P138" s="62">
        <f>IF($C138="","",_xlfn.RANK.EQ(M138,M$78:M$193)+COUNTIF(M$78:M138,M138)-1)</f>
        <v>82</v>
      </c>
      <c r="R138" s="49"/>
      <c r="S138" s="135"/>
    </row>
    <row r="139" spans="1:19" x14ac:dyDescent="0.2">
      <c r="A139" s="49">
        <f t="shared" si="13"/>
        <v>62</v>
      </c>
      <c r="B139" s="135"/>
      <c r="C139" s="62" t="s">
        <v>377</v>
      </c>
      <c r="D139" s="62">
        <v>15994.742710616905</v>
      </c>
      <c r="E139" s="62">
        <v>16010.866248485714</v>
      </c>
      <c r="F139" s="62">
        <v>16072.183926561927</v>
      </c>
      <c r="G139" s="62">
        <v>15994.742710616905</v>
      </c>
      <c r="H139" s="62">
        <v>16010.866248485714</v>
      </c>
      <c r="I139" s="62">
        <v>16072.183926561927</v>
      </c>
      <c r="K139" s="62">
        <f t="shared" si="12"/>
        <v>0</v>
      </c>
      <c r="L139" s="62">
        <f t="shared" si="10"/>
        <v>0</v>
      </c>
      <c r="M139" s="62">
        <f t="shared" si="11"/>
        <v>0</v>
      </c>
      <c r="N139" s="62">
        <f>IF($C139="","",_xlfn.RANK.EQ(K139,K$78:K$193)+COUNTIF(K$78:K139,K139)-1)</f>
        <v>66</v>
      </c>
      <c r="O139" s="62">
        <f>IF($C139="","",_xlfn.RANK.EQ(L139,L$78:L$193)+COUNTIF(L$78:L139,L139)-1)</f>
        <v>71</v>
      </c>
      <c r="P139" s="62">
        <f>IF($C139="","",_xlfn.RANK.EQ(M139,M$78:M$193)+COUNTIF(M$78:M139,M139)-1)</f>
        <v>83</v>
      </c>
      <c r="R139" s="49"/>
      <c r="S139" s="135"/>
    </row>
    <row r="140" spans="1:19" x14ac:dyDescent="0.2">
      <c r="A140" s="49">
        <f t="shared" si="13"/>
        <v>63</v>
      </c>
      <c r="B140" s="135"/>
      <c r="C140" s="62" t="s">
        <v>169</v>
      </c>
      <c r="D140" s="62">
        <v>15994.742710616905</v>
      </c>
      <c r="E140" s="62">
        <v>16010.288986491047</v>
      </c>
      <c r="F140" s="62">
        <v>16072.183926561927</v>
      </c>
      <c r="G140" s="62">
        <v>15994.742710616905</v>
      </c>
      <c r="H140" s="62">
        <v>16011.340527139553</v>
      </c>
      <c r="I140" s="62">
        <v>16072.183926561927</v>
      </c>
      <c r="K140" s="62">
        <f t="shared" si="12"/>
        <v>0</v>
      </c>
      <c r="L140" s="62">
        <f t="shared" si="10"/>
        <v>1.0515406485064887</v>
      </c>
      <c r="M140" s="62">
        <f t="shared" si="11"/>
        <v>0</v>
      </c>
      <c r="N140" s="62">
        <f>IF($C140="","",_xlfn.RANK.EQ(K140,K$78:K$193)+COUNTIF(K$78:K140,K140)-1)</f>
        <v>67</v>
      </c>
      <c r="O140" s="62">
        <f>IF($C140="","",_xlfn.RANK.EQ(L140,L$78:L$193)+COUNTIF(L$78:L140,L140)-1)</f>
        <v>23</v>
      </c>
      <c r="P140" s="62">
        <f>IF($C140="","",_xlfn.RANK.EQ(M140,M$78:M$193)+COUNTIF(M$78:M140,M140)-1)</f>
        <v>84</v>
      </c>
      <c r="R140" s="49"/>
      <c r="S140" s="135"/>
    </row>
    <row r="141" spans="1:19" x14ac:dyDescent="0.2">
      <c r="A141" s="49">
        <f t="shared" si="13"/>
        <v>64</v>
      </c>
      <c r="B141" s="135"/>
      <c r="C141" s="62" t="s">
        <v>170</v>
      </c>
      <c r="D141" s="62">
        <v>15994.742710616905</v>
      </c>
      <c r="E141" s="62">
        <v>16010.226255443753</v>
      </c>
      <c r="F141" s="62">
        <v>16072.183926561927</v>
      </c>
      <c r="G141" s="62">
        <v>15994.742710616905</v>
      </c>
      <c r="H141" s="62">
        <v>16011.392065498614</v>
      </c>
      <c r="I141" s="62">
        <v>16072.183926561927</v>
      </c>
      <c r="K141" s="62">
        <f t="shared" si="12"/>
        <v>0</v>
      </c>
      <c r="L141" s="62">
        <f t="shared" si="10"/>
        <v>1.1658100548611401</v>
      </c>
      <c r="M141" s="62">
        <f t="shared" si="11"/>
        <v>0</v>
      </c>
      <c r="N141" s="62">
        <f>IF($C141="","",_xlfn.RANK.EQ(K141,K$78:K$193)+COUNTIF(K$78:K141,K141)-1)</f>
        <v>68</v>
      </c>
      <c r="O141" s="62">
        <f>IF($C141="","",_xlfn.RANK.EQ(L141,L$78:L$193)+COUNTIF(L$78:L141,L141)-1)</f>
        <v>20</v>
      </c>
      <c r="P141" s="62">
        <f>IF($C141="","",_xlfn.RANK.EQ(M141,M$78:M$193)+COUNTIF(M$78:M141,M141)-1)</f>
        <v>85</v>
      </c>
      <c r="R141" s="49"/>
      <c r="S141" s="135"/>
    </row>
    <row r="142" spans="1:19" x14ac:dyDescent="0.2">
      <c r="A142" s="49">
        <f t="shared" si="13"/>
        <v>65</v>
      </c>
      <c r="B142" s="135"/>
      <c r="C142" s="62" t="s">
        <v>264</v>
      </c>
      <c r="D142" s="62">
        <v>15994.742710616905</v>
      </c>
      <c r="E142" s="62">
        <v>16011.867149620904</v>
      </c>
      <c r="F142" s="62">
        <v>16072.183926561927</v>
      </c>
      <c r="G142" s="62">
        <v>15994.742710616905</v>
      </c>
      <c r="H142" s="62">
        <v>16010.044620897897</v>
      </c>
      <c r="I142" s="62">
        <v>16072.183926561927</v>
      </c>
      <c r="K142" s="62">
        <f t="shared" si="12"/>
        <v>0</v>
      </c>
      <c r="L142" s="62">
        <f t="shared" si="10"/>
        <v>1.8225287230070535</v>
      </c>
      <c r="M142" s="62">
        <f t="shared" si="11"/>
        <v>0</v>
      </c>
      <c r="N142" s="62">
        <f>IF($C142="","",_xlfn.RANK.EQ(K142,K$78:K$193)+COUNTIF(K$78:K142,K142)-1)</f>
        <v>69</v>
      </c>
      <c r="O142" s="62">
        <f>IF($C142="","",_xlfn.RANK.EQ(L142,L$78:L$193)+COUNTIF(L$78:L142,L142)-1)</f>
        <v>13</v>
      </c>
      <c r="P142" s="62">
        <f>IF($C142="","",_xlfn.RANK.EQ(M142,M$78:M$193)+COUNTIF(M$78:M142,M142)-1)</f>
        <v>86</v>
      </c>
      <c r="R142" s="49"/>
      <c r="S142" s="135"/>
    </row>
    <row r="143" spans="1:19" x14ac:dyDescent="0.2">
      <c r="A143" s="49">
        <f t="shared" ref="A143:A174" si="14">IF(C143="","",A142+1)</f>
        <v>66</v>
      </c>
      <c r="B143" s="135"/>
      <c r="C143" s="62" t="s">
        <v>265</v>
      </c>
      <c r="D143" s="62">
        <v>15994.742710616905</v>
      </c>
      <c r="E143" s="62">
        <v>16011.828976716815</v>
      </c>
      <c r="F143" s="62">
        <v>16072.183926561927</v>
      </c>
      <c r="G143" s="62">
        <v>15994.742710616905</v>
      </c>
      <c r="H143" s="62">
        <v>16010.07553996863</v>
      </c>
      <c r="I143" s="62">
        <v>16072.183926561927</v>
      </c>
      <c r="K143" s="62">
        <f t="shared" si="12"/>
        <v>0</v>
      </c>
      <c r="L143" s="62">
        <f t="shared" ref="L143:L193" si="15">IF(C143="","",ABS(H143-E143))</f>
        <v>1.7534367481857771</v>
      </c>
      <c r="M143" s="62">
        <f t="shared" ref="M143:M193" si="16">IF(C143="","",ABS(I143-F143))</f>
        <v>0</v>
      </c>
      <c r="N143" s="62">
        <f>IF($C143="","",_xlfn.RANK.EQ(K143,K$78:K$193)+COUNTIF(K$78:K143,K143)-1)</f>
        <v>70</v>
      </c>
      <c r="O143" s="62">
        <f>IF($C143="","",_xlfn.RANK.EQ(L143,L$78:L$193)+COUNTIF(L$78:L143,L143)-1)</f>
        <v>16</v>
      </c>
      <c r="P143" s="62">
        <f>IF($C143="","",_xlfn.RANK.EQ(M143,M$78:M$193)+COUNTIF(M$78:M143,M143)-1)</f>
        <v>87</v>
      </c>
      <c r="R143" s="49"/>
      <c r="S143" s="135"/>
    </row>
    <row r="144" spans="1:19" x14ac:dyDescent="0.2">
      <c r="A144" s="49">
        <f t="shared" si="14"/>
        <v>67</v>
      </c>
      <c r="B144" s="135"/>
      <c r="C144" s="62" t="s">
        <v>378</v>
      </c>
      <c r="D144" s="62">
        <v>15994.742710616905</v>
      </c>
      <c r="E144" s="62">
        <v>16010.866248485714</v>
      </c>
      <c r="F144" s="62">
        <v>16072.183926561927</v>
      </c>
      <c r="G144" s="62">
        <v>15994.742710616905</v>
      </c>
      <c r="H144" s="62">
        <v>16010.866248485714</v>
      </c>
      <c r="I144" s="62">
        <v>16072.183926561927</v>
      </c>
      <c r="K144" s="62">
        <f t="shared" ref="K144:K193" si="17">IF(C144="","",ABS(G144-D144))</f>
        <v>0</v>
      </c>
      <c r="L144" s="62">
        <f t="shared" si="15"/>
        <v>0</v>
      </c>
      <c r="M144" s="62">
        <f t="shared" si="16"/>
        <v>0</v>
      </c>
      <c r="N144" s="62">
        <f>IF($C144="","",_xlfn.RANK.EQ(K144,K$78:K$193)+COUNTIF(K$78:K144,K144)-1)</f>
        <v>71</v>
      </c>
      <c r="O144" s="62">
        <f>IF($C144="","",_xlfn.RANK.EQ(L144,L$78:L$193)+COUNTIF(L$78:L144,L144)-1)</f>
        <v>72</v>
      </c>
      <c r="P144" s="62">
        <f>IF($C144="","",_xlfn.RANK.EQ(M144,M$78:M$193)+COUNTIF(M$78:M144,M144)-1)</f>
        <v>88</v>
      </c>
      <c r="R144" s="49"/>
      <c r="S144" s="135"/>
    </row>
    <row r="145" spans="1:19" x14ac:dyDescent="0.2">
      <c r="A145" s="49">
        <f t="shared" si="14"/>
        <v>68</v>
      </c>
      <c r="B145" s="135"/>
      <c r="C145" s="62" t="s">
        <v>379</v>
      </c>
      <c r="D145" s="62">
        <v>15994.742710616905</v>
      </c>
      <c r="E145" s="62">
        <v>16010.866248485714</v>
      </c>
      <c r="F145" s="62">
        <v>16072.183926561927</v>
      </c>
      <c r="G145" s="62">
        <v>15994.742710616905</v>
      </c>
      <c r="H145" s="62">
        <v>16010.866248485714</v>
      </c>
      <c r="I145" s="62">
        <v>16072.183926561927</v>
      </c>
      <c r="K145" s="62">
        <f t="shared" si="17"/>
        <v>0</v>
      </c>
      <c r="L145" s="62">
        <f t="shared" si="15"/>
        <v>0</v>
      </c>
      <c r="M145" s="62">
        <f t="shared" si="16"/>
        <v>0</v>
      </c>
      <c r="N145" s="62">
        <f>IF($C145="","",_xlfn.RANK.EQ(K145,K$78:K$193)+COUNTIF(K$78:K145,K145)-1)</f>
        <v>72</v>
      </c>
      <c r="O145" s="62">
        <f>IF($C145="","",_xlfn.RANK.EQ(L145,L$78:L$193)+COUNTIF(L$78:L145,L145)-1)</f>
        <v>73</v>
      </c>
      <c r="P145" s="62">
        <f>IF($C145="","",_xlfn.RANK.EQ(M145,M$78:M$193)+COUNTIF(M$78:M145,M145)-1)</f>
        <v>89</v>
      </c>
      <c r="R145" s="49"/>
      <c r="S145" s="135"/>
    </row>
    <row r="146" spans="1:19" x14ac:dyDescent="0.2">
      <c r="A146" s="49">
        <f t="shared" si="14"/>
        <v>69</v>
      </c>
      <c r="B146" s="135"/>
      <c r="C146" s="62" t="s">
        <v>380</v>
      </c>
      <c r="D146" s="62">
        <v>15994.742710616905</v>
      </c>
      <c r="E146" s="62">
        <v>16010.866248485714</v>
      </c>
      <c r="F146" s="62">
        <v>16072.183926561927</v>
      </c>
      <c r="G146" s="62">
        <v>15994.742710616905</v>
      </c>
      <c r="H146" s="62">
        <v>16010.866248485714</v>
      </c>
      <c r="I146" s="62">
        <v>16072.183926561927</v>
      </c>
      <c r="K146" s="62">
        <f t="shared" si="17"/>
        <v>0</v>
      </c>
      <c r="L146" s="62">
        <f t="shared" si="15"/>
        <v>0</v>
      </c>
      <c r="M146" s="62">
        <f t="shared" si="16"/>
        <v>0</v>
      </c>
      <c r="N146" s="62">
        <f>IF($C146="","",_xlfn.RANK.EQ(K146,K$78:K$193)+COUNTIF(K$78:K146,K146)-1)</f>
        <v>73</v>
      </c>
      <c r="O146" s="62">
        <f>IF($C146="","",_xlfn.RANK.EQ(L146,L$78:L$193)+COUNTIF(L$78:L146,L146)-1)</f>
        <v>74</v>
      </c>
      <c r="P146" s="62">
        <f>IF($C146="","",_xlfn.RANK.EQ(M146,M$78:M$193)+COUNTIF(M$78:M146,M146)-1)</f>
        <v>90</v>
      </c>
      <c r="R146" s="49"/>
      <c r="S146" s="135"/>
    </row>
    <row r="147" spans="1:19" x14ac:dyDescent="0.2">
      <c r="A147" s="49">
        <f t="shared" si="14"/>
        <v>70</v>
      </c>
      <c r="B147" s="135"/>
      <c r="C147" s="62" t="s">
        <v>381</v>
      </c>
      <c r="D147" s="62">
        <v>15994.742710616905</v>
      </c>
      <c r="E147" s="62">
        <v>16010.866248485714</v>
      </c>
      <c r="F147" s="62">
        <v>16072.183926561927</v>
      </c>
      <c r="G147" s="62">
        <v>15994.742710616905</v>
      </c>
      <c r="H147" s="62">
        <v>16010.866248485714</v>
      </c>
      <c r="I147" s="62">
        <v>16072.183926561927</v>
      </c>
      <c r="K147" s="62">
        <f t="shared" si="17"/>
        <v>0</v>
      </c>
      <c r="L147" s="62">
        <f t="shared" si="15"/>
        <v>0</v>
      </c>
      <c r="M147" s="62">
        <f t="shared" si="16"/>
        <v>0</v>
      </c>
      <c r="N147" s="62">
        <f>IF($C147="","",_xlfn.RANK.EQ(K147,K$78:K$193)+COUNTIF(K$78:K147,K147)-1)</f>
        <v>74</v>
      </c>
      <c r="O147" s="62">
        <f>IF($C147="","",_xlfn.RANK.EQ(L147,L$78:L$193)+COUNTIF(L$78:L147,L147)-1)</f>
        <v>75</v>
      </c>
      <c r="P147" s="62">
        <f>IF($C147="","",_xlfn.RANK.EQ(M147,M$78:M$193)+COUNTIF(M$78:M147,M147)-1)</f>
        <v>91</v>
      </c>
      <c r="R147" s="49"/>
      <c r="S147" s="135"/>
    </row>
    <row r="148" spans="1:19" x14ac:dyDescent="0.2">
      <c r="A148" s="49">
        <f t="shared" si="14"/>
        <v>71</v>
      </c>
      <c r="B148" s="135"/>
      <c r="C148" s="62" t="s">
        <v>382</v>
      </c>
      <c r="D148" s="62">
        <v>15994.742710616905</v>
      </c>
      <c r="E148" s="62">
        <v>16010.866248485714</v>
      </c>
      <c r="F148" s="62">
        <v>16072.183926561927</v>
      </c>
      <c r="G148" s="62">
        <v>15994.742710616905</v>
      </c>
      <c r="H148" s="62">
        <v>16010.866248485714</v>
      </c>
      <c r="I148" s="62">
        <v>16072.183926561927</v>
      </c>
      <c r="K148" s="62">
        <f t="shared" si="17"/>
        <v>0</v>
      </c>
      <c r="L148" s="62">
        <f t="shared" si="15"/>
        <v>0</v>
      </c>
      <c r="M148" s="62">
        <f t="shared" si="16"/>
        <v>0</v>
      </c>
      <c r="N148" s="62">
        <f>IF($C148="","",_xlfn.RANK.EQ(K148,K$78:K$193)+COUNTIF(K$78:K148,K148)-1)</f>
        <v>75</v>
      </c>
      <c r="O148" s="62">
        <f>IF($C148="","",_xlfn.RANK.EQ(L148,L$78:L$193)+COUNTIF(L$78:L148,L148)-1)</f>
        <v>76</v>
      </c>
      <c r="P148" s="62">
        <f>IF($C148="","",_xlfn.RANK.EQ(M148,M$78:M$193)+COUNTIF(M$78:M148,M148)-1)</f>
        <v>92</v>
      </c>
      <c r="R148" s="49"/>
      <c r="S148" s="135"/>
    </row>
    <row r="149" spans="1:19" x14ac:dyDescent="0.2">
      <c r="A149" s="49">
        <f t="shared" si="14"/>
        <v>72</v>
      </c>
      <c r="B149" s="135"/>
      <c r="C149" s="62" t="s">
        <v>383</v>
      </c>
      <c r="D149" s="62">
        <v>15994.742710616905</v>
      </c>
      <c r="E149" s="62">
        <v>16010.866248485714</v>
      </c>
      <c r="F149" s="62">
        <v>16072.183926561927</v>
      </c>
      <c r="G149" s="62">
        <v>15994.742710616905</v>
      </c>
      <c r="H149" s="62">
        <v>16010.866248485714</v>
      </c>
      <c r="I149" s="62">
        <v>16072.183926561927</v>
      </c>
      <c r="K149" s="62">
        <f t="shared" si="17"/>
        <v>0</v>
      </c>
      <c r="L149" s="62">
        <f t="shared" si="15"/>
        <v>0</v>
      </c>
      <c r="M149" s="62">
        <f t="shared" si="16"/>
        <v>0</v>
      </c>
      <c r="N149" s="62">
        <f>IF($C149="","",_xlfn.RANK.EQ(K149,K$78:K$193)+COUNTIF(K$78:K149,K149)-1)</f>
        <v>76</v>
      </c>
      <c r="O149" s="62">
        <f>IF($C149="","",_xlfn.RANK.EQ(L149,L$78:L$193)+COUNTIF(L$78:L149,L149)-1)</f>
        <v>77</v>
      </c>
      <c r="P149" s="62">
        <f>IF($C149="","",_xlfn.RANK.EQ(M149,M$78:M$193)+COUNTIF(M$78:M149,M149)-1)</f>
        <v>93</v>
      </c>
      <c r="R149" s="49"/>
      <c r="S149" s="135"/>
    </row>
    <row r="150" spans="1:19" x14ac:dyDescent="0.2">
      <c r="A150" s="49">
        <f t="shared" si="14"/>
        <v>73</v>
      </c>
      <c r="B150" s="135"/>
      <c r="C150" s="62" t="s">
        <v>266</v>
      </c>
      <c r="D150" s="62">
        <v>15994.742710616905</v>
      </c>
      <c r="E150" s="62">
        <v>16010.354339876903</v>
      </c>
      <c r="F150" s="62">
        <v>16072.183926561927</v>
      </c>
      <c r="G150" s="62">
        <v>15994.742710616905</v>
      </c>
      <c r="H150" s="62">
        <v>16011.287072137829</v>
      </c>
      <c r="I150" s="62">
        <v>16072.183926561927</v>
      </c>
      <c r="K150" s="62">
        <f t="shared" si="17"/>
        <v>0</v>
      </c>
      <c r="L150" s="62">
        <f t="shared" si="15"/>
        <v>0.9327322609260591</v>
      </c>
      <c r="M150" s="62">
        <f t="shared" si="16"/>
        <v>0</v>
      </c>
      <c r="N150" s="62">
        <f>IF($C150="","",_xlfn.RANK.EQ(K150,K$78:K$193)+COUNTIF(K$78:K150,K150)-1)</f>
        <v>77</v>
      </c>
      <c r="O150" s="62">
        <f>IF($C150="","",_xlfn.RANK.EQ(L150,L$78:L$193)+COUNTIF(L$78:L150,L150)-1)</f>
        <v>25</v>
      </c>
      <c r="P150" s="62">
        <f>IF($C150="","",_xlfn.RANK.EQ(M150,M$78:M$193)+COUNTIF(M$78:M150,M150)-1)</f>
        <v>94</v>
      </c>
      <c r="R150" s="49"/>
      <c r="S150" s="135"/>
    </row>
    <row r="151" spans="1:19" x14ac:dyDescent="0.2">
      <c r="A151" s="49">
        <f t="shared" si="14"/>
        <v>74</v>
      </c>
      <c r="B151" s="135"/>
      <c r="C151" s="62" t="s">
        <v>384</v>
      </c>
      <c r="D151" s="62">
        <v>15994.742710616905</v>
      </c>
      <c r="E151" s="62">
        <v>16010.866248485714</v>
      </c>
      <c r="F151" s="62">
        <v>16072.183926561927</v>
      </c>
      <c r="G151" s="62">
        <v>15994.742710616905</v>
      </c>
      <c r="H151" s="62">
        <v>16010.866248485714</v>
      </c>
      <c r="I151" s="62">
        <v>16072.183926561927</v>
      </c>
      <c r="K151" s="62">
        <f t="shared" si="17"/>
        <v>0</v>
      </c>
      <c r="L151" s="62">
        <f t="shared" si="15"/>
        <v>0</v>
      </c>
      <c r="M151" s="62">
        <f t="shared" si="16"/>
        <v>0</v>
      </c>
      <c r="N151" s="62">
        <f>IF($C151="","",_xlfn.RANK.EQ(K151,K$78:K$193)+COUNTIF(K$78:K151,K151)-1)</f>
        <v>78</v>
      </c>
      <c r="O151" s="62">
        <f>IF($C151="","",_xlfn.RANK.EQ(L151,L$78:L$193)+COUNTIF(L$78:L151,L151)-1)</f>
        <v>78</v>
      </c>
      <c r="P151" s="62">
        <f>IF($C151="","",_xlfn.RANK.EQ(M151,M$78:M$193)+COUNTIF(M$78:M151,M151)-1)</f>
        <v>95</v>
      </c>
      <c r="R151" s="49"/>
      <c r="S151" s="135"/>
    </row>
    <row r="152" spans="1:19" x14ac:dyDescent="0.2">
      <c r="A152" s="49">
        <f t="shared" si="14"/>
        <v>75</v>
      </c>
      <c r="B152" s="135"/>
      <c r="C152" s="62" t="s">
        <v>385</v>
      </c>
      <c r="D152" s="62">
        <v>15994.742710616905</v>
      </c>
      <c r="E152" s="62">
        <v>16010.866248485714</v>
      </c>
      <c r="F152" s="62">
        <v>16072.183926561927</v>
      </c>
      <c r="G152" s="62">
        <v>15994.742710616905</v>
      </c>
      <c r="H152" s="62">
        <v>16010.866248485714</v>
      </c>
      <c r="I152" s="62">
        <v>16072.183926561927</v>
      </c>
      <c r="K152" s="62">
        <f t="shared" si="17"/>
        <v>0</v>
      </c>
      <c r="L152" s="62">
        <f t="shared" si="15"/>
        <v>0</v>
      </c>
      <c r="M152" s="62">
        <f t="shared" si="16"/>
        <v>0</v>
      </c>
      <c r="N152" s="62">
        <f>IF($C152="","",_xlfn.RANK.EQ(K152,K$78:K$193)+COUNTIF(K$78:K152,K152)-1)</f>
        <v>79</v>
      </c>
      <c r="O152" s="62">
        <f>IF($C152="","",_xlfn.RANK.EQ(L152,L$78:L$193)+COUNTIF(L$78:L152,L152)-1)</f>
        <v>79</v>
      </c>
      <c r="P152" s="62">
        <f>IF($C152="","",_xlfn.RANK.EQ(M152,M$78:M$193)+COUNTIF(M$78:M152,M152)-1)</f>
        <v>96</v>
      </c>
      <c r="R152" s="49"/>
      <c r="S152" s="135"/>
    </row>
    <row r="153" spans="1:19" x14ac:dyDescent="0.2">
      <c r="A153" s="49">
        <f t="shared" si="14"/>
        <v>76</v>
      </c>
      <c r="B153" s="135"/>
      <c r="C153" s="62" t="s">
        <v>386</v>
      </c>
      <c r="D153" s="62">
        <v>15994.742710616905</v>
      </c>
      <c r="E153" s="62">
        <v>16010.866248485714</v>
      </c>
      <c r="F153" s="62">
        <v>16072.183926561927</v>
      </c>
      <c r="G153" s="62">
        <v>15994.742710616905</v>
      </c>
      <c r="H153" s="62">
        <v>16010.866248485714</v>
      </c>
      <c r="I153" s="62">
        <v>16072.183926561927</v>
      </c>
      <c r="K153" s="62">
        <f t="shared" si="17"/>
        <v>0</v>
      </c>
      <c r="L153" s="62">
        <f t="shared" si="15"/>
        <v>0</v>
      </c>
      <c r="M153" s="62">
        <f t="shared" si="16"/>
        <v>0</v>
      </c>
      <c r="N153" s="62">
        <f>IF($C153="","",_xlfn.RANK.EQ(K153,K$78:K$193)+COUNTIF(K$78:K153,K153)-1)</f>
        <v>80</v>
      </c>
      <c r="O153" s="62">
        <f>IF($C153="","",_xlfn.RANK.EQ(L153,L$78:L$193)+COUNTIF(L$78:L153,L153)-1)</f>
        <v>80</v>
      </c>
      <c r="P153" s="62">
        <f>IF($C153="","",_xlfn.RANK.EQ(M153,M$78:M$193)+COUNTIF(M$78:M153,M153)-1)</f>
        <v>97</v>
      </c>
      <c r="R153" s="49"/>
      <c r="S153" s="135"/>
    </row>
    <row r="154" spans="1:19" x14ac:dyDescent="0.2">
      <c r="A154" s="49">
        <f t="shared" si="14"/>
        <v>77</v>
      </c>
      <c r="B154" s="135"/>
      <c r="C154" s="62" t="s">
        <v>387</v>
      </c>
      <c r="D154" s="62">
        <v>15994.742710616905</v>
      </c>
      <c r="E154" s="62">
        <v>16010.866248485714</v>
      </c>
      <c r="F154" s="62">
        <v>16072.183926561927</v>
      </c>
      <c r="G154" s="62">
        <v>15994.742710616905</v>
      </c>
      <c r="H154" s="62">
        <v>16010.866248485714</v>
      </c>
      <c r="I154" s="62">
        <v>16072.183926561927</v>
      </c>
      <c r="K154" s="62">
        <f t="shared" si="17"/>
        <v>0</v>
      </c>
      <c r="L154" s="62">
        <f t="shared" si="15"/>
        <v>0</v>
      </c>
      <c r="M154" s="62">
        <f t="shared" si="16"/>
        <v>0</v>
      </c>
      <c r="N154" s="62">
        <f>IF($C154="","",_xlfn.RANK.EQ(K154,K$78:K$193)+COUNTIF(K$78:K154,K154)-1)</f>
        <v>81</v>
      </c>
      <c r="O154" s="62">
        <f>IF($C154="","",_xlfn.RANK.EQ(L154,L$78:L$193)+COUNTIF(L$78:L154,L154)-1)</f>
        <v>81</v>
      </c>
      <c r="P154" s="62">
        <f>IF($C154="","",_xlfn.RANK.EQ(M154,M$78:M$193)+COUNTIF(M$78:M154,M154)-1)</f>
        <v>98</v>
      </c>
      <c r="R154" s="49"/>
      <c r="S154" s="135"/>
    </row>
    <row r="155" spans="1:19" x14ac:dyDescent="0.2">
      <c r="A155" s="49">
        <f t="shared" si="14"/>
        <v>78</v>
      </c>
      <c r="B155" s="135"/>
      <c r="C155" s="62" t="s">
        <v>388</v>
      </c>
      <c r="D155" s="62">
        <v>15994.742710616905</v>
      </c>
      <c r="E155" s="62">
        <v>16010.866248485714</v>
      </c>
      <c r="F155" s="62">
        <v>16072.183926561927</v>
      </c>
      <c r="G155" s="62">
        <v>15994.742710616905</v>
      </c>
      <c r="H155" s="62">
        <v>16010.866248485714</v>
      </c>
      <c r="I155" s="62">
        <v>16072.183926561927</v>
      </c>
      <c r="K155" s="62">
        <f t="shared" si="17"/>
        <v>0</v>
      </c>
      <c r="L155" s="62">
        <f t="shared" si="15"/>
        <v>0</v>
      </c>
      <c r="M155" s="62">
        <f t="shared" si="16"/>
        <v>0</v>
      </c>
      <c r="N155" s="62">
        <f>IF($C155="","",_xlfn.RANK.EQ(K155,K$78:K$193)+COUNTIF(K$78:K155,K155)-1)</f>
        <v>82</v>
      </c>
      <c r="O155" s="62">
        <f>IF($C155="","",_xlfn.RANK.EQ(L155,L$78:L$193)+COUNTIF(L$78:L155,L155)-1)</f>
        <v>82</v>
      </c>
      <c r="P155" s="62">
        <f>IF($C155="","",_xlfn.RANK.EQ(M155,M$78:M$193)+COUNTIF(M$78:M155,M155)-1)</f>
        <v>99</v>
      </c>
      <c r="R155" s="49"/>
      <c r="S155" s="135"/>
    </row>
    <row r="156" spans="1:19" x14ac:dyDescent="0.2">
      <c r="A156" s="49">
        <f t="shared" si="14"/>
        <v>79</v>
      </c>
      <c r="B156" s="135"/>
      <c r="C156" s="62" t="s">
        <v>171</v>
      </c>
      <c r="D156" s="62">
        <v>15994.742710616905</v>
      </c>
      <c r="E156" s="62">
        <v>16010.866248485714</v>
      </c>
      <c r="F156" s="62">
        <v>16070.24903310638</v>
      </c>
      <c r="G156" s="62">
        <v>15994.742710616905</v>
      </c>
      <c r="H156" s="62">
        <v>16010.866248485714</v>
      </c>
      <c r="I156" s="62">
        <v>16073.774530126448</v>
      </c>
      <c r="K156" s="62">
        <f t="shared" si="17"/>
        <v>0</v>
      </c>
      <c r="L156" s="62">
        <f t="shared" si="15"/>
        <v>0</v>
      </c>
      <c r="M156" s="62">
        <f t="shared" si="16"/>
        <v>3.5254970200676325</v>
      </c>
      <c r="N156" s="62">
        <f>IF($C156="","",_xlfn.RANK.EQ(K156,K$78:K$193)+COUNTIF(K$78:K156,K156)-1)</f>
        <v>83</v>
      </c>
      <c r="O156" s="62">
        <f>IF($C156="","",_xlfn.RANK.EQ(L156,L$78:L$193)+COUNTIF(L$78:L156,L156)-1)</f>
        <v>83</v>
      </c>
      <c r="P156" s="62">
        <f>IF($C156="","",_xlfn.RANK.EQ(M156,M$78:M$193)+COUNTIF(M$78:M156,M156)-1)</f>
        <v>10</v>
      </c>
      <c r="R156" s="49"/>
      <c r="S156" s="135"/>
    </row>
    <row r="157" spans="1:19" x14ac:dyDescent="0.2">
      <c r="A157" s="49">
        <f t="shared" si="14"/>
        <v>80</v>
      </c>
      <c r="B157" s="135"/>
      <c r="C157" s="62" t="s">
        <v>172</v>
      </c>
      <c r="D157" s="62">
        <v>15994.742710616905</v>
      </c>
      <c r="E157" s="62">
        <v>16010.866248485714</v>
      </c>
      <c r="F157" s="62">
        <v>16070.039945250332</v>
      </c>
      <c r="G157" s="62">
        <v>15994.742710616905</v>
      </c>
      <c r="H157" s="62">
        <v>16010.866248485714</v>
      </c>
      <c r="I157" s="62">
        <v>16073.945411197366</v>
      </c>
      <c r="K157" s="62">
        <f t="shared" si="17"/>
        <v>0</v>
      </c>
      <c r="L157" s="62">
        <f t="shared" si="15"/>
        <v>0</v>
      </c>
      <c r="M157" s="62">
        <f t="shared" si="16"/>
        <v>3.905465947034827</v>
      </c>
      <c r="N157" s="62">
        <f>IF($C157="","",_xlfn.RANK.EQ(K157,K$78:K$193)+COUNTIF(K$78:K157,K157)-1)</f>
        <v>84</v>
      </c>
      <c r="O157" s="62">
        <f>IF($C157="","",_xlfn.RANK.EQ(L157,L$78:L$193)+COUNTIF(L$78:L157,L157)-1)</f>
        <v>84</v>
      </c>
      <c r="P157" s="62">
        <f>IF($C157="","",_xlfn.RANK.EQ(M157,M$78:M$193)+COUNTIF(M$78:M157,M157)-1)</f>
        <v>8</v>
      </c>
      <c r="R157" s="49"/>
      <c r="S157" s="135"/>
    </row>
    <row r="158" spans="1:19" x14ac:dyDescent="0.2">
      <c r="A158" s="49">
        <f t="shared" si="14"/>
        <v>81</v>
      </c>
      <c r="B158" s="135"/>
      <c r="C158" s="62" t="s">
        <v>173</v>
      </c>
      <c r="D158" s="62">
        <v>15994.742710616905</v>
      </c>
      <c r="E158" s="62">
        <v>16010.866248485714</v>
      </c>
      <c r="F158" s="62">
        <v>16075.552456492051</v>
      </c>
      <c r="G158" s="62">
        <v>15994.742710616905</v>
      </c>
      <c r="H158" s="62">
        <v>16010.866248485714</v>
      </c>
      <c r="I158" s="62">
        <v>16069.424334280015</v>
      </c>
      <c r="K158" s="62">
        <f t="shared" si="17"/>
        <v>0</v>
      </c>
      <c r="L158" s="62">
        <f t="shared" si="15"/>
        <v>0</v>
      </c>
      <c r="M158" s="62">
        <f t="shared" si="16"/>
        <v>6.1281222120360326</v>
      </c>
      <c r="N158" s="62">
        <f>IF($C158="","",_xlfn.RANK.EQ(K158,K$78:K$193)+COUNTIF(K$78:K158,K158)-1)</f>
        <v>85</v>
      </c>
      <c r="O158" s="62">
        <f>IF($C158="","",_xlfn.RANK.EQ(L158,L$78:L$193)+COUNTIF(L$78:L158,L158)-1)</f>
        <v>85</v>
      </c>
      <c r="P158" s="62">
        <f>IF($C158="","",_xlfn.RANK.EQ(M158,M$78:M$193)+COUNTIF(M$78:M158,M158)-1)</f>
        <v>5</v>
      </c>
      <c r="R158" s="49"/>
      <c r="S158" s="135"/>
    </row>
    <row r="159" spans="1:19" x14ac:dyDescent="0.2">
      <c r="A159" s="49">
        <f t="shared" si="14"/>
        <v>82</v>
      </c>
      <c r="B159" s="135"/>
      <c r="C159" s="62" t="s">
        <v>174</v>
      </c>
      <c r="D159" s="62">
        <v>15994.742710616905</v>
      </c>
      <c r="E159" s="62">
        <v>16010.866248485714</v>
      </c>
      <c r="F159" s="62">
        <v>16075.42243122957</v>
      </c>
      <c r="G159" s="62">
        <v>15994.742710616905</v>
      </c>
      <c r="H159" s="62">
        <v>16010.866248485714</v>
      </c>
      <c r="I159" s="62">
        <v>16069.531043039495</v>
      </c>
      <c r="K159" s="62">
        <f t="shared" si="17"/>
        <v>0</v>
      </c>
      <c r="L159" s="62">
        <f t="shared" si="15"/>
        <v>0</v>
      </c>
      <c r="M159" s="62">
        <f t="shared" si="16"/>
        <v>5.891388190075304</v>
      </c>
      <c r="N159" s="62">
        <f>IF($C159="","",_xlfn.RANK.EQ(K159,K$78:K$193)+COUNTIF(K$78:K159,K159)-1)</f>
        <v>86</v>
      </c>
      <c r="O159" s="62">
        <f>IF($C159="","",_xlfn.RANK.EQ(L159,L$78:L$193)+COUNTIF(L$78:L159,L159)-1)</f>
        <v>86</v>
      </c>
      <c r="P159" s="62">
        <f>IF($C159="","",_xlfn.RANK.EQ(M159,M$78:M$193)+COUNTIF(M$78:M159,M159)-1)</f>
        <v>6</v>
      </c>
      <c r="R159" s="49"/>
      <c r="S159" s="135"/>
    </row>
    <row r="160" spans="1:19" x14ac:dyDescent="0.2">
      <c r="A160" s="49">
        <f t="shared" si="14"/>
        <v>83</v>
      </c>
      <c r="B160" s="135"/>
      <c r="C160" s="62" t="s">
        <v>389</v>
      </c>
      <c r="D160" s="62">
        <v>15994.742710616905</v>
      </c>
      <c r="E160" s="62">
        <v>16010.866248485714</v>
      </c>
      <c r="F160" s="62">
        <v>16072.183926561927</v>
      </c>
      <c r="G160" s="62">
        <v>15994.742710616905</v>
      </c>
      <c r="H160" s="62">
        <v>16010.866248485714</v>
      </c>
      <c r="I160" s="62">
        <v>16072.183926561927</v>
      </c>
      <c r="K160" s="62">
        <f t="shared" si="17"/>
        <v>0</v>
      </c>
      <c r="L160" s="62">
        <f t="shared" si="15"/>
        <v>0</v>
      </c>
      <c r="M160" s="62">
        <f t="shared" si="16"/>
        <v>0</v>
      </c>
      <c r="N160" s="62">
        <f>IF($C160="","",_xlfn.RANK.EQ(K160,K$78:K$193)+COUNTIF(K$78:K160,K160)-1)</f>
        <v>87</v>
      </c>
      <c r="O160" s="62">
        <f>IF($C160="","",_xlfn.RANK.EQ(L160,L$78:L$193)+COUNTIF(L$78:L160,L160)-1)</f>
        <v>87</v>
      </c>
      <c r="P160" s="62">
        <f>IF($C160="","",_xlfn.RANK.EQ(M160,M$78:M$193)+COUNTIF(M$78:M160,M160)-1)</f>
        <v>100</v>
      </c>
      <c r="R160" s="49"/>
      <c r="S160" s="135"/>
    </row>
    <row r="161" spans="1:19" x14ac:dyDescent="0.2">
      <c r="A161" s="49">
        <f t="shared" si="14"/>
        <v>84</v>
      </c>
      <c r="B161" s="135"/>
      <c r="C161" s="62" t="s">
        <v>175</v>
      </c>
      <c r="D161" s="62">
        <v>15994.742710616905</v>
      </c>
      <c r="E161" s="62">
        <v>16010.866248485714</v>
      </c>
      <c r="F161" s="62">
        <v>16071.572994864628</v>
      </c>
      <c r="G161" s="62">
        <v>15994.742710616905</v>
      </c>
      <c r="H161" s="62">
        <v>16010.866248485714</v>
      </c>
      <c r="I161" s="62">
        <v>16072.685866315363</v>
      </c>
      <c r="K161" s="62">
        <f t="shared" si="17"/>
        <v>0</v>
      </c>
      <c r="L161" s="62">
        <f t="shared" si="15"/>
        <v>0</v>
      </c>
      <c r="M161" s="62">
        <f t="shared" si="16"/>
        <v>1.1128714507358382</v>
      </c>
      <c r="N161" s="62">
        <f>IF($C161="","",_xlfn.RANK.EQ(K161,K$78:K$193)+COUNTIF(K$78:K161,K161)-1)</f>
        <v>88</v>
      </c>
      <c r="O161" s="62">
        <f>IF($C161="","",_xlfn.RANK.EQ(L161,L$78:L$193)+COUNTIF(L$78:L161,L161)-1)</f>
        <v>88</v>
      </c>
      <c r="P161" s="62">
        <f>IF($C161="","",_xlfn.RANK.EQ(M161,M$78:M$193)+COUNTIF(M$78:M161,M161)-1)</f>
        <v>22</v>
      </c>
      <c r="R161" s="49"/>
      <c r="S161" s="135"/>
    </row>
    <row r="162" spans="1:19" x14ac:dyDescent="0.2">
      <c r="A162" s="49">
        <f t="shared" si="14"/>
        <v>85</v>
      </c>
      <c r="B162" s="135"/>
      <c r="C162" s="62" t="s">
        <v>176</v>
      </c>
      <c r="D162" s="62">
        <v>15994.742710616905</v>
      </c>
      <c r="E162" s="62">
        <v>16010.866248485714</v>
      </c>
      <c r="F162" s="62">
        <v>16071.506682829235</v>
      </c>
      <c r="G162" s="62">
        <v>15994.742710616905</v>
      </c>
      <c r="H162" s="62">
        <v>16010.866248485714</v>
      </c>
      <c r="I162" s="62">
        <v>16072.740666917607</v>
      </c>
      <c r="K162" s="62">
        <f t="shared" si="17"/>
        <v>0</v>
      </c>
      <c r="L162" s="62">
        <f t="shared" si="15"/>
        <v>0</v>
      </c>
      <c r="M162" s="62">
        <f t="shared" si="16"/>
        <v>1.2339840883723809</v>
      </c>
      <c r="N162" s="62">
        <f>IF($C162="","",_xlfn.RANK.EQ(K162,K$78:K$193)+COUNTIF(K$78:K162,K162)-1)</f>
        <v>89</v>
      </c>
      <c r="O162" s="62">
        <f>IF($C162="","",_xlfn.RANK.EQ(L162,L$78:L$193)+COUNTIF(L$78:L162,L162)-1)</f>
        <v>89</v>
      </c>
      <c r="P162" s="62">
        <f>IF($C162="","",_xlfn.RANK.EQ(M162,M$78:M$193)+COUNTIF(M$78:M162,M162)-1)</f>
        <v>19</v>
      </c>
      <c r="R162" s="49"/>
      <c r="S162" s="135"/>
    </row>
    <row r="163" spans="1:19" x14ac:dyDescent="0.2">
      <c r="A163" s="49">
        <f t="shared" si="14"/>
        <v>86</v>
      </c>
      <c r="B163" s="135"/>
      <c r="C163" s="62" t="s">
        <v>177</v>
      </c>
      <c r="D163" s="62">
        <v>15994.742710616905</v>
      </c>
      <c r="E163" s="62">
        <v>16010.866248485714</v>
      </c>
      <c r="F163" s="62">
        <v>16073.26475486934</v>
      </c>
      <c r="G163" s="62">
        <v>15994.742710616905</v>
      </c>
      <c r="H163" s="62">
        <v>16010.866248485714</v>
      </c>
      <c r="I163" s="62">
        <v>16071.296720743048</v>
      </c>
      <c r="K163" s="62">
        <f t="shared" si="17"/>
        <v>0</v>
      </c>
      <c r="L163" s="62">
        <f t="shared" si="15"/>
        <v>0</v>
      </c>
      <c r="M163" s="62">
        <f t="shared" si="16"/>
        <v>1.9680341262919683</v>
      </c>
      <c r="N163" s="62">
        <f>IF($C163="","",_xlfn.RANK.EQ(K163,K$78:K$193)+COUNTIF(K$78:K163,K163)-1)</f>
        <v>90</v>
      </c>
      <c r="O163" s="62">
        <f>IF($C163="","",_xlfn.RANK.EQ(L163,L$78:L$193)+COUNTIF(L$78:L163,L163)-1)</f>
        <v>90</v>
      </c>
      <c r="P163" s="62">
        <f>IF($C163="","",_xlfn.RANK.EQ(M163,M$78:M$193)+COUNTIF(M$78:M163,M163)-1)</f>
        <v>12</v>
      </c>
      <c r="R163" s="49"/>
      <c r="S163" s="135"/>
    </row>
    <row r="164" spans="1:19" x14ac:dyDescent="0.2">
      <c r="A164" s="49">
        <f t="shared" si="14"/>
        <v>87</v>
      </c>
      <c r="B164" s="135"/>
      <c r="C164" s="62" t="s">
        <v>178</v>
      </c>
      <c r="D164" s="62">
        <v>15994.742710616905</v>
      </c>
      <c r="E164" s="62">
        <v>16010.866248485714</v>
      </c>
      <c r="F164" s="62">
        <v>16073.223394911851</v>
      </c>
      <c r="G164" s="62">
        <v>15994.742710616905</v>
      </c>
      <c r="H164" s="62">
        <v>16010.866248485714</v>
      </c>
      <c r="I164" s="62">
        <v>16071.330696939704</v>
      </c>
      <c r="K164" s="62">
        <f t="shared" si="17"/>
        <v>0</v>
      </c>
      <c r="L164" s="62">
        <f t="shared" si="15"/>
        <v>0</v>
      </c>
      <c r="M164" s="62">
        <f t="shared" si="16"/>
        <v>1.892697972147289</v>
      </c>
      <c r="N164" s="62">
        <f>IF($C164="","",_xlfn.RANK.EQ(K164,K$78:K$193)+COUNTIF(K$78:K164,K164)-1)</f>
        <v>91</v>
      </c>
      <c r="O164" s="62">
        <f>IF($C164="","",_xlfn.RANK.EQ(L164,L$78:L$193)+COUNTIF(L$78:L164,L164)-1)</f>
        <v>91</v>
      </c>
      <c r="P164" s="62">
        <f>IF($C164="","",_xlfn.RANK.EQ(M164,M$78:M$193)+COUNTIF(M$78:M164,M164)-1)</f>
        <v>13</v>
      </c>
      <c r="R164" s="49"/>
      <c r="S164" s="135"/>
    </row>
    <row r="165" spans="1:19" x14ac:dyDescent="0.2">
      <c r="A165" s="49">
        <f t="shared" si="14"/>
        <v>88</v>
      </c>
      <c r="B165" s="135"/>
      <c r="C165" s="62" t="s">
        <v>390</v>
      </c>
      <c r="D165" s="62">
        <v>15994.742710616905</v>
      </c>
      <c r="E165" s="62">
        <v>16010.866248485714</v>
      </c>
      <c r="F165" s="62">
        <v>16072.183926561927</v>
      </c>
      <c r="G165" s="62">
        <v>15994.742710616905</v>
      </c>
      <c r="H165" s="62">
        <v>16010.866248485714</v>
      </c>
      <c r="I165" s="62">
        <v>16072.183926561927</v>
      </c>
      <c r="K165" s="62">
        <f t="shared" si="17"/>
        <v>0</v>
      </c>
      <c r="L165" s="62">
        <f t="shared" si="15"/>
        <v>0</v>
      </c>
      <c r="M165" s="62">
        <f t="shared" si="16"/>
        <v>0</v>
      </c>
      <c r="N165" s="62">
        <f>IF($C165="","",_xlfn.RANK.EQ(K165,K$78:K$193)+COUNTIF(K$78:K165,K165)-1)</f>
        <v>92</v>
      </c>
      <c r="O165" s="62">
        <f>IF($C165="","",_xlfn.RANK.EQ(L165,L$78:L$193)+COUNTIF(L$78:L165,L165)-1)</f>
        <v>92</v>
      </c>
      <c r="P165" s="62">
        <f>IF($C165="","",_xlfn.RANK.EQ(M165,M$78:M$193)+COUNTIF(M$78:M165,M165)-1)</f>
        <v>101</v>
      </c>
      <c r="R165" s="49"/>
      <c r="S165" s="135"/>
    </row>
    <row r="166" spans="1:19" x14ac:dyDescent="0.2">
      <c r="A166" s="49">
        <f t="shared" si="14"/>
        <v>89</v>
      </c>
      <c r="B166" s="135"/>
      <c r="C166" s="62" t="s">
        <v>179</v>
      </c>
      <c r="D166" s="62">
        <v>15994.742710616905</v>
      </c>
      <c r="E166" s="62">
        <v>16010.866248485714</v>
      </c>
      <c r="F166" s="62">
        <v>16071.608985308489</v>
      </c>
      <c r="G166" s="62">
        <v>15994.742710616905</v>
      </c>
      <c r="H166" s="62">
        <v>16010.866248485714</v>
      </c>
      <c r="I166" s="62">
        <v>16072.656296669908</v>
      </c>
      <c r="K166" s="62">
        <f t="shared" si="17"/>
        <v>0</v>
      </c>
      <c r="L166" s="62">
        <f t="shared" si="15"/>
        <v>0</v>
      </c>
      <c r="M166" s="62">
        <f t="shared" si="16"/>
        <v>1.047311361418906</v>
      </c>
      <c r="N166" s="62">
        <f>IF($C166="","",_xlfn.RANK.EQ(K166,K$78:K$193)+COUNTIF(K$78:K166,K166)-1)</f>
        <v>93</v>
      </c>
      <c r="O166" s="62">
        <f>IF($C166="","",_xlfn.RANK.EQ(L166,L$78:L$193)+COUNTIF(L$78:L166,L166)-1)</f>
        <v>93</v>
      </c>
      <c r="P166" s="62">
        <f>IF($C166="","",_xlfn.RANK.EQ(M166,M$78:M$193)+COUNTIF(M$78:M166,M166)-1)</f>
        <v>24</v>
      </c>
      <c r="R166" s="49"/>
      <c r="S166" s="135"/>
    </row>
    <row r="167" spans="1:19" x14ac:dyDescent="0.2">
      <c r="A167" s="49">
        <f t="shared" si="14"/>
        <v>90</v>
      </c>
      <c r="B167" s="135"/>
      <c r="C167" s="62" t="s">
        <v>180</v>
      </c>
      <c r="D167" s="62">
        <v>15994.742710616905</v>
      </c>
      <c r="E167" s="62">
        <v>16010.866248485714</v>
      </c>
      <c r="F167" s="62">
        <v>16071.546380278929</v>
      </c>
      <c r="G167" s="62">
        <v>15994.742710616905</v>
      </c>
      <c r="H167" s="62">
        <v>16010.866248485714</v>
      </c>
      <c r="I167" s="62">
        <v>16072.707731384986</v>
      </c>
      <c r="K167" s="62">
        <f t="shared" si="17"/>
        <v>0</v>
      </c>
      <c r="L167" s="62">
        <f t="shared" si="15"/>
        <v>0</v>
      </c>
      <c r="M167" s="62">
        <f t="shared" si="16"/>
        <v>1.1613511060568271</v>
      </c>
      <c r="N167" s="62">
        <f>IF($C167="","",_xlfn.RANK.EQ(K167,K$78:K$193)+COUNTIF(K$78:K167,K167)-1)</f>
        <v>94</v>
      </c>
      <c r="O167" s="62">
        <f>IF($C167="","",_xlfn.RANK.EQ(L167,L$78:L$193)+COUNTIF(L$78:L167,L167)-1)</f>
        <v>94</v>
      </c>
      <c r="P167" s="62">
        <f>IF($C167="","",_xlfn.RANK.EQ(M167,M$78:M$193)+COUNTIF(M$78:M167,M167)-1)</f>
        <v>21</v>
      </c>
      <c r="R167" s="49"/>
      <c r="S167" s="135"/>
    </row>
    <row r="168" spans="1:19" x14ac:dyDescent="0.2">
      <c r="A168" s="49">
        <f t="shared" si="14"/>
        <v>91</v>
      </c>
      <c r="B168" s="135"/>
      <c r="C168" s="62" t="s">
        <v>391</v>
      </c>
      <c r="D168" s="62">
        <v>15994.742710616905</v>
      </c>
      <c r="E168" s="62">
        <v>16010.866248485714</v>
      </c>
      <c r="F168" s="62">
        <v>16073.200700612389</v>
      </c>
      <c r="G168" s="62">
        <v>15994.742710616905</v>
      </c>
      <c r="H168" s="62">
        <v>16010.866248485714</v>
      </c>
      <c r="I168" s="62">
        <v>16071.348802097851</v>
      </c>
      <c r="K168" s="62">
        <f t="shared" si="17"/>
        <v>0</v>
      </c>
      <c r="L168" s="62">
        <f t="shared" si="15"/>
        <v>0</v>
      </c>
      <c r="M168" s="62">
        <f t="shared" si="16"/>
        <v>1.851898514538334</v>
      </c>
      <c r="N168" s="62">
        <f>IF($C168="","",_xlfn.RANK.EQ(K168,K$78:K$193)+COUNTIF(K$78:K168,K168)-1)</f>
        <v>95</v>
      </c>
      <c r="O168" s="62">
        <f>IF($C168="","",_xlfn.RANK.EQ(L168,L$78:L$193)+COUNTIF(L$78:L168,L168)-1)</f>
        <v>95</v>
      </c>
      <c r="P168" s="62">
        <f>IF($C168="","",_xlfn.RANK.EQ(M168,M$78:M$193)+COUNTIF(M$78:M168,M168)-1)</f>
        <v>15</v>
      </c>
      <c r="R168" s="49"/>
      <c r="S168" s="135"/>
    </row>
    <row r="169" spans="1:19" x14ac:dyDescent="0.2">
      <c r="A169" s="49">
        <f t="shared" si="14"/>
        <v>92</v>
      </c>
      <c r="B169" s="135"/>
      <c r="C169" s="62" t="s">
        <v>392</v>
      </c>
      <c r="D169" s="62">
        <v>15994.742710616905</v>
      </c>
      <c r="E169" s="62">
        <v>16010.866248485714</v>
      </c>
      <c r="F169" s="62">
        <v>16073.162082368144</v>
      </c>
      <c r="G169" s="62">
        <v>15994.742710616905</v>
      </c>
      <c r="H169" s="62">
        <v>16010.866248485714</v>
      </c>
      <c r="I169" s="62">
        <v>16071.380979265845</v>
      </c>
      <c r="K169" s="62">
        <f t="shared" si="17"/>
        <v>0</v>
      </c>
      <c r="L169" s="62">
        <f t="shared" si="15"/>
        <v>0</v>
      </c>
      <c r="M169" s="62">
        <f t="shared" si="16"/>
        <v>1.781103102299312</v>
      </c>
      <c r="N169" s="62">
        <f>IF($C169="","",_xlfn.RANK.EQ(K169,K$78:K$193)+COUNTIF(K$78:K169,K169)-1)</f>
        <v>96</v>
      </c>
      <c r="O169" s="62">
        <f>IF($C169="","",_xlfn.RANK.EQ(L169,L$78:L$193)+COUNTIF(L$78:L169,L169)-1)</f>
        <v>96</v>
      </c>
      <c r="P169" s="62">
        <f>IF($C169="","",_xlfn.RANK.EQ(M169,M$78:M$193)+COUNTIF(M$78:M169,M169)-1)</f>
        <v>17</v>
      </c>
      <c r="R169" s="49"/>
      <c r="S169" s="135"/>
    </row>
    <row r="170" spans="1:19" x14ac:dyDescent="0.2">
      <c r="A170" s="49">
        <f t="shared" si="14"/>
        <v>93</v>
      </c>
      <c r="B170" s="135"/>
      <c r="C170" s="62" t="s">
        <v>393</v>
      </c>
      <c r="D170" s="62">
        <v>15994.742710616905</v>
      </c>
      <c r="E170" s="62">
        <v>16010.866248485714</v>
      </c>
      <c r="F170" s="62">
        <v>16072.183926561927</v>
      </c>
      <c r="G170" s="62">
        <v>15994.742710616905</v>
      </c>
      <c r="H170" s="62">
        <v>16010.866248485714</v>
      </c>
      <c r="I170" s="62">
        <v>16072.183926561927</v>
      </c>
      <c r="K170" s="62">
        <f t="shared" si="17"/>
        <v>0</v>
      </c>
      <c r="L170" s="62">
        <f t="shared" si="15"/>
        <v>0</v>
      </c>
      <c r="M170" s="62">
        <f t="shared" si="16"/>
        <v>0</v>
      </c>
      <c r="N170" s="62">
        <f>IF($C170="","",_xlfn.RANK.EQ(K170,K$78:K$193)+COUNTIF(K$78:K170,K170)-1)</f>
        <v>97</v>
      </c>
      <c r="O170" s="62">
        <f>IF($C170="","",_xlfn.RANK.EQ(L170,L$78:L$193)+COUNTIF(L$78:L170,L170)-1)</f>
        <v>97</v>
      </c>
      <c r="P170" s="62">
        <f>IF($C170="","",_xlfn.RANK.EQ(M170,M$78:M$193)+COUNTIF(M$78:M170,M170)-1)</f>
        <v>102</v>
      </c>
      <c r="R170" s="49"/>
      <c r="S170" s="135"/>
    </row>
    <row r="171" spans="1:19" x14ac:dyDescent="0.2">
      <c r="A171" s="49">
        <f t="shared" si="14"/>
        <v>94</v>
      </c>
      <c r="B171" s="135"/>
      <c r="C171" s="62" t="s">
        <v>181</v>
      </c>
      <c r="D171" s="62">
        <v>15994.742710616905</v>
      </c>
      <c r="E171" s="62">
        <v>16010.866248485714</v>
      </c>
      <c r="F171" s="62">
        <v>16071.597135207518</v>
      </c>
      <c r="G171" s="62">
        <v>15994.742710616905</v>
      </c>
      <c r="H171" s="62">
        <v>16010.866248485714</v>
      </c>
      <c r="I171" s="62">
        <v>16072.666032682353</v>
      </c>
      <c r="K171" s="62">
        <f t="shared" si="17"/>
        <v>0</v>
      </c>
      <c r="L171" s="62">
        <f t="shared" si="15"/>
        <v>0</v>
      </c>
      <c r="M171" s="62">
        <f t="shared" si="16"/>
        <v>1.0688974748354667</v>
      </c>
      <c r="N171" s="62">
        <f>IF($C171="","",_xlfn.RANK.EQ(K171,K$78:K$193)+COUNTIF(K$78:K171,K171)-1)</f>
        <v>98</v>
      </c>
      <c r="O171" s="62">
        <f>IF($C171="","",_xlfn.RANK.EQ(L171,L$78:L$193)+COUNTIF(L$78:L171,L171)-1)</f>
        <v>98</v>
      </c>
      <c r="P171" s="62">
        <f>IF($C171="","",_xlfn.RANK.EQ(M171,M$78:M$193)+COUNTIF(M$78:M171,M171)-1)</f>
        <v>23</v>
      </c>
      <c r="R171" s="49"/>
      <c r="S171" s="135"/>
    </row>
    <row r="172" spans="1:19" x14ac:dyDescent="0.2">
      <c r="A172" s="49">
        <f t="shared" si="14"/>
        <v>95</v>
      </c>
      <c r="B172" s="135"/>
      <c r="C172" s="62" t="s">
        <v>182</v>
      </c>
      <c r="D172" s="62">
        <v>15994.742710616905</v>
      </c>
      <c r="E172" s="62">
        <v>16010.866248485714</v>
      </c>
      <c r="F172" s="62">
        <v>16071.533232873817</v>
      </c>
      <c r="G172" s="62">
        <v>15994.742710616905</v>
      </c>
      <c r="H172" s="62">
        <v>16010.866248485714</v>
      </c>
      <c r="I172" s="62">
        <v>16072.718533230769</v>
      </c>
      <c r="K172" s="62">
        <f t="shared" si="17"/>
        <v>0</v>
      </c>
      <c r="L172" s="62">
        <f t="shared" si="15"/>
        <v>0</v>
      </c>
      <c r="M172" s="62">
        <f t="shared" si="16"/>
        <v>1.1853003569522116</v>
      </c>
      <c r="N172" s="62">
        <f>IF($C172="","",_xlfn.RANK.EQ(K172,K$78:K$193)+COUNTIF(K$78:K172,K172)-1)</f>
        <v>99</v>
      </c>
      <c r="O172" s="62">
        <f>IF($C172="","",_xlfn.RANK.EQ(L172,L$78:L$193)+COUNTIF(L$78:L172,L172)-1)</f>
        <v>99</v>
      </c>
      <c r="P172" s="62">
        <f>IF($C172="","",_xlfn.RANK.EQ(M172,M$78:M$193)+COUNTIF(M$78:M172,M172)-1)</f>
        <v>20</v>
      </c>
      <c r="R172" s="49"/>
      <c r="S172" s="135"/>
    </row>
    <row r="173" spans="1:19" x14ac:dyDescent="0.2">
      <c r="A173" s="49">
        <f t="shared" si="14"/>
        <v>96</v>
      </c>
      <c r="B173" s="135"/>
      <c r="C173" s="62" t="s">
        <v>394</v>
      </c>
      <c r="D173" s="62">
        <v>15994.742710616905</v>
      </c>
      <c r="E173" s="62">
        <v>16010.866248485714</v>
      </c>
      <c r="F173" s="62">
        <v>16073.222156354128</v>
      </c>
      <c r="G173" s="62">
        <v>15994.742710616905</v>
      </c>
      <c r="H173" s="62">
        <v>16010.866248485714</v>
      </c>
      <c r="I173" s="62">
        <v>16071.331656714492</v>
      </c>
      <c r="K173" s="62">
        <f t="shared" si="17"/>
        <v>0</v>
      </c>
      <c r="L173" s="62">
        <f t="shared" si="15"/>
        <v>0</v>
      </c>
      <c r="M173" s="62">
        <f t="shared" si="16"/>
        <v>1.8904996396358911</v>
      </c>
      <c r="N173" s="62">
        <f>IF($C173="","",_xlfn.RANK.EQ(K173,K$78:K$193)+COUNTIF(K$78:K173,K173)-1)</f>
        <v>100</v>
      </c>
      <c r="O173" s="62">
        <f>IF($C173="","",_xlfn.RANK.EQ(L173,L$78:L$193)+COUNTIF(L$78:L173,L173)-1)</f>
        <v>100</v>
      </c>
      <c r="P173" s="62">
        <f>IF($C173="","",_xlfn.RANK.EQ(M173,M$78:M$193)+COUNTIF(M$78:M173,M173)-1)</f>
        <v>14</v>
      </c>
      <c r="R173" s="49"/>
      <c r="S173" s="135"/>
    </row>
    <row r="174" spans="1:19" x14ac:dyDescent="0.2">
      <c r="A174" s="49">
        <f t="shared" si="14"/>
        <v>97</v>
      </c>
      <c r="B174" s="135"/>
      <c r="C174" s="62" t="s">
        <v>395</v>
      </c>
      <c r="D174" s="62">
        <v>15994.742710616905</v>
      </c>
      <c r="E174" s="62">
        <v>16010.866248485714</v>
      </c>
      <c r="F174" s="62">
        <v>16073.182127133452</v>
      </c>
      <c r="G174" s="62">
        <v>15994.742710616905</v>
      </c>
      <c r="H174" s="62">
        <v>16010.866248485714</v>
      </c>
      <c r="I174" s="62">
        <v>16071.364087024127</v>
      </c>
      <c r="K174" s="62">
        <f t="shared" si="17"/>
        <v>0</v>
      </c>
      <c r="L174" s="62">
        <f t="shared" si="15"/>
        <v>0</v>
      </c>
      <c r="M174" s="62">
        <f t="shared" si="16"/>
        <v>1.8180401093250111</v>
      </c>
      <c r="N174" s="62">
        <f>IF($C174="","",_xlfn.RANK.EQ(K174,K$78:K$193)+COUNTIF(K$78:K174,K174)-1)</f>
        <v>101</v>
      </c>
      <c r="O174" s="62">
        <f>IF($C174="","",_xlfn.RANK.EQ(L174,L$78:L$193)+COUNTIF(L$78:L174,L174)-1)</f>
        <v>101</v>
      </c>
      <c r="P174" s="62">
        <f>IF($C174="","",_xlfn.RANK.EQ(M174,M$78:M$193)+COUNTIF(M$78:M174,M174)-1)</f>
        <v>16</v>
      </c>
      <c r="R174" s="49"/>
      <c r="S174" s="135"/>
    </row>
    <row r="175" spans="1:19" x14ac:dyDescent="0.2">
      <c r="A175" s="49">
        <f t="shared" ref="A175:A193" si="18">IF(C175="","",A174+1)</f>
        <v>98</v>
      </c>
      <c r="B175" s="135"/>
      <c r="C175" s="62" t="s">
        <v>396</v>
      </c>
      <c r="D175" s="62">
        <v>15994.742710616905</v>
      </c>
      <c r="E175" s="62">
        <v>16010.866248485714</v>
      </c>
      <c r="F175" s="62">
        <v>16072.183926561927</v>
      </c>
      <c r="G175" s="62">
        <v>15994.742710616905</v>
      </c>
      <c r="H175" s="62">
        <v>16010.866248485714</v>
      </c>
      <c r="I175" s="62">
        <v>16072.183926561927</v>
      </c>
      <c r="K175" s="62">
        <f t="shared" si="17"/>
        <v>0</v>
      </c>
      <c r="L175" s="62">
        <f t="shared" si="15"/>
        <v>0</v>
      </c>
      <c r="M175" s="62">
        <f t="shared" si="16"/>
        <v>0</v>
      </c>
      <c r="N175" s="62">
        <f>IF($C175="","",_xlfn.RANK.EQ(K175,K$78:K$193)+COUNTIF(K$78:K175,K175)-1)</f>
        <v>102</v>
      </c>
      <c r="O175" s="62">
        <f>IF($C175="","",_xlfn.RANK.EQ(L175,L$78:L$193)+COUNTIF(L$78:L175,L175)-1)</f>
        <v>102</v>
      </c>
      <c r="P175" s="62">
        <f>IF($C175="","",_xlfn.RANK.EQ(M175,M$78:M$193)+COUNTIF(M$78:M175,M175)-1)</f>
        <v>103</v>
      </c>
      <c r="R175" s="49"/>
      <c r="S175" s="135"/>
    </row>
    <row r="176" spans="1:19" x14ac:dyDescent="0.2">
      <c r="A176" s="49">
        <f t="shared" si="18"/>
        <v>99</v>
      </c>
      <c r="B176" s="135"/>
      <c r="C176" s="62" t="s">
        <v>397</v>
      </c>
      <c r="D176" s="62">
        <v>15994.742710616905</v>
      </c>
      <c r="E176" s="62">
        <v>16010.866248485714</v>
      </c>
      <c r="F176" s="62">
        <v>16072.183926561927</v>
      </c>
      <c r="G176" s="62">
        <v>15994.742710616905</v>
      </c>
      <c r="H176" s="62">
        <v>16010.866248485714</v>
      </c>
      <c r="I176" s="62">
        <v>16072.183926561927</v>
      </c>
      <c r="K176" s="62">
        <f t="shared" si="17"/>
        <v>0</v>
      </c>
      <c r="L176" s="62">
        <f t="shared" si="15"/>
        <v>0</v>
      </c>
      <c r="M176" s="62">
        <f t="shared" si="16"/>
        <v>0</v>
      </c>
      <c r="N176" s="62">
        <f>IF($C176="","",_xlfn.RANK.EQ(K176,K$78:K$193)+COUNTIF(K$78:K176,K176)-1)</f>
        <v>103</v>
      </c>
      <c r="O176" s="62">
        <f>IF($C176="","",_xlfn.RANK.EQ(L176,L$78:L$193)+COUNTIF(L$78:L176,L176)-1)</f>
        <v>103</v>
      </c>
      <c r="P176" s="62">
        <f>IF($C176="","",_xlfn.RANK.EQ(M176,M$78:M$193)+COUNTIF(M$78:M176,M176)-1)</f>
        <v>104</v>
      </c>
      <c r="R176" s="49"/>
      <c r="S176" s="135"/>
    </row>
    <row r="177" spans="1:19" x14ac:dyDescent="0.2">
      <c r="A177" s="49">
        <f t="shared" si="18"/>
        <v>100</v>
      </c>
      <c r="B177" s="135"/>
      <c r="C177" s="62" t="s">
        <v>398</v>
      </c>
      <c r="D177" s="62">
        <v>15994.742710616905</v>
      </c>
      <c r="E177" s="62">
        <v>16010.866248485714</v>
      </c>
      <c r="F177" s="62">
        <v>16072.183926561927</v>
      </c>
      <c r="G177" s="62">
        <v>15994.742710616905</v>
      </c>
      <c r="H177" s="62">
        <v>16010.866248485714</v>
      </c>
      <c r="I177" s="62">
        <v>16072.183926561927</v>
      </c>
      <c r="K177" s="62">
        <f t="shared" si="17"/>
        <v>0</v>
      </c>
      <c r="L177" s="62">
        <f t="shared" si="15"/>
        <v>0</v>
      </c>
      <c r="M177" s="62">
        <f t="shared" si="16"/>
        <v>0</v>
      </c>
      <c r="N177" s="62">
        <f>IF($C177="","",_xlfn.RANK.EQ(K177,K$78:K$193)+COUNTIF(K$78:K177,K177)-1)</f>
        <v>104</v>
      </c>
      <c r="O177" s="62">
        <f>IF($C177="","",_xlfn.RANK.EQ(L177,L$78:L$193)+COUNTIF(L$78:L177,L177)-1)</f>
        <v>104</v>
      </c>
      <c r="P177" s="62">
        <f>IF($C177="","",_xlfn.RANK.EQ(M177,M$78:M$193)+COUNTIF(M$78:M177,M177)-1)</f>
        <v>105</v>
      </c>
      <c r="R177" s="49"/>
      <c r="S177" s="135"/>
    </row>
    <row r="178" spans="1:19" x14ac:dyDescent="0.2">
      <c r="A178" s="49">
        <f t="shared" si="18"/>
        <v>101</v>
      </c>
      <c r="B178" s="135"/>
      <c r="C178" s="62" t="s">
        <v>399</v>
      </c>
      <c r="D178" s="62">
        <v>15994.742710616905</v>
      </c>
      <c r="E178" s="62">
        <v>16010.866248485714</v>
      </c>
      <c r="F178" s="62">
        <v>16072.183926561927</v>
      </c>
      <c r="G178" s="62">
        <v>15994.742710616905</v>
      </c>
      <c r="H178" s="62">
        <v>16010.866248485714</v>
      </c>
      <c r="I178" s="62">
        <v>16072.183926561927</v>
      </c>
      <c r="K178" s="62">
        <f t="shared" si="17"/>
        <v>0</v>
      </c>
      <c r="L178" s="62">
        <f t="shared" si="15"/>
        <v>0</v>
      </c>
      <c r="M178" s="62">
        <f t="shared" si="16"/>
        <v>0</v>
      </c>
      <c r="N178" s="62">
        <f>IF($C178="","",_xlfn.RANK.EQ(K178,K$78:K$193)+COUNTIF(K$78:K178,K178)-1)</f>
        <v>105</v>
      </c>
      <c r="O178" s="62">
        <f>IF($C178="","",_xlfn.RANK.EQ(L178,L$78:L$193)+COUNTIF(L$78:L178,L178)-1)</f>
        <v>105</v>
      </c>
      <c r="P178" s="62">
        <f>IF($C178="","",_xlfn.RANK.EQ(M178,M$78:M$193)+COUNTIF(M$78:M178,M178)-1)</f>
        <v>106</v>
      </c>
      <c r="R178" s="49"/>
      <c r="S178" s="135"/>
    </row>
    <row r="179" spans="1:19" x14ac:dyDescent="0.2">
      <c r="A179" s="49">
        <f t="shared" si="18"/>
        <v>102</v>
      </c>
      <c r="B179" s="135"/>
      <c r="C179" s="62" t="s">
        <v>400</v>
      </c>
      <c r="D179" s="62">
        <v>15994.742710616905</v>
      </c>
      <c r="E179" s="62">
        <v>16010.866248485714</v>
      </c>
      <c r="F179" s="62">
        <v>16072.183926561927</v>
      </c>
      <c r="G179" s="62">
        <v>15994.742710616905</v>
      </c>
      <c r="H179" s="62">
        <v>16010.866248485714</v>
      </c>
      <c r="I179" s="62">
        <v>16072.183926561927</v>
      </c>
      <c r="K179" s="62">
        <f t="shared" si="17"/>
        <v>0</v>
      </c>
      <c r="L179" s="62">
        <f t="shared" si="15"/>
        <v>0</v>
      </c>
      <c r="M179" s="62">
        <f t="shared" si="16"/>
        <v>0</v>
      </c>
      <c r="N179" s="62">
        <f>IF($C179="","",_xlfn.RANK.EQ(K179,K$78:K$193)+COUNTIF(K$78:K179,K179)-1)</f>
        <v>106</v>
      </c>
      <c r="O179" s="62">
        <f>IF($C179="","",_xlfn.RANK.EQ(L179,L$78:L$193)+COUNTIF(L$78:L179,L179)-1)</f>
        <v>106</v>
      </c>
      <c r="P179" s="62">
        <f>IF($C179="","",_xlfn.RANK.EQ(M179,M$78:M$193)+COUNTIF(M$78:M179,M179)-1)</f>
        <v>107</v>
      </c>
      <c r="R179" s="49"/>
      <c r="S179" s="135"/>
    </row>
    <row r="180" spans="1:19" x14ac:dyDescent="0.2">
      <c r="A180" s="49">
        <f t="shared" si="18"/>
        <v>103</v>
      </c>
      <c r="B180" s="135"/>
      <c r="C180" s="62" t="s">
        <v>401</v>
      </c>
      <c r="D180" s="62">
        <v>15994.742710616905</v>
      </c>
      <c r="E180" s="62">
        <v>16010.866248485714</v>
      </c>
      <c r="F180" s="62">
        <v>16072.183926561927</v>
      </c>
      <c r="G180" s="62">
        <v>15994.742710616905</v>
      </c>
      <c r="H180" s="62">
        <v>16010.866248485714</v>
      </c>
      <c r="I180" s="62">
        <v>16072.183926561927</v>
      </c>
      <c r="K180" s="62">
        <f t="shared" si="17"/>
        <v>0</v>
      </c>
      <c r="L180" s="62">
        <f t="shared" si="15"/>
        <v>0</v>
      </c>
      <c r="M180" s="62">
        <f t="shared" si="16"/>
        <v>0</v>
      </c>
      <c r="N180" s="62">
        <f>IF($C180="","",_xlfn.RANK.EQ(K180,K$78:K$193)+COUNTIF(K$78:K180,K180)-1)</f>
        <v>107</v>
      </c>
      <c r="O180" s="62">
        <f>IF($C180="","",_xlfn.RANK.EQ(L180,L$78:L$193)+COUNTIF(L$78:L180,L180)-1)</f>
        <v>107</v>
      </c>
      <c r="P180" s="62">
        <f>IF($C180="","",_xlfn.RANK.EQ(M180,M$78:M$193)+COUNTIF(M$78:M180,M180)-1)</f>
        <v>108</v>
      </c>
      <c r="R180" s="49"/>
      <c r="S180" s="135"/>
    </row>
    <row r="181" spans="1:19" x14ac:dyDescent="0.2">
      <c r="A181" s="49">
        <f t="shared" si="18"/>
        <v>104</v>
      </c>
      <c r="B181" s="135"/>
      <c r="C181" s="62" t="s">
        <v>267</v>
      </c>
      <c r="D181" s="62">
        <v>15994.742710616905</v>
      </c>
      <c r="E181" s="62">
        <v>16010.866248485714</v>
      </c>
      <c r="F181" s="62">
        <v>16071.656678381501</v>
      </c>
      <c r="G181" s="62">
        <v>15994.742710616905</v>
      </c>
      <c r="H181" s="62">
        <v>16010.866248485714</v>
      </c>
      <c r="I181" s="62">
        <v>16072.617360383965</v>
      </c>
      <c r="K181" s="62">
        <f t="shared" si="17"/>
        <v>0</v>
      </c>
      <c r="L181" s="62">
        <f t="shared" si="15"/>
        <v>0</v>
      </c>
      <c r="M181" s="62">
        <f t="shared" si="16"/>
        <v>0.96068200246372726</v>
      </c>
      <c r="N181" s="62">
        <f>IF($C181="","",_xlfn.RANK.EQ(K181,K$78:K$193)+COUNTIF(K$78:K181,K181)-1)</f>
        <v>108</v>
      </c>
      <c r="O181" s="62">
        <f>IF($C181="","",_xlfn.RANK.EQ(L181,L$78:L$193)+COUNTIF(L$78:L181,L181)-1)</f>
        <v>108</v>
      </c>
      <c r="P181" s="62">
        <f>IF($C181="","",_xlfn.RANK.EQ(M181,M$78:M$193)+COUNTIF(M$78:M181,M181)-1)</f>
        <v>25</v>
      </c>
      <c r="R181" s="49"/>
      <c r="S181" s="135"/>
    </row>
    <row r="182" spans="1:19" x14ac:dyDescent="0.2">
      <c r="A182" s="49">
        <f t="shared" si="18"/>
        <v>105</v>
      </c>
      <c r="B182" s="135"/>
      <c r="C182" s="62" t="s">
        <v>402</v>
      </c>
      <c r="D182" s="62">
        <v>15994.742710616905</v>
      </c>
      <c r="E182" s="62">
        <v>16010.866248485714</v>
      </c>
      <c r="F182" s="62">
        <v>16072.183926561927</v>
      </c>
      <c r="G182" s="62">
        <v>15994.742710616905</v>
      </c>
      <c r="H182" s="62">
        <v>16010.866248485714</v>
      </c>
      <c r="I182" s="62">
        <v>16072.183926561927</v>
      </c>
      <c r="K182" s="62">
        <f t="shared" si="17"/>
        <v>0</v>
      </c>
      <c r="L182" s="62">
        <f t="shared" si="15"/>
        <v>0</v>
      </c>
      <c r="M182" s="62">
        <f t="shared" si="16"/>
        <v>0</v>
      </c>
      <c r="N182" s="62">
        <f>IF($C182="","",_xlfn.RANK.EQ(K182,K$78:K$193)+COUNTIF(K$78:K182,K182)-1)</f>
        <v>109</v>
      </c>
      <c r="O182" s="62">
        <f>IF($C182="","",_xlfn.RANK.EQ(L182,L$78:L$193)+COUNTIF(L$78:L182,L182)-1)</f>
        <v>109</v>
      </c>
      <c r="P182" s="62">
        <f>IF($C182="","",_xlfn.RANK.EQ(M182,M$78:M$193)+COUNTIF(M$78:M182,M182)-1)</f>
        <v>109</v>
      </c>
      <c r="R182" s="49"/>
      <c r="S182" s="135"/>
    </row>
    <row r="183" spans="1:19" x14ac:dyDescent="0.2">
      <c r="A183" s="49">
        <f t="shared" si="18"/>
        <v>106</v>
      </c>
      <c r="B183" s="135"/>
      <c r="C183" s="62" t="s">
        <v>403</v>
      </c>
      <c r="D183" s="62">
        <v>15994.742710616905</v>
      </c>
      <c r="E183" s="62">
        <v>16010.866248485714</v>
      </c>
      <c r="F183" s="62">
        <v>16072.183926561927</v>
      </c>
      <c r="G183" s="62">
        <v>15994.742710616905</v>
      </c>
      <c r="H183" s="62">
        <v>16010.866248485714</v>
      </c>
      <c r="I183" s="62">
        <v>16072.183926561927</v>
      </c>
      <c r="K183" s="62">
        <f t="shared" si="17"/>
        <v>0</v>
      </c>
      <c r="L183" s="62">
        <f t="shared" si="15"/>
        <v>0</v>
      </c>
      <c r="M183" s="62">
        <f t="shared" si="16"/>
        <v>0</v>
      </c>
      <c r="N183" s="62">
        <f>IF($C183="","",_xlfn.RANK.EQ(K183,K$78:K$193)+COUNTIF(K$78:K183,K183)-1)</f>
        <v>110</v>
      </c>
      <c r="O183" s="62">
        <f>IF($C183="","",_xlfn.RANK.EQ(L183,L$78:L$193)+COUNTIF(L$78:L183,L183)-1)</f>
        <v>110</v>
      </c>
      <c r="P183" s="62">
        <f>IF($C183="","",_xlfn.RANK.EQ(M183,M$78:M$193)+COUNTIF(M$78:M183,M183)-1)</f>
        <v>110</v>
      </c>
      <c r="R183" s="49"/>
      <c r="S183" s="135"/>
    </row>
    <row r="184" spans="1:19" x14ac:dyDescent="0.2">
      <c r="A184" s="49">
        <f t="shared" si="18"/>
        <v>107</v>
      </c>
      <c r="B184" s="135"/>
      <c r="C184" s="62" t="s">
        <v>404</v>
      </c>
      <c r="D184" s="62">
        <v>15994.742710616905</v>
      </c>
      <c r="E184" s="62">
        <v>16010.866248485714</v>
      </c>
      <c r="F184" s="62">
        <v>16072.183926561927</v>
      </c>
      <c r="G184" s="62">
        <v>15994.742710616905</v>
      </c>
      <c r="H184" s="62">
        <v>16010.866248485714</v>
      </c>
      <c r="I184" s="62">
        <v>16072.183926561927</v>
      </c>
      <c r="K184" s="62">
        <f t="shared" si="17"/>
        <v>0</v>
      </c>
      <c r="L184" s="62">
        <f t="shared" si="15"/>
        <v>0</v>
      </c>
      <c r="M184" s="62">
        <f t="shared" si="16"/>
        <v>0</v>
      </c>
      <c r="N184" s="62">
        <f>IF($C184="","",_xlfn.RANK.EQ(K184,K$78:K$193)+COUNTIF(K$78:K184,K184)-1)</f>
        <v>111</v>
      </c>
      <c r="O184" s="62">
        <f>IF($C184="","",_xlfn.RANK.EQ(L184,L$78:L$193)+COUNTIF(L$78:L184,L184)-1)</f>
        <v>111</v>
      </c>
      <c r="P184" s="62">
        <f>IF($C184="","",_xlfn.RANK.EQ(M184,M$78:M$193)+COUNTIF(M$78:M184,M184)-1)</f>
        <v>111</v>
      </c>
      <c r="R184" s="49"/>
      <c r="S184" s="135"/>
    </row>
    <row r="185" spans="1:19" x14ac:dyDescent="0.2">
      <c r="A185" s="49">
        <f t="shared" si="18"/>
        <v>108</v>
      </c>
      <c r="B185" s="135"/>
      <c r="C185" s="62" t="s">
        <v>405</v>
      </c>
      <c r="D185" s="62">
        <v>15994.742710616905</v>
      </c>
      <c r="E185" s="62">
        <v>16010.866248485714</v>
      </c>
      <c r="F185" s="62">
        <v>16072.183926561927</v>
      </c>
      <c r="G185" s="62">
        <v>15994.742710616905</v>
      </c>
      <c r="H185" s="62">
        <v>16010.866248485714</v>
      </c>
      <c r="I185" s="62">
        <v>16072.183926561927</v>
      </c>
      <c r="K185" s="62">
        <f t="shared" si="17"/>
        <v>0</v>
      </c>
      <c r="L185" s="62">
        <f t="shared" si="15"/>
        <v>0</v>
      </c>
      <c r="M185" s="62">
        <f t="shared" si="16"/>
        <v>0</v>
      </c>
      <c r="N185" s="62">
        <f>IF($C185="","",_xlfn.RANK.EQ(K185,K$78:K$193)+COUNTIF(K$78:K185,K185)-1)</f>
        <v>112</v>
      </c>
      <c r="O185" s="62">
        <f>IF($C185="","",_xlfn.RANK.EQ(L185,L$78:L$193)+COUNTIF(L$78:L185,L185)-1)</f>
        <v>112</v>
      </c>
      <c r="P185" s="62">
        <f>IF($C185="","",_xlfn.RANK.EQ(M185,M$78:M$193)+COUNTIF(M$78:M185,M185)-1)</f>
        <v>112</v>
      </c>
      <c r="R185" s="49"/>
      <c r="S185" s="135"/>
    </row>
    <row r="186" spans="1:19" x14ac:dyDescent="0.2">
      <c r="A186" s="49">
        <f t="shared" si="18"/>
        <v>109</v>
      </c>
      <c r="B186" s="135"/>
      <c r="C186" s="62" t="s">
        <v>406</v>
      </c>
      <c r="D186" s="62">
        <v>15994.742710616905</v>
      </c>
      <c r="E186" s="62">
        <v>16010.866248485714</v>
      </c>
      <c r="F186" s="62">
        <v>16072.183926561927</v>
      </c>
      <c r="G186" s="62">
        <v>15994.742710616905</v>
      </c>
      <c r="H186" s="62">
        <v>16010.866248485714</v>
      </c>
      <c r="I186" s="62">
        <v>16072.183926561927</v>
      </c>
      <c r="K186" s="62">
        <f t="shared" si="17"/>
        <v>0</v>
      </c>
      <c r="L186" s="62">
        <f t="shared" si="15"/>
        <v>0</v>
      </c>
      <c r="M186" s="62">
        <f t="shared" si="16"/>
        <v>0</v>
      </c>
      <c r="N186" s="62">
        <f>IF($C186="","",_xlfn.RANK.EQ(K186,K$78:K$193)+COUNTIF(K$78:K186,K186)-1)</f>
        <v>113</v>
      </c>
      <c r="O186" s="62">
        <f>IF($C186="","",_xlfn.RANK.EQ(L186,L$78:L$193)+COUNTIF(L$78:L186,L186)-1)</f>
        <v>113</v>
      </c>
      <c r="P186" s="62">
        <f>IF($C186="","",_xlfn.RANK.EQ(M186,M$78:M$193)+COUNTIF(M$78:M186,M186)-1)</f>
        <v>113</v>
      </c>
      <c r="R186" s="49"/>
      <c r="S186" s="135"/>
    </row>
    <row r="187" spans="1:19" x14ac:dyDescent="0.2">
      <c r="A187" s="49">
        <f t="shared" si="18"/>
        <v>110</v>
      </c>
      <c r="B187" s="135"/>
      <c r="C187" s="62" t="s">
        <v>47</v>
      </c>
      <c r="D187" s="62">
        <v>15854.603325758302</v>
      </c>
      <c r="E187" s="62">
        <v>15870.726863627113</v>
      </c>
      <c r="F187" s="62">
        <v>15932.044541703328</v>
      </c>
      <c r="G187" s="62">
        <v>16134.882095475503</v>
      </c>
      <c r="H187" s="62">
        <v>16151.005633344315</v>
      </c>
      <c r="I187" s="62">
        <v>16212.323311420529</v>
      </c>
      <c r="K187" s="62">
        <f t="shared" si="17"/>
        <v>280.2787697172007</v>
      </c>
      <c r="L187" s="62">
        <f t="shared" si="15"/>
        <v>280.27876971720252</v>
      </c>
      <c r="M187" s="62">
        <f t="shared" si="16"/>
        <v>280.2787697172007</v>
      </c>
      <c r="N187" s="62">
        <f>IF($C187="","",_xlfn.RANK.EQ(K187,K$78:K$193)+COUNTIF(K$78:K187,K187)-1)</f>
        <v>3</v>
      </c>
      <c r="O187" s="62">
        <f>IF($C187="","",_xlfn.RANK.EQ(L187,L$78:L$193)+COUNTIF(L$78:L187,L187)-1)</f>
        <v>3</v>
      </c>
      <c r="P187" s="62">
        <f>IF($C187="","",_xlfn.RANK.EQ(M187,M$78:M$193)+COUNTIF(M$78:M187,M187)-1)</f>
        <v>3</v>
      </c>
      <c r="R187" s="49"/>
      <c r="S187" s="135"/>
    </row>
    <row r="188" spans="1:19" x14ac:dyDescent="0.2">
      <c r="A188" s="49">
        <f t="shared" si="18"/>
        <v>111</v>
      </c>
      <c r="B188" s="135"/>
      <c r="C188" s="62" t="s">
        <v>138</v>
      </c>
      <c r="D188" s="62">
        <v>13014.5893448774</v>
      </c>
      <c r="E188" s="62">
        <v>13032.377606579805</v>
      </c>
      <c r="F188" s="62">
        <v>13080.085148319635</v>
      </c>
      <c r="G188" s="62">
        <v>18974.896076356301</v>
      </c>
      <c r="H188" s="62">
        <v>18989.354890391569</v>
      </c>
      <c r="I188" s="62">
        <v>19064.28270480418</v>
      </c>
      <c r="K188" s="62">
        <f t="shared" si="17"/>
        <v>5960.3067314789005</v>
      </c>
      <c r="L188" s="62">
        <f t="shared" si="15"/>
        <v>5956.9772838117642</v>
      </c>
      <c r="M188" s="62">
        <f t="shared" si="16"/>
        <v>5984.1975564845452</v>
      </c>
      <c r="N188" s="62">
        <f>IF($C188="","",_xlfn.RANK.EQ(K188,K$78:K$193)+COUNTIF(K$78:K188,K188)-1)</f>
        <v>1</v>
      </c>
      <c r="O188" s="62">
        <f>IF($C188="","",_xlfn.RANK.EQ(L188,L$78:L$193)+COUNTIF(L$78:L188,L188)-1)</f>
        <v>1</v>
      </c>
      <c r="P188" s="62">
        <f>IF($C188="","",_xlfn.RANK.EQ(M188,M$78:M$193)+COUNTIF(M$78:M188,M188)-1)</f>
        <v>1</v>
      </c>
      <c r="R188" s="49"/>
      <c r="S188" s="135"/>
    </row>
    <row r="189" spans="1:19" x14ac:dyDescent="0.2">
      <c r="A189" s="49">
        <f t="shared" si="18"/>
        <v>112</v>
      </c>
      <c r="B189" s="135"/>
      <c r="C189" s="62" t="s">
        <v>49</v>
      </c>
      <c r="D189" s="62">
        <v>13398.559579767776</v>
      </c>
      <c r="E189" s="62">
        <v>13414.683117636596</v>
      </c>
      <c r="F189" s="62">
        <v>13476.000795712793</v>
      </c>
      <c r="G189" s="62">
        <v>18590.925841466029</v>
      </c>
      <c r="H189" s="62">
        <v>18607.049379334792</v>
      </c>
      <c r="I189" s="62">
        <v>18668.367057411051</v>
      </c>
      <c r="K189" s="62">
        <f t="shared" si="17"/>
        <v>5192.3662616982529</v>
      </c>
      <c r="L189" s="62">
        <f t="shared" si="15"/>
        <v>5192.3662616981965</v>
      </c>
      <c r="M189" s="62">
        <f t="shared" si="16"/>
        <v>5192.3662616982583</v>
      </c>
      <c r="N189" s="62">
        <f>IF($C189="","",_xlfn.RANK.EQ(K189,K$78:K$193)+COUNTIF(K$78:K189,K189)-1)</f>
        <v>2</v>
      </c>
      <c r="O189" s="62">
        <f>IF($C189="","",_xlfn.RANK.EQ(L189,L$78:L$193)+COUNTIF(L$78:L189,L189)-1)</f>
        <v>2</v>
      </c>
      <c r="P189" s="62">
        <f>IF($C189="","",_xlfn.RANK.EQ(M189,M$78:M$193)+COUNTIF(M$78:M189,M189)-1)</f>
        <v>2</v>
      </c>
      <c r="R189" s="49"/>
      <c r="S189" s="135"/>
    </row>
    <row r="190" spans="1:19" x14ac:dyDescent="0.2">
      <c r="A190" s="49">
        <f t="shared" si="18"/>
        <v>113</v>
      </c>
      <c r="B190" s="135"/>
      <c r="C190" s="62" t="s">
        <v>84</v>
      </c>
      <c r="D190" s="62">
        <v>15974.154250831667</v>
      </c>
      <c r="E190" s="62">
        <v>15990.063098053683</v>
      </c>
      <c r="F190" s="62">
        <v>16050.836933178643</v>
      </c>
      <c r="G190" s="62">
        <v>16015.331170402145</v>
      </c>
      <c r="H190" s="62">
        <v>16031.669398917753</v>
      </c>
      <c r="I190" s="62">
        <v>16093.530919945206</v>
      </c>
      <c r="K190" s="62">
        <f t="shared" si="17"/>
        <v>41.176919570478276</v>
      </c>
      <c r="L190" s="62">
        <f t="shared" si="15"/>
        <v>41.606300864070363</v>
      </c>
      <c r="M190" s="62">
        <f t="shared" si="16"/>
        <v>42.693986766562375</v>
      </c>
      <c r="N190" s="62">
        <f>IF($C190="","",_xlfn.RANK.EQ(K190,K$78:K$193)+COUNTIF(K$78:K190,K190)-1)</f>
        <v>4</v>
      </c>
      <c r="O190" s="62">
        <f>IF($C190="","",_xlfn.RANK.EQ(L190,L$78:L$193)+COUNTIF(L$78:L190,L190)-1)</f>
        <v>4</v>
      </c>
      <c r="P190" s="62">
        <f>IF($C190="","",_xlfn.RANK.EQ(M190,M$78:M$193)+COUNTIF(M$78:M190,M190)-1)</f>
        <v>4</v>
      </c>
      <c r="R190" s="49"/>
      <c r="S190" s="135"/>
    </row>
    <row r="191" spans="1:19" x14ac:dyDescent="0.2">
      <c r="A191" s="49" t="str">
        <f t="shared" si="18"/>
        <v/>
      </c>
      <c r="B191" s="135"/>
      <c r="C191" s="62"/>
      <c r="D191" s="62"/>
      <c r="E191" s="62"/>
      <c r="F191" s="62"/>
      <c r="G191" s="62"/>
      <c r="H191" s="62"/>
      <c r="I191" s="62"/>
      <c r="K191" s="62" t="str">
        <f t="shared" si="17"/>
        <v/>
      </c>
      <c r="L191" s="62" t="str">
        <f t="shared" si="15"/>
        <v/>
      </c>
      <c r="M191" s="62" t="str">
        <f t="shared" si="16"/>
        <v/>
      </c>
      <c r="N191" s="62" t="str">
        <f>IF($C191="","",_xlfn.RANK.EQ(K191,K$78:K$193)+COUNTIF(K$78:K191,K191)-1)</f>
        <v/>
      </c>
      <c r="O191" s="62" t="str">
        <f>IF($C191="","",_xlfn.RANK.EQ(L191,L$78:L$193)+COUNTIF(L$78:L191,L191)-1)</f>
        <v/>
      </c>
      <c r="P191" s="62" t="str">
        <f>IF($C191="","",_xlfn.RANK.EQ(M191,M$78:M$193)+COUNTIF(M$78:M191,M191)-1)</f>
        <v/>
      </c>
      <c r="R191" s="49"/>
      <c r="S191" s="135"/>
    </row>
    <row r="192" spans="1:19" x14ac:dyDescent="0.2">
      <c r="A192" s="49" t="str">
        <f t="shared" si="18"/>
        <v/>
      </c>
      <c r="B192" s="135"/>
      <c r="C192" s="62"/>
      <c r="D192" s="62"/>
      <c r="E192" s="62"/>
      <c r="F192" s="62"/>
      <c r="G192" s="62"/>
      <c r="H192" s="62"/>
      <c r="I192" s="62"/>
      <c r="K192" s="62" t="str">
        <f t="shared" si="17"/>
        <v/>
      </c>
      <c r="L192" s="62" t="str">
        <f t="shared" si="15"/>
        <v/>
      </c>
      <c r="M192" s="62" t="str">
        <f t="shared" si="16"/>
        <v/>
      </c>
      <c r="N192" s="62" t="str">
        <f>IF($C192="","",_xlfn.RANK.EQ(K192,K$78:K$193)+COUNTIF(K$78:K192,K192)-1)</f>
        <v/>
      </c>
      <c r="O192" s="62" t="str">
        <f>IF($C192="","",_xlfn.RANK.EQ(L192,L$78:L$193)+COUNTIF(L$78:L192,L192)-1)</f>
        <v/>
      </c>
      <c r="P192" s="62" t="str">
        <f>IF($C192="","",_xlfn.RANK.EQ(M192,M$78:M$193)+COUNTIF(M$78:M192,M192)-1)</f>
        <v/>
      </c>
      <c r="R192" s="49"/>
      <c r="S192" s="135"/>
    </row>
    <row r="193" spans="1:19" x14ac:dyDescent="0.2">
      <c r="A193" s="49" t="str">
        <f t="shared" si="18"/>
        <v/>
      </c>
      <c r="B193" s="135"/>
      <c r="C193" s="62"/>
      <c r="D193" s="62"/>
      <c r="E193" s="62"/>
      <c r="F193" s="62"/>
      <c r="G193" s="62"/>
      <c r="H193" s="62"/>
      <c r="I193" s="62"/>
      <c r="K193" s="62" t="str">
        <f t="shared" si="17"/>
        <v/>
      </c>
      <c r="L193" s="62" t="str">
        <f t="shared" si="15"/>
        <v/>
      </c>
      <c r="M193" s="62" t="str">
        <f t="shared" si="16"/>
        <v/>
      </c>
      <c r="N193" s="62" t="str">
        <f>IF($C193="","",_xlfn.RANK.EQ(K193,K$78:K$193)+COUNTIF(K$78:K193,K193)-1)</f>
        <v/>
      </c>
      <c r="O193" s="62" t="str">
        <f>IF($C193="","",_xlfn.RANK.EQ(L193,L$78:L$193)+COUNTIF(L$78:L193,L193)-1)</f>
        <v/>
      </c>
      <c r="P193" s="62" t="str">
        <f>IF($C193="","",_xlfn.RANK.EQ(M193,M$78:M$193)+COUNTIF(M$78:M193,M193)-1)</f>
        <v/>
      </c>
      <c r="R193" s="49"/>
      <c r="S193" s="135"/>
    </row>
    <row r="194" spans="1:19" x14ac:dyDescent="0.2">
      <c r="A194" s="49"/>
      <c r="B194" s="135"/>
      <c r="R194" s="49"/>
      <c r="S194" s="135"/>
    </row>
    <row r="195" spans="1:19" x14ac:dyDescent="0.2">
      <c r="A195" s="49"/>
      <c r="B195" s="135"/>
      <c r="R195" s="49"/>
      <c r="S195" s="135"/>
    </row>
    <row r="196" spans="1:19" ht="16" thickBot="1" x14ac:dyDescent="0.25">
      <c r="A196" s="93"/>
      <c r="B196" s="98"/>
      <c r="C196" s="95"/>
      <c r="D196" s="95"/>
      <c r="E196" s="95"/>
      <c r="F196" s="95"/>
      <c r="G196" s="95"/>
      <c r="H196" s="95"/>
      <c r="I196" s="95"/>
      <c r="J196" s="95"/>
      <c r="K196" s="95"/>
      <c r="L196" s="95"/>
      <c r="M196" s="95"/>
      <c r="N196" s="95"/>
      <c r="O196" s="95"/>
      <c r="P196" s="95"/>
      <c r="Q196" s="95"/>
      <c r="R196" s="95"/>
      <c r="S196" s="94"/>
    </row>
  </sheetData>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C4B73-CA8C-4AE4-A2EC-431C446AB7E9}">
  <sheetPr codeName="Sheet21">
    <tabColor rgb="FFCC6600"/>
  </sheetPr>
  <dimension ref="A3:AA1041"/>
  <sheetViews>
    <sheetView showGridLines="0" workbookViewId="0"/>
  </sheetViews>
  <sheetFormatPr baseColWidth="10" defaultColWidth="8.83203125" defaultRowHeight="15" x14ac:dyDescent="0.2"/>
  <cols>
    <col min="3" max="3" width="13.83203125" customWidth="1"/>
    <col min="4" max="4" width="11.83203125" bestFit="1" customWidth="1"/>
    <col min="5" max="5" width="11.1640625" bestFit="1" customWidth="1"/>
    <col min="6" max="6" width="11.83203125" bestFit="1" customWidth="1"/>
    <col min="7" max="7" width="11.1640625" bestFit="1" customWidth="1"/>
    <col min="8" max="8" width="11.83203125" bestFit="1" customWidth="1"/>
    <col min="9" max="9" width="11.1640625" bestFit="1" customWidth="1"/>
    <col min="10" max="10" width="11.83203125" bestFit="1" customWidth="1"/>
    <col min="11" max="11" width="10.1640625" bestFit="1" customWidth="1"/>
    <col min="12" max="12" width="15" bestFit="1" customWidth="1"/>
    <col min="13" max="13" width="13.33203125" customWidth="1"/>
    <col min="14" max="14" width="15" bestFit="1" customWidth="1"/>
    <col min="15" max="15" width="12.83203125" bestFit="1" customWidth="1"/>
    <col min="16" max="16" width="15" bestFit="1" customWidth="1"/>
    <col min="17" max="17" width="12.83203125" bestFit="1" customWidth="1"/>
    <col min="18" max="18" width="15" bestFit="1" customWidth="1"/>
    <col min="19" max="19" width="12.83203125" bestFit="1" customWidth="1"/>
    <col min="20" max="20" width="10.6640625" bestFit="1" customWidth="1"/>
    <col min="31" max="31" width="17.1640625" bestFit="1" customWidth="1"/>
    <col min="32" max="32" width="17.5" customWidth="1"/>
  </cols>
  <sheetData>
    <row r="3" spans="2:27" ht="26" x14ac:dyDescent="0.3">
      <c r="J3" s="96" t="s">
        <v>224</v>
      </c>
    </row>
    <row r="4" spans="2:27" ht="16" thickBot="1" x14ac:dyDescent="0.25"/>
    <row r="5" spans="2:27" ht="16" thickBot="1" x14ac:dyDescent="0.25">
      <c r="B5" s="90"/>
      <c r="C5" s="91"/>
      <c r="D5" s="91"/>
      <c r="E5" s="91"/>
      <c r="F5" s="91"/>
      <c r="G5" s="91"/>
      <c r="H5" s="91"/>
      <c r="I5" s="91"/>
      <c r="J5" s="91"/>
      <c r="K5" s="91"/>
      <c r="L5" s="91"/>
      <c r="M5" s="91"/>
      <c r="N5" s="91"/>
      <c r="O5" s="91"/>
      <c r="P5" s="91"/>
      <c r="Q5" s="91"/>
      <c r="R5" s="91"/>
      <c r="S5" s="91"/>
      <c r="T5" s="91"/>
      <c r="U5" s="91"/>
      <c r="V5" s="91"/>
      <c r="W5" s="91"/>
      <c r="X5" s="91"/>
      <c r="Y5" s="91"/>
      <c r="Z5" s="92"/>
    </row>
    <row r="6" spans="2:27" x14ac:dyDescent="0.2">
      <c r="B6" s="94"/>
      <c r="AA6" s="94"/>
    </row>
    <row r="7" spans="2:27" x14ac:dyDescent="0.2">
      <c r="B7" s="94"/>
      <c r="AA7" s="94"/>
    </row>
    <row r="8" spans="2:27" x14ac:dyDescent="0.2">
      <c r="B8" s="94"/>
      <c r="AA8" s="94"/>
    </row>
    <row r="9" spans="2:27" x14ac:dyDescent="0.2">
      <c r="B9" s="94"/>
      <c r="AA9" s="94"/>
    </row>
    <row r="10" spans="2:27" x14ac:dyDescent="0.2">
      <c r="B10" s="94"/>
      <c r="AA10" s="94"/>
    </row>
    <row r="11" spans="2:27" x14ac:dyDescent="0.2">
      <c r="B11" s="94"/>
      <c r="AA11" s="94"/>
    </row>
    <row r="12" spans="2:27" x14ac:dyDescent="0.2">
      <c r="B12" s="94"/>
      <c r="AA12" s="94"/>
    </row>
    <row r="13" spans="2:27" x14ac:dyDescent="0.2">
      <c r="B13" s="94"/>
      <c r="AA13" s="94"/>
    </row>
    <row r="14" spans="2:27" x14ac:dyDescent="0.2">
      <c r="B14" s="94"/>
      <c r="AA14" s="94"/>
    </row>
    <row r="15" spans="2:27" x14ac:dyDescent="0.2">
      <c r="B15" s="94"/>
      <c r="AA15" s="94"/>
    </row>
    <row r="16" spans="2:27" x14ac:dyDescent="0.2">
      <c r="B16" s="94"/>
      <c r="AA16" s="94"/>
    </row>
    <row r="17" spans="2:27" x14ac:dyDescent="0.2">
      <c r="B17" s="94"/>
      <c r="AA17" s="94"/>
    </row>
    <row r="18" spans="2:27" x14ac:dyDescent="0.2">
      <c r="B18" s="94"/>
      <c r="AA18" s="94"/>
    </row>
    <row r="19" spans="2:27" x14ac:dyDescent="0.2">
      <c r="B19" s="94"/>
      <c r="AA19" s="94"/>
    </row>
    <row r="20" spans="2:27" x14ac:dyDescent="0.2">
      <c r="B20" s="94"/>
      <c r="AA20" s="94"/>
    </row>
    <row r="21" spans="2:27" x14ac:dyDescent="0.2">
      <c r="B21" s="94"/>
      <c r="AA21" s="94"/>
    </row>
    <row r="22" spans="2:27" x14ac:dyDescent="0.2">
      <c r="B22" s="94"/>
      <c r="AA22" s="94"/>
    </row>
    <row r="23" spans="2:27" x14ac:dyDescent="0.2">
      <c r="B23" s="94"/>
      <c r="AA23" s="94"/>
    </row>
    <row r="24" spans="2:27" x14ac:dyDescent="0.2">
      <c r="B24" s="94"/>
      <c r="AA24" s="94"/>
    </row>
    <row r="25" spans="2:27" x14ac:dyDescent="0.2">
      <c r="B25" s="94"/>
      <c r="AA25" s="94"/>
    </row>
    <row r="26" spans="2:27" x14ac:dyDescent="0.2">
      <c r="B26" s="94"/>
      <c r="AA26" s="94"/>
    </row>
    <row r="27" spans="2:27" x14ac:dyDescent="0.2">
      <c r="B27" s="94"/>
      <c r="AA27" s="94"/>
    </row>
    <row r="28" spans="2:27" x14ac:dyDescent="0.2">
      <c r="B28" s="94"/>
      <c r="AA28" s="94"/>
    </row>
    <row r="29" spans="2:27" x14ac:dyDescent="0.2">
      <c r="B29" s="94"/>
      <c r="AA29" s="94"/>
    </row>
    <row r="30" spans="2:27" x14ac:dyDescent="0.2">
      <c r="B30" s="94"/>
      <c r="AA30" s="94"/>
    </row>
    <row r="31" spans="2:27" x14ac:dyDescent="0.2">
      <c r="B31" s="94"/>
      <c r="AA31" s="94"/>
    </row>
    <row r="32" spans="2:27" x14ac:dyDescent="0.2">
      <c r="B32" s="94"/>
      <c r="AA32" s="94"/>
    </row>
    <row r="33" spans="2:27" x14ac:dyDescent="0.2">
      <c r="B33" s="94"/>
      <c r="AA33" s="94"/>
    </row>
    <row r="34" spans="2:27" x14ac:dyDescent="0.2">
      <c r="B34" s="94"/>
      <c r="C34" s="62" t="s">
        <v>226</v>
      </c>
      <c r="D34" s="64">
        <v>1000</v>
      </c>
      <c r="L34" s="208" t="s">
        <v>234</v>
      </c>
      <c r="M34" s="208"/>
      <c r="N34" s="208"/>
      <c r="O34" s="208"/>
      <c r="P34" s="208"/>
      <c r="Q34" s="208"/>
      <c r="AA34" s="94"/>
    </row>
    <row r="35" spans="2:27" x14ac:dyDescent="0.2">
      <c r="B35" s="94"/>
      <c r="C35" s="62" t="s">
        <v>30</v>
      </c>
      <c r="D35" s="62">
        <f t="shared" ref="D35:K35" si="0">AVERAGE(D40:D1039)</f>
        <v>10142.862002040521</v>
      </c>
      <c r="E35" s="62">
        <f t="shared" si="0"/>
        <v>0.61766212716668312</v>
      </c>
      <c r="F35" s="62">
        <f t="shared" si="0"/>
        <v>14583.865773698977</v>
      </c>
      <c r="G35" s="62">
        <f t="shared" si="0"/>
        <v>0.89420311113206086</v>
      </c>
      <c r="H35" s="62">
        <f t="shared" si="0"/>
        <v>14627.737817525298</v>
      </c>
      <c r="I35" s="62">
        <f t="shared" si="0"/>
        <v>0.89722116202353308</v>
      </c>
      <c r="J35" s="62">
        <f t="shared" si="0"/>
        <v>14523.376867223935</v>
      </c>
      <c r="K35" s="62">
        <f t="shared" si="0"/>
        <v>0.88939795581335768</v>
      </c>
      <c r="L35" s="62">
        <f t="shared" ref="L35:Q35" si="1">AVERAGE(L40:L1039)</f>
        <v>-4441.0037716584502</v>
      </c>
      <c r="M35" s="62">
        <f t="shared" si="1"/>
        <v>-0.27654098396537619</v>
      </c>
      <c r="N35" s="62">
        <f t="shared" si="1"/>
        <v>-4484.8758154847937</v>
      </c>
      <c r="O35" s="62">
        <f t="shared" si="1"/>
        <v>-0.27955903485684985</v>
      </c>
      <c r="P35" s="62">
        <f t="shared" si="1"/>
        <v>-4380.514865183397</v>
      </c>
      <c r="Q35" s="62">
        <f t="shared" si="1"/>
        <v>-0.27173582864667534</v>
      </c>
      <c r="R35" s="207" t="s">
        <v>236</v>
      </c>
      <c r="S35" s="207"/>
      <c r="T35" s="207"/>
      <c r="U35" s="207"/>
      <c r="V35" s="207" t="s">
        <v>237</v>
      </c>
      <c r="W35" s="207"/>
      <c r="X35" s="207"/>
      <c r="Y35" s="207"/>
      <c r="AA35" s="94"/>
    </row>
    <row r="36" spans="2:27" x14ac:dyDescent="0.2">
      <c r="B36" s="94"/>
      <c r="D36" s="207" t="s">
        <v>34</v>
      </c>
      <c r="E36" s="207"/>
      <c r="F36" s="207" t="s">
        <v>35</v>
      </c>
      <c r="G36" s="207"/>
      <c r="H36" s="207" t="s">
        <v>32</v>
      </c>
      <c r="I36" s="207"/>
      <c r="J36" s="207" t="s">
        <v>33</v>
      </c>
      <c r="K36" s="207"/>
      <c r="L36" s="207" t="s">
        <v>231</v>
      </c>
      <c r="M36" s="207"/>
      <c r="N36" s="207" t="s">
        <v>232</v>
      </c>
      <c r="O36" s="207"/>
      <c r="P36" s="207" t="s">
        <v>233</v>
      </c>
      <c r="Q36" s="207"/>
      <c r="R36" s="62" t="s">
        <v>34</v>
      </c>
      <c r="S36" s="62" t="s">
        <v>35</v>
      </c>
      <c r="T36" s="62" t="s">
        <v>32</v>
      </c>
      <c r="U36" s="62" t="s">
        <v>33</v>
      </c>
      <c r="V36" s="62" t="s">
        <v>34</v>
      </c>
      <c r="W36" s="62" t="s">
        <v>35</v>
      </c>
      <c r="X36" s="62" t="s">
        <v>32</v>
      </c>
      <c r="Y36" s="62" t="s">
        <v>33</v>
      </c>
      <c r="AA36" s="94"/>
    </row>
    <row r="37" spans="2:27" x14ac:dyDescent="0.2">
      <c r="B37" s="94"/>
      <c r="C37" s="82" t="s">
        <v>227</v>
      </c>
      <c r="D37" s="62" t="s">
        <v>46</v>
      </c>
      <c r="E37" s="62" t="s">
        <v>228</v>
      </c>
      <c r="F37" s="62" t="s">
        <v>46</v>
      </c>
      <c r="G37" s="62" t="s">
        <v>228</v>
      </c>
      <c r="H37" s="62" t="s">
        <v>46</v>
      </c>
      <c r="I37" s="62" t="s">
        <v>228</v>
      </c>
      <c r="J37" s="62" t="s">
        <v>46</v>
      </c>
      <c r="K37" s="62" t="s">
        <v>228</v>
      </c>
      <c r="L37" s="62" t="s">
        <v>229</v>
      </c>
      <c r="M37" s="62" t="s">
        <v>230</v>
      </c>
      <c r="N37" s="62" t="s">
        <v>229</v>
      </c>
      <c r="O37" s="62" t="s">
        <v>230</v>
      </c>
      <c r="P37" s="62" t="s">
        <v>229</v>
      </c>
      <c r="Q37" s="62" t="s">
        <v>230</v>
      </c>
      <c r="AA37" s="94"/>
    </row>
    <row r="38" spans="2:27" x14ac:dyDescent="0.2">
      <c r="B38" s="94"/>
      <c r="D38" s="62">
        <f>pf_cost_CHG_T1</f>
        <v>10115.617609028857</v>
      </c>
      <c r="E38" s="62">
        <f>pf_CRBSI_redu_CHG_T1</f>
        <v>0.61786425320381477</v>
      </c>
      <c r="F38" s="62">
        <f>pf_cost_CHG_T4</f>
        <v>14544.180813602017</v>
      </c>
      <c r="G38" s="62">
        <f>pf_CRBSI_redu_CHG_T4</f>
        <v>0.89446160501743177</v>
      </c>
      <c r="H38" s="62">
        <f>pf_cost_PVI_T1</f>
        <v>14590.107402719581</v>
      </c>
      <c r="I38" s="62">
        <f>pf_CRBSI_redu_PVI_T1</f>
        <v>0.89761178491751203</v>
      </c>
      <c r="J38" s="62">
        <f>pf_cost_PVI_T4</f>
        <v>14486.628291807119</v>
      </c>
      <c r="K38" s="62">
        <f>pf_CRBSI_redu_PVI_T4</f>
        <v>0.88982546910020865</v>
      </c>
      <c r="L38" s="62">
        <f>D38-F38</f>
        <v>-4428.56320457316</v>
      </c>
      <c r="M38" s="62">
        <f>E38-G38</f>
        <v>-0.276597351813617</v>
      </c>
      <c r="N38" s="62">
        <f>D38-H38</f>
        <v>-4474.4897936907237</v>
      </c>
      <c r="O38" s="62">
        <f>E38-I38</f>
        <v>-0.27974753171369726</v>
      </c>
      <c r="P38" s="62">
        <f>D38-J38</f>
        <v>-4371.010682778262</v>
      </c>
      <c r="Q38" s="62">
        <f>E38-K38</f>
        <v>-0.27196121589639388</v>
      </c>
      <c r="R38" s="62">
        <f>E38*c_WTP-D38</f>
        <v>15478.791215685967</v>
      </c>
      <c r="S38" s="62">
        <f>G38*c_WTP-F38</f>
        <v>22507.996712640073</v>
      </c>
      <c r="T38" s="62">
        <f>I38*c_WTP-H38</f>
        <v>22592.563175703443</v>
      </c>
      <c r="U38" s="62">
        <f>K38*c_WTP-J38</f>
        <v>22373.501940199927</v>
      </c>
      <c r="V38" s="62">
        <f>IF(MIN($R38:$U38)=R38,1,0)</f>
        <v>1</v>
      </c>
      <c r="W38" s="62">
        <f t="shared" ref="W38:Y53" si="2">IF(MIN($R38:$U38)=S38,1,0)</f>
        <v>0</v>
      </c>
      <c r="X38" s="62">
        <f t="shared" si="2"/>
        <v>0</v>
      </c>
      <c r="Y38" s="62">
        <f t="shared" si="2"/>
        <v>0</v>
      </c>
      <c r="AA38" s="94"/>
    </row>
    <row r="39" spans="2:27" x14ac:dyDescent="0.2">
      <c r="B39" s="94"/>
      <c r="C39" t="s">
        <v>235</v>
      </c>
      <c r="AA39" s="94"/>
    </row>
    <row r="40" spans="2:27" x14ac:dyDescent="0.2">
      <c r="B40" s="94"/>
      <c r="C40" s="62" cm="1">
        <f t="array" ref="C40:C1039">_xlfn.SEQUENCE(1000)</f>
        <v>1</v>
      </c>
      <c r="D40" s="62">
        <v>11079.894783511241</v>
      </c>
      <c r="E40" s="62">
        <v>0.61757347988783562</v>
      </c>
      <c r="F40" s="62">
        <v>15952.537923775168</v>
      </c>
      <c r="G40" s="62">
        <v>0.89505445914791026</v>
      </c>
      <c r="H40" s="62">
        <v>15990.887859677694</v>
      </c>
      <c r="I40" s="62">
        <v>0.89732934773213058</v>
      </c>
      <c r="J40" s="62">
        <v>15879.84222380535</v>
      </c>
      <c r="K40" s="62">
        <v>0.88986258685370423</v>
      </c>
      <c r="L40" s="62">
        <f t="shared" ref="L40:L103" si="3">IF($C40&lt;=No_of_iterations_PSA,D40-$F40,"")</f>
        <v>-4872.6431402639264</v>
      </c>
      <c r="M40" s="62">
        <f t="shared" ref="M40:M103" si="4">IF($C40&lt;=No_of_iterations_PSA,E40-$G40,"")</f>
        <v>-0.27748097926007464</v>
      </c>
      <c r="N40" s="62">
        <f t="shared" ref="N40:N103" si="5">IF($C40&lt;=No_of_iterations_PSA,D40-$H40,"")</f>
        <v>-4910.9930761664527</v>
      </c>
      <c r="O40" s="62">
        <f t="shared" ref="O40:O103" si="6">IF($C40&lt;=No_of_iterations_PSA,E40-$I40,"")</f>
        <v>-0.27975586784429496</v>
      </c>
      <c r="P40" s="62">
        <f t="shared" ref="P40:P103" si="7">IF($C40&lt;=No_of_iterations_PSA,D40-$J40,"")</f>
        <v>-4799.9474402941087</v>
      </c>
      <c r="Q40" s="62">
        <f t="shared" ref="Q40:Q103" si="8">IF($C40&lt;=No_of_iterations_PSA,E40-$K40,"")</f>
        <v>-0.27228910696586861</v>
      </c>
      <c r="R40" s="62">
        <f t="shared" ref="R40:R103" si="9">IF($C40&lt;=No_of_iterations_PSA,E40*c_WTP-D40,"")</f>
        <v>14502.469047362461</v>
      </c>
      <c r="S40" s="62">
        <f t="shared" ref="S40:S103" si="10">IF($C40&lt;=No_of_iterations_PSA,G40*c_WTP-F40,"")</f>
        <v>21124.197991967863</v>
      </c>
      <c r="T40" s="62">
        <f t="shared" ref="T40:T103" si="11">IF($C40&lt;=No_of_iterations_PSA,I40*c_WTP-H40,"")</f>
        <v>21180.083040778081</v>
      </c>
      <c r="U40" s="62">
        <f t="shared" ref="U40:U103" si="12">IF($C40&lt;=No_of_iterations_PSA,K40*c_WTP-J40,"")</f>
        <v>20981.825574022496</v>
      </c>
      <c r="V40" s="62">
        <f t="shared" ref="V40:Y102" si="13">IF(MIN($R40:$U40)=R40,1,0)</f>
        <v>1</v>
      </c>
      <c r="W40" s="62">
        <f t="shared" si="2"/>
        <v>0</v>
      </c>
      <c r="X40" s="62">
        <f t="shared" si="2"/>
        <v>0</v>
      </c>
      <c r="Y40" s="62">
        <f t="shared" si="2"/>
        <v>0</v>
      </c>
      <c r="AA40" s="94"/>
    </row>
    <row r="41" spans="2:27" x14ac:dyDescent="0.2">
      <c r="B41" s="94"/>
      <c r="C41" s="62">
        <v>2</v>
      </c>
      <c r="D41" s="62">
        <v>11477.41188539422</v>
      </c>
      <c r="E41" s="62">
        <v>0.61801954885956634</v>
      </c>
      <c r="F41" s="62">
        <v>16501.851282285948</v>
      </c>
      <c r="G41" s="62">
        <v>0.89412427402099071</v>
      </c>
      <c r="H41" s="62">
        <v>16557.718183895249</v>
      </c>
      <c r="I41" s="62">
        <v>0.89740491644581433</v>
      </c>
      <c r="J41" s="62">
        <v>16424.527666568836</v>
      </c>
      <c r="K41" s="62">
        <v>0.88880252351181821</v>
      </c>
      <c r="L41" s="62">
        <f t="shared" si="3"/>
        <v>-5024.4393968917284</v>
      </c>
      <c r="M41" s="62">
        <f t="shared" si="4"/>
        <v>-0.27610472516142437</v>
      </c>
      <c r="N41" s="62">
        <f t="shared" si="5"/>
        <v>-5080.3062985010292</v>
      </c>
      <c r="O41" s="62">
        <f t="shared" si="6"/>
        <v>-0.27938536758624799</v>
      </c>
      <c r="P41" s="62">
        <f t="shared" si="7"/>
        <v>-4947.1157811746161</v>
      </c>
      <c r="Q41" s="62">
        <f t="shared" si="8"/>
        <v>-0.27078297465225187</v>
      </c>
      <c r="R41" s="62">
        <f t="shared" si="9"/>
        <v>14123.429906564455</v>
      </c>
      <c r="S41" s="62">
        <f t="shared" si="10"/>
        <v>20536.352644759572</v>
      </c>
      <c r="T41" s="62">
        <f t="shared" si="11"/>
        <v>20616.383074956164</v>
      </c>
      <c r="U41" s="62">
        <f t="shared" si="12"/>
        <v>20393.22806738472</v>
      </c>
      <c r="V41" s="62">
        <f t="shared" si="13"/>
        <v>1</v>
      </c>
      <c r="W41" s="62">
        <f t="shared" si="2"/>
        <v>0</v>
      </c>
      <c r="X41" s="62">
        <f t="shared" si="2"/>
        <v>0</v>
      </c>
      <c r="Y41" s="62">
        <f t="shared" si="2"/>
        <v>0</v>
      </c>
      <c r="AA41" s="94"/>
    </row>
    <row r="42" spans="2:27" x14ac:dyDescent="0.2">
      <c r="B42" s="94"/>
      <c r="C42" s="62">
        <v>3</v>
      </c>
      <c r="D42" s="62">
        <v>10675.897326887904</v>
      </c>
      <c r="E42" s="62">
        <v>0.61798650873116445</v>
      </c>
      <c r="F42" s="62">
        <v>15358.578257573594</v>
      </c>
      <c r="G42" s="62">
        <v>0.89474246062258511</v>
      </c>
      <c r="H42" s="62">
        <v>15391.51505313907</v>
      </c>
      <c r="I42" s="62">
        <v>0.89685665420834804</v>
      </c>
      <c r="J42" s="62">
        <v>15287.051521095653</v>
      </c>
      <c r="K42" s="62">
        <v>0.88958128700201</v>
      </c>
      <c r="L42" s="62">
        <f t="shared" si="3"/>
        <v>-4682.6809306856903</v>
      </c>
      <c r="M42" s="62">
        <f t="shared" si="4"/>
        <v>-0.27675595189142066</v>
      </c>
      <c r="N42" s="62">
        <f t="shared" si="5"/>
        <v>-4715.6177262511665</v>
      </c>
      <c r="O42" s="62">
        <f t="shared" si="6"/>
        <v>-0.27887014547718358</v>
      </c>
      <c r="P42" s="62">
        <f t="shared" si="7"/>
        <v>-4611.1541942077492</v>
      </c>
      <c r="Q42" s="62">
        <f t="shared" si="8"/>
        <v>-0.27159477827084555</v>
      </c>
      <c r="R42" s="62">
        <f t="shared" si="9"/>
        <v>14923.575810791854</v>
      </c>
      <c r="S42" s="62">
        <f t="shared" si="10"/>
        <v>21705.233431256369</v>
      </c>
      <c r="T42" s="62">
        <f t="shared" si="11"/>
        <v>21759.874990787539</v>
      </c>
      <c r="U42" s="62">
        <f t="shared" si="12"/>
        <v>21562.963711675613</v>
      </c>
      <c r="V42" s="62">
        <f t="shared" si="13"/>
        <v>1</v>
      </c>
      <c r="W42" s="62">
        <f t="shared" si="2"/>
        <v>0</v>
      </c>
      <c r="X42" s="62">
        <f t="shared" si="2"/>
        <v>0</v>
      </c>
      <c r="Y42" s="62">
        <f t="shared" si="2"/>
        <v>0</v>
      </c>
      <c r="AA42" s="94"/>
    </row>
    <row r="43" spans="2:27" x14ac:dyDescent="0.2">
      <c r="B43" s="94"/>
      <c r="C43" s="62">
        <v>4</v>
      </c>
      <c r="D43" s="62">
        <v>9602.5184315036386</v>
      </c>
      <c r="E43" s="62">
        <v>0.61764294608817305</v>
      </c>
      <c r="F43" s="62">
        <v>13793.68735177487</v>
      </c>
      <c r="G43" s="62">
        <v>0.89390623289513627</v>
      </c>
      <c r="H43" s="62">
        <v>13838.372127026589</v>
      </c>
      <c r="I43" s="62">
        <v>0.8971310462564297</v>
      </c>
      <c r="J43" s="62">
        <v>13739.712025125204</v>
      </c>
      <c r="K43" s="62">
        <v>0.88916179084729996</v>
      </c>
      <c r="L43" s="62">
        <f t="shared" si="3"/>
        <v>-4191.1689202712314</v>
      </c>
      <c r="M43" s="62">
        <f t="shared" si="4"/>
        <v>-0.27626328680696322</v>
      </c>
      <c r="N43" s="62">
        <f t="shared" si="5"/>
        <v>-4235.8536955229501</v>
      </c>
      <c r="O43" s="62">
        <f t="shared" si="6"/>
        <v>-0.27948810016825665</v>
      </c>
      <c r="P43" s="62">
        <f t="shared" si="7"/>
        <v>-4137.193593621565</v>
      </c>
      <c r="Q43" s="62">
        <f t="shared" si="8"/>
        <v>-0.27151884475912691</v>
      </c>
      <c r="R43" s="62">
        <f t="shared" si="9"/>
        <v>15982.722967252841</v>
      </c>
      <c r="S43" s="62">
        <f t="shared" si="10"/>
        <v>23235.484439673259</v>
      </c>
      <c r="T43" s="62">
        <f t="shared" si="11"/>
        <v>23324.384333099755</v>
      </c>
      <c r="U43" s="62">
        <f t="shared" si="12"/>
        <v>23092.925998933351</v>
      </c>
      <c r="V43" s="62">
        <f t="shared" si="13"/>
        <v>1</v>
      </c>
      <c r="W43" s="62">
        <f t="shared" si="2"/>
        <v>0</v>
      </c>
      <c r="X43" s="62">
        <f t="shared" si="2"/>
        <v>0</v>
      </c>
      <c r="Y43" s="62">
        <f t="shared" si="2"/>
        <v>0</v>
      </c>
      <c r="AA43" s="94"/>
    </row>
    <row r="44" spans="2:27" x14ac:dyDescent="0.2">
      <c r="B44" s="94"/>
      <c r="C44" s="62">
        <v>5</v>
      </c>
      <c r="D44" s="62">
        <v>10241.682863253223</v>
      </c>
      <c r="E44" s="62">
        <v>0.61758675145518105</v>
      </c>
      <c r="F44" s="62">
        <v>14726.730638938958</v>
      </c>
      <c r="G44" s="62">
        <v>0.89390738290478045</v>
      </c>
      <c r="H44" s="62">
        <v>14769.640773527271</v>
      </c>
      <c r="I44" s="62">
        <v>0.89677219290985977</v>
      </c>
      <c r="J44" s="62">
        <v>14663.410318076483</v>
      </c>
      <c r="K44" s="62">
        <v>0.88900940586630517</v>
      </c>
      <c r="L44" s="62">
        <f t="shared" si="3"/>
        <v>-4485.0477756857345</v>
      </c>
      <c r="M44" s="62">
        <f t="shared" si="4"/>
        <v>-0.2763206314495994</v>
      </c>
      <c r="N44" s="62">
        <f t="shared" si="5"/>
        <v>-4527.9579102740481</v>
      </c>
      <c r="O44" s="62">
        <f t="shared" si="6"/>
        <v>-0.27918544145467872</v>
      </c>
      <c r="P44" s="62">
        <f t="shared" si="7"/>
        <v>-4421.7274548232599</v>
      </c>
      <c r="Q44" s="62">
        <f t="shared" si="8"/>
        <v>-0.27142265441112412</v>
      </c>
      <c r="R44" s="62">
        <f t="shared" si="9"/>
        <v>15341.230729026196</v>
      </c>
      <c r="S44" s="62">
        <f t="shared" si="10"/>
        <v>22302.488790508673</v>
      </c>
      <c r="T44" s="62">
        <f t="shared" si="11"/>
        <v>22378.250545570758</v>
      </c>
      <c r="U44" s="62">
        <f t="shared" si="12"/>
        <v>22162.915310529341</v>
      </c>
      <c r="V44" s="62">
        <f t="shared" si="13"/>
        <v>1</v>
      </c>
      <c r="W44" s="62">
        <f t="shared" si="2"/>
        <v>0</v>
      </c>
      <c r="X44" s="62">
        <f t="shared" si="2"/>
        <v>0</v>
      </c>
      <c r="Y44" s="62">
        <f t="shared" si="2"/>
        <v>0</v>
      </c>
      <c r="AA44" s="94"/>
    </row>
    <row r="45" spans="2:27" x14ac:dyDescent="0.2">
      <c r="B45" s="94"/>
      <c r="C45" s="62">
        <v>6</v>
      </c>
      <c r="D45" s="62">
        <v>10017.225361724399</v>
      </c>
      <c r="E45" s="62">
        <v>0.61761441656157789</v>
      </c>
      <c r="F45" s="62">
        <v>14407.627654932983</v>
      </c>
      <c r="G45" s="62">
        <v>0.89475803708318802</v>
      </c>
      <c r="H45" s="62">
        <v>14441.503705033978</v>
      </c>
      <c r="I45" s="62">
        <v>0.89718308411415959</v>
      </c>
      <c r="J45" s="62">
        <v>14337.423769276274</v>
      </c>
      <c r="K45" s="62">
        <v>0.88918770517770618</v>
      </c>
      <c r="L45" s="62">
        <f t="shared" si="3"/>
        <v>-4390.4022932085845</v>
      </c>
      <c r="M45" s="62">
        <f t="shared" si="4"/>
        <v>-0.27714362052161012</v>
      </c>
      <c r="N45" s="62">
        <f t="shared" si="5"/>
        <v>-4424.2783433095792</v>
      </c>
      <c r="O45" s="62">
        <f t="shared" si="6"/>
        <v>-0.2795686675525817</v>
      </c>
      <c r="P45" s="62">
        <f t="shared" si="7"/>
        <v>-4320.1984075518758</v>
      </c>
      <c r="Q45" s="62">
        <f t="shared" si="8"/>
        <v>-0.27157328861612828</v>
      </c>
      <c r="R45" s="62">
        <f t="shared" si="9"/>
        <v>15566.834229922402</v>
      </c>
      <c r="S45" s="62">
        <f t="shared" si="10"/>
        <v>22656.829273200994</v>
      </c>
      <c r="T45" s="62">
        <f t="shared" si="11"/>
        <v>22723.408371310969</v>
      </c>
      <c r="U45" s="62">
        <f t="shared" si="12"/>
        <v>22496.287730005024</v>
      </c>
      <c r="V45" s="62">
        <f t="shared" si="13"/>
        <v>1</v>
      </c>
      <c r="W45" s="62">
        <f t="shared" si="2"/>
        <v>0</v>
      </c>
      <c r="X45" s="62">
        <f t="shared" si="2"/>
        <v>0</v>
      </c>
      <c r="Y45" s="62">
        <f t="shared" si="2"/>
        <v>0</v>
      </c>
      <c r="AA45" s="94"/>
    </row>
    <row r="46" spans="2:27" x14ac:dyDescent="0.2">
      <c r="B46" s="94"/>
      <c r="C46" s="62">
        <v>7</v>
      </c>
      <c r="D46" s="62">
        <v>10350.239437407121</v>
      </c>
      <c r="E46" s="62">
        <v>0.61794068513950251</v>
      </c>
      <c r="F46" s="62">
        <v>14877.98498527935</v>
      </c>
      <c r="G46" s="62">
        <v>0.89429982697380472</v>
      </c>
      <c r="H46" s="62">
        <v>14923.151941170348</v>
      </c>
      <c r="I46" s="62">
        <v>0.89731252774532833</v>
      </c>
      <c r="J46" s="62">
        <v>14828.094336827113</v>
      </c>
      <c r="K46" s="62">
        <v>0.89033253147305313</v>
      </c>
      <c r="L46" s="62">
        <f t="shared" si="3"/>
        <v>-4527.7455478722295</v>
      </c>
      <c r="M46" s="62">
        <f t="shared" si="4"/>
        <v>-0.27635914183430221</v>
      </c>
      <c r="N46" s="62">
        <f t="shared" si="5"/>
        <v>-4572.9125037632275</v>
      </c>
      <c r="O46" s="62">
        <f t="shared" si="6"/>
        <v>-0.27937184260582582</v>
      </c>
      <c r="P46" s="62">
        <f t="shared" si="7"/>
        <v>-4477.8548994199919</v>
      </c>
      <c r="Q46" s="62">
        <f t="shared" si="8"/>
        <v>-0.27239184633355062</v>
      </c>
      <c r="R46" s="62">
        <f t="shared" si="9"/>
        <v>15247.33550381163</v>
      </c>
      <c r="S46" s="62">
        <f t="shared" si="10"/>
        <v>22167.49104728354</v>
      </c>
      <c r="T46" s="62">
        <f t="shared" si="11"/>
        <v>22247.122208152134</v>
      </c>
      <c r="U46" s="62">
        <f t="shared" si="12"/>
        <v>22053.040446912644</v>
      </c>
      <c r="V46" s="62">
        <f t="shared" si="13"/>
        <v>1</v>
      </c>
      <c r="W46" s="62">
        <f t="shared" si="2"/>
        <v>0</v>
      </c>
      <c r="X46" s="62">
        <f t="shared" si="2"/>
        <v>0</v>
      </c>
      <c r="Y46" s="62">
        <f t="shared" si="2"/>
        <v>0</v>
      </c>
      <c r="AA46" s="94"/>
    </row>
    <row r="47" spans="2:27" x14ac:dyDescent="0.2">
      <c r="B47" s="94"/>
      <c r="C47" s="62">
        <v>8</v>
      </c>
      <c r="D47" s="62">
        <v>10462.218710325102</v>
      </c>
      <c r="E47" s="62">
        <v>0.61804183168732263</v>
      </c>
      <c r="F47" s="62">
        <v>15037.459523380172</v>
      </c>
      <c r="G47" s="62">
        <v>0.8945060212437943</v>
      </c>
      <c r="H47" s="62">
        <v>15070.984975663758</v>
      </c>
      <c r="I47" s="62">
        <v>0.89689055095672876</v>
      </c>
      <c r="J47" s="62">
        <v>14984.790407381077</v>
      </c>
      <c r="K47" s="62">
        <v>0.89027766572114653</v>
      </c>
      <c r="L47" s="62">
        <f t="shared" si="3"/>
        <v>-4575.2408130550702</v>
      </c>
      <c r="M47" s="62">
        <f t="shared" si="4"/>
        <v>-0.27646418955647167</v>
      </c>
      <c r="N47" s="62">
        <f t="shared" si="5"/>
        <v>-4608.766265338656</v>
      </c>
      <c r="O47" s="62">
        <f t="shared" si="6"/>
        <v>-0.27884871926940613</v>
      </c>
      <c r="P47" s="62">
        <f t="shared" si="7"/>
        <v>-4522.5716970559752</v>
      </c>
      <c r="Q47" s="62">
        <f t="shared" si="8"/>
        <v>-0.2722358340338239</v>
      </c>
      <c r="R47" s="62">
        <f t="shared" si="9"/>
        <v>15139.546125490549</v>
      </c>
      <c r="S47" s="62">
        <f t="shared" si="10"/>
        <v>22016.557900622764</v>
      </c>
      <c r="T47" s="62">
        <f t="shared" si="11"/>
        <v>22081.809207167775</v>
      </c>
      <c r="U47" s="62">
        <f t="shared" si="12"/>
        <v>21894.071617451693</v>
      </c>
      <c r="V47" s="62">
        <f t="shared" si="13"/>
        <v>1</v>
      </c>
      <c r="W47" s="62">
        <f t="shared" si="2"/>
        <v>0</v>
      </c>
      <c r="X47" s="62">
        <f t="shared" si="2"/>
        <v>0</v>
      </c>
      <c r="Y47" s="62">
        <f t="shared" si="2"/>
        <v>0</v>
      </c>
      <c r="AA47" s="94"/>
    </row>
    <row r="48" spans="2:27" x14ac:dyDescent="0.2">
      <c r="B48" s="94"/>
      <c r="C48" s="62">
        <v>9</v>
      </c>
      <c r="D48" s="62">
        <v>11302.935239043101</v>
      </c>
      <c r="E48" s="62">
        <v>0.61759225081258984</v>
      </c>
      <c r="F48" s="62">
        <v>16275.512886333463</v>
      </c>
      <c r="G48" s="62">
        <v>0.89501900015525426</v>
      </c>
      <c r="H48" s="62">
        <v>16312.59745461638</v>
      </c>
      <c r="I48" s="62">
        <v>0.8973501995446459</v>
      </c>
      <c r="J48" s="62">
        <v>16189.233274034897</v>
      </c>
      <c r="K48" s="62">
        <v>0.88922138087384595</v>
      </c>
      <c r="L48" s="62">
        <f t="shared" si="3"/>
        <v>-4972.5776472903617</v>
      </c>
      <c r="M48" s="62">
        <f t="shared" si="4"/>
        <v>-0.27742674934266442</v>
      </c>
      <c r="N48" s="62">
        <f t="shared" si="5"/>
        <v>-5009.6622155732784</v>
      </c>
      <c r="O48" s="62">
        <f t="shared" si="6"/>
        <v>-0.27975794873205606</v>
      </c>
      <c r="P48" s="62">
        <f t="shared" si="7"/>
        <v>-4886.2980349917962</v>
      </c>
      <c r="Q48" s="62">
        <f t="shared" si="8"/>
        <v>-0.27162913006125611</v>
      </c>
      <c r="R48" s="62">
        <f t="shared" si="9"/>
        <v>14280.206158617621</v>
      </c>
      <c r="S48" s="62">
        <f t="shared" si="10"/>
        <v>20799.754176097791</v>
      </c>
      <c r="T48" s="62">
        <f t="shared" si="11"/>
        <v>20859.237211321037</v>
      </c>
      <c r="U48" s="62">
        <f t="shared" si="12"/>
        <v>20645.873207283297</v>
      </c>
      <c r="V48" s="62">
        <f t="shared" si="13"/>
        <v>1</v>
      </c>
      <c r="W48" s="62">
        <f t="shared" si="2"/>
        <v>0</v>
      </c>
      <c r="X48" s="62">
        <f t="shared" si="2"/>
        <v>0</v>
      </c>
      <c r="Y48" s="62">
        <f t="shared" si="2"/>
        <v>0</v>
      </c>
      <c r="AA48" s="94"/>
    </row>
    <row r="49" spans="2:27" x14ac:dyDescent="0.2">
      <c r="B49" s="94"/>
      <c r="C49" s="62">
        <v>10</v>
      </c>
      <c r="D49" s="62">
        <v>10975.485895276377</v>
      </c>
      <c r="E49" s="62">
        <v>0.61690201730688432</v>
      </c>
      <c r="F49" s="62">
        <v>15810.844359027231</v>
      </c>
      <c r="G49" s="62">
        <v>0.89457101627595026</v>
      </c>
      <c r="H49" s="62">
        <v>15847.152337366337</v>
      </c>
      <c r="I49" s="62">
        <v>0.89673120395165506</v>
      </c>
      <c r="J49" s="62">
        <v>15749.006490437996</v>
      </c>
      <c r="K49" s="62">
        <v>0.89000314154149551</v>
      </c>
      <c r="L49" s="62">
        <f t="shared" si="3"/>
        <v>-4835.3584637508538</v>
      </c>
      <c r="M49" s="62">
        <f t="shared" si="4"/>
        <v>-0.27766899896906594</v>
      </c>
      <c r="N49" s="62">
        <f t="shared" si="5"/>
        <v>-4871.6664420899597</v>
      </c>
      <c r="O49" s="62">
        <f t="shared" si="6"/>
        <v>-0.27982918664477074</v>
      </c>
      <c r="P49" s="62">
        <f t="shared" si="7"/>
        <v>-4773.520595161619</v>
      </c>
      <c r="Q49" s="62">
        <f t="shared" si="8"/>
        <v>-0.27310112423461119</v>
      </c>
      <c r="R49" s="62">
        <f t="shared" si="9"/>
        <v>14579.063269643999</v>
      </c>
      <c r="S49" s="62">
        <f t="shared" si="10"/>
        <v>21245.865419187736</v>
      </c>
      <c r="T49" s="62">
        <f t="shared" si="11"/>
        <v>21299.041055127025</v>
      </c>
      <c r="U49" s="62">
        <f t="shared" si="12"/>
        <v>21118.483644776912</v>
      </c>
      <c r="V49" s="62">
        <f t="shared" si="13"/>
        <v>1</v>
      </c>
      <c r="W49" s="62">
        <f t="shared" si="2"/>
        <v>0</v>
      </c>
      <c r="X49" s="62">
        <f t="shared" si="2"/>
        <v>0</v>
      </c>
      <c r="Y49" s="62">
        <f t="shared" si="2"/>
        <v>0</v>
      </c>
      <c r="AA49" s="94"/>
    </row>
    <row r="50" spans="2:27" x14ac:dyDescent="0.2">
      <c r="B50" s="94"/>
      <c r="C50" s="62">
        <v>11</v>
      </c>
      <c r="D50" s="62">
        <v>11576.76589397554</v>
      </c>
      <c r="E50" s="62">
        <v>0.61748879858367234</v>
      </c>
      <c r="F50" s="62">
        <v>16656.11035948887</v>
      </c>
      <c r="G50" s="62">
        <v>0.89374253024418082</v>
      </c>
      <c r="H50" s="62">
        <v>16711.794898986245</v>
      </c>
      <c r="I50" s="62">
        <v>0.89700170953727676</v>
      </c>
      <c r="J50" s="62">
        <v>16603.0329589951</v>
      </c>
      <c r="K50" s="62">
        <v>0.88994466932783722</v>
      </c>
      <c r="L50" s="62">
        <f t="shared" si="3"/>
        <v>-5079.3444655133299</v>
      </c>
      <c r="M50" s="62">
        <f t="shared" si="4"/>
        <v>-0.27625373166050848</v>
      </c>
      <c r="N50" s="62">
        <f t="shared" si="5"/>
        <v>-5135.0290050107051</v>
      </c>
      <c r="O50" s="62">
        <f t="shared" si="6"/>
        <v>-0.27951291095360442</v>
      </c>
      <c r="P50" s="62">
        <f t="shared" si="7"/>
        <v>-5026.2670650195596</v>
      </c>
      <c r="Q50" s="62">
        <f t="shared" si="8"/>
        <v>-0.27245587074416489</v>
      </c>
      <c r="R50" s="62">
        <f t="shared" si="9"/>
        <v>14002.090098554503</v>
      </c>
      <c r="S50" s="62">
        <f t="shared" si="10"/>
        <v>20366.280213346079</v>
      </c>
      <c r="T50" s="62">
        <f t="shared" si="11"/>
        <v>20445.60391688591</v>
      </c>
      <c r="U50" s="62">
        <f t="shared" si="12"/>
        <v>20262.035023241231</v>
      </c>
      <c r="V50" s="62">
        <f t="shared" si="13"/>
        <v>1</v>
      </c>
      <c r="W50" s="62">
        <f t="shared" si="2"/>
        <v>0</v>
      </c>
      <c r="X50" s="62">
        <f t="shared" si="2"/>
        <v>0</v>
      </c>
      <c r="Y50" s="62">
        <f t="shared" si="2"/>
        <v>0</v>
      </c>
      <c r="AA50" s="94"/>
    </row>
    <row r="51" spans="2:27" x14ac:dyDescent="0.2">
      <c r="B51" s="94"/>
      <c r="C51" s="62">
        <v>12</v>
      </c>
      <c r="D51" s="62">
        <v>7525.1117179622934</v>
      </c>
      <c r="E51" s="62">
        <v>0.61775316930023727</v>
      </c>
      <c r="F51" s="62">
        <v>10813.66618976748</v>
      </c>
      <c r="G51" s="62">
        <v>0.89501645754168802</v>
      </c>
      <c r="H51" s="62">
        <v>10836.50770313849</v>
      </c>
      <c r="I51" s="62">
        <v>0.89741373736782171</v>
      </c>
      <c r="J51" s="62">
        <v>10762.833496432486</v>
      </c>
      <c r="K51" s="62">
        <v>0.88959602019741968</v>
      </c>
      <c r="L51" s="62">
        <f t="shared" si="3"/>
        <v>-3288.5544718051869</v>
      </c>
      <c r="M51" s="62">
        <f t="shared" si="4"/>
        <v>-0.27726328824145074</v>
      </c>
      <c r="N51" s="62">
        <f t="shared" si="5"/>
        <v>-3311.3959851761965</v>
      </c>
      <c r="O51" s="62">
        <f t="shared" si="6"/>
        <v>-0.27966056806758444</v>
      </c>
      <c r="P51" s="62">
        <f t="shared" si="7"/>
        <v>-3237.7217784701925</v>
      </c>
      <c r="Q51" s="62">
        <f t="shared" si="8"/>
        <v>-0.27184285089718241</v>
      </c>
      <c r="R51" s="62">
        <f t="shared" si="9"/>
        <v>18064.695567130737</v>
      </c>
      <c r="S51" s="62">
        <f t="shared" si="10"/>
        <v>26261.495547439408</v>
      </c>
      <c r="T51" s="62">
        <f t="shared" si="11"/>
        <v>26337.958953586156</v>
      </c>
      <c r="U51" s="62">
        <f t="shared" si="12"/>
        <v>26087.792044225429</v>
      </c>
      <c r="V51" s="62">
        <f t="shared" si="13"/>
        <v>1</v>
      </c>
      <c r="W51" s="62">
        <f t="shared" si="2"/>
        <v>0</v>
      </c>
      <c r="X51" s="62">
        <f t="shared" si="2"/>
        <v>0</v>
      </c>
      <c r="Y51" s="62">
        <f t="shared" si="2"/>
        <v>0</v>
      </c>
      <c r="AA51" s="94"/>
    </row>
    <row r="52" spans="2:27" x14ac:dyDescent="0.2">
      <c r="B52" s="94"/>
      <c r="C52" s="62">
        <v>13</v>
      </c>
      <c r="D52" s="62">
        <v>9651.1339060552164</v>
      </c>
      <c r="E52" s="62">
        <v>0.61755305193431531</v>
      </c>
      <c r="F52" s="62">
        <v>13882.963806539296</v>
      </c>
      <c r="G52" s="62">
        <v>0.89462077422478992</v>
      </c>
      <c r="H52" s="62">
        <v>13912.977906712562</v>
      </c>
      <c r="I52" s="62">
        <v>0.89685027332343359</v>
      </c>
      <c r="J52" s="62">
        <v>13815.943521665777</v>
      </c>
      <c r="K52" s="62">
        <v>0.88906186881201388</v>
      </c>
      <c r="L52" s="62">
        <f t="shared" si="3"/>
        <v>-4231.8299004840792</v>
      </c>
      <c r="M52" s="62">
        <f t="shared" si="4"/>
        <v>-0.27706772229047461</v>
      </c>
      <c r="N52" s="62">
        <f t="shared" si="5"/>
        <v>-4261.8440006573455</v>
      </c>
      <c r="O52" s="62">
        <f t="shared" si="6"/>
        <v>-0.27929722138911828</v>
      </c>
      <c r="P52" s="62">
        <f t="shared" si="7"/>
        <v>-4164.8096156105603</v>
      </c>
      <c r="Q52" s="62">
        <f t="shared" si="8"/>
        <v>-0.27150881687769857</v>
      </c>
      <c r="R52" s="62">
        <f t="shared" si="9"/>
        <v>15930.383717271859</v>
      </c>
      <c r="S52" s="62">
        <f t="shared" si="10"/>
        <v>23175.807144948405</v>
      </c>
      <c r="T52" s="62">
        <f t="shared" si="11"/>
        <v>23238.147815437347</v>
      </c>
      <c r="U52" s="62">
        <f t="shared" si="12"/>
        <v>23012.555332003085</v>
      </c>
      <c r="V52" s="62">
        <f t="shared" si="13"/>
        <v>1</v>
      </c>
      <c r="W52" s="62">
        <f t="shared" si="2"/>
        <v>0</v>
      </c>
      <c r="X52" s="62">
        <f t="shared" si="2"/>
        <v>0</v>
      </c>
      <c r="Y52" s="62">
        <f t="shared" si="2"/>
        <v>0</v>
      </c>
      <c r="AA52" s="94"/>
    </row>
    <row r="53" spans="2:27" x14ac:dyDescent="0.2">
      <c r="B53" s="94"/>
      <c r="C53" s="62">
        <v>14</v>
      </c>
      <c r="D53" s="62">
        <v>9891.4770847168147</v>
      </c>
      <c r="E53" s="62">
        <v>0.61779757384077549</v>
      </c>
      <c r="F53" s="62">
        <v>14217.167454958006</v>
      </c>
      <c r="G53" s="62">
        <v>0.89404154071213693</v>
      </c>
      <c r="H53" s="62">
        <v>14258.355176408128</v>
      </c>
      <c r="I53" s="62">
        <v>0.89709622602139438</v>
      </c>
      <c r="J53" s="62">
        <v>14164.409595683899</v>
      </c>
      <c r="K53" s="62">
        <v>0.88973323940379034</v>
      </c>
      <c r="L53" s="62">
        <f t="shared" si="3"/>
        <v>-4325.690370241191</v>
      </c>
      <c r="M53" s="62">
        <f t="shared" si="4"/>
        <v>-0.27624396687136143</v>
      </c>
      <c r="N53" s="62">
        <f t="shared" si="5"/>
        <v>-4366.8780916913129</v>
      </c>
      <c r="O53" s="62">
        <f t="shared" si="6"/>
        <v>-0.27929865218061889</v>
      </c>
      <c r="P53" s="62">
        <f t="shared" si="7"/>
        <v>-4272.9325109670845</v>
      </c>
      <c r="Q53" s="62">
        <f t="shared" si="8"/>
        <v>-0.27193566556301485</v>
      </c>
      <c r="R53" s="62">
        <f t="shared" si="9"/>
        <v>15700.16961406347</v>
      </c>
      <c r="S53" s="62">
        <f t="shared" si="10"/>
        <v>22817.609327501552</v>
      </c>
      <c r="T53" s="62">
        <f t="shared" si="11"/>
        <v>22902.958890302114</v>
      </c>
      <c r="U53" s="62">
        <f t="shared" si="12"/>
        <v>22691.90011337871</v>
      </c>
      <c r="V53" s="62">
        <f t="shared" si="13"/>
        <v>1</v>
      </c>
      <c r="W53" s="62">
        <f t="shared" si="2"/>
        <v>0</v>
      </c>
      <c r="X53" s="62">
        <f t="shared" si="2"/>
        <v>0</v>
      </c>
      <c r="Y53" s="62">
        <f t="shared" si="2"/>
        <v>0</v>
      </c>
      <c r="AA53" s="94"/>
    </row>
    <row r="54" spans="2:27" x14ac:dyDescent="0.2">
      <c r="B54" s="94"/>
      <c r="C54" s="62">
        <v>15</v>
      </c>
      <c r="D54" s="62">
        <v>10162.175817784888</v>
      </c>
      <c r="E54" s="62">
        <v>0.61746822913348465</v>
      </c>
      <c r="F54" s="62">
        <v>14622.877241278733</v>
      </c>
      <c r="G54" s="62">
        <v>0.89460045317636283</v>
      </c>
      <c r="H54" s="62">
        <v>14661.107360450646</v>
      </c>
      <c r="I54" s="62">
        <v>0.89719848348742182</v>
      </c>
      <c r="J54" s="62">
        <v>14560.779411848265</v>
      </c>
      <c r="K54" s="62">
        <v>0.88976507054619414</v>
      </c>
      <c r="L54" s="62">
        <f t="shared" si="3"/>
        <v>-4460.7014234938451</v>
      </c>
      <c r="M54" s="62">
        <f t="shared" si="4"/>
        <v>-0.27713222404287818</v>
      </c>
      <c r="N54" s="62">
        <f t="shared" si="5"/>
        <v>-4498.9315426657577</v>
      </c>
      <c r="O54" s="62">
        <f t="shared" si="6"/>
        <v>-0.27973025435393717</v>
      </c>
      <c r="P54" s="62">
        <f t="shared" si="7"/>
        <v>-4398.6035940633774</v>
      </c>
      <c r="Q54" s="62">
        <f t="shared" si="8"/>
        <v>-0.27229684141270949</v>
      </c>
      <c r="R54" s="62">
        <f t="shared" si="9"/>
        <v>15415.828105840579</v>
      </c>
      <c r="S54" s="62">
        <f t="shared" si="10"/>
        <v>22435.051931098922</v>
      </c>
      <c r="T54" s="62">
        <f t="shared" si="11"/>
        <v>22504.442619532318</v>
      </c>
      <c r="U54" s="62">
        <f t="shared" si="12"/>
        <v>22296.848870457281</v>
      </c>
      <c r="V54" s="62">
        <f t="shared" si="13"/>
        <v>1</v>
      </c>
      <c r="W54" s="62">
        <f t="shared" si="13"/>
        <v>0</v>
      </c>
      <c r="X54" s="62">
        <f t="shared" si="13"/>
        <v>0</v>
      </c>
      <c r="Y54" s="62">
        <f t="shared" si="13"/>
        <v>0</v>
      </c>
      <c r="AA54" s="94"/>
    </row>
    <row r="55" spans="2:27" x14ac:dyDescent="0.2">
      <c r="B55" s="94"/>
      <c r="C55" s="62">
        <v>16</v>
      </c>
      <c r="D55" s="62">
        <v>10069.554105186793</v>
      </c>
      <c r="E55" s="62">
        <v>0.61803363321461224</v>
      </c>
      <c r="F55" s="62">
        <v>14473.793975755834</v>
      </c>
      <c r="G55" s="62">
        <v>0.89461321322405851</v>
      </c>
      <c r="H55" s="62">
        <v>14511.179033588558</v>
      </c>
      <c r="I55" s="62">
        <v>0.89732333898259509</v>
      </c>
      <c r="J55" s="62">
        <v>14406.520087753232</v>
      </c>
      <c r="K55" s="62">
        <v>0.88927036305007701</v>
      </c>
      <c r="L55" s="62">
        <f t="shared" si="3"/>
        <v>-4404.2398705690412</v>
      </c>
      <c r="M55" s="62">
        <f t="shared" si="4"/>
        <v>-0.27657958000944627</v>
      </c>
      <c r="N55" s="62">
        <f t="shared" si="5"/>
        <v>-4441.6249284017649</v>
      </c>
      <c r="O55" s="62">
        <f t="shared" si="6"/>
        <v>-0.27928970576798284</v>
      </c>
      <c r="P55" s="62">
        <f t="shared" si="7"/>
        <v>-4336.9659825664385</v>
      </c>
      <c r="Q55" s="62">
        <f t="shared" si="8"/>
        <v>-0.27123672983546476</v>
      </c>
      <c r="R55" s="62">
        <f t="shared" si="9"/>
        <v>15531.871117095305</v>
      </c>
      <c r="S55" s="62">
        <f t="shared" si="10"/>
        <v>22584.663768837563</v>
      </c>
      <c r="T55" s="62">
        <f t="shared" si="11"/>
        <v>22659.542960426457</v>
      </c>
      <c r="U55" s="62">
        <f t="shared" si="12"/>
        <v>22430.615431233156</v>
      </c>
      <c r="V55" s="62">
        <f t="shared" si="13"/>
        <v>1</v>
      </c>
      <c r="W55" s="62">
        <f t="shared" si="13"/>
        <v>0</v>
      </c>
      <c r="X55" s="62">
        <f t="shared" si="13"/>
        <v>0</v>
      </c>
      <c r="Y55" s="62">
        <f t="shared" si="13"/>
        <v>0</v>
      </c>
      <c r="AA55" s="94"/>
    </row>
    <row r="56" spans="2:27" x14ac:dyDescent="0.2">
      <c r="B56" s="94"/>
      <c r="C56" s="62">
        <v>17</v>
      </c>
      <c r="D56" s="62">
        <v>10033.638770438076</v>
      </c>
      <c r="E56" s="62">
        <v>0.61742661285997924</v>
      </c>
      <c r="F56" s="62">
        <v>14437.398560719257</v>
      </c>
      <c r="G56" s="62">
        <v>0.89482707070077017</v>
      </c>
      <c r="H56" s="62">
        <v>14474.729741672036</v>
      </c>
      <c r="I56" s="62">
        <v>0.89760345341616155</v>
      </c>
      <c r="J56" s="62">
        <v>14367.664725543711</v>
      </c>
      <c r="K56" s="62">
        <v>0.88938295143931201</v>
      </c>
      <c r="L56" s="62">
        <f t="shared" si="3"/>
        <v>-4403.7597902811813</v>
      </c>
      <c r="M56" s="62">
        <f t="shared" si="4"/>
        <v>-0.27740045784079093</v>
      </c>
      <c r="N56" s="62">
        <f t="shared" si="5"/>
        <v>-4441.0909712339599</v>
      </c>
      <c r="O56" s="62">
        <f t="shared" si="6"/>
        <v>-0.2801768405561823</v>
      </c>
      <c r="P56" s="62">
        <f t="shared" si="7"/>
        <v>-4334.0259551056351</v>
      </c>
      <c r="Q56" s="62">
        <f t="shared" si="8"/>
        <v>-0.27195633857933277</v>
      </c>
      <c r="R56" s="62">
        <f t="shared" si="9"/>
        <v>15542.641240673704</v>
      </c>
      <c r="S56" s="62">
        <f t="shared" si="10"/>
        <v>22629.918015989446</v>
      </c>
      <c r="T56" s="62">
        <f t="shared" si="11"/>
        <v>22707.595712639039</v>
      </c>
      <c r="U56" s="62">
        <f t="shared" si="12"/>
        <v>22474.134654878348</v>
      </c>
      <c r="V56" s="62">
        <f t="shared" si="13"/>
        <v>1</v>
      </c>
      <c r="W56" s="62">
        <f t="shared" si="13"/>
        <v>0</v>
      </c>
      <c r="X56" s="62">
        <f t="shared" si="13"/>
        <v>0</v>
      </c>
      <c r="Y56" s="62">
        <f t="shared" si="13"/>
        <v>0</v>
      </c>
      <c r="AA56" s="94"/>
    </row>
    <row r="57" spans="2:27" x14ac:dyDescent="0.2">
      <c r="B57" s="94"/>
      <c r="C57" s="62">
        <v>18</v>
      </c>
      <c r="D57" s="62">
        <v>9945.2288650797236</v>
      </c>
      <c r="E57" s="62">
        <v>0.61742815555713015</v>
      </c>
      <c r="F57" s="62">
        <v>14299.144030887348</v>
      </c>
      <c r="G57" s="62">
        <v>0.89379890355595859</v>
      </c>
      <c r="H57" s="62">
        <v>14348.420049331649</v>
      </c>
      <c r="I57" s="62">
        <v>0.89737753025794897</v>
      </c>
      <c r="J57" s="62">
        <v>14247.51139290233</v>
      </c>
      <c r="K57" s="62">
        <v>0.88956991527140283</v>
      </c>
      <c r="L57" s="62">
        <f t="shared" si="3"/>
        <v>-4353.9151658076244</v>
      </c>
      <c r="M57" s="62">
        <f t="shared" si="4"/>
        <v>-0.27637074799882844</v>
      </c>
      <c r="N57" s="62">
        <f t="shared" si="5"/>
        <v>-4403.1911842519257</v>
      </c>
      <c r="O57" s="62">
        <f t="shared" si="6"/>
        <v>-0.27994937470081882</v>
      </c>
      <c r="P57" s="62">
        <f t="shared" si="7"/>
        <v>-4302.2825278226064</v>
      </c>
      <c r="Q57" s="62">
        <f t="shared" si="8"/>
        <v>-0.27214175971427268</v>
      </c>
      <c r="R57" s="62">
        <f t="shared" si="9"/>
        <v>15631.115050718836</v>
      </c>
      <c r="S57" s="62">
        <f t="shared" si="10"/>
        <v>22725.58175001468</v>
      </c>
      <c r="T57" s="62">
        <f t="shared" si="11"/>
        <v>22824.546764073628</v>
      </c>
      <c r="U57" s="62">
        <f t="shared" si="12"/>
        <v>22602.032777300265</v>
      </c>
      <c r="V57" s="62">
        <f t="shared" si="13"/>
        <v>1</v>
      </c>
      <c r="W57" s="62">
        <f t="shared" si="13"/>
        <v>0</v>
      </c>
      <c r="X57" s="62">
        <f t="shared" si="13"/>
        <v>0</v>
      </c>
      <c r="Y57" s="62">
        <f t="shared" si="13"/>
        <v>0</v>
      </c>
      <c r="AA57" s="94"/>
    </row>
    <row r="58" spans="2:27" x14ac:dyDescent="0.2">
      <c r="B58" s="94"/>
      <c r="C58" s="62">
        <v>19</v>
      </c>
      <c r="D58" s="62">
        <v>10628.101845785206</v>
      </c>
      <c r="E58" s="62">
        <v>0.61748055534819168</v>
      </c>
      <c r="F58" s="62">
        <v>15291.848560866565</v>
      </c>
      <c r="G58" s="62">
        <v>0.89422165598424885</v>
      </c>
      <c r="H58" s="62">
        <v>15350.286883658409</v>
      </c>
      <c r="I58" s="62">
        <v>0.8980179429576346</v>
      </c>
      <c r="J58" s="62">
        <v>15222.299329413465</v>
      </c>
      <c r="K58" s="62">
        <v>0.8891229235593151</v>
      </c>
      <c r="L58" s="62">
        <f t="shared" si="3"/>
        <v>-4663.7467150813591</v>
      </c>
      <c r="M58" s="62">
        <f t="shared" si="4"/>
        <v>-0.27674110063605717</v>
      </c>
      <c r="N58" s="62">
        <f t="shared" si="5"/>
        <v>-4722.1850378732033</v>
      </c>
      <c r="O58" s="62">
        <f t="shared" si="6"/>
        <v>-0.28053738760944291</v>
      </c>
      <c r="P58" s="62">
        <f t="shared" si="7"/>
        <v>-4594.1974836282589</v>
      </c>
      <c r="Q58" s="62">
        <f t="shared" si="8"/>
        <v>-0.27164236821112342</v>
      </c>
      <c r="R58" s="62">
        <f t="shared" si="9"/>
        <v>14950.412678958286</v>
      </c>
      <c r="S58" s="62">
        <f t="shared" si="10"/>
        <v>21750.389316624962</v>
      </c>
      <c r="T58" s="62">
        <f t="shared" si="11"/>
        <v>21849.208385418649</v>
      </c>
      <c r="U58" s="62">
        <f t="shared" si="12"/>
        <v>21608.728656107603</v>
      </c>
      <c r="V58" s="62">
        <f t="shared" si="13"/>
        <v>1</v>
      </c>
      <c r="W58" s="62">
        <f t="shared" si="13"/>
        <v>0</v>
      </c>
      <c r="X58" s="62">
        <f t="shared" si="13"/>
        <v>0</v>
      </c>
      <c r="Y58" s="62">
        <f t="shared" si="13"/>
        <v>0</v>
      </c>
      <c r="AA58" s="94"/>
    </row>
    <row r="59" spans="2:27" x14ac:dyDescent="0.2">
      <c r="B59" s="94"/>
      <c r="C59" s="62">
        <v>20</v>
      </c>
      <c r="D59" s="62">
        <v>7708.0956807298853</v>
      </c>
      <c r="E59" s="62">
        <v>0.61761422899334395</v>
      </c>
      <c r="F59" s="62">
        <v>11072.818942431752</v>
      </c>
      <c r="G59" s="62">
        <v>0.89459178866172984</v>
      </c>
      <c r="H59" s="62">
        <v>11096.104154595032</v>
      </c>
      <c r="I59" s="62">
        <v>0.89699808853856455</v>
      </c>
      <c r="J59" s="62">
        <v>11021.146101688091</v>
      </c>
      <c r="K59" s="62">
        <v>0.88911285321580713</v>
      </c>
      <c r="L59" s="62">
        <f t="shared" si="3"/>
        <v>-3364.7232617018662</v>
      </c>
      <c r="M59" s="62">
        <f t="shared" si="4"/>
        <v>-0.27697755966838589</v>
      </c>
      <c r="N59" s="62">
        <f t="shared" si="5"/>
        <v>-3388.0084738651467</v>
      </c>
      <c r="O59" s="62">
        <f t="shared" si="6"/>
        <v>-0.2793838595452206</v>
      </c>
      <c r="P59" s="62">
        <f t="shared" si="7"/>
        <v>-3313.0504209582059</v>
      </c>
      <c r="Q59" s="62">
        <f t="shared" si="8"/>
        <v>-0.27149862422246318</v>
      </c>
      <c r="R59" s="62">
        <f t="shared" si="9"/>
        <v>17875.956141090395</v>
      </c>
      <c r="S59" s="62">
        <f t="shared" si="10"/>
        <v>25984.751311091743</v>
      </c>
      <c r="T59" s="62">
        <f t="shared" si="11"/>
        <v>26061.144665026466</v>
      </c>
      <c r="U59" s="62">
        <f t="shared" si="12"/>
        <v>25809.4647299235</v>
      </c>
      <c r="V59" s="62">
        <f t="shared" si="13"/>
        <v>1</v>
      </c>
      <c r="W59" s="62">
        <f t="shared" si="13"/>
        <v>0</v>
      </c>
      <c r="X59" s="62">
        <f t="shared" si="13"/>
        <v>0</v>
      </c>
      <c r="Y59" s="62">
        <f t="shared" si="13"/>
        <v>0</v>
      </c>
      <c r="AA59" s="94"/>
    </row>
    <row r="60" spans="2:27" x14ac:dyDescent="0.2">
      <c r="B60" s="94"/>
      <c r="C60" s="62">
        <v>21</v>
      </c>
      <c r="D60" s="62">
        <v>10676.775785637192</v>
      </c>
      <c r="E60" s="62">
        <v>0.61789761798933562</v>
      </c>
      <c r="F60" s="62">
        <v>15349.046533415929</v>
      </c>
      <c r="G60" s="62">
        <v>0.89422043280895169</v>
      </c>
      <c r="H60" s="62">
        <v>15385.399259869588</v>
      </c>
      <c r="I60" s="62">
        <v>0.89676927131966133</v>
      </c>
      <c r="J60" s="62">
        <v>15277.749488261683</v>
      </c>
      <c r="K60" s="62">
        <v>0.88899835442151864</v>
      </c>
      <c r="L60" s="62">
        <f t="shared" si="3"/>
        <v>-4672.2707477787371</v>
      </c>
      <c r="M60" s="62">
        <f t="shared" si="4"/>
        <v>-0.27632281481961607</v>
      </c>
      <c r="N60" s="62">
        <f t="shared" si="5"/>
        <v>-4708.6234742323959</v>
      </c>
      <c r="O60" s="62">
        <f t="shared" si="6"/>
        <v>-0.27887165333032571</v>
      </c>
      <c r="P60" s="62">
        <f t="shared" si="7"/>
        <v>-4600.9737026244911</v>
      </c>
      <c r="Q60" s="62">
        <f t="shared" si="8"/>
        <v>-0.27110073643218302</v>
      </c>
      <c r="R60" s="62">
        <f t="shared" si="9"/>
        <v>14919.015141953047</v>
      </c>
      <c r="S60" s="62">
        <f t="shared" si="10"/>
        <v>21693.140675262082</v>
      </c>
      <c r="T60" s="62">
        <f t="shared" si="11"/>
        <v>21762.371035276065</v>
      </c>
      <c r="U60" s="62">
        <f t="shared" si="12"/>
        <v>21548.118345295305</v>
      </c>
      <c r="V60" s="62">
        <f t="shared" si="13"/>
        <v>1</v>
      </c>
      <c r="W60" s="62">
        <f t="shared" si="13"/>
        <v>0</v>
      </c>
      <c r="X60" s="62">
        <f t="shared" si="13"/>
        <v>0</v>
      </c>
      <c r="Y60" s="62">
        <f t="shared" si="13"/>
        <v>0</v>
      </c>
      <c r="AA60" s="94"/>
    </row>
    <row r="61" spans="2:27" x14ac:dyDescent="0.2">
      <c r="B61" s="94"/>
      <c r="C61" s="62">
        <v>22</v>
      </c>
      <c r="D61" s="62">
        <v>7219.8917455898518</v>
      </c>
      <c r="E61" s="62">
        <v>0.61772514435958104</v>
      </c>
      <c r="F61" s="62">
        <v>10362.093029791329</v>
      </c>
      <c r="G61" s="62">
        <v>0.89423811151071353</v>
      </c>
      <c r="H61" s="62">
        <v>10396.06172580028</v>
      </c>
      <c r="I61" s="62">
        <v>0.89757746157571672</v>
      </c>
      <c r="J61" s="62">
        <v>10326.657267982526</v>
      </c>
      <c r="K61" s="62">
        <v>0.88996584347501051</v>
      </c>
      <c r="L61" s="62">
        <f t="shared" si="3"/>
        <v>-3142.2012842014774</v>
      </c>
      <c r="M61" s="62">
        <f t="shared" si="4"/>
        <v>-0.27651296715113249</v>
      </c>
      <c r="N61" s="62">
        <f t="shared" si="5"/>
        <v>-3176.1699802104285</v>
      </c>
      <c r="O61" s="62">
        <f t="shared" si="6"/>
        <v>-0.27985231721613568</v>
      </c>
      <c r="P61" s="62">
        <f t="shared" si="7"/>
        <v>-3106.765522392674</v>
      </c>
      <c r="Q61" s="62">
        <f t="shared" si="8"/>
        <v>-0.27224069911542947</v>
      </c>
      <c r="R61" s="62">
        <f t="shared" si="9"/>
        <v>18368.754634361434</v>
      </c>
      <c r="S61" s="62">
        <f t="shared" si="10"/>
        <v>26680.82650142847</v>
      </c>
      <c r="T61" s="62">
        <f t="shared" si="11"/>
        <v>26785.187042512211</v>
      </c>
      <c r="U61" s="62">
        <f t="shared" si="12"/>
        <v>26539.287832126312</v>
      </c>
      <c r="V61" s="62">
        <f t="shared" si="13"/>
        <v>1</v>
      </c>
      <c r="W61" s="62">
        <f t="shared" si="13"/>
        <v>0</v>
      </c>
      <c r="X61" s="62">
        <f t="shared" si="13"/>
        <v>0</v>
      </c>
      <c r="Y61" s="62">
        <f t="shared" si="13"/>
        <v>0</v>
      </c>
      <c r="AA61" s="94"/>
    </row>
    <row r="62" spans="2:27" x14ac:dyDescent="0.2">
      <c r="B62" s="94"/>
      <c r="C62" s="62">
        <v>23</v>
      </c>
      <c r="D62" s="62">
        <v>7573.4608369934067</v>
      </c>
      <c r="E62" s="62">
        <v>0.61771465647878343</v>
      </c>
      <c r="F62" s="62">
        <v>10876.981432982811</v>
      </c>
      <c r="G62" s="62">
        <v>0.89458624448403701</v>
      </c>
      <c r="H62" s="62">
        <v>10901.484240370712</v>
      </c>
      <c r="I62" s="62">
        <v>0.89710006261827746</v>
      </c>
      <c r="J62" s="62">
        <v>10831.058252975763</v>
      </c>
      <c r="K62" s="62">
        <v>0.88970913786291195</v>
      </c>
      <c r="L62" s="62">
        <f t="shared" si="3"/>
        <v>-3303.5205959894047</v>
      </c>
      <c r="M62" s="62">
        <f t="shared" si="4"/>
        <v>-0.27687158800525358</v>
      </c>
      <c r="N62" s="62">
        <f t="shared" si="5"/>
        <v>-3328.0234033773049</v>
      </c>
      <c r="O62" s="62">
        <f t="shared" si="6"/>
        <v>-0.27938540613949403</v>
      </c>
      <c r="P62" s="62">
        <f t="shared" si="7"/>
        <v>-3257.5974159823563</v>
      </c>
      <c r="Q62" s="62">
        <f t="shared" si="8"/>
        <v>-0.27199448138412852</v>
      </c>
      <c r="R62" s="62">
        <f t="shared" si="9"/>
        <v>18014.751092983719</v>
      </c>
      <c r="S62" s="62">
        <f t="shared" si="10"/>
        <v>26180.359158523937</v>
      </c>
      <c r="T62" s="62">
        <f t="shared" si="11"/>
        <v>26259.988753528811</v>
      </c>
      <c r="U62" s="62">
        <f t="shared" si="12"/>
        <v>26024.253073857504</v>
      </c>
      <c r="V62" s="62">
        <f t="shared" si="13"/>
        <v>1</v>
      </c>
      <c r="W62" s="62">
        <f t="shared" si="13"/>
        <v>0</v>
      </c>
      <c r="X62" s="62">
        <f t="shared" si="13"/>
        <v>0</v>
      </c>
      <c r="Y62" s="62">
        <f t="shared" si="13"/>
        <v>0</v>
      </c>
      <c r="AA62" s="94"/>
    </row>
    <row r="63" spans="2:27" x14ac:dyDescent="0.2">
      <c r="B63" s="94"/>
      <c r="C63" s="62">
        <v>24</v>
      </c>
      <c r="D63" s="62">
        <v>9109.8293757141928</v>
      </c>
      <c r="E63" s="62">
        <v>0.61733178462139748</v>
      </c>
      <c r="F63" s="62">
        <v>13099.050690764714</v>
      </c>
      <c r="G63" s="62">
        <v>0.89392819503044119</v>
      </c>
      <c r="H63" s="62">
        <v>13146.845219850797</v>
      </c>
      <c r="I63" s="62">
        <v>0.89773092459202142</v>
      </c>
      <c r="J63" s="62">
        <v>13043.389051991328</v>
      </c>
      <c r="K63" s="62">
        <v>0.88922958053161483</v>
      </c>
      <c r="L63" s="62">
        <f t="shared" si="3"/>
        <v>-3989.2213150505213</v>
      </c>
      <c r="M63" s="62">
        <f t="shared" si="4"/>
        <v>-0.2765964104090437</v>
      </c>
      <c r="N63" s="62">
        <f t="shared" si="5"/>
        <v>-4037.0158441366038</v>
      </c>
      <c r="O63" s="62">
        <f t="shared" si="6"/>
        <v>-0.28039913997062393</v>
      </c>
      <c r="P63" s="62">
        <f t="shared" si="7"/>
        <v>-3933.5596762771347</v>
      </c>
      <c r="Q63" s="62">
        <f t="shared" si="8"/>
        <v>-0.27189779591021734</v>
      </c>
      <c r="R63" s="62">
        <f t="shared" si="9"/>
        <v>16462.522470442578</v>
      </c>
      <c r="S63" s="62">
        <f t="shared" si="10"/>
        <v>23931.030860176281</v>
      </c>
      <c r="T63" s="62">
        <f t="shared" si="11"/>
        <v>24040.760600449103</v>
      </c>
      <c r="U63" s="62">
        <f t="shared" si="12"/>
        <v>23792.057091950286</v>
      </c>
      <c r="V63" s="62">
        <f t="shared" si="13"/>
        <v>1</v>
      </c>
      <c r="W63" s="62">
        <f t="shared" si="13"/>
        <v>0</v>
      </c>
      <c r="X63" s="62">
        <f t="shared" si="13"/>
        <v>0</v>
      </c>
      <c r="Y63" s="62">
        <f t="shared" si="13"/>
        <v>0</v>
      </c>
      <c r="AA63" s="94"/>
    </row>
    <row r="64" spans="2:27" x14ac:dyDescent="0.2">
      <c r="B64" s="94"/>
      <c r="C64" s="62">
        <v>25</v>
      </c>
      <c r="D64" s="62">
        <v>7701.9225085943999</v>
      </c>
      <c r="E64" s="62">
        <v>0.61768182267767102</v>
      </c>
      <c r="F64" s="62">
        <v>11055.845633435483</v>
      </c>
      <c r="G64" s="62">
        <v>0.89427908364084985</v>
      </c>
      <c r="H64" s="62">
        <v>11079.712310245135</v>
      </c>
      <c r="I64" s="62">
        <v>0.89665735695589333</v>
      </c>
      <c r="J64" s="62">
        <v>11007.818697585002</v>
      </c>
      <c r="K64" s="62">
        <v>0.88898799088438785</v>
      </c>
      <c r="L64" s="62">
        <f t="shared" si="3"/>
        <v>-3353.9231248410833</v>
      </c>
      <c r="M64" s="62">
        <f t="shared" si="4"/>
        <v>-0.27659726096317883</v>
      </c>
      <c r="N64" s="62">
        <f t="shared" si="5"/>
        <v>-3377.7898016507352</v>
      </c>
      <c r="O64" s="62">
        <f t="shared" si="6"/>
        <v>-0.2789755342782223</v>
      </c>
      <c r="P64" s="62">
        <f t="shared" si="7"/>
        <v>-3305.8961889906022</v>
      </c>
      <c r="Q64" s="62">
        <f t="shared" si="8"/>
        <v>-0.27130616820671682</v>
      </c>
      <c r="R64" s="62">
        <f t="shared" si="9"/>
        <v>17884.929314005443</v>
      </c>
      <c r="S64" s="62">
        <f t="shared" si="10"/>
        <v>25988.77112730308</v>
      </c>
      <c r="T64" s="62">
        <f t="shared" si="11"/>
        <v>26063.422044295789</v>
      </c>
      <c r="U64" s="62">
        <f t="shared" si="12"/>
        <v>25817.619836809878</v>
      </c>
      <c r="V64" s="62">
        <f t="shared" si="13"/>
        <v>1</v>
      </c>
      <c r="W64" s="62">
        <f t="shared" si="13"/>
        <v>0</v>
      </c>
      <c r="X64" s="62">
        <f t="shared" si="13"/>
        <v>0</v>
      </c>
      <c r="Y64" s="62">
        <f t="shared" si="13"/>
        <v>0</v>
      </c>
      <c r="AA64" s="94"/>
    </row>
    <row r="65" spans="2:27" x14ac:dyDescent="0.2">
      <c r="B65" s="94"/>
      <c r="C65" s="62">
        <v>26</v>
      </c>
      <c r="D65" s="62">
        <v>12751.183965262697</v>
      </c>
      <c r="E65" s="62">
        <v>0.61808731837503761</v>
      </c>
      <c r="F65" s="62">
        <v>18343.6178146319</v>
      </c>
      <c r="G65" s="62">
        <v>0.89440159237141414</v>
      </c>
      <c r="H65" s="62">
        <v>18384.683828963975</v>
      </c>
      <c r="I65" s="62">
        <v>0.89655821925465073</v>
      </c>
      <c r="J65" s="62">
        <v>18245.719878379041</v>
      </c>
      <c r="K65" s="62">
        <v>0.88852513767758312</v>
      </c>
      <c r="L65" s="62">
        <f t="shared" si="3"/>
        <v>-5592.433849369203</v>
      </c>
      <c r="M65" s="62">
        <f t="shared" si="4"/>
        <v>-0.27631427399637654</v>
      </c>
      <c r="N65" s="62">
        <f t="shared" si="5"/>
        <v>-5633.4998637012777</v>
      </c>
      <c r="O65" s="62">
        <f t="shared" si="6"/>
        <v>-0.27847090087961313</v>
      </c>
      <c r="P65" s="62">
        <f t="shared" si="7"/>
        <v>-5494.5359131163441</v>
      </c>
      <c r="Q65" s="62">
        <f t="shared" si="8"/>
        <v>-0.27043781930254551</v>
      </c>
      <c r="R65" s="62">
        <f t="shared" si="9"/>
        <v>12852.465111104861</v>
      </c>
      <c r="S65" s="62">
        <f t="shared" si="10"/>
        <v>18706.073747761562</v>
      </c>
      <c r="T65" s="62">
        <f t="shared" si="11"/>
        <v>18754.343845440675</v>
      </c>
      <c r="U65" s="62">
        <f t="shared" si="12"/>
        <v>18560.545424777159</v>
      </c>
      <c r="V65" s="62">
        <f t="shared" si="13"/>
        <v>1</v>
      </c>
      <c r="W65" s="62">
        <f t="shared" si="13"/>
        <v>0</v>
      </c>
      <c r="X65" s="62">
        <f t="shared" si="13"/>
        <v>0</v>
      </c>
      <c r="Y65" s="62">
        <f t="shared" si="13"/>
        <v>0</v>
      </c>
      <c r="AA65" s="94"/>
    </row>
    <row r="66" spans="2:27" x14ac:dyDescent="0.2">
      <c r="B66" s="94"/>
      <c r="C66" s="62">
        <v>27</v>
      </c>
      <c r="D66" s="62">
        <v>11183.898089030947</v>
      </c>
      <c r="E66" s="62">
        <v>0.61779024394778137</v>
      </c>
      <c r="F66" s="62">
        <v>16093.121933535627</v>
      </c>
      <c r="G66" s="62">
        <v>0.89439478335166711</v>
      </c>
      <c r="H66" s="62">
        <v>16145.267095710155</v>
      </c>
      <c r="I66" s="62">
        <v>0.89757734794402322</v>
      </c>
      <c r="J66" s="62">
        <v>16026.910535682995</v>
      </c>
      <c r="K66" s="62">
        <v>0.88978392794611583</v>
      </c>
      <c r="L66" s="62">
        <f t="shared" si="3"/>
        <v>-4909.2238445046805</v>
      </c>
      <c r="M66" s="62">
        <f t="shared" si="4"/>
        <v>-0.27660453940388574</v>
      </c>
      <c r="N66" s="62">
        <f t="shared" si="5"/>
        <v>-4961.3690066792078</v>
      </c>
      <c r="O66" s="62">
        <f t="shared" si="6"/>
        <v>-0.27978710399624185</v>
      </c>
      <c r="P66" s="62">
        <f t="shared" si="7"/>
        <v>-4843.0124466520483</v>
      </c>
      <c r="Q66" s="62">
        <f t="shared" si="8"/>
        <v>-0.27199368399833446</v>
      </c>
      <c r="R66" s="62">
        <f t="shared" si="9"/>
        <v>14407.444976261948</v>
      </c>
      <c r="S66" s="62">
        <f t="shared" si="10"/>
        <v>20956.28757202383</v>
      </c>
      <c r="T66" s="62">
        <f t="shared" si="11"/>
        <v>21035.976965523067</v>
      </c>
      <c r="U66" s="62">
        <f t="shared" si="12"/>
        <v>20831.498895556906</v>
      </c>
      <c r="V66" s="62">
        <f t="shared" si="13"/>
        <v>1</v>
      </c>
      <c r="W66" s="62">
        <f t="shared" si="13"/>
        <v>0</v>
      </c>
      <c r="X66" s="62">
        <f t="shared" si="13"/>
        <v>0</v>
      </c>
      <c r="Y66" s="62">
        <f t="shared" si="13"/>
        <v>0</v>
      </c>
      <c r="AA66" s="94"/>
    </row>
    <row r="67" spans="2:27" x14ac:dyDescent="0.2">
      <c r="B67" s="94"/>
      <c r="C67" s="62">
        <v>28</v>
      </c>
      <c r="D67" s="62">
        <v>9982.4578132050829</v>
      </c>
      <c r="E67" s="62">
        <v>0.61744576891853487</v>
      </c>
      <c r="F67" s="62">
        <v>14350.754369792132</v>
      </c>
      <c r="G67" s="62">
        <v>0.89391817113931404</v>
      </c>
      <c r="H67" s="62">
        <v>14394.42016422616</v>
      </c>
      <c r="I67" s="62">
        <v>0.89706841091412504</v>
      </c>
      <c r="J67" s="62">
        <v>14295.024828036716</v>
      </c>
      <c r="K67" s="62">
        <v>0.88930738068259396</v>
      </c>
      <c r="L67" s="62">
        <f t="shared" si="3"/>
        <v>-4368.2965565870491</v>
      </c>
      <c r="M67" s="62">
        <f t="shared" si="4"/>
        <v>-0.27647240222077918</v>
      </c>
      <c r="N67" s="62">
        <f t="shared" si="5"/>
        <v>-4411.9623510210768</v>
      </c>
      <c r="O67" s="62">
        <f t="shared" si="6"/>
        <v>-0.27962264199559017</v>
      </c>
      <c r="P67" s="62">
        <f t="shared" si="7"/>
        <v>-4312.5670148316331</v>
      </c>
      <c r="Q67" s="62">
        <f t="shared" si="8"/>
        <v>-0.2718616117640591</v>
      </c>
      <c r="R67" s="62">
        <f t="shared" si="9"/>
        <v>15594.615718476305</v>
      </c>
      <c r="S67" s="62">
        <f t="shared" si="10"/>
        <v>22678.911951482816</v>
      </c>
      <c r="T67" s="62">
        <f t="shared" si="11"/>
        <v>22765.741689480557</v>
      </c>
      <c r="U67" s="62">
        <f t="shared" si="12"/>
        <v>22543.644109359055</v>
      </c>
      <c r="V67" s="62">
        <f t="shared" si="13"/>
        <v>1</v>
      </c>
      <c r="W67" s="62">
        <f t="shared" si="13"/>
        <v>0</v>
      </c>
      <c r="X67" s="62">
        <f t="shared" si="13"/>
        <v>0</v>
      </c>
      <c r="Y67" s="62">
        <f t="shared" si="13"/>
        <v>0</v>
      </c>
      <c r="AA67" s="94"/>
    </row>
    <row r="68" spans="2:27" x14ac:dyDescent="0.2">
      <c r="B68" s="94"/>
      <c r="C68" s="62">
        <v>29</v>
      </c>
      <c r="D68" s="62">
        <v>10219.738600138233</v>
      </c>
      <c r="E68" s="62">
        <v>0.61744337155391582</v>
      </c>
      <c r="F68" s="62">
        <v>14703.498558503386</v>
      </c>
      <c r="G68" s="62">
        <v>0.89430244005066695</v>
      </c>
      <c r="H68" s="62">
        <v>14761.517265632321</v>
      </c>
      <c r="I68" s="62">
        <v>0.89825414236698831</v>
      </c>
      <c r="J68" s="62">
        <v>14644.232482945736</v>
      </c>
      <c r="K68" s="62">
        <v>0.88966282927756812</v>
      </c>
      <c r="L68" s="62">
        <f t="shared" si="3"/>
        <v>-4483.7599583651536</v>
      </c>
      <c r="M68" s="62">
        <f t="shared" si="4"/>
        <v>-0.27685906849675113</v>
      </c>
      <c r="N68" s="62">
        <f t="shared" si="5"/>
        <v>-4541.7786654940883</v>
      </c>
      <c r="O68" s="62">
        <f t="shared" si="6"/>
        <v>-0.28081077081307249</v>
      </c>
      <c r="P68" s="62">
        <f t="shared" si="7"/>
        <v>-4424.4938828075028</v>
      </c>
      <c r="Q68" s="62">
        <f t="shared" si="8"/>
        <v>-0.2722194577236523</v>
      </c>
      <c r="R68" s="62">
        <f t="shared" si="9"/>
        <v>15357.235623111177</v>
      </c>
      <c r="S68" s="62">
        <f t="shared" si="10"/>
        <v>22342.085718155438</v>
      </c>
      <c r="T68" s="62">
        <f t="shared" si="11"/>
        <v>22447.762327777804</v>
      </c>
      <c r="U68" s="62">
        <f t="shared" si="12"/>
        <v>22209.16055704825</v>
      </c>
      <c r="V68" s="62">
        <f t="shared" si="13"/>
        <v>1</v>
      </c>
      <c r="W68" s="62">
        <f t="shared" si="13"/>
        <v>0</v>
      </c>
      <c r="X68" s="62">
        <f t="shared" si="13"/>
        <v>0</v>
      </c>
      <c r="Y68" s="62">
        <f t="shared" si="13"/>
        <v>0</v>
      </c>
      <c r="AA68" s="94"/>
    </row>
    <row r="69" spans="2:27" x14ac:dyDescent="0.2">
      <c r="B69" s="94"/>
      <c r="C69" s="62">
        <v>30</v>
      </c>
      <c r="D69" s="62">
        <v>9841.6645858565516</v>
      </c>
      <c r="E69" s="62">
        <v>0.61807179574597615</v>
      </c>
      <c r="F69" s="62">
        <v>14134.363567777231</v>
      </c>
      <c r="G69" s="62">
        <v>0.89347826357544691</v>
      </c>
      <c r="H69" s="62">
        <v>14204.510855991186</v>
      </c>
      <c r="I69" s="62">
        <v>0.89843874916140942</v>
      </c>
      <c r="J69" s="62">
        <v>14085.789543885019</v>
      </c>
      <c r="K69" s="62">
        <v>0.88942711932717322</v>
      </c>
      <c r="L69" s="62">
        <f t="shared" si="3"/>
        <v>-4292.6989819206792</v>
      </c>
      <c r="M69" s="62">
        <f t="shared" si="4"/>
        <v>-0.27540646782947076</v>
      </c>
      <c r="N69" s="62">
        <f t="shared" si="5"/>
        <v>-4362.8462701346343</v>
      </c>
      <c r="O69" s="62">
        <f t="shared" si="6"/>
        <v>-0.28036695341543327</v>
      </c>
      <c r="P69" s="62">
        <f t="shared" si="7"/>
        <v>-4244.1249580284675</v>
      </c>
      <c r="Q69" s="62">
        <f t="shared" si="8"/>
        <v>-0.27135532358119707</v>
      </c>
      <c r="R69" s="62">
        <f t="shared" si="9"/>
        <v>15761.341481124766</v>
      </c>
      <c r="S69" s="62">
        <f t="shared" si="10"/>
        <v>22877.080022572081</v>
      </c>
      <c r="T69" s="62">
        <f t="shared" si="11"/>
        <v>23012.415889271037</v>
      </c>
      <c r="U69" s="62">
        <f t="shared" si="12"/>
        <v>22757.839447123806</v>
      </c>
      <c r="V69" s="62">
        <f t="shared" si="13"/>
        <v>1</v>
      </c>
      <c r="W69" s="62">
        <f t="shared" si="13"/>
        <v>0</v>
      </c>
      <c r="X69" s="62">
        <f t="shared" si="13"/>
        <v>0</v>
      </c>
      <c r="Y69" s="62">
        <f t="shared" si="13"/>
        <v>0</v>
      </c>
      <c r="AA69" s="94"/>
    </row>
    <row r="70" spans="2:27" x14ac:dyDescent="0.2">
      <c r="B70" s="94"/>
      <c r="C70" s="62">
        <v>31</v>
      </c>
      <c r="D70" s="62">
        <v>10648.272166381872</v>
      </c>
      <c r="E70" s="62">
        <v>0.6173341069159124</v>
      </c>
      <c r="F70" s="62">
        <v>15311.51031993216</v>
      </c>
      <c r="G70" s="62">
        <v>0.89371207823791565</v>
      </c>
      <c r="H70" s="62">
        <v>15352.953259312957</v>
      </c>
      <c r="I70" s="62">
        <v>0.89636697937827226</v>
      </c>
      <c r="J70" s="62">
        <v>15252.456625414858</v>
      </c>
      <c r="K70" s="62">
        <v>0.88915683418670766</v>
      </c>
      <c r="L70" s="62">
        <f t="shared" si="3"/>
        <v>-4663.2381535502882</v>
      </c>
      <c r="M70" s="62">
        <f t="shared" si="4"/>
        <v>-0.27637797132200326</v>
      </c>
      <c r="N70" s="62">
        <f t="shared" si="5"/>
        <v>-4704.681092931085</v>
      </c>
      <c r="O70" s="62">
        <f t="shared" si="6"/>
        <v>-0.27903287246235986</v>
      </c>
      <c r="P70" s="62">
        <f t="shared" si="7"/>
        <v>-4604.1844590329856</v>
      </c>
      <c r="Q70" s="62">
        <f t="shared" si="8"/>
        <v>-0.27182272727079526</v>
      </c>
      <c r="R70" s="62">
        <f t="shared" si="9"/>
        <v>14924.175878502881</v>
      </c>
      <c r="S70" s="62">
        <f t="shared" si="10"/>
        <v>21709.618808995256</v>
      </c>
      <c r="T70" s="62">
        <f t="shared" si="11"/>
        <v>21778.152494452595</v>
      </c>
      <c r="U70" s="62">
        <f t="shared" si="12"/>
        <v>21579.976073935315</v>
      </c>
      <c r="V70" s="62">
        <f t="shared" si="13"/>
        <v>1</v>
      </c>
      <c r="W70" s="62">
        <f t="shared" si="13"/>
        <v>0</v>
      </c>
      <c r="X70" s="62">
        <f t="shared" si="13"/>
        <v>0</v>
      </c>
      <c r="Y70" s="62">
        <f t="shared" si="13"/>
        <v>0</v>
      </c>
      <c r="AA70" s="94"/>
    </row>
    <row r="71" spans="2:27" x14ac:dyDescent="0.2">
      <c r="B71" s="94"/>
      <c r="C71" s="62">
        <v>32</v>
      </c>
      <c r="D71" s="62">
        <v>9192.4603879970782</v>
      </c>
      <c r="E71" s="62">
        <v>0.61781810112751923</v>
      </c>
      <c r="F71" s="62">
        <v>13205.856689631597</v>
      </c>
      <c r="G71" s="62">
        <v>0.89442449968417947</v>
      </c>
      <c r="H71" s="62">
        <v>13236.090933470658</v>
      </c>
      <c r="I71" s="62">
        <v>0.89687995881065741</v>
      </c>
      <c r="J71" s="62">
        <v>13152.443972486928</v>
      </c>
      <c r="K71" s="62">
        <v>0.88958730877276992</v>
      </c>
      <c r="L71" s="62">
        <f t="shared" si="3"/>
        <v>-4013.3963016345187</v>
      </c>
      <c r="M71" s="62">
        <f t="shared" si="4"/>
        <v>-0.27660639855666025</v>
      </c>
      <c r="N71" s="62">
        <f t="shared" si="5"/>
        <v>-4043.6305454735793</v>
      </c>
      <c r="O71" s="62">
        <f t="shared" si="6"/>
        <v>-0.27906185768313818</v>
      </c>
      <c r="P71" s="62">
        <f t="shared" si="7"/>
        <v>-3959.9835844898498</v>
      </c>
      <c r="Q71" s="62">
        <f t="shared" si="8"/>
        <v>-0.2717692076452507</v>
      </c>
      <c r="R71" s="62">
        <f t="shared" si="9"/>
        <v>16400.036633109277</v>
      </c>
      <c r="S71" s="62">
        <f t="shared" si="10"/>
        <v>23844.78378528585</v>
      </c>
      <c r="T71" s="62">
        <f t="shared" si="11"/>
        <v>23916.264480302016</v>
      </c>
      <c r="U71" s="62">
        <f t="shared" si="12"/>
        <v>23697.82070611629</v>
      </c>
      <c r="V71" s="62">
        <f t="shared" si="13"/>
        <v>1</v>
      </c>
      <c r="W71" s="62">
        <f t="shared" si="13"/>
        <v>0</v>
      </c>
      <c r="X71" s="62">
        <f t="shared" si="13"/>
        <v>0</v>
      </c>
      <c r="Y71" s="62">
        <f t="shared" si="13"/>
        <v>0</v>
      </c>
      <c r="AA71" s="94"/>
    </row>
    <row r="72" spans="2:27" x14ac:dyDescent="0.2">
      <c r="B72" s="94"/>
      <c r="C72" s="62">
        <v>33</v>
      </c>
      <c r="D72" s="62">
        <v>10257.324461310445</v>
      </c>
      <c r="E72" s="62">
        <v>0.61744096437884011</v>
      </c>
      <c r="F72" s="62">
        <v>14740.393488573141</v>
      </c>
      <c r="G72" s="62">
        <v>0.89357064595163771</v>
      </c>
      <c r="H72" s="62">
        <v>14794.818228984617</v>
      </c>
      <c r="I72" s="62">
        <v>0.89725805447586893</v>
      </c>
      <c r="J72" s="62">
        <v>14699.046826224587</v>
      </c>
      <c r="K72" s="62">
        <v>0.89002139461486462</v>
      </c>
      <c r="L72" s="62">
        <f t="shared" si="3"/>
        <v>-4483.0690272626962</v>
      </c>
      <c r="M72" s="62">
        <f t="shared" si="4"/>
        <v>-0.2761296815727976</v>
      </c>
      <c r="N72" s="62">
        <f t="shared" si="5"/>
        <v>-4537.493767674172</v>
      </c>
      <c r="O72" s="62">
        <f t="shared" si="6"/>
        <v>-0.27981709009702882</v>
      </c>
      <c r="P72" s="62">
        <f t="shared" si="7"/>
        <v>-4441.7223649141415</v>
      </c>
      <c r="Q72" s="62">
        <f t="shared" si="8"/>
        <v>-0.27258043023602452</v>
      </c>
      <c r="R72" s="62">
        <f t="shared" si="9"/>
        <v>15319.550047118626</v>
      </c>
      <c r="S72" s="62">
        <f t="shared" si="10"/>
        <v>22274.876949327496</v>
      </c>
      <c r="T72" s="62">
        <f t="shared" si="11"/>
        <v>22373.199419623779</v>
      </c>
      <c r="U72" s="62">
        <f t="shared" si="12"/>
        <v>22169.199424301565</v>
      </c>
      <c r="V72" s="62">
        <f t="shared" si="13"/>
        <v>1</v>
      </c>
      <c r="W72" s="62">
        <f t="shared" si="13"/>
        <v>0</v>
      </c>
      <c r="X72" s="62">
        <f t="shared" si="13"/>
        <v>0</v>
      </c>
      <c r="Y72" s="62">
        <f t="shared" si="13"/>
        <v>0</v>
      </c>
      <c r="AA72" s="94"/>
    </row>
    <row r="73" spans="2:27" x14ac:dyDescent="0.2">
      <c r="B73" s="94"/>
      <c r="C73" s="62">
        <v>34</v>
      </c>
      <c r="D73" s="62">
        <v>10347.18570939784</v>
      </c>
      <c r="E73" s="62">
        <v>0.61711465437339386</v>
      </c>
      <c r="F73" s="62">
        <v>14902.34911010314</v>
      </c>
      <c r="G73" s="62">
        <v>0.89467957068915649</v>
      </c>
      <c r="H73" s="62">
        <v>14937.934040603075</v>
      </c>
      <c r="I73" s="62">
        <v>0.89717094100376105</v>
      </c>
      <c r="J73" s="62">
        <v>14829.295829469551</v>
      </c>
      <c r="K73" s="62">
        <v>0.88922658572969138</v>
      </c>
      <c r="L73" s="62">
        <f t="shared" si="3"/>
        <v>-4555.1634007052999</v>
      </c>
      <c r="M73" s="62">
        <f t="shared" si="4"/>
        <v>-0.27756491631576263</v>
      </c>
      <c r="N73" s="62">
        <f t="shared" si="5"/>
        <v>-4590.7483312052354</v>
      </c>
      <c r="O73" s="62">
        <f t="shared" si="6"/>
        <v>-0.28005628663036719</v>
      </c>
      <c r="P73" s="62">
        <f t="shared" si="7"/>
        <v>-4482.1101200717112</v>
      </c>
      <c r="Q73" s="62">
        <f t="shared" si="8"/>
        <v>-0.27211193135629752</v>
      </c>
      <c r="R73" s="62">
        <f t="shared" si="9"/>
        <v>15216.171733365627</v>
      </c>
      <c r="S73" s="62">
        <f t="shared" si="10"/>
        <v>22158.857426124479</v>
      </c>
      <c r="T73" s="62">
        <f t="shared" si="11"/>
        <v>22226.475019536723</v>
      </c>
      <c r="U73" s="62">
        <f t="shared" si="12"/>
        <v>22006.026257797188</v>
      </c>
      <c r="V73" s="62">
        <f t="shared" si="13"/>
        <v>1</v>
      </c>
      <c r="W73" s="62">
        <f t="shared" si="13"/>
        <v>0</v>
      </c>
      <c r="X73" s="62">
        <f t="shared" si="13"/>
        <v>0</v>
      </c>
      <c r="Y73" s="62">
        <f t="shared" si="13"/>
        <v>0</v>
      </c>
      <c r="AA73" s="94"/>
    </row>
    <row r="74" spans="2:27" x14ac:dyDescent="0.2">
      <c r="B74" s="94"/>
      <c r="C74" s="62">
        <v>35</v>
      </c>
      <c r="D74" s="62">
        <v>11043.758168796554</v>
      </c>
      <c r="E74" s="62">
        <v>0.61776273098677792</v>
      </c>
      <c r="F74" s="62">
        <v>15884.2583608771</v>
      </c>
      <c r="G74" s="62">
        <v>0.89410152718376923</v>
      </c>
      <c r="H74" s="62">
        <v>15921.287414710838</v>
      </c>
      <c r="I74" s="62">
        <v>0.89631565934669222</v>
      </c>
      <c r="J74" s="62">
        <v>15815.731375982217</v>
      </c>
      <c r="K74" s="62">
        <v>0.88925000985805414</v>
      </c>
      <c r="L74" s="62">
        <f t="shared" si="3"/>
        <v>-4840.5001920805462</v>
      </c>
      <c r="M74" s="62">
        <f t="shared" si="4"/>
        <v>-0.27633879619699131</v>
      </c>
      <c r="N74" s="62">
        <f t="shared" si="5"/>
        <v>-4877.5292459142838</v>
      </c>
      <c r="O74" s="62">
        <f t="shared" si="6"/>
        <v>-0.2785529283599143</v>
      </c>
      <c r="P74" s="62">
        <f t="shared" si="7"/>
        <v>-4771.9732071856633</v>
      </c>
      <c r="Q74" s="62">
        <f t="shared" si="8"/>
        <v>-0.27148727887127622</v>
      </c>
      <c r="R74" s="62">
        <f t="shared" si="9"/>
        <v>14546.445199599733</v>
      </c>
      <c r="S74" s="62">
        <f t="shared" si="10"/>
        <v>21153.003301183351</v>
      </c>
      <c r="T74" s="62">
        <f t="shared" si="11"/>
        <v>21207.692458066544</v>
      </c>
      <c r="U74" s="62">
        <f t="shared" si="12"/>
        <v>21020.56103237782</v>
      </c>
      <c r="V74" s="62">
        <f t="shared" si="13"/>
        <v>1</v>
      </c>
      <c r="W74" s="62">
        <f t="shared" si="13"/>
        <v>0</v>
      </c>
      <c r="X74" s="62">
        <f t="shared" si="13"/>
        <v>0</v>
      </c>
      <c r="Y74" s="62">
        <f t="shared" si="13"/>
        <v>0</v>
      </c>
      <c r="AA74" s="94"/>
    </row>
    <row r="75" spans="2:27" x14ac:dyDescent="0.2">
      <c r="B75" s="94"/>
      <c r="C75" s="62">
        <v>36</v>
      </c>
      <c r="D75" s="62">
        <v>11838.657118007539</v>
      </c>
      <c r="E75" s="62">
        <v>0.61783559114706366</v>
      </c>
      <c r="F75" s="62">
        <v>17025.618801964094</v>
      </c>
      <c r="G75" s="62">
        <v>0.8939968168795478</v>
      </c>
      <c r="H75" s="62">
        <v>17079.63126786577</v>
      </c>
      <c r="I75" s="62">
        <v>0.89720632797125033</v>
      </c>
      <c r="J75" s="62">
        <v>16954.999438818515</v>
      </c>
      <c r="K75" s="62">
        <v>0.88930918394661929</v>
      </c>
      <c r="L75" s="62">
        <f t="shared" si="3"/>
        <v>-5186.9616839565551</v>
      </c>
      <c r="M75" s="62">
        <f t="shared" si="4"/>
        <v>-0.27616122573248414</v>
      </c>
      <c r="N75" s="62">
        <f t="shared" si="5"/>
        <v>-5240.9741498582316</v>
      </c>
      <c r="O75" s="62">
        <f t="shared" si="6"/>
        <v>-0.27937073682418667</v>
      </c>
      <c r="P75" s="62">
        <f t="shared" si="7"/>
        <v>-5116.3423208109762</v>
      </c>
      <c r="Q75" s="62">
        <f t="shared" si="8"/>
        <v>-0.27147359279955563</v>
      </c>
      <c r="R75" s="62">
        <f t="shared" si="9"/>
        <v>13754.564409668425</v>
      </c>
      <c r="S75" s="62">
        <f t="shared" si="10"/>
        <v>20007.305340454292</v>
      </c>
      <c r="T75" s="62">
        <f t="shared" si="11"/>
        <v>20086.243662015302</v>
      </c>
      <c r="U75" s="62">
        <f t="shared" si="12"/>
        <v>19883.744196986241</v>
      </c>
      <c r="V75" s="62">
        <f t="shared" si="13"/>
        <v>1</v>
      </c>
      <c r="W75" s="62">
        <f t="shared" si="13"/>
        <v>0</v>
      </c>
      <c r="X75" s="62">
        <f t="shared" si="13"/>
        <v>0</v>
      </c>
      <c r="Y75" s="62">
        <f t="shared" si="13"/>
        <v>0</v>
      </c>
      <c r="AA75" s="94"/>
    </row>
    <row r="76" spans="2:27" x14ac:dyDescent="0.2">
      <c r="B76" s="94"/>
      <c r="C76" s="62">
        <v>37</v>
      </c>
      <c r="D76" s="62">
        <v>10388.507536814606</v>
      </c>
      <c r="E76" s="62">
        <v>0.61738059620134766</v>
      </c>
      <c r="F76" s="62">
        <v>14948.69723598474</v>
      </c>
      <c r="G76" s="62">
        <v>0.89440667155456988</v>
      </c>
      <c r="H76" s="62">
        <v>14983.563146582912</v>
      </c>
      <c r="I76" s="62">
        <v>0.896870984365994</v>
      </c>
      <c r="J76" s="62">
        <v>14883.912976711592</v>
      </c>
      <c r="K76" s="62">
        <v>0.88943747271166829</v>
      </c>
      <c r="L76" s="62">
        <f t="shared" si="3"/>
        <v>-4560.1896991701342</v>
      </c>
      <c r="M76" s="62">
        <f t="shared" si="4"/>
        <v>-0.27702607535322221</v>
      </c>
      <c r="N76" s="62">
        <f t="shared" si="5"/>
        <v>-4595.0556097683057</v>
      </c>
      <c r="O76" s="62">
        <f t="shared" si="6"/>
        <v>-0.27949038816464633</v>
      </c>
      <c r="P76" s="62">
        <f t="shared" si="7"/>
        <v>-4495.4054398969856</v>
      </c>
      <c r="Q76" s="62">
        <f t="shared" si="8"/>
        <v>-0.27205687651032062</v>
      </c>
      <c r="R76" s="62">
        <f t="shared" si="9"/>
        <v>15185.86628023002</v>
      </c>
      <c r="S76" s="62">
        <f t="shared" si="10"/>
        <v>22101.204726491764</v>
      </c>
      <c r="T76" s="62">
        <f t="shared" si="11"/>
        <v>22168.420509794021</v>
      </c>
      <c r="U76" s="62">
        <f t="shared" si="12"/>
        <v>21960.144892896558</v>
      </c>
      <c r="V76" s="62">
        <f t="shared" si="13"/>
        <v>1</v>
      </c>
      <c r="W76" s="62">
        <f t="shared" si="13"/>
        <v>0</v>
      </c>
      <c r="X76" s="62">
        <f t="shared" si="13"/>
        <v>0</v>
      </c>
      <c r="Y76" s="62">
        <f t="shared" si="13"/>
        <v>0</v>
      </c>
      <c r="AA76" s="94"/>
    </row>
    <row r="77" spans="2:27" x14ac:dyDescent="0.2">
      <c r="B77" s="94"/>
      <c r="C77" s="62">
        <v>38</v>
      </c>
      <c r="D77" s="62">
        <v>10907.790147071084</v>
      </c>
      <c r="E77" s="62">
        <v>0.61752926314810019</v>
      </c>
      <c r="F77" s="62">
        <v>15685.297895086685</v>
      </c>
      <c r="G77" s="62">
        <v>0.89336313477428964</v>
      </c>
      <c r="H77" s="62">
        <v>15738.539299835813</v>
      </c>
      <c r="I77" s="62">
        <v>0.89680441175276815</v>
      </c>
      <c r="J77" s="62">
        <v>15640.155914702767</v>
      </c>
      <c r="K77" s="62">
        <v>0.88997158663725695</v>
      </c>
      <c r="L77" s="62">
        <f t="shared" si="3"/>
        <v>-4777.5077480156015</v>
      </c>
      <c r="M77" s="62">
        <f t="shared" si="4"/>
        <v>-0.27583387162618944</v>
      </c>
      <c r="N77" s="62">
        <f t="shared" si="5"/>
        <v>-4830.7491527647289</v>
      </c>
      <c r="O77" s="62">
        <f t="shared" si="6"/>
        <v>-0.27927514860466796</v>
      </c>
      <c r="P77" s="62">
        <f t="shared" si="7"/>
        <v>-4732.3657676316834</v>
      </c>
      <c r="Q77" s="62">
        <f t="shared" si="8"/>
        <v>-0.27244232348915676</v>
      </c>
      <c r="R77" s="62">
        <f t="shared" si="9"/>
        <v>14672.742049575818</v>
      </c>
      <c r="S77" s="62">
        <f t="shared" si="10"/>
        <v>21321.376599803491</v>
      </c>
      <c r="T77" s="62">
        <f t="shared" si="11"/>
        <v>21410.68665261085</v>
      </c>
      <c r="U77" s="62">
        <f t="shared" si="12"/>
        <v>21226.027090158968</v>
      </c>
      <c r="V77" s="62">
        <f t="shared" si="13"/>
        <v>1</v>
      </c>
      <c r="W77" s="62">
        <f t="shared" si="13"/>
        <v>0</v>
      </c>
      <c r="X77" s="62">
        <f t="shared" si="13"/>
        <v>0</v>
      </c>
      <c r="Y77" s="62">
        <f t="shared" si="13"/>
        <v>0</v>
      </c>
      <c r="AA77" s="94"/>
    </row>
    <row r="78" spans="2:27" x14ac:dyDescent="0.2">
      <c r="B78" s="94"/>
      <c r="C78" s="62">
        <v>39</v>
      </c>
      <c r="D78" s="62">
        <v>9170.5929141903707</v>
      </c>
      <c r="E78" s="62">
        <v>0.61762640698461235</v>
      </c>
      <c r="F78" s="62">
        <v>13184.089127954203</v>
      </c>
      <c r="G78" s="62">
        <v>0.89475003224202221</v>
      </c>
      <c r="H78" s="62">
        <v>13214.442298749842</v>
      </c>
      <c r="I78" s="62">
        <v>0.89701485155076932</v>
      </c>
      <c r="J78" s="62">
        <v>13114.12843346702</v>
      </c>
      <c r="K78" s="62">
        <v>0.8885197009240019</v>
      </c>
      <c r="L78" s="62">
        <f t="shared" si="3"/>
        <v>-4013.4962137638322</v>
      </c>
      <c r="M78" s="62">
        <f t="shared" si="4"/>
        <v>-0.27712362525740986</v>
      </c>
      <c r="N78" s="62">
        <f t="shared" si="5"/>
        <v>-4043.8493845594712</v>
      </c>
      <c r="O78" s="62">
        <f t="shared" si="6"/>
        <v>-0.27938844456615697</v>
      </c>
      <c r="P78" s="62">
        <f t="shared" si="7"/>
        <v>-3943.5355192766492</v>
      </c>
      <c r="Q78" s="62">
        <f t="shared" si="8"/>
        <v>-0.27089329393938955</v>
      </c>
      <c r="R78" s="62">
        <f t="shared" si="9"/>
        <v>16413.963368740209</v>
      </c>
      <c r="S78" s="62">
        <f t="shared" si="10"/>
        <v>23880.036207639321</v>
      </c>
      <c r="T78" s="62">
        <f t="shared" si="11"/>
        <v>23943.500911889227</v>
      </c>
      <c r="U78" s="62">
        <f t="shared" si="12"/>
        <v>23691.911657608835</v>
      </c>
      <c r="V78" s="62">
        <f t="shared" si="13"/>
        <v>1</v>
      </c>
      <c r="W78" s="62">
        <f t="shared" si="13"/>
        <v>0</v>
      </c>
      <c r="X78" s="62">
        <f t="shared" si="13"/>
        <v>0</v>
      </c>
      <c r="Y78" s="62">
        <f t="shared" si="13"/>
        <v>0</v>
      </c>
      <c r="AA78" s="94"/>
    </row>
    <row r="79" spans="2:27" x14ac:dyDescent="0.2">
      <c r="B79" s="94"/>
      <c r="C79" s="62">
        <v>40</v>
      </c>
      <c r="D79" s="62">
        <v>9733.0190581687857</v>
      </c>
      <c r="E79" s="62">
        <v>0.61778962223164646</v>
      </c>
      <c r="F79" s="62">
        <v>13997.144328661023</v>
      </c>
      <c r="G79" s="62">
        <v>0.89447777086557023</v>
      </c>
      <c r="H79" s="62">
        <v>14035.284357677829</v>
      </c>
      <c r="I79" s="62">
        <v>0.89725760847373015</v>
      </c>
      <c r="J79" s="62">
        <v>13931.853572110209</v>
      </c>
      <c r="K79" s="62">
        <v>0.88926468238829626</v>
      </c>
      <c r="L79" s="62">
        <f t="shared" si="3"/>
        <v>-4264.1252704922372</v>
      </c>
      <c r="M79" s="62">
        <f t="shared" si="4"/>
        <v>-0.27668814863392377</v>
      </c>
      <c r="N79" s="62">
        <f t="shared" si="5"/>
        <v>-4302.265299509043</v>
      </c>
      <c r="O79" s="62">
        <f t="shared" si="6"/>
        <v>-0.27946798624208369</v>
      </c>
      <c r="P79" s="62">
        <f t="shared" si="7"/>
        <v>-4198.8345139414232</v>
      </c>
      <c r="Q79" s="62">
        <f t="shared" si="8"/>
        <v>-0.27147506015664979</v>
      </c>
      <c r="R79" s="62">
        <f t="shared" si="9"/>
        <v>15858.298253154939</v>
      </c>
      <c r="S79" s="62">
        <f t="shared" si="10"/>
        <v>23055.702851674359</v>
      </c>
      <c r="T79" s="62">
        <f t="shared" si="11"/>
        <v>23132.714815737967</v>
      </c>
      <c r="U79" s="62">
        <f t="shared" si="12"/>
        <v>22905.046631142577</v>
      </c>
      <c r="V79" s="62">
        <f t="shared" si="13"/>
        <v>1</v>
      </c>
      <c r="W79" s="62">
        <f t="shared" si="13"/>
        <v>0</v>
      </c>
      <c r="X79" s="62">
        <f t="shared" si="13"/>
        <v>0</v>
      </c>
      <c r="Y79" s="62">
        <f t="shared" si="13"/>
        <v>0</v>
      </c>
      <c r="AA79" s="94"/>
    </row>
    <row r="80" spans="2:27" x14ac:dyDescent="0.2">
      <c r="B80" s="94"/>
      <c r="C80" s="62">
        <v>41</v>
      </c>
      <c r="D80" s="62">
        <v>9615.7545727272573</v>
      </c>
      <c r="E80" s="62">
        <v>0.6172955725799123</v>
      </c>
      <c r="F80" s="62">
        <v>13829.305313522056</v>
      </c>
      <c r="G80" s="62">
        <v>0.89431552103294842</v>
      </c>
      <c r="H80" s="62">
        <v>13862.429548341412</v>
      </c>
      <c r="I80" s="62">
        <v>0.896767576832878</v>
      </c>
      <c r="J80" s="62">
        <v>13773.665098095677</v>
      </c>
      <c r="K80" s="62">
        <v>0.88953218206857343</v>
      </c>
      <c r="L80" s="62">
        <f t="shared" si="3"/>
        <v>-4213.5507407947989</v>
      </c>
      <c r="M80" s="62">
        <f t="shared" si="4"/>
        <v>-0.27701994845303612</v>
      </c>
      <c r="N80" s="62">
        <f t="shared" si="5"/>
        <v>-4246.6749756141544</v>
      </c>
      <c r="O80" s="62">
        <f t="shared" si="6"/>
        <v>-0.2794720042529657</v>
      </c>
      <c r="P80" s="62">
        <f t="shared" si="7"/>
        <v>-4157.9105253684193</v>
      </c>
      <c r="Q80" s="62">
        <f t="shared" si="8"/>
        <v>-0.27223660948866113</v>
      </c>
      <c r="R80" s="62">
        <f t="shared" si="9"/>
        <v>15955.09722582303</v>
      </c>
      <c r="S80" s="62">
        <f t="shared" si="10"/>
        <v>23216.820829746801</v>
      </c>
      <c r="T80" s="62">
        <f t="shared" si="11"/>
        <v>23285.270554383729</v>
      </c>
      <c r="U80" s="62">
        <f t="shared" si="12"/>
        <v>23074.31601191291</v>
      </c>
      <c r="V80" s="62">
        <f t="shared" si="13"/>
        <v>1</v>
      </c>
      <c r="W80" s="62">
        <f t="shared" si="13"/>
        <v>0</v>
      </c>
      <c r="X80" s="62">
        <f t="shared" si="13"/>
        <v>0</v>
      </c>
      <c r="Y80" s="62">
        <f t="shared" si="13"/>
        <v>0</v>
      </c>
      <c r="AA80" s="94"/>
    </row>
    <row r="81" spans="2:27" x14ac:dyDescent="0.2">
      <c r="B81" s="94"/>
      <c r="C81" s="62">
        <v>42</v>
      </c>
      <c r="D81" s="62">
        <v>11270.738199743741</v>
      </c>
      <c r="E81" s="62">
        <v>0.61793830449782217</v>
      </c>
      <c r="F81" s="62">
        <v>16206.020178973862</v>
      </c>
      <c r="G81" s="62">
        <v>0.8944374068510238</v>
      </c>
      <c r="H81" s="62">
        <v>16235.660795719874</v>
      </c>
      <c r="I81" s="62">
        <v>0.89619444697259787</v>
      </c>
      <c r="J81" s="62">
        <v>16129.846061655539</v>
      </c>
      <c r="K81" s="62">
        <v>0.88903990666227861</v>
      </c>
      <c r="L81" s="62">
        <f t="shared" si="3"/>
        <v>-4935.2819792301216</v>
      </c>
      <c r="M81" s="62">
        <f t="shared" si="4"/>
        <v>-0.27649910235320163</v>
      </c>
      <c r="N81" s="62">
        <f t="shared" si="5"/>
        <v>-4964.9225959761334</v>
      </c>
      <c r="O81" s="62">
        <f t="shared" si="6"/>
        <v>-0.2782561424747757</v>
      </c>
      <c r="P81" s="62">
        <f t="shared" si="7"/>
        <v>-4859.107861911798</v>
      </c>
      <c r="Q81" s="62">
        <f t="shared" si="8"/>
        <v>-0.27110160216445645</v>
      </c>
      <c r="R81" s="62">
        <f t="shared" si="9"/>
        <v>14326.738125774045</v>
      </c>
      <c r="S81" s="62">
        <f t="shared" si="10"/>
        <v>20845.154962422945</v>
      </c>
      <c r="T81" s="62">
        <f t="shared" si="11"/>
        <v>20888.29797567302</v>
      </c>
      <c r="U81" s="62">
        <f t="shared" si="12"/>
        <v>20697.743031922691</v>
      </c>
      <c r="V81" s="62">
        <f t="shared" si="13"/>
        <v>1</v>
      </c>
      <c r="W81" s="62">
        <f t="shared" si="13"/>
        <v>0</v>
      </c>
      <c r="X81" s="62">
        <f t="shared" si="13"/>
        <v>0</v>
      </c>
      <c r="Y81" s="62">
        <f t="shared" si="13"/>
        <v>0</v>
      </c>
      <c r="AA81" s="94"/>
    </row>
    <row r="82" spans="2:27" x14ac:dyDescent="0.2">
      <c r="B82" s="94"/>
      <c r="C82" s="62">
        <v>43</v>
      </c>
      <c r="D82" s="62">
        <v>9126.8806433275058</v>
      </c>
      <c r="E82" s="62">
        <v>0.61761552878367221</v>
      </c>
      <c r="F82" s="62">
        <v>13110.240915325774</v>
      </c>
      <c r="G82" s="62">
        <v>0.89336330693747057</v>
      </c>
      <c r="H82" s="62">
        <v>13166.235770210065</v>
      </c>
      <c r="I82" s="62">
        <v>0.8975056877503228</v>
      </c>
      <c r="J82" s="62">
        <v>13076.716856367861</v>
      </c>
      <c r="K82" s="62">
        <v>0.89011318502179848</v>
      </c>
      <c r="L82" s="62">
        <f t="shared" si="3"/>
        <v>-3983.3602719982682</v>
      </c>
      <c r="M82" s="62">
        <f t="shared" si="4"/>
        <v>-0.27574777815379836</v>
      </c>
      <c r="N82" s="62">
        <f t="shared" si="5"/>
        <v>-4039.3551268825595</v>
      </c>
      <c r="O82" s="62">
        <f t="shared" si="6"/>
        <v>-0.27989015896665059</v>
      </c>
      <c r="P82" s="62">
        <f t="shared" si="7"/>
        <v>-3949.8362130403548</v>
      </c>
      <c r="Q82" s="62">
        <f t="shared" si="8"/>
        <v>-0.27249765623812627</v>
      </c>
      <c r="R82" s="62">
        <f t="shared" si="9"/>
        <v>16457.225021007333</v>
      </c>
      <c r="S82" s="62">
        <f t="shared" si="10"/>
        <v>23896.440711252006</v>
      </c>
      <c r="T82" s="62">
        <f t="shared" si="11"/>
        <v>24012.039839159312</v>
      </c>
      <c r="U82" s="62">
        <f t="shared" si="12"/>
        <v>23795.331719975122</v>
      </c>
      <c r="V82" s="62">
        <f t="shared" si="13"/>
        <v>1</v>
      </c>
      <c r="W82" s="62">
        <f t="shared" si="13"/>
        <v>0</v>
      </c>
      <c r="X82" s="62">
        <f t="shared" si="13"/>
        <v>0</v>
      </c>
      <c r="Y82" s="62">
        <f t="shared" si="13"/>
        <v>0</v>
      </c>
      <c r="AA82" s="94"/>
    </row>
    <row r="83" spans="2:27" x14ac:dyDescent="0.2">
      <c r="B83" s="94"/>
      <c r="C83" s="62">
        <v>44</v>
      </c>
      <c r="D83" s="62">
        <v>11197.045226294294</v>
      </c>
      <c r="E83" s="62">
        <v>0.6175431087010177</v>
      </c>
      <c r="F83" s="62">
        <v>16093.342486413978</v>
      </c>
      <c r="G83" s="62">
        <v>0.89347070513833871</v>
      </c>
      <c r="H83" s="62">
        <v>16141.969233855767</v>
      </c>
      <c r="I83" s="62">
        <v>0.89641830897346386</v>
      </c>
      <c r="J83" s="62">
        <v>16051.28139089146</v>
      </c>
      <c r="K83" s="62">
        <v>0.89020578088286462</v>
      </c>
      <c r="L83" s="62">
        <f t="shared" si="3"/>
        <v>-4896.2972601196834</v>
      </c>
      <c r="M83" s="62">
        <f t="shared" si="4"/>
        <v>-0.27592759643732101</v>
      </c>
      <c r="N83" s="62">
        <f t="shared" si="5"/>
        <v>-4944.9240075614725</v>
      </c>
      <c r="O83" s="62">
        <f t="shared" si="6"/>
        <v>-0.27887520027244617</v>
      </c>
      <c r="P83" s="62">
        <f t="shared" si="7"/>
        <v>-4854.236164597165</v>
      </c>
      <c r="Q83" s="62">
        <f t="shared" si="8"/>
        <v>-0.27266267218184692</v>
      </c>
      <c r="R83" s="62">
        <f t="shared" si="9"/>
        <v>14384.060508536664</v>
      </c>
      <c r="S83" s="62">
        <f t="shared" si="10"/>
        <v>20917.788003236561</v>
      </c>
      <c r="T83" s="62">
        <f t="shared" si="11"/>
        <v>20991.262797061005</v>
      </c>
      <c r="U83" s="62">
        <f t="shared" si="12"/>
        <v>20824.60287640032</v>
      </c>
      <c r="V83" s="62">
        <f t="shared" si="13"/>
        <v>1</v>
      </c>
      <c r="W83" s="62">
        <f t="shared" si="13"/>
        <v>0</v>
      </c>
      <c r="X83" s="62">
        <f t="shared" si="13"/>
        <v>0</v>
      </c>
      <c r="Y83" s="62">
        <f t="shared" si="13"/>
        <v>0</v>
      </c>
      <c r="AA83" s="94"/>
    </row>
    <row r="84" spans="2:27" x14ac:dyDescent="0.2">
      <c r="B84" s="94"/>
      <c r="C84" s="62">
        <v>45</v>
      </c>
      <c r="D84" s="62">
        <v>7616.7624702338626</v>
      </c>
      <c r="E84" s="62">
        <v>0.61744006719661004</v>
      </c>
      <c r="F84" s="62">
        <v>10946.30641556433</v>
      </c>
      <c r="G84" s="62">
        <v>0.89429796994028754</v>
      </c>
      <c r="H84" s="62">
        <v>10973.649809656114</v>
      </c>
      <c r="I84" s="62">
        <v>0.89688306051315358</v>
      </c>
      <c r="J84" s="62">
        <v>10900.695047935496</v>
      </c>
      <c r="K84" s="62">
        <v>0.88939217384818858</v>
      </c>
      <c r="L84" s="62">
        <f t="shared" si="3"/>
        <v>-3329.5439453304671</v>
      </c>
      <c r="M84" s="62">
        <f t="shared" si="4"/>
        <v>-0.2768579027436775</v>
      </c>
      <c r="N84" s="62">
        <f t="shared" si="5"/>
        <v>-3356.887339422251</v>
      </c>
      <c r="O84" s="62">
        <f t="shared" si="6"/>
        <v>-0.27944299331654354</v>
      </c>
      <c r="P84" s="62">
        <f t="shared" si="7"/>
        <v>-3283.9325777016338</v>
      </c>
      <c r="Q84" s="62">
        <f t="shared" si="8"/>
        <v>-0.27195210665157854</v>
      </c>
      <c r="R84" s="62">
        <f t="shared" si="9"/>
        <v>17960.074873318514</v>
      </c>
      <c r="S84" s="62">
        <f t="shared" si="10"/>
        <v>26099.092691242142</v>
      </c>
      <c r="T84" s="62">
        <f t="shared" si="11"/>
        <v>26178.834089040764</v>
      </c>
      <c r="U84" s="62">
        <f t="shared" si="12"/>
        <v>25941.486361551866</v>
      </c>
      <c r="V84" s="62">
        <f t="shared" si="13"/>
        <v>1</v>
      </c>
      <c r="W84" s="62">
        <f t="shared" si="13"/>
        <v>0</v>
      </c>
      <c r="X84" s="62">
        <f t="shared" si="13"/>
        <v>0</v>
      </c>
      <c r="Y84" s="62">
        <f t="shared" si="13"/>
        <v>0</v>
      </c>
      <c r="AA84" s="94"/>
    </row>
    <row r="85" spans="2:27" x14ac:dyDescent="0.2">
      <c r="B85" s="94"/>
      <c r="C85" s="62">
        <v>46</v>
      </c>
      <c r="D85" s="62">
        <v>11522.712365602762</v>
      </c>
      <c r="E85" s="62">
        <v>0.61746406391807207</v>
      </c>
      <c r="F85" s="62">
        <v>16558.146495721459</v>
      </c>
      <c r="G85" s="62">
        <v>0.89348050063627582</v>
      </c>
      <c r="H85" s="62">
        <v>16638.517200164988</v>
      </c>
      <c r="I85" s="62">
        <v>0.89822262962191135</v>
      </c>
      <c r="J85" s="62">
        <v>16504.221882377609</v>
      </c>
      <c r="K85" s="62">
        <v>0.88946606611909385</v>
      </c>
      <c r="L85" s="62">
        <f t="shared" si="3"/>
        <v>-5035.4341301186978</v>
      </c>
      <c r="M85" s="62">
        <f t="shared" si="4"/>
        <v>-0.27601643671820375</v>
      </c>
      <c r="N85" s="62">
        <f t="shared" si="5"/>
        <v>-5115.8048345622265</v>
      </c>
      <c r="O85" s="62">
        <f t="shared" si="6"/>
        <v>-0.28075856570383928</v>
      </c>
      <c r="P85" s="62">
        <f t="shared" si="7"/>
        <v>-4981.5095167748477</v>
      </c>
      <c r="Q85" s="62">
        <f t="shared" si="8"/>
        <v>-0.27200200220102178</v>
      </c>
      <c r="R85" s="62">
        <f t="shared" si="9"/>
        <v>14055.119018139456</v>
      </c>
      <c r="S85" s="62">
        <f t="shared" si="10"/>
        <v>20453.38976263563</v>
      </c>
      <c r="T85" s="62">
        <f t="shared" si="11"/>
        <v>20569.45700929307</v>
      </c>
      <c r="U85" s="62">
        <f t="shared" si="12"/>
        <v>20341.020440539734</v>
      </c>
      <c r="V85" s="62">
        <f t="shared" si="13"/>
        <v>1</v>
      </c>
      <c r="W85" s="62">
        <f t="shared" si="13"/>
        <v>0</v>
      </c>
      <c r="X85" s="62">
        <f t="shared" si="13"/>
        <v>0</v>
      </c>
      <c r="Y85" s="62">
        <f t="shared" si="13"/>
        <v>0</v>
      </c>
      <c r="AA85" s="94"/>
    </row>
    <row r="86" spans="2:27" x14ac:dyDescent="0.2">
      <c r="B86" s="94"/>
      <c r="C86" s="62">
        <v>47</v>
      </c>
      <c r="D86" s="62">
        <v>10319.360250203801</v>
      </c>
      <c r="E86" s="62">
        <v>0.61754821324748066</v>
      </c>
      <c r="F86" s="62">
        <v>14840.935608652477</v>
      </c>
      <c r="G86" s="62">
        <v>0.89448906320058275</v>
      </c>
      <c r="H86" s="62">
        <v>14881.080445798974</v>
      </c>
      <c r="I86" s="62">
        <v>0.89718501616967494</v>
      </c>
      <c r="J86" s="62">
        <v>14765.857699728364</v>
      </c>
      <c r="K86" s="62">
        <v>0.88866722921600483</v>
      </c>
      <c r="L86" s="62">
        <f t="shared" si="3"/>
        <v>-4521.5753584486756</v>
      </c>
      <c r="M86" s="62">
        <f t="shared" si="4"/>
        <v>-0.27694084995310209</v>
      </c>
      <c r="N86" s="62">
        <f t="shared" si="5"/>
        <v>-4561.7201955951732</v>
      </c>
      <c r="O86" s="62">
        <f t="shared" si="6"/>
        <v>-0.27963680292219428</v>
      </c>
      <c r="P86" s="62">
        <f t="shared" si="7"/>
        <v>-4446.4974495245624</v>
      </c>
      <c r="Q86" s="62">
        <f t="shared" si="8"/>
        <v>-0.27111901596852417</v>
      </c>
      <c r="R86" s="62">
        <f t="shared" si="9"/>
        <v>15261.956935359838</v>
      </c>
      <c r="S86" s="62">
        <f t="shared" si="10"/>
        <v>22212.379345368463</v>
      </c>
      <c r="T86" s="62">
        <f t="shared" si="11"/>
        <v>22283.911664013642</v>
      </c>
      <c r="U86" s="62">
        <f t="shared" si="12"/>
        <v>22046.293603315422</v>
      </c>
      <c r="V86" s="62">
        <f t="shared" si="13"/>
        <v>1</v>
      </c>
      <c r="W86" s="62">
        <f t="shared" si="13"/>
        <v>0</v>
      </c>
      <c r="X86" s="62">
        <f t="shared" si="13"/>
        <v>0</v>
      </c>
      <c r="Y86" s="62">
        <f t="shared" si="13"/>
        <v>0</v>
      </c>
      <c r="AA86" s="94"/>
    </row>
    <row r="87" spans="2:27" x14ac:dyDescent="0.2">
      <c r="B87" s="94"/>
      <c r="C87" s="62">
        <v>48</v>
      </c>
      <c r="D87" s="62">
        <v>9515.2354068407476</v>
      </c>
      <c r="E87" s="62">
        <v>0.61782266998312285</v>
      </c>
      <c r="F87" s="62">
        <v>13681.040281419651</v>
      </c>
      <c r="G87" s="62">
        <v>0.89422866401484313</v>
      </c>
      <c r="H87" s="62">
        <v>13723.940552990283</v>
      </c>
      <c r="I87" s="62">
        <v>0.89732760646723631</v>
      </c>
      <c r="J87" s="62">
        <v>13616.923040741378</v>
      </c>
      <c r="K87" s="62">
        <v>0.88897529236549688</v>
      </c>
      <c r="L87" s="62">
        <f t="shared" si="3"/>
        <v>-4165.8048745789038</v>
      </c>
      <c r="M87" s="62">
        <f t="shared" si="4"/>
        <v>-0.27640599403172028</v>
      </c>
      <c r="N87" s="62">
        <f t="shared" si="5"/>
        <v>-4208.7051461495357</v>
      </c>
      <c r="O87" s="62">
        <f t="shared" si="6"/>
        <v>-0.27950493648411345</v>
      </c>
      <c r="P87" s="62">
        <f t="shared" si="7"/>
        <v>-4101.6876339006303</v>
      </c>
      <c r="Q87" s="62">
        <f t="shared" si="8"/>
        <v>-0.27115262238237403</v>
      </c>
      <c r="R87" s="62">
        <f t="shared" si="9"/>
        <v>16077.450874540133</v>
      </c>
      <c r="S87" s="62">
        <f t="shared" si="10"/>
        <v>23361.487896731211</v>
      </c>
      <c r="T87" s="62">
        <f t="shared" si="11"/>
        <v>23446.958217308511</v>
      </c>
      <c r="U87" s="62">
        <f t="shared" si="12"/>
        <v>23207.989470206965</v>
      </c>
      <c r="V87" s="62">
        <f t="shared" si="13"/>
        <v>1</v>
      </c>
      <c r="W87" s="62">
        <f t="shared" si="13"/>
        <v>0</v>
      </c>
      <c r="X87" s="62">
        <f t="shared" si="13"/>
        <v>0</v>
      </c>
      <c r="Y87" s="62">
        <f t="shared" si="13"/>
        <v>0</v>
      </c>
      <c r="AA87" s="94"/>
    </row>
    <row r="88" spans="2:27" x14ac:dyDescent="0.2">
      <c r="B88" s="94"/>
      <c r="C88" s="62">
        <v>49</v>
      </c>
      <c r="D88" s="62">
        <v>9117.5642085452782</v>
      </c>
      <c r="E88" s="62">
        <v>0.61767916258102151</v>
      </c>
      <c r="F88" s="62">
        <v>13116.214077609115</v>
      </c>
      <c r="G88" s="62">
        <v>0.89432885603087853</v>
      </c>
      <c r="H88" s="62">
        <v>13145.351036777114</v>
      </c>
      <c r="I88" s="62">
        <v>0.89664535391321432</v>
      </c>
      <c r="J88" s="62">
        <v>13055.173528294234</v>
      </c>
      <c r="K88" s="62">
        <v>0.88920254723140013</v>
      </c>
      <c r="L88" s="62">
        <f t="shared" si="3"/>
        <v>-3998.6498690638364</v>
      </c>
      <c r="M88" s="62">
        <f t="shared" si="4"/>
        <v>-0.27664969344985701</v>
      </c>
      <c r="N88" s="62">
        <f t="shared" si="5"/>
        <v>-4027.7868282318359</v>
      </c>
      <c r="O88" s="62">
        <f t="shared" si="6"/>
        <v>-0.2789661913321928</v>
      </c>
      <c r="P88" s="62">
        <f t="shared" si="7"/>
        <v>-3937.6093197489554</v>
      </c>
      <c r="Q88" s="62">
        <f t="shared" si="8"/>
        <v>-0.27152338465037862</v>
      </c>
      <c r="R88" s="62">
        <f t="shared" si="9"/>
        <v>16469.177422210956</v>
      </c>
      <c r="S88" s="62">
        <f t="shared" si="10"/>
        <v>23930.464454614001</v>
      </c>
      <c r="T88" s="62">
        <f t="shared" si="11"/>
        <v>23997.286103723876</v>
      </c>
      <c r="U88" s="62">
        <f t="shared" si="12"/>
        <v>23779.15278821929</v>
      </c>
      <c r="V88" s="62">
        <f t="shared" si="13"/>
        <v>1</v>
      </c>
      <c r="W88" s="62">
        <f t="shared" si="13"/>
        <v>0</v>
      </c>
      <c r="X88" s="62">
        <f t="shared" si="13"/>
        <v>0</v>
      </c>
      <c r="Y88" s="62">
        <f t="shared" si="13"/>
        <v>0</v>
      </c>
      <c r="AA88" s="94"/>
    </row>
    <row r="89" spans="2:27" x14ac:dyDescent="0.2">
      <c r="B89" s="94"/>
      <c r="C89" s="62">
        <v>50</v>
      </c>
      <c r="D89" s="62">
        <v>8757.2538567781157</v>
      </c>
      <c r="E89" s="62">
        <v>0.61753005915241088</v>
      </c>
      <c r="F89" s="62">
        <v>12600.578559496236</v>
      </c>
      <c r="G89" s="62">
        <v>0.89485112182079107</v>
      </c>
      <c r="H89" s="62">
        <v>12628.387819521131</v>
      </c>
      <c r="I89" s="62">
        <v>0.89717671082551054</v>
      </c>
      <c r="J89" s="62">
        <v>12552.731622248319</v>
      </c>
      <c r="K89" s="62">
        <v>0.89055530977812669</v>
      </c>
      <c r="L89" s="62">
        <f t="shared" si="3"/>
        <v>-3843.3247027181205</v>
      </c>
      <c r="M89" s="62">
        <f t="shared" si="4"/>
        <v>-0.27732106266838019</v>
      </c>
      <c r="N89" s="62">
        <f t="shared" si="5"/>
        <v>-3871.1339627430152</v>
      </c>
      <c r="O89" s="62">
        <f t="shared" si="6"/>
        <v>-0.27964665167309966</v>
      </c>
      <c r="P89" s="62">
        <f t="shared" si="7"/>
        <v>-3795.4777654702029</v>
      </c>
      <c r="Q89" s="62">
        <f t="shared" si="8"/>
        <v>-0.27302525062571581</v>
      </c>
      <c r="R89" s="62">
        <f t="shared" si="9"/>
        <v>16823.311313551352</v>
      </c>
      <c r="S89" s="62">
        <f t="shared" si="10"/>
        <v>24467.734310808213</v>
      </c>
      <c r="T89" s="62">
        <f t="shared" si="11"/>
        <v>24536.260249714818</v>
      </c>
      <c r="U89" s="62">
        <f t="shared" si="12"/>
        <v>24337.631530000799</v>
      </c>
      <c r="V89" s="62">
        <f t="shared" si="13"/>
        <v>1</v>
      </c>
      <c r="W89" s="62">
        <f t="shared" si="13"/>
        <v>0</v>
      </c>
      <c r="X89" s="62">
        <f t="shared" si="13"/>
        <v>0</v>
      </c>
      <c r="Y89" s="62">
        <f t="shared" si="13"/>
        <v>0</v>
      </c>
      <c r="AA89" s="94"/>
    </row>
    <row r="90" spans="2:27" x14ac:dyDescent="0.2">
      <c r="B90" s="94"/>
      <c r="C90" s="62">
        <v>51</v>
      </c>
      <c r="D90" s="62">
        <v>9722.7458466218923</v>
      </c>
      <c r="E90" s="62">
        <v>0.61754382773706307</v>
      </c>
      <c r="F90" s="62">
        <v>13977.656067455529</v>
      </c>
      <c r="G90" s="62">
        <v>0.89399249229451094</v>
      </c>
      <c r="H90" s="62">
        <v>14018.267789703661</v>
      </c>
      <c r="I90" s="62">
        <v>0.89693656604794358</v>
      </c>
      <c r="J90" s="62">
        <v>13931.801109689952</v>
      </c>
      <c r="K90" s="62">
        <v>0.89003150285458732</v>
      </c>
      <c r="L90" s="62">
        <f t="shared" si="3"/>
        <v>-4254.9102208336371</v>
      </c>
      <c r="M90" s="62">
        <f t="shared" si="4"/>
        <v>-0.27644866455744788</v>
      </c>
      <c r="N90" s="62">
        <f t="shared" si="5"/>
        <v>-4295.5219430817688</v>
      </c>
      <c r="O90" s="62">
        <f t="shared" si="6"/>
        <v>-0.27939273831088052</v>
      </c>
      <c r="P90" s="62">
        <f t="shared" si="7"/>
        <v>-4209.0552630680595</v>
      </c>
      <c r="Q90" s="62">
        <f t="shared" si="8"/>
        <v>-0.27248767511752425</v>
      </c>
      <c r="R90" s="62">
        <f t="shared" si="9"/>
        <v>15858.389673558209</v>
      </c>
      <c r="S90" s="62">
        <f t="shared" si="10"/>
        <v>23055.088933352294</v>
      </c>
      <c r="T90" s="62">
        <f t="shared" si="11"/>
        <v>23136.432522266354</v>
      </c>
      <c r="U90" s="62">
        <f t="shared" si="12"/>
        <v>22936.863864558472</v>
      </c>
      <c r="V90" s="62">
        <f t="shared" si="13"/>
        <v>1</v>
      </c>
      <c r="W90" s="62">
        <f t="shared" si="13"/>
        <v>0</v>
      </c>
      <c r="X90" s="62">
        <f t="shared" si="13"/>
        <v>0</v>
      </c>
      <c r="Y90" s="62">
        <f t="shared" si="13"/>
        <v>0</v>
      </c>
      <c r="AA90" s="94"/>
    </row>
    <row r="91" spans="2:27" x14ac:dyDescent="0.2">
      <c r="B91" s="94"/>
      <c r="C91" s="62">
        <v>52</v>
      </c>
      <c r="D91" s="62">
        <v>11594.388642124233</v>
      </c>
      <c r="E91" s="62">
        <v>0.61761559916977904</v>
      </c>
      <c r="F91" s="62">
        <v>16674.055413865895</v>
      </c>
      <c r="G91" s="62">
        <v>0.89383686542020546</v>
      </c>
      <c r="H91" s="62">
        <v>16736.312642447454</v>
      </c>
      <c r="I91" s="62">
        <v>0.89751994719117079</v>
      </c>
      <c r="J91" s="62">
        <v>16612.969433676291</v>
      </c>
      <c r="K91" s="62">
        <v>0.88959767571398662</v>
      </c>
      <c r="L91" s="62">
        <f t="shared" si="3"/>
        <v>-5079.6667717416622</v>
      </c>
      <c r="M91" s="62">
        <f t="shared" si="4"/>
        <v>-0.27622126625042642</v>
      </c>
      <c r="N91" s="62">
        <f t="shared" si="5"/>
        <v>-5141.9240003232208</v>
      </c>
      <c r="O91" s="62">
        <f t="shared" si="6"/>
        <v>-0.27990434802139175</v>
      </c>
      <c r="P91" s="62">
        <f t="shared" si="7"/>
        <v>-5018.5807915520581</v>
      </c>
      <c r="Q91" s="62">
        <f t="shared" si="8"/>
        <v>-0.27198207654420758</v>
      </c>
      <c r="R91" s="62">
        <f t="shared" si="9"/>
        <v>13989.719937884694</v>
      </c>
      <c r="S91" s="62">
        <f t="shared" si="10"/>
        <v>20352.242899300694</v>
      </c>
      <c r="T91" s="62">
        <f t="shared" si="11"/>
        <v>20442.553649999601</v>
      </c>
      <c r="U91" s="62">
        <f t="shared" si="12"/>
        <v>20237.724685099893</v>
      </c>
      <c r="V91" s="62">
        <f t="shared" si="13"/>
        <v>1</v>
      </c>
      <c r="W91" s="62">
        <f t="shared" si="13"/>
        <v>0</v>
      </c>
      <c r="X91" s="62">
        <f t="shared" si="13"/>
        <v>0</v>
      </c>
      <c r="Y91" s="62">
        <f t="shared" si="13"/>
        <v>0</v>
      </c>
      <c r="AA91" s="94"/>
    </row>
    <row r="92" spans="2:27" x14ac:dyDescent="0.2">
      <c r="B92" s="94"/>
      <c r="C92" s="62">
        <v>53</v>
      </c>
      <c r="D92" s="62">
        <v>10117.729729428316</v>
      </c>
      <c r="E92" s="62">
        <v>0.61728854534451505</v>
      </c>
      <c r="F92" s="62">
        <v>14550.863377167492</v>
      </c>
      <c r="G92" s="62">
        <v>0.89398588656340483</v>
      </c>
      <c r="H92" s="62">
        <v>14597.825831659615</v>
      </c>
      <c r="I92" s="62">
        <v>0.89714064985384212</v>
      </c>
      <c r="J92" s="62">
        <v>14502.80434911832</v>
      </c>
      <c r="K92" s="62">
        <v>0.88984927793791746</v>
      </c>
      <c r="L92" s="62">
        <f t="shared" si="3"/>
        <v>-4433.133647739176</v>
      </c>
      <c r="M92" s="62">
        <f t="shared" si="4"/>
        <v>-0.27669734121888978</v>
      </c>
      <c r="N92" s="62">
        <f t="shared" si="5"/>
        <v>-4480.0961022312986</v>
      </c>
      <c r="O92" s="62">
        <f t="shared" si="6"/>
        <v>-0.27985210450932707</v>
      </c>
      <c r="P92" s="62">
        <f t="shared" si="7"/>
        <v>-4385.0746196900036</v>
      </c>
      <c r="Q92" s="62">
        <f t="shared" si="8"/>
        <v>-0.27256073259340241</v>
      </c>
      <c r="R92" s="62">
        <f t="shared" si="9"/>
        <v>15452.830972922875</v>
      </c>
      <c r="S92" s="62">
        <f t="shared" si="10"/>
        <v>22481.607987834985</v>
      </c>
      <c r="T92" s="62">
        <f t="shared" si="11"/>
        <v>22565.328447885939</v>
      </c>
      <c r="U92" s="62">
        <f t="shared" si="12"/>
        <v>22358.312140181974</v>
      </c>
      <c r="V92" s="62">
        <f t="shared" si="13"/>
        <v>1</v>
      </c>
      <c r="W92" s="62">
        <f t="shared" si="13"/>
        <v>0</v>
      </c>
      <c r="X92" s="62">
        <f t="shared" si="13"/>
        <v>0</v>
      </c>
      <c r="Y92" s="62">
        <f t="shared" si="13"/>
        <v>0</v>
      </c>
      <c r="AA92" s="94"/>
    </row>
    <row r="93" spans="2:27" x14ac:dyDescent="0.2">
      <c r="B93" s="94"/>
      <c r="C93" s="62">
        <v>54</v>
      </c>
      <c r="D93" s="62">
        <v>12976.152724288684</v>
      </c>
      <c r="E93" s="62">
        <v>0.6180280729632962</v>
      </c>
      <c r="F93" s="62">
        <v>18656.729774286403</v>
      </c>
      <c r="G93" s="62">
        <v>0.89413130978199107</v>
      </c>
      <c r="H93" s="62">
        <v>18712.829409253711</v>
      </c>
      <c r="I93" s="62">
        <v>0.89720483106152882</v>
      </c>
      <c r="J93" s="62">
        <v>18571.555704634386</v>
      </c>
      <c r="K93" s="62">
        <v>0.88899206607770831</v>
      </c>
      <c r="L93" s="62">
        <f t="shared" si="3"/>
        <v>-5680.5770499977189</v>
      </c>
      <c r="M93" s="62">
        <f t="shared" si="4"/>
        <v>-0.27610323681869486</v>
      </c>
      <c r="N93" s="62">
        <f t="shared" si="5"/>
        <v>-5736.6766849650267</v>
      </c>
      <c r="O93" s="62">
        <f t="shared" si="6"/>
        <v>-0.27917675809823261</v>
      </c>
      <c r="P93" s="62">
        <f t="shared" si="7"/>
        <v>-5595.4029803457015</v>
      </c>
      <c r="Q93" s="62">
        <f t="shared" si="8"/>
        <v>-0.27096399311441211</v>
      </c>
      <c r="R93" s="62">
        <f t="shared" si="9"/>
        <v>12625.042170142897</v>
      </c>
      <c r="S93" s="62">
        <f t="shared" si="10"/>
        <v>18381.765602122796</v>
      </c>
      <c r="T93" s="62">
        <f t="shared" si="11"/>
        <v>18452.983512639061</v>
      </c>
      <c r="U93" s="62">
        <f t="shared" si="12"/>
        <v>18254.051640568603</v>
      </c>
      <c r="V93" s="62">
        <f t="shared" si="13"/>
        <v>1</v>
      </c>
      <c r="W93" s="62">
        <f t="shared" si="13"/>
        <v>0</v>
      </c>
      <c r="X93" s="62">
        <f t="shared" si="13"/>
        <v>0</v>
      </c>
      <c r="Y93" s="62">
        <f t="shared" si="13"/>
        <v>0</v>
      </c>
      <c r="AA93" s="94"/>
    </row>
    <row r="94" spans="2:27" x14ac:dyDescent="0.2">
      <c r="B94" s="94"/>
      <c r="C94" s="62">
        <v>55</v>
      </c>
      <c r="D94" s="62">
        <v>10537.796545919608</v>
      </c>
      <c r="E94" s="62">
        <v>0.61794411975683583</v>
      </c>
      <c r="F94" s="62">
        <v>15146.886906688202</v>
      </c>
      <c r="G94" s="62">
        <v>0.89400631843131839</v>
      </c>
      <c r="H94" s="62">
        <v>15191.134927597488</v>
      </c>
      <c r="I94" s="62">
        <v>0.8969993700449882</v>
      </c>
      <c r="J94" s="62">
        <v>15088.358096104062</v>
      </c>
      <c r="K94" s="62">
        <v>0.88957218990425291</v>
      </c>
      <c r="L94" s="62">
        <f t="shared" si="3"/>
        <v>-4609.0903607685941</v>
      </c>
      <c r="M94" s="62">
        <f t="shared" si="4"/>
        <v>-0.27606219867448256</v>
      </c>
      <c r="N94" s="62">
        <f t="shared" si="5"/>
        <v>-4653.3383816778805</v>
      </c>
      <c r="O94" s="62">
        <f t="shared" si="6"/>
        <v>-0.27905525028815237</v>
      </c>
      <c r="P94" s="62">
        <f t="shared" si="7"/>
        <v>-4550.561550184455</v>
      </c>
      <c r="Q94" s="62">
        <f t="shared" si="8"/>
        <v>-0.27162807014741708</v>
      </c>
      <c r="R94" s="62">
        <f t="shared" si="9"/>
        <v>15059.920670887559</v>
      </c>
      <c r="S94" s="62">
        <f t="shared" si="10"/>
        <v>21886.430828010729</v>
      </c>
      <c r="T94" s="62">
        <f t="shared" si="11"/>
        <v>21966.166977146102</v>
      </c>
      <c r="U94" s="62">
        <f t="shared" si="12"/>
        <v>21761.280298489706</v>
      </c>
      <c r="V94" s="62">
        <f t="shared" si="13"/>
        <v>1</v>
      </c>
      <c r="W94" s="62">
        <f t="shared" si="13"/>
        <v>0</v>
      </c>
      <c r="X94" s="62">
        <f t="shared" si="13"/>
        <v>0</v>
      </c>
      <c r="Y94" s="62">
        <f t="shared" si="13"/>
        <v>0</v>
      </c>
      <c r="AA94" s="94"/>
    </row>
    <row r="95" spans="2:27" x14ac:dyDescent="0.2">
      <c r="B95" s="94"/>
      <c r="C95" s="62">
        <v>56</v>
      </c>
      <c r="D95" s="62">
        <v>10110.497795623185</v>
      </c>
      <c r="E95" s="62">
        <v>0.61734896873127365</v>
      </c>
      <c r="F95" s="62">
        <v>14548.380782746473</v>
      </c>
      <c r="G95" s="62">
        <v>0.89484771258150775</v>
      </c>
      <c r="H95" s="62">
        <v>14582.954963745922</v>
      </c>
      <c r="I95" s="62">
        <v>0.89714302251762679</v>
      </c>
      <c r="J95" s="62">
        <v>14476.82199270769</v>
      </c>
      <c r="K95" s="62">
        <v>0.88911867877820516</v>
      </c>
      <c r="L95" s="62">
        <f t="shared" si="3"/>
        <v>-4437.8829871232883</v>
      </c>
      <c r="M95" s="62">
        <f t="shared" si="4"/>
        <v>-0.2774987438502341</v>
      </c>
      <c r="N95" s="62">
        <f t="shared" si="5"/>
        <v>-4472.4571681227371</v>
      </c>
      <c r="O95" s="62">
        <f t="shared" si="6"/>
        <v>-0.27979405378635314</v>
      </c>
      <c r="P95" s="62">
        <f t="shared" si="7"/>
        <v>-4366.3241970845047</v>
      </c>
      <c r="Q95" s="62">
        <f t="shared" si="8"/>
        <v>-0.27176971004693151</v>
      </c>
      <c r="R95" s="62">
        <f t="shared" si="9"/>
        <v>15462.565885101096</v>
      </c>
      <c r="S95" s="62">
        <f t="shared" si="10"/>
        <v>22519.790863229904</v>
      </c>
      <c r="T95" s="62">
        <f t="shared" si="11"/>
        <v>22580.297601024249</v>
      </c>
      <c r="U95" s="62">
        <f t="shared" si="12"/>
        <v>22354.030157000681</v>
      </c>
      <c r="V95" s="62">
        <f t="shared" si="13"/>
        <v>1</v>
      </c>
      <c r="W95" s="62">
        <f t="shared" si="13"/>
        <v>0</v>
      </c>
      <c r="X95" s="62">
        <f t="shared" si="13"/>
        <v>0</v>
      </c>
      <c r="Y95" s="62">
        <f t="shared" si="13"/>
        <v>0</v>
      </c>
      <c r="AA95" s="94"/>
    </row>
    <row r="96" spans="2:27" x14ac:dyDescent="0.2">
      <c r="B96" s="94"/>
      <c r="C96" s="62">
        <v>57</v>
      </c>
      <c r="D96" s="62">
        <v>11182.285841519808</v>
      </c>
      <c r="E96" s="62">
        <v>0.61783493538896095</v>
      </c>
      <c r="F96" s="62">
        <v>16086.055878324707</v>
      </c>
      <c r="G96" s="62">
        <v>0.89444592299403458</v>
      </c>
      <c r="H96" s="62">
        <v>16137.75848892031</v>
      </c>
      <c r="I96" s="62">
        <v>0.89754351468410132</v>
      </c>
      <c r="J96" s="62">
        <v>16023.797067257316</v>
      </c>
      <c r="K96" s="62">
        <v>0.89003624522769342</v>
      </c>
      <c r="L96" s="62">
        <f t="shared" si="3"/>
        <v>-4903.7700368048991</v>
      </c>
      <c r="M96" s="62">
        <f t="shared" si="4"/>
        <v>-0.27661098760507363</v>
      </c>
      <c r="N96" s="62">
        <f t="shared" si="5"/>
        <v>-4955.472647400502</v>
      </c>
      <c r="O96" s="62">
        <f t="shared" si="6"/>
        <v>-0.27970857929514037</v>
      </c>
      <c r="P96" s="62">
        <f t="shared" si="7"/>
        <v>-4841.5112257375076</v>
      </c>
      <c r="Q96" s="62">
        <f t="shared" si="8"/>
        <v>-0.27220130983873247</v>
      </c>
      <c r="R96" s="62">
        <f t="shared" si="9"/>
        <v>14410.908522032509</v>
      </c>
      <c r="S96" s="62">
        <f t="shared" si="10"/>
        <v>20965.472035780182</v>
      </c>
      <c r="T96" s="62">
        <f t="shared" si="11"/>
        <v>21042.084063353901</v>
      </c>
      <c r="U96" s="62">
        <f t="shared" si="12"/>
        <v>20845.064355054659</v>
      </c>
      <c r="V96" s="62">
        <f t="shared" si="13"/>
        <v>1</v>
      </c>
      <c r="W96" s="62">
        <f t="shared" si="13"/>
        <v>0</v>
      </c>
      <c r="X96" s="62">
        <f t="shared" si="13"/>
        <v>0</v>
      </c>
      <c r="Y96" s="62">
        <f t="shared" si="13"/>
        <v>0</v>
      </c>
      <c r="AA96" s="94"/>
    </row>
    <row r="97" spans="2:27" x14ac:dyDescent="0.2">
      <c r="B97" s="94"/>
      <c r="C97" s="62">
        <v>58</v>
      </c>
      <c r="D97" s="62">
        <v>8410.0019889875202</v>
      </c>
      <c r="E97" s="62">
        <v>0.61739714948656321</v>
      </c>
      <c r="F97" s="62">
        <v>12074.990280279444</v>
      </c>
      <c r="G97" s="62">
        <v>0.89397076331928227</v>
      </c>
      <c r="H97" s="62">
        <v>12113.883954918276</v>
      </c>
      <c r="I97" s="62">
        <v>0.89731328831548451</v>
      </c>
      <c r="J97" s="62">
        <v>12031.343600267583</v>
      </c>
      <c r="K97" s="62">
        <v>0.88936092830245805</v>
      </c>
      <c r="L97" s="62">
        <f t="shared" si="3"/>
        <v>-3664.9882912919238</v>
      </c>
      <c r="M97" s="62">
        <f t="shared" si="4"/>
        <v>-0.27657361383271906</v>
      </c>
      <c r="N97" s="62">
        <f t="shared" si="5"/>
        <v>-3703.8819659307555</v>
      </c>
      <c r="O97" s="62">
        <f t="shared" si="6"/>
        <v>-0.2799161388289213</v>
      </c>
      <c r="P97" s="62">
        <f t="shared" si="7"/>
        <v>-3621.3416112800624</v>
      </c>
      <c r="Q97" s="62">
        <f t="shared" si="8"/>
        <v>-0.27196377881589484</v>
      </c>
      <c r="R97" s="62">
        <f t="shared" si="9"/>
        <v>17165.057531343875</v>
      </c>
      <c r="S97" s="62">
        <f t="shared" si="10"/>
        <v>24956.8546194585</v>
      </c>
      <c r="T97" s="62">
        <f t="shared" si="11"/>
        <v>25056.421700262355</v>
      </c>
      <c r="U97" s="62">
        <f t="shared" si="12"/>
        <v>24809.543493733443</v>
      </c>
      <c r="V97" s="62">
        <f t="shared" si="13"/>
        <v>1</v>
      </c>
      <c r="W97" s="62">
        <f t="shared" si="13"/>
        <v>0</v>
      </c>
      <c r="X97" s="62">
        <f t="shared" si="13"/>
        <v>0</v>
      </c>
      <c r="Y97" s="62">
        <f t="shared" si="13"/>
        <v>0</v>
      </c>
      <c r="AA97" s="94"/>
    </row>
    <row r="98" spans="2:27" x14ac:dyDescent="0.2">
      <c r="B98" s="94"/>
      <c r="C98" s="62">
        <v>59</v>
      </c>
      <c r="D98" s="62">
        <v>10440.202089386363</v>
      </c>
      <c r="E98" s="62">
        <v>0.61752002612041401</v>
      </c>
      <c r="F98" s="62">
        <v>15013.099987811716</v>
      </c>
      <c r="G98" s="62">
        <v>0.89416365381097762</v>
      </c>
      <c r="H98" s="62">
        <v>15064.213200230724</v>
      </c>
      <c r="I98" s="62">
        <v>0.89758304986533466</v>
      </c>
      <c r="J98" s="62">
        <v>14950.61491260189</v>
      </c>
      <c r="K98" s="62">
        <v>0.88935993001471969</v>
      </c>
      <c r="L98" s="62">
        <f t="shared" si="3"/>
        <v>-4572.8978984253536</v>
      </c>
      <c r="M98" s="62">
        <f t="shared" si="4"/>
        <v>-0.27664362769056361</v>
      </c>
      <c r="N98" s="62">
        <f t="shared" si="5"/>
        <v>-4624.0111108443616</v>
      </c>
      <c r="O98" s="62">
        <f t="shared" si="6"/>
        <v>-0.28006302374492065</v>
      </c>
      <c r="P98" s="62">
        <f t="shared" si="7"/>
        <v>-4510.4128232155272</v>
      </c>
      <c r="Q98" s="62">
        <f t="shared" si="8"/>
        <v>-0.27183990389430568</v>
      </c>
      <c r="R98" s="62">
        <f t="shared" si="9"/>
        <v>15139.947472625667</v>
      </c>
      <c r="S98" s="62">
        <f t="shared" si="10"/>
        <v>22026.735207654223</v>
      </c>
      <c r="T98" s="62">
        <f t="shared" si="11"/>
        <v>22117.267057390898</v>
      </c>
      <c r="U98" s="62">
        <f t="shared" si="12"/>
        <v>21890.230828327858</v>
      </c>
      <c r="V98" s="62">
        <f t="shared" si="13"/>
        <v>1</v>
      </c>
      <c r="W98" s="62">
        <f t="shared" si="13"/>
        <v>0</v>
      </c>
      <c r="X98" s="62">
        <f t="shared" si="13"/>
        <v>0</v>
      </c>
      <c r="Y98" s="62">
        <f t="shared" si="13"/>
        <v>0</v>
      </c>
      <c r="AA98" s="94"/>
    </row>
    <row r="99" spans="2:27" x14ac:dyDescent="0.2">
      <c r="B99" s="94"/>
      <c r="C99" s="62">
        <v>60</v>
      </c>
      <c r="D99" s="62">
        <v>10665.762315465487</v>
      </c>
      <c r="E99" s="62">
        <v>0.61755783257979091</v>
      </c>
      <c r="F99" s="62">
        <v>15331.014028412334</v>
      </c>
      <c r="G99" s="62">
        <v>0.89360603391744287</v>
      </c>
      <c r="H99" s="62">
        <v>15382.252108365214</v>
      </c>
      <c r="I99" s="62">
        <v>0.89693662488287262</v>
      </c>
      <c r="J99" s="62">
        <v>15266.657854158635</v>
      </c>
      <c r="K99" s="62">
        <v>0.88875033578243701</v>
      </c>
      <c r="L99" s="62">
        <f t="shared" si="3"/>
        <v>-4665.251712946847</v>
      </c>
      <c r="M99" s="62">
        <f t="shared" si="4"/>
        <v>-0.27604820133765196</v>
      </c>
      <c r="N99" s="62">
        <f t="shared" si="5"/>
        <v>-4716.489792899727</v>
      </c>
      <c r="O99" s="62">
        <f t="shared" si="6"/>
        <v>-0.27937879230308171</v>
      </c>
      <c r="P99" s="62">
        <f t="shared" si="7"/>
        <v>-4600.8955386931484</v>
      </c>
      <c r="Q99" s="62">
        <f t="shared" si="8"/>
        <v>-0.2711925032026461</v>
      </c>
      <c r="R99" s="62">
        <f t="shared" si="9"/>
        <v>14915.953341319771</v>
      </c>
      <c r="S99" s="62">
        <f t="shared" si="10"/>
        <v>21685.722320583816</v>
      </c>
      <c r="T99" s="62">
        <f t="shared" si="11"/>
        <v>21772.450640782899</v>
      </c>
      <c r="U99" s="62">
        <f t="shared" si="12"/>
        <v>21548.936055293037</v>
      </c>
      <c r="V99" s="62">
        <f t="shared" si="13"/>
        <v>1</v>
      </c>
      <c r="W99" s="62">
        <f t="shared" si="13"/>
        <v>0</v>
      </c>
      <c r="X99" s="62">
        <f t="shared" si="13"/>
        <v>0</v>
      </c>
      <c r="Y99" s="62">
        <f t="shared" si="13"/>
        <v>0</v>
      </c>
      <c r="AA99" s="94"/>
    </row>
    <row r="100" spans="2:27" x14ac:dyDescent="0.2">
      <c r="B100" s="94"/>
      <c r="C100" s="62">
        <v>61</v>
      </c>
      <c r="D100" s="62">
        <v>8141.1841993411144</v>
      </c>
      <c r="E100" s="62">
        <v>0.61788911685979186</v>
      </c>
      <c r="F100" s="62">
        <v>11689.083317870329</v>
      </c>
      <c r="G100" s="62">
        <v>0.89349274579940763</v>
      </c>
      <c r="H100" s="62">
        <v>11737.06519298935</v>
      </c>
      <c r="I100" s="62">
        <v>0.89767742629427372</v>
      </c>
      <c r="J100" s="62">
        <v>11651.537603002886</v>
      </c>
      <c r="K100" s="62">
        <v>0.88968607892780716</v>
      </c>
      <c r="L100" s="62">
        <f t="shared" si="3"/>
        <v>-3547.8991185292143</v>
      </c>
      <c r="M100" s="62">
        <f t="shared" si="4"/>
        <v>-0.27560362893961576</v>
      </c>
      <c r="N100" s="62">
        <f t="shared" si="5"/>
        <v>-3595.8809936482357</v>
      </c>
      <c r="O100" s="62">
        <f t="shared" si="6"/>
        <v>-0.27978830943448185</v>
      </c>
      <c r="P100" s="62">
        <f t="shared" si="7"/>
        <v>-3510.3534036617712</v>
      </c>
      <c r="Q100" s="62">
        <f t="shared" si="8"/>
        <v>-0.27179696206801529</v>
      </c>
      <c r="R100" s="62">
        <f t="shared" si="9"/>
        <v>17454.254577458905</v>
      </c>
      <c r="S100" s="62">
        <f t="shared" si="10"/>
        <v>25322.960184124331</v>
      </c>
      <c r="T100" s="62">
        <f t="shared" si="11"/>
        <v>25448.324513824642</v>
      </c>
      <c r="U100" s="62">
        <f t="shared" si="12"/>
        <v>25202.818530502598</v>
      </c>
      <c r="V100" s="62">
        <f t="shared" si="13"/>
        <v>1</v>
      </c>
      <c r="W100" s="62">
        <f t="shared" si="13"/>
        <v>0</v>
      </c>
      <c r="X100" s="62">
        <f t="shared" si="13"/>
        <v>0</v>
      </c>
      <c r="Y100" s="62">
        <f t="shared" si="13"/>
        <v>0</v>
      </c>
      <c r="AA100" s="94"/>
    </row>
    <row r="101" spans="2:27" x14ac:dyDescent="0.2">
      <c r="B101" s="94"/>
      <c r="C101" s="62">
        <v>62</v>
      </c>
      <c r="D101" s="62">
        <v>9798.1983809393005</v>
      </c>
      <c r="E101" s="62">
        <v>0.61785032082573677</v>
      </c>
      <c r="F101" s="62">
        <v>14089.224356263658</v>
      </c>
      <c r="G101" s="62">
        <v>0.89451575263457805</v>
      </c>
      <c r="H101" s="62">
        <v>14129.518125335395</v>
      </c>
      <c r="I101" s="62">
        <v>0.89742174530296215</v>
      </c>
      <c r="J101" s="62">
        <v>14026.815831988424</v>
      </c>
      <c r="K101" s="62">
        <v>0.8895361261471797</v>
      </c>
      <c r="L101" s="62">
        <f t="shared" si="3"/>
        <v>-4291.0259753243572</v>
      </c>
      <c r="M101" s="62">
        <f t="shared" si="4"/>
        <v>-0.27666543180884129</v>
      </c>
      <c r="N101" s="62">
        <f t="shared" si="5"/>
        <v>-4331.3197443960944</v>
      </c>
      <c r="O101" s="62">
        <f t="shared" si="6"/>
        <v>-0.27957142447722538</v>
      </c>
      <c r="P101" s="62">
        <f t="shared" si="7"/>
        <v>-4228.6174510491237</v>
      </c>
      <c r="Q101" s="62">
        <f t="shared" si="8"/>
        <v>-0.27168580532144293</v>
      </c>
      <c r="R101" s="62">
        <f t="shared" si="9"/>
        <v>15795.633308946019</v>
      </c>
      <c r="S101" s="62">
        <f t="shared" si="10"/>
        <v>22965.196180871106</v>
      </c>
      <c r="T101" s="62">
        <f t="shared" si="11"/>
        <v>23045.280252094512</v>
      </c>
      <c r="U101" s="62">
        <f t="shared" si="12"/>
        <v>22821.328657532351</v>
      </c>
      <c r="V101" s="62">
        <f t="shared" si="13"/>
        <v>1</v>
      </c>
      <c r="W101" s="62">
        <f t="shared" si="13"/>
        <v>0</v>
      </c>
      <c r="X101" s="62">
        <f t="shared" si="13"/>
        <v>0</v>
      </c>
      <c r="Y101" s="62">
        <f t="shared" si="13"/>
        <v>0</v>
      </c>
      <c r="AA101" s="94"/>
    </row>
    <row r="102" spans="2:27" x14ac:dyDescent="0.2">
      <c r="B102" s="94"/>
      <c r="C102" s="62">
        <v>63</v>
      </c>
      <c r="D102" s="62">
        <v>10572.693050766728</v>
      </c>
      <c r="E102" s="62">
        <v>0.61732222664949288</v>
      </c>
      <c r="F102" s="62">
        <v>15220.160532332244</v>
      </c>
      <c r="G102" s="62">
        <v>0.89452641744475569</v>
      </c>
      <c r="H102" s="62">
        <v>15262.433960982215</v>
      </c>
      <c r="I102" s="62">
        <v>0.89729525672483978</v>
      </c>
      <c r="J102" s="62">
        <v>15156.179601855041</v>
      </c>
      <c r="K102" s="62">
        <v>0.88964899004336584</v>
      </c>
      <c r="L102" s="62">
        <f t="shared" si="3"/>
        <v>-4647.4674815655162</v>
      </c>
      <c r="M102" s="62">
        <f t="shared" si="4"/>
        <v>-0.27720419079526282</v>
      </c>
      <c r="N102" s="62">
        <f t="shared" si="5"/>
        <v>-4689.740910215487</v>
      </c>
      <c r="O102" s="62">
        <f t="shared" si="6"/>
        <v>-0.27997303007534691</v>
      </c>
      <c r="P102" s="62">
        <f t="shared" si="7"/>
        <v>-4583.4865510883137</v>
      </c>
      <c r="Q102" s="62">
        <f t="shared" si="8"/>
        <v>-0.27232676339387296</v>
      </c>
      <c r="R102" s="62">
        <f t="shared" si="9"/>
        <v>14999.262865961864</v>
      </c>
      <c r="S102" s="62">
        <f t="shared" si="10"/>
        <v>21834.70178389932</v>
      </c>
      <c r="T102" s="62">
        <f t="shared" si="11"/>
        <v>21907.124753587552</v>
      </c>
      <c r="U102" s="62">
        <f t="shared" si="12"/>
        <v>21696.640161701343</v>
      </c>
      <c r="V102" s="62">
        <f t="shared" si="13"/>
        <v>1</v>
      </c>
      <c r="W102" s="62">
        <f t="shared" si="13"/>
        <v>0</v>
      </c>
      <c r="X102" s="62">
        <f t="shared" si="13"/>
        <v>0</v>
      </c>
      <c r="Y102" s="62">
        <f t="shared" si="13"/>
        <v>0</v>
      </c>
      <c r="AA102" s="94"/>
    </row>
    <row r="103" spans="2:27" x14ac:dyDescent="0.2">
      <c r="B103" s="94"/>
      <c r="C103" s="62">
        <v>64</v>
      </c>
      <c r="D103" s="62">
        <v>9526.86947246403</v>
      </c>
      <c r="E103" s="62">
        <v>0.61764237457219417</v>
      </c>
      <c r="F103" s="62">
        <v>13685.605318767692</v>
      </c>
      <c r="G103" s="62">
        <v>0.89400398645720813</v>
      </c>
      <c r="H103" s="62">
        <v>13732.864886687546</v>
      </c>
      <c r="I103" s="62">
        <v>0.8974184645299208</v>
      </c>
      <c r="J103" s="62">
        <v>13626.705313522833</v>
      </c>
      <c r="K103" s="62">
        <v>0.88886501670026929</v>
      </c>
      <c r="L103" s="62">
        <f t="shared" si="3"/>
        <v>-4158.7358463036617</v>
      </c>
      <c r="M103" s="62">
        <f t="shared" si="4"/>
        <v>-0.27636161188501396</v>
      </c>
      <c r="N103" s="62">
        <f t="shared" si="5"/>
        <v>-4205.9954142235165</v>
      </c>
      <c r="O103" s="62">
        <f t="shared" si="6"/>
        <v>-0.27977608995772663</v>
      </c>
      <c r="P103" s="62">
        <f t="shared" si="7"/>
        <v>-4099.8358410588025</v>
      </c>
      <c r="Q103" s="62">
        <f t="shared" si="8"/>
        <v>-0.27122264212807512</v>
      </c>
      <c r="R103" s="62">
        <f t="shared" si="9"/>
        <v>16058.348251814543</v>
      </c>
      <c r="S103" s="62">
        <f t="shared" si="10"/>
        <v>23347.615816235699</v>
      </c>
      <c r="T103" s="62">
        <f t="shared" si="11"/>
        <v>23441.797587999892</v>
      </c>
      <c r="U103" s="62">
        <f t="shared" si="12"/>
        <v>23193.639138269122</v>
      </c>
      <c r="V103" s="62">
        <f t="shared" ref="V103:Y166" si="14">IF(MIN($R103:$U103)=R103,1,0)</f>
        <v>1</v>
      </c>
      <c r="W103" s="62">
        <f t="shared" si="14"/>
        <v>0</v>
      </c>
      <c r="X103" s="62">
        <f t="shared" si="14"/>
        <v>0</v>
      </c>
      <c r="Y103" s="62">
        <f t="shared" si="14"/>
        <v>0</v>
      </c>
      <c r="AA103" s="94"/>
    </row>
    <row r="104" spans="2:27" x14ac:dyDescent="0.2">
      <c r="B104" s="94"/>
      <c r="C104" s="62">
        <v>65</v>
      </c>
      <c r="D104" s="62">
        <v>11631.133015690713</v>
      </c>
      <c r="E104" s="62">
        <v>0.61796695859086048</v>
      </c>
      <c r="F104" s="62">
        <v>16723.777817632745</v>
      </c>
      <c r="G104" s="62">
        <v>0.89397880069522984</v>
      </c>
      <c r="H104" s="62">
        <v>16774.985062159987</v>
      </c>
      <c r="I104" s="62">
        <v>0.89714133599328894</v>
      </c>
      <c r="J104" s="62">
        <v>16661.043392511201</v>
      </c>
      <c r="K104" s="62">
        <v>0.88974304841354002</v>
      </c>
      <c r="L104" s="62">
        <f t="shared" ref="L104:L167" si="15">IF($C104&lt;=No_of_iterations_PSA,D104-$F104,"")</f>
        <v>-5092.6448019420313</v>
      </c>
      <c r="M104" s="62">
        <f t="shared" ref="M104:M167" si="16">IF($C104&lt;=No_of_iterations_PSA,E104-$G104,"")</f>
        <v>-0.27601184210436935</v>
      </c>
      <c r="N104" s="62">
        <f t="shared" ref="N104:N167" si="17">IF($C104&lt;=No_of_iterations_PSA,D104-$H104,"")</f>
        <v>-5143.8520464692738</v>
      </c>
      <c r="O104" s="62">
        <f t="shared" ref="O104:O167" si="18">IF($C104&lt;=No_of_iterations_PSA,E104-$I104,"")</f>
        <v>-0.27917437740242845</v>
      </c>
      <c r="P104" s="62">
        <f t="shared" ref="P104:P167" si="19">IF($C104&lt;=No_of_iterations_PSA,D104-$J104,"")</f>
        <v>-5029.9103768204877</v>
      </c>
      <c r="Q104" s="62">
        <f t="shared" ref="Q104:Q167" si="20">IF($C104&lt;=No_of_iterations_PSA,E104-$K104,"")</f>
        <v>-0.27177608982267953</v>
      </c>
      <c r="R104" s="62">
        <f t="shared" ref="R104:R167" si="21">IF($C104&lt;=No_of_iterations_PSA,E104*c_WTP-D104,"")</f>
        <v>13967.53027697709</v>
      </c>
      <c r="S104" s="62">
        <f t="shared" ref="S104:S167" si="22">IF($C104&lt;=No_of_iterations_PSA,G104*c_WTP-F104,"")</f>
        <v>20308.400022366459</v>
      </c>
      <c r="T104" s="62">
        <f t="shared" ref="T104:T167" si="23">IF($C104&lt;=No_of_iterations_PSA,I104*c_WTP-H104,"")</f>
        <v>20388.197640026014</v>
      </c>
      <c r="U104" s="62">
        <f t="shared" ref="U104:U167" si="24">IF($C104&lt;=No_of_iterations_PSA,K104*c_WTP-J104,"")</f>
        <v>20195.672644971281</v>
      </c>
      <c r="V104" s="62">
        <f t="shared" si="14"/>
        <v>1</v>
      </c>
      <c r="W104" s="62">
        <f t="shared" si="14"/>
        <v>0</v>
      </c>
      <c r="X104" s="62">
        <f t="shared" si="14"/>
        <v>0</v>
      </c>
      <c r="Y104" s="62">
        <f t="shared" si="14"/>
        <v>0</v>
      </c>
      <c r="AA104" s="94"/>
    </row>
    <row r="105" spans="2:27" x14ac:dyDescent="0.2">
      <c r="B105" s="94"/>
      <c r="C105" s="62">
        <v>66</v>
      </c>
      <c r="D105" s="62">
        <v>7977.0854080509889</v>
      </c>
      <c r="E105" s="62">
        <v>0.61750907366957919</v>
      </c>
      <c r="F105" s="62">
        <v>11460.400842703217</v>
      </c>
      <c r="G105" s="62">
        <v>0.89409344519437772</v>
      </c>
      <c r="H105" s="62">
        <v>11488.048598473111</v>
      </c>
      <c r="I105" s="62">
        <v>0.89666187549582343</v>
      </c>
      <c r="J105" s="62">
        <v>11415.277431974886</v>
      </c>
      <c r="K105" s="62">
        <v>0.88935956598251098</v>
      </c>
      <c r="L105" s="62">
        <f t="shared" si="15"/>
        <v>-3483.3154346522279</v>
      </c>
      <c r="M105" s="62">
        <f t="shared" si="16"/>
        <v>-0.27658437152479853</v>
      </c>
      <c r="N105" s="62">
        <f t="shared" si="17"/>
        <v>-3510.9631904221224</v>
      </c>
      <c r="O105" s="62">
        <f t="shared" si="18"/>
        <v>-0.27915280182624425</v>
      </c>
      <c r="P105" s="62">
        <f t="shared" si="19"/>
        <v>-3438.1920239238971</v>
      </c>
      <c r="Q105" s="62">
        <f t="shared" si="20"/>
        <v>-0.27185049231293179</v>
      </c>
      <c r="R105" s="62">
        <f t="shared" si="21"/>
        <v>17602.610459637661</v>
      </c>
      <c r="S105" s="62">
        <f t="shared" si="22"/>
        <v>25576.526031028683</v>
      </c>
      <c r="T105" s="62">
        <f t="shared" si="23"/>
        <v>25655.272932065876</v>
      </c>
      <c r="U105" s="62">
        <f t="shared" si="24"/>
        <v>25425.553229284647</v>
      </c>
      <c r="V105" s="62">
        <f t="shared" si="14"/>
        <v>1</v>
      </c>
      <c r="W105" s="62">
        <f t="shared" si="14"/>
        <v>0</v>
      </c>
      <c r="X105" s="62">
        <f t="shared" si="14"/>
        <v>0</v>
      </c>
      <c r="Y105" s="62">
        <f t="shared" si="14"/>
        <v>0</v>
      </c>
      <c r="AA105" s="94"/>
    </row>
    <row r="106" spans="2:27" x14ac:dyDescent="0.2">
      <c r="B106" s="94"/>
      <c r="C106" s="62">
        <v>67</v>
      </c>
      <c r="D106" s="62">
        <v>11373.916027235455</v>
      </c>
      <c r="E106" s="62">
        <v>0.61763968968550087</v>
      </c>
      <c r="F106" s="62">
        <v>16351.391152661978</v>
      </c>
      <c r="G106" s="62">
        <v>0.89397091666184714</v>
      </c>
      <c r="H106" s="62">
        <v>16416.328383995024</v>
      </c>
      <c r="I106" s="62">
        <v>0.89784975259427147</v>
      </c>
      <c r="J106" s="62">
        <v>16276.346626714751</v>
      </c>
      <c r="K106" s="62">
        <v>0.88871977370838739</v>
      </c>
      <c r="L106" s="62">
        <f t="shared" si="15"/>
        <v>-4977.4751254265229</v>
      </c>
      <c r="M106" s="62">
        <f t="shared" si="16"/>
        <v>-0.27633122697634627</v>
      </c>
      <c r="N106" s="62">
        <f t="shared" si="17"/>
        <v>-5042.4123567595689</v>
      </c>
      <c r="O106" s="62">
        <f t="shared" si="18"/>
        <v>-0.2802100629087706</v>
      </c>
      <c r="P106" s="62">
        <f t="shared" si="19"/>
        <v>-4902.4305994792958</v>
      </c>
      <c r="Q106" s="62">
        <f t="shared" si="20"/>
        <v>-0.27108008402288652</v>
      </c>
      <c r="R106" s="62">
        <f t="shared" si="21"/>
        <v>14211.190478296734</v>
      </c>
      <c r="S106" s="62">
        <f t="shared" si="22"/>
        <v>20680.460099138378</v>
      </c>
      <c r="T106" s="62">
        <f t="shared" si="23"/>
        <v>20776.199767470076</v>
      </c>
      <c r="U106" s="62">
        <f t="shared" si="24"/>
        <v>20537.981279381485</v>
      </c>
      <c r="V106" s="62">
        <f t="shared" si="14"/>
        <v>1</v>
      </c>
      <c r="W106" s="62">
        <f t="shared" si="14"/>
        <v>0</v>
      </c>
      <c r="X106" s="62">
        <f t="shared" si="14"/>
        <v>0</v>
      </c>
      <c r="Y106" s="62">
        <f t="shared" si="14"/>
        <v>0</v>
      </c>
      <c r="AA106" s="94"/>
    </row>
    <row r="107" spans="2:27" x14ac:dyDescent="0.2">
      <c r="B107" s="94"/>
      <c r="C107" s="62">
        <v>68</v>
      </c>
      <c r="D107" s="62">
        <v>8092.746706487982</v>
      </c>
      <c r="E107" s="62">
        <v>0.61772309866942676</v>
      </c>
      <c r="F107" s="62">
        <v>11624.68758759338</v>
      </c>
      <c r="G107" s="62">
        <v>0.8946059843318579</v>
      </c>
      <c r="H107" s="62">
        <v>11658.134693473605</v>
      </c>
      <c r="I107" s="62">
        <v>0.89746792755490501</v>
      </c>
      <c r="J107" s="62">
        <v>11570.479843696296</v>
      </c>
      <c r="K107" s="62">
        <v>0.88913859219749669</v>
      </c>
      <c r="L107" s="62">
        <f t="shared" si="15"/>
        <v>-3531.9408811053981</v>
      </c>
      <c r="M107" s="62">
        <f t="shared" si="16"/>
        <v>-0.27688288566243113</v>
      </c>
      <c r="N107" s="62">
        <f t="shared" si="17"/>
        <v>-3565.3879869856228</v>
      </c>
      <c r="O107" s="62">
        <f t="shared" si="18"/>
        <v>-0.27974482888547825</v>
      </c>
      <c r="P107" s="62">
        <f t="shared" si="19"/>
        <v>-3477.7331372083136</v>
      </c>
      <c r="Q107" s="62">
        <f t="shared" si="20"/>
        <v>-0.27141549352806993</v>
      </c>
      <c r="R107" s="62">
        <f t="shared" si="21"/>
        <v>17495.814932794354</v>
      </c>
      <c r="S107" s="62">
        <f t="shared" si="22"/>
        <v>25433.470707369499</v>
      </c>
      <c r="T107" s="62">
        <f t="shared" si="23"/>
        <v>25518.576737560776</v>
      </c>
      <c r="U107" s="62">
        <f t="shared" si="24"/>
        <v>25261.19719949281</v>
      </c>
      <c r="V107" s="62">
        <f t="shared" si="14"/>
        <v>1</v>
      </c>
      <c r="W107" s="62">
        <f t="shared" si="14"/>
        <v>0</v>
      </c>
      <c r="X107" s="62">
        <f t="shared" si="14"/>
        <v>0</v>
      </c>
      <c r="Y107" s="62">
        <f t="shared" si="14"/>
        <v>0</v>
      </c>
      <c r="AA107" s="94"/>
    </row>
    <row r="108" spans="2:27" x14ac:dyDescent="0.2">
      <c r="B108" s="94"/>
      <c r="C108" s="62">
        <v>69</v>
      </c>
      <c r="D108" s="62">
        <v>10138.071174718347</v>
      </c>
      <c r="E108" s="62">
        <v>0.61764129854847982</v>
      </c>
      <c r="F108" s="62">
        <v>14576.519973053675</v>
      </c>
      <c r="G108" s="62">
        <v>0.89403105226666135</v>
      </c>
      <c r="H108" s="62">
        <v>14622.800184792661</v>
      </c>
      <c r="I108" s="62">
        <v>0.89718646316275996</v>
      </c>
      <c r="J108" s="62">
        <v>14526.77639524179</v>
      </c>
      <c r="K108" s="62">
        <v>0.88996721676262636</v>
      </c>
      <c r="L108" s="62">
        <f t="shared" si="15"/>
        <v>-4438.4487983353283</v>
      </c>
      <c r="M108" s="62">
        <f t="shared" si="16"/>
        <v>-0.27638975371818153</v>
      </c>
      <c r="N108" s="62">
        <f t="shared" si="17"/>
        <v>-4484.7290100743139</v>
      </c>
      <c r="O108" s="62">
        <f t="shared" si="18"/>
        <v>-0.27954516461428014</v>
      </c>
      <c r="P108" s="62">
        <f t="shared" si="19"/>
        <v>-4388.7052205234431</v>
      </c>
      <c r="Q108" s="62">
        <f t="shared" si="20"/>
        <v>-0.27232591821414653</v>
      </c>
      <c r="R108" s="62">
        <f t="shared" si="21"/>
        <v>15447.101976353881</v>
      </c>
      <c r="S108" s="62">
        <f t="shared" si="22"/>
        <v>22457.822336040503</v>
      </c>
      <c r="T108" s="62">
        <f t="shared" si="23"/>
        <v>22542.251865261507</v>
      </c>
      <c r="U108" s="62">
        <f t="shared" si="24"/>
        <v>22339.225591933246</v>
      </c>
      <c r="V108" s="62">
        <f t="shared" si="14"/>
        <v>1</v>
      </c>
      <c r="W108" s="62">
        <f t="shared" si="14"/>
        <v>0</v>
      </c>
      <c r="X108" s="62">
        <f t="shared" si="14"/>
        <v>0</v>
      </c>
      <c r="Y108" s="62">
        <f t="shared" si="14"/>
        <v>0</v>
      </c>
      <c r="AA108" s="94"/>
    </row>
    <row r="109" spans="2:27" x14ac:dyDescent="0.2">
      <c r="B109" s="94"/>
      <c r="C109" s="62">
        <v>70</v>
      </c>
      <c r="D109" s="62">
        <v>9144.3647748844014</v>
      </c>
      <c r="E109" s="62">
        <v>0.61749920358018029</v>
      </c>
      <c r="F109" s="62">
        <v>13152.623901374564</v>
      </c>
      <c r="G109" s="62">
        <v>0.89437077036832113</v>
      </c>
      <c r="H109" s="62">
        <v>13184.353803698988</v>
      </c>
      <c r="I109" s="62">
        <v>0.89680043341389426</v>
      </c>
      <c r="J109" s="62">
        <v>13096.332744434681</v>
      </c>
      <c r="K109" s="62">
        <v>0.88953402221475719</v>
      </c>
      <c r="L109" s="62">
        <f t="shared" si="15"/>
        <v>-4008.2591264901621</v>
      </c>
      <c r="M109" s="62">
        <f t="shared" si="16"/>
        <v>-0.27687156678814084</v>
      </c>
      <c r="N109" s="62">
        <f t="shared" si="17"/>
        <v>-4039.9890288145871</v>
      </c>
      <c r="O109" s="62">
        <f t="shared" si="18"/>
        <v>-0.27930122983371397</v>
      </c>
      <c r="P109" s="62">
        <f t="shared" si="19"/>
        <v>-3951.96796955028</v>
      </c>
      <c r="Q109" s="62">
        <f t="shared" si="20"/>
        <v>-0.2720348186345769</v>
      </c>
      <c r="R109" s="62">
        <f t="shared" si="21"/>
        <v>16434.922234220987</v>
      </c>
      <c r="S109" s="62">
        <f t="shared" si="22"/>
        <v>23895.790890362769</v>
      </c>
      <c r="T109" s="62">
        <f t="shared" si="23"/>
        <v>23964.70735003817</v>
      </c>
      <c r="U109" s="62">
        <f t="shared" si="24"/>
        <v>23751.724591789425</v>
      </c>
      <c r="V109" s="62">
        <f t="shared" si="14"/>
        <v>1</v>
      </c>
      <c r="W109" s="62">
        <f t="shared" si="14"/>
        <v>0</v>
      </c>
      <c r="X109" s="62">
        <f t="shared" si="14"/>
        <v>0</v>
      </c>
      <c r="Y109" s="62">
        <f t="shared" si="14"/>
        <v>0</v>
      </c>
      <c r="AA109" s="94"/>
    </row>
    <row r="110" spans="2:27" x14ac:dyDescent="0.2">
      <c r="B110" s="94"/>
      <c r="C110" s="62">
        <v>71</v>
      </c>
      <c r="D110" s="62">
        <v>10287.345814221622</v>
      </c>
      <c r="E110" s="62">
        <v>0.61762474265061129</v>
      </c>
      <c r="F110" s="62">
        <v>14786.655944417698</v>
      </c>
      <c r="G110" s="62">
        <v>0.89399397277300607</v>
      </c>
      <c r="H110" s="62">
        <v>14842.70374713284</v>
      </c>
      <c r="I110" s="62">
        <v>0.89772462825525157</v>
      </c>
      <c r="J110" s="62">
        <v>14731.504404250412</v>
      </c>
      <c r="K110" s="62">
        <v>0.88953394099369598</v>
      </c>
      <c r="L110" s="62">
        <f t="shared" si="15"/>
        <v>-4499.310130196076</v>
      </c>
      <c r="M110" s="62">
        <f t="shared" si="16"/>
        <v>-0.27636923012239478</v>
      </c>
      <c r="N110" s="62">
        <f t="shared" si="17"/>
        <v>-4555.3579329112181</v>
      </c>
      <c r="O110" s="62">
        <f t="shared" si="18"/>
        <v>-0.28009988560464028</v>
      </c>
      <c r="P110" s="62">
        <f t="shared" si="19"/>
        <v>-4444.1585900287901</v>
      </c>
      <c r="Q110" s="62">
        <f t="shared" si="20"/>
        <v>-0.27190919834308469</v>
      </c>
      <c r="R110" s="62">
        <f t="shared" si="21"/>
        <v>15297.141525337302</v>
      </c>
      <c r="S110" s="62">
        <f t="shared" si="22"/>
        <v>22246.150383731307</v>
      </c>
      <c r="T110" s="62">
        <f t="shared" si="23"/>
        <v>22344.6412537127</v>
      </c>
      <c r="U110" s="62">
        <f t="shared" si="24"/>
        <v>22116.549567472448</v>
      </c>
      <c r="V110" s="62">
        <f t="shared" si="14"/>
        <v>1</v>
      </c>
      <c r="W110" s="62">
        <f t="shared" si="14"/>
        <v>0</v>
      </c>
      <c r="X110" s="62">
        <f t="shared" si="14"/>
        <v>0</v>
      </c>
      <c r="Y110" s="62">
        <f t="shared" si="14"/>
        <v>0</v>
      </c>
      <c r="AA110" s="94"/>
    </row>
    <row r="111" spans="2:27" x14ac:dyDescent="0.2">
      <c r="B111" s="94"/>
      <c r="C111" s="62">
        <v>72</v>
      </c>
      <c r="D111" s="62">
        <v>8584.8927615753819</v>
      </c>
      <c r="E111" s="62">
        <v>0.61770676208363973</v>
      </c>
      <c r="F111" s="62">
        <v>12339.127870307826</v>
      </c>
      <c r="G111" s="62">
        <v>0.89464412819063766</v>
      </c>
      <c r="H111" s="62">
        <v>12368.209966570086</v>
      </c>
      <c r="I111" s="62">
        <v>0.89711066477057066</v>
      </c>
      <c r="J111" s="62">
        <v>12291.877179149411</v>
      </c>
      <c r="K111" s="62">
        <v>0.8900909109566435</v>
      </c>
      <c r="L111" s="62">
        <f t="shared" si="15"/>
        <v>-3754.2351087324441</v>
      </c>
      <c r="M111" s="62">
        <f t="shared" si="16"/>
        <v>-0.27693736610699793</v>
      </c>
      <c r="N111" s="62">
        <f t="shared" si="17"/>
        <v>-3783.3172049947043</v>
      </c>
      <c r="O111" s="62">
        <f t="shared" si="18"/>
        <v>-0.27940390268693094</v>
      </c>
      <c r="P111" s="62">
        <f t="shared" si="19"/>
        <v>-3706.9844175740291</v>
      </c>
      <c r="Q111" s="62">
        <f t="shared" si="20"/>
        <v>-0.27238414887300377</v>
      </c>
      <c r="R111" s="62">
        <f t="shared" si="21"/>
        <v>17002.992150977308</v>
      </c>
      <c r="S111" s="62">
        <f t="shared" si="22"/>
        <v>24720.610495861147</v>
      </c>
      <c r="T111" s="62">
        <f t="shared" si="23"/>
        <v>24793.702210886033</v>
      </c>
      <c r="U111" s="62">
        <f t="shared" si="24"/>
        <v>24579.248716318591</v>
      </c>
      <c r="V111" s="62">
        <f t="shared" si="14"/>
        <v>1</v>
      </c>
      <c r="W111" s="62">
        <f t="shared" si="14"/>
        <v>0</v>
      </c>
      <c r="X111" s="62">
        <f t="shared" si="14"/>
        <v>0</v>
      </c>
      <c r="Y111" s="62">
        <f t="shared" si="14"/>
        <v>0</v>
      </c>
      <c r="AA111" s="94"/>
    </row>
    <row r="112" spans="2:27" x14ac:dyDescent="0.2">
      <c r="B112" s="94"/>
      <c r="C112" s="62">
        <v>73</v>
      </c>
      <c r="D112" s="62">
        <v>10478.457980084549</v>
      </c>
      <c r="E112" s="62">
        <v>0.61794394633627803</v>
      </c>
      <c r="F112" s="62">
        <v>15067.046911658996</v>
      </c>
      <c r="G112" s="62">
        <v>0.89444390247573158</v>
      </c>
      <c r="H112" s="62">
        <v>15102.550241376786</v>
      </c>
      <c r="I112" s="62">
        <v>0.89684534665152271</v>
      </c>
      <c r="J112" s="62">
        <v>14993.039582358113</v>
      </c>
      <c r="K112" s="62">
        <v>0.88901452061575903</v>
      </c>
      <c r="L112" s="62">
        <f t="shared" si="15"/>
        <v>-4588.5889315744462</v>
      </c>
      <c r="M112" s="62">
        <f t="shared" si="16"/>
        <v>-0.27649995613945355</v>
      </c>
      <c r="N112" s="62">
        <f t="shared" si="17"/>
        <v>-4624.0922612922368</v>
      </c>
      <c r="O112" s="62">
        <f t="shared" si="18"/>
        <v>-0.27890140031524469</v>
      </c>
      <c r="P112" s="62">
        <f t="shared" si="19"/>
        <v>-4514.5816022735635</v>
      </c>
      <c r="Q112" s="62">
        <f t="shared" si="20"/>
        <v>-0.271070574279481</v>
      </c>
      <c r="R112" s="62">
        <f t="shared" si="21"/>
        <v>15119.252052949432</v>
      </c>
      <c r="S112" s="62">
        <f t="shared" si="22"/>
        <v>21984.397304495709</v>
      </c>
      <c r="T112" s="62">
        <f t="shared" si="23"/>
        <v>22048.371398315892</v>
      </c>
      <c r="U112" s="62">
        <f t="shared" si="24"/>
        <v>21833.497919629088</v>
      </c>
      <c r="V112" s="62">
        <f t="shared" si="14"/>
        <v>1</v>
      </c>
      <c r="W112" s="62">
        <f t="shared" si="14"/>
        <v>0</v>
      </c>
      <c r="X112" s="62">
        <f t="shared" si="14"/>
        <v>0</v>
      </c>
      <c r="Y112" s="62">
        <f t="shared" si="14"/>
        <v>0</v>
      </c>
      <c r="AA112" s="94"/>
    </row>
    <row r="113" spans="2:27" x14ac:dyDescent="0.2">
      <c r="B113" s="94"/>
      <c r="C113" s="62">
        <v>74</v>
      </c>
      <c r="D113" s="62">
        <v>11544.126696942189</v>
      </c>
      <c r="E113" s="62">
        <v>0.61758143460764259</v>
      </c>
      <c r="F113" s="62">
        <v>16616.730296657679</v>
      </c>
      <c r="G113" s="62">
        <v>0.89427524290214522</v>
      </c>
      <c r="H113" s="62">
        <v>16668.196025612597</v>
      </c>
      <c r="I113" s="62">
        <v>0.89730162965145033</v>
      </c>
      <c r="J113" s="62">
        <v>16548.096002050839</v>
      </c>
      <c r="K113" s="62">
        <v>0.8895769192344718</v>
      </c>
      <c r="L113" s="62">
        <f t="shared" si="15"/>
        <v>-5072.6035997154904</v>
      </c>
      <c r="M113" s="62">
        <f t="shared" si="16"/>
        <v>-0.27669380829450263</v>
      </c>
      <c r="N113" s="62">
        <f t="shared" si="17"/>
        <v>-5124.0693286704081</v>
      </c>
      <c r="O113" s="62">
        <f t="shared" si="18"/>
        <v>-0.27972019504380774</v>
      </c>
      <c r="P113" s="62">
        <f t="shared" si="19"/>
        <v>-5003.9693051086506</v>
      </c>
      <c r="Q113" s="62">
        <f t="shared" si="20"/>
        <v>-0.27199548462682921</v>
      </c>
      <c r="R113" s="62">
        <f t="shared" si="21"/>
        <v>14038.566650244797</v>
      </c>
      <c r="S113" s="62">
        <f t="shared" si="22"/>
        <v>20427.727365320785</v>
      </c>
      <c r="T113" s="62">
        <f t="shared" si="23"/>
        <v>20501.626681069079</v>
      </c>
      <c r="U113" s="62">
        <f t="shared" si="24"/>
        <v>20301.738300317924</v>
      </c>
      <c r="V113" s="62">
        <f t="shared" si="14"/>
        <v>1</v>
      </c>
      <c r="W113" s="62">
        <f t="shared" si="14"/>
        <v>0</v>
      </c>
      <c r="X113" s="62">
        <f t="shared" si="14"/>
        <v>0</v>
      </c>
      <c r="Y113" s="62">
        <f t="shared" si="14"/>
        <v>0</v>
      </c>
      <c r="AA113" s="94"/>
    </row>
    <row r="114" spans="2:27" x14ac:dyDescent="0.2">
      <c r="B114" s="94"/>
      <c r="C114" s="62">
        <v>75</v>
      </c>
      <c r="D114" s="62">
        <v>10166.872123741246</v>
      </c>
      <c r="E114" s="62">
        <v>0.61768889230507795</v>
      </c>
      <c r="F114" s="62">
        <v>14625.444413804084</v>
      </c>
      <c r="G114" s="62">
        <v>0.89469781013170968</v>
      </c>
      <c r="H114" s="62">
        <v>14661.33430473565</v>
      </c>
      <c r="I114" s="62">
        <v>0.89721830782678147</v>
      </c>
      <c r="J114" s="62">
        <v>14561.566958461384</v>
      </c>
      <c r="K114" s="62">
        <v>0.88972770403168833</v>
      </c>
      <c r="L114" s="62">
        <f t="shared" si="15"/>
        <v>-4458.5722900628371</v>
      </c>
      <c r="M114" s="62">
        <f t="shared" si="16"/>
        <v>-0.27700891782663173</v>
      </c>
      <c r="N114" s="62">
        <f t="shared" si="17"/>
        <v>-4494.4621809944038</v>
      </c>
      <c r="O114" s="62">
        <f t="shared" si="18"/>
        <v>-0.27952941552170352</v>
      </c>
      <c r="P114" s="62">
        <f t="shared" si="19"/>
        <v>-4394.6948347201378</v>
      </c>
      <c r="Q114" s="62">
        <f t="shared" si="20"/>
        <v>-0.27203881172661037</v>
      </c>
      <c r="R114" s="62">
        <f t="shared" si="21"/>
        <v>15420.272551104303</v>
      </c>
      <c r="S114" s="62">
        <f t="shared" si="22"/>
        <v>22436.517673091854</v>
      </c>
      <c r="T114" s="62">
        <f t="shared" si="23"/>
        <v>22505.036878680945</v>
      </c>
      <c r="U114" s="62">
        <f t="shared" si="24"/>
        <v>22294.513453347274</v>
      </c>
      <c r="V114" s="62">
        <f t="shared" si="14"/>
        <v>1</v>
      </c>
      <c r="W114" s="62">
        <f t="shared" si="14"/>
        <v>0</v>
      </c>
      <c r="X114" s="62">
        <f t="shared" si="14"/>
        <v>0</v>
      </c>
      <c r="Y114" s="62">
        <f t="shared" si="14"/>
        <v>0</v>
      </c>
      <c r="AA114" s="94"/>
    </row>
    <row r="115" spans="2:27" x14ac:dyDescent="0.2">
      <c r="B115" s="94"/>
      <c r="C115" s="62">
        <v>76</v>
      </c>
      <c r="D115" s="62">
        <v>10776.680900966652</v>
      </c>
      <c r="E115" s="62">
        <v>0.61784476106504205</v>
      </c>
      <c r="F115" s="62">
        <v>15484.834573753522</v>
      </c>
      <c r="G115" s="62">
        <v>0.89397083191672233</v>
      </c>
      <c r="H115" s="62">
        <v>15533.617108896588</v>
      </c>
      <c r="I115" s="62">
        <v>0.8970419485470118</v>
      </c>
      <c r="J115" s="62">
        <v>15434.300806080926</v>
      </c>
      <c r="K115" s="62">
        <v>0.88989939181835964</v>
      </c>
      <c r="L115" s="62">
        <f t="shared" si="15"/>
        <v>-4708.1536727868697</v>
      </c>
      <c r="M115" s="62">
        <f t="shared" si="16"/>
        <v>-0.27612607085168028</v>
      </c>
      <c r="N115" s="62">
        <f t="shared" si="17"/>
        <v>-4756.9362079299353</v>
      </c>
      <c r="O115" s="62">
        <f t="shared" si="18"/>
        <v>-0.27919718748196976</v>
      </c>
      <c r="P115" s="62">
        <f t="shared" si="19"/>
        <v>-4657.6199051142739</v>
      </c>
      <c r="Q115" s="62">
        <f t="shared" si="20"/>
        <v>-0.27205463075331759</v>
      </c>
      <c r="R115" s="62">
        <f t="shared" si="21"/>
        <v>14816.920481391649</v>
      </c>
      <c r="S115" s="62">
        <f t="shared" si="22"/>
        <v>21547.013167564786</v>
      </c>
      <c r="T115" s="62">
        <f t="shared" si="23"/>
        <v>21625.448567714833</v>
      </c>
      <c r="U115" s="62">
        <f t="shared" si="24"/>
        <v>21428.891600602805</v>
      </c>
      <c r="V115" s="62">
        <f t="shared" si="14"/>
        <v>1</v>
      </c>
      <c r="W115" s="62">
        <f t="shared" si="14"/>
        <v>0</v>
      </c>
      <c r="X115" s="62">
        <f t="shared" si="14"/>
        <v>0</v>
      </c>
      <c r="Y115" s="62">
        <f t="shared" si="14"/>
        <v>0</v>
      </c>
      <c r="AA115" s="94"/>
    </row>
    <row r="116" spans="2:27" x14ac:dyDescent="0.2">
      <c r="B116" s="94"/>
      <c r="C116" s="62">
        <v>77</v>
      </c>
      <c r="D116" s="62">
        <v>10857.415119394858</v>
      </c>
      <c r="E116" s="62">
        <v>0.61777528297237783</v>
      </c>
      <c r="F116" s="62">
        <v>15608.922040216667</v>
      </c>
      <c r="G116" s="62">
        <v>0.89377003078472883</v>
      </c>
      <c r="H116" s="62">
        <v>15648.501649718657</v>
      </c>
      <c r="I116" s="62">
        <v>0.89631653314644355</v>
      </c>
      <c r="J116" s="62">
        <v>15545.710703570145</v>
      </c>
      <c r="K116" s="62">
        <v>0.88920362532509223</v>
      </c>
      <c r="L116" s="62">
        <f t="shared" si="15"/>
        <v>-4751.5069208218083</v>
      </c>
      <c r="M116" s="62">
        <f t="shared" si="16"/>
        <v>-0.275994747812351</v>
      </c>
      <c r="N116" s="62">
        <f t="shared" si="17"/>
        <v>-4791.0865303237988</v>
      </c>
      <c r="O116" s="62">
        <f t="shared" si="18"/>
        <v>-0.27854125017406572</v>
      </c>
      <c r="P116" s="62">
        <f t="shared" si="19"/>
        <v>-4688.2955841752864</v>
      </c>
      <c r="Q116" s="62">
        <f t="shared" si="20"/>
        <v>-0.2714283423527144</v>
      </c>
      <c r="R116" s="62">
        <f t="shared" si="21"/>
        <v>14733.308202452919</v>
      </c>
      <c r="S116" s="62">
        <f t="shared" si="22"/>
        <v>21414.607715009937</v>
      </c>
      <c r="T116" s="62">
        <f t="shared" si="23"/>
        <v>21480.514419339619</v>
      </c>
      <c r="U116" s="62">
        <f t="shared" si="24"/>
        <v>21288.660271896475</v>
      </c>
      <c r="V116" s="62">
        <f t="shared" si="14"/>
        <v>1</v>
      </c>
      <c r="W116" s="62">
        <f t="shared" si="14"/>
        <v>0</v>
      </c>
      <c r="X116" s="62">
        <f t="shared" si="14"/>
        <v>0</v>
      </c>
      <c r="Y116" s="62">
        <f t="shared" si="14"/>
        <v>0</v>
      </c>
      <c r="AA116" s="94"/>
    </row>
    <row r="117" spans="2:27" x14ac:dyDescent="0.2">
      <c r="B117" s="94"/>
      <c r="C117" s="62">
        <v>78</v>
      </c>
      <c r="D117" s="62">
        <v>10728.24114852923</v>
      </c>
      <c r="E117" s="62">
        <v>0.61752316015925868</v>
      </c>
      <c r="F117" s="62">
        <v>15450.380379884491</v>
      </c>
      <c r="G117" s="62">
        <v>0.89530760503657281</v>
      </c>
      <c r="H117" s="62">
        <v>15484.809534252419</v>
      </c>
      <c r="I117" s="62">
        <v>0.89750657868368078</v>
      </c>
      <c r="J117" s="62">
        <v>15367.949723692329</v>
      </c>
      <c r="K117" s="62">
        <v>0.88936738270027649</v>
      </c>
      <c r="L117" s="62">
        <f t="shared" si="15"/>
        <v>-4722.1392313552606</v>
      </c>
      <c r="M117" s="62">
        <f t="shared" si="16"/>
        <v>-0.27778444487731413</v>
      </c>
      <c r="N117" s="62">
        <f t="shared" si="17"/>
        <v>-4756.5683857231888</v>
      </c>
      <c r="O117" s="62">
        <f t="shared" si="18"/>
        <v>-0.2799834185244221</v>
      </c>
      <c r="P117" s="62">
        <f t="shared" si="19"/>
        <v>-4639.7085751630984</v>
      </c>
      <c r="Q117" s="62">
        <f t="shared" si="20"/>
        <v>-0.27184422254101781</v>
      </c>
      <c r="R117" s="62">
        <f t="shared" si="21"/>
        <v>14852.0382379079</v>
      </c>
      <c r="S117" s="62">
        <f t="shared" si="22"/>
        <v>21636.841851150501</v>
      </c>
      <c r="T117" s="62">
        <f t="shared" si="23"/>
        <v>21693.502981140373</v>
      </c>
      <c r="U117" s="62">
        <f t="shared" si="24"/>
        <v>21473.20473728393</v>
      </c>
      <c r="V117" s="62">
        <f t="shared" si="14"/>
        <v>1</v>
      </c>
      <c r="W117" s="62">
        <f t="shared" si="14"/>
        <v>0</v>
      </c>
      <c r="X117" s="62">
        <f t="shared" si="14"/>
        <v>0</v>
      </c>
      <c r="Y117" s="62">
        <f t="shared" si="14"/>
        <v>0</v>
      </c>
      <c r="AA117" s="94"/>
    </row>
    <row r="118" spans="2:27" x14ac:dyDescent="0.2">
      <c r="B118" s="94"/>
      <c r="C118" s="62">
        <v>79</v>
      </c>
      <c r="D118" s="62">
        <v>9428.4311510160915</v>
      </c>
      <c r="E118" s="62">
        <v>0.6172649276976212</v>
      </c>
      <c r="F118" s="62">
        <v>13556.568827124591</v>
      </c>
      <c r="G118" s="62">
        <v>0.89427362206916339</v>
      </c>
      <c r="H118" s="62">
        <v>13603.790239627331</v>
      </c>
      <c r="I118" s="62">
        <v>0.89767126601951064</v>
      </c>
      <c r="J118" s="62">
        <v>13493.040526574036</v>
      </c>
      <c r="K118" s="62">
        <v>0.88888620526791795</v>
      </c>
      <c r="L118" s="62">
        <f t="shared" si="15"/>
        <v>-4128.1376761084994</v>
      </c>
      <c r="M118" s="62">
        <f t="shared" si="16"/>
        <v>-0.27700869437154219</v>
      </c>
      <c r="N118" s="62">
        <f t="shared" si="17"/>
        <v>-4175.3590886112397</v>
      </c>
      <c r="O118" s="62">
        <f t="shared" si="18"/>
        <v>-0.28040633832188944</v>
      </c>
      <c r="P118" s="62">
        <f t="shared" si="19"/>
        <v>-4064.6093755579441</v>
      </c>
      <c r="Q118" s="62">
        <f t="shared" si="20"/>
        <v>-0.27162127757029675</v>
      </c>
      <c r="R118" s="62">
        <f t="shared" si="21"/>
        <v>16141.15121393017</v>
      </c>
      <c r="S118" s="62">
        <f t="shared" si="22"/>
        <v>23487.821693468439</v>
      </c>
      <c r="T118" s="62">
        <f t="shared" si="23"/>
        <v>23581.344283964874</v>
      </c>
      <c r="U118" s="62">
        <f t="shared" si="24"/>
        <v>23328.1816404442</v>
      </c>
      <c r="V118" s="62">
        <f t="shared" si="14"/>
        <v>1</v>
      </c>
      <c r="W118" s="62">
        <f t="shared" si="14"/>
        <v>0</v>
      </c>
      <c r="X118" s="62">
        <f t="shared" si="14"/>
        <v>0</v>
      </c>
      <c r="Y118" s="62">
        <f t="shared" si="14"/>
        <v>0</v>
      </c>
      <c r="AA118" s="94"/>
    </row>
    <row r="119" spans="2:27" x14ac:dyDescent="0.2">
      <c r="B119" s="94"/>
      <c r="C119" s="62">
        <v>80</v>
      </c>
      <c r="D119" s="62">
        <v>10722.63534401956</v>
      </c>
      <c r="E119" s="62">
        <v>0.61761407790338096</v>
      </c>
      <c r="F119" s="62">
        <v>15424.025621610394</v>
      </c>
      <c r="G119" s="62">
        <v>0.89410513472839059</v>
      </c>
      <c r="H119" s="62">
        <v>15470.244680247319</v>
      </c>
      <c r="I119" s="62">
        <v>0.89697022639451984</v>
      </c>
      <c r="J119" s="62">
        <v>15369.150871219439</v>
      </c>
      <c r="K119" s="62">
        <v>0.88983014999870669</v>
      </c>
      <c r="L119" s="62">
        <f t="shared" si="15"/>
        <v>-4701.3902775908336</v>
      </c>
      <c r="M119" s="62">
        <f t="shared" si="16"/>
        <v>-0.27649105682500963</v>
      </c>
      <c r="N119" s="62">
        <f t="shared" si="17"/>
        <v>-4747.6093362277588</v>
      </c>
      <c r="O119" s="62">
        <f t="shared" si="18"/>
        <v>-0.27935614849113888</v>
      </c>
      <c r="P119" s="62">
        <f t="shared" si="19"/>
        <v>-4646.5155271998792</v>
      </c>
      <c r="Q119" s="62">
        <f t="shared" si="20"/>
        <v>-0.27221607209532572</v>
      </c>
      <c r="R119" s="62">
        <f t="shared" si="21"/>
        <v>14861.410219050093</v>
      </c>
      <c r="S119" s="62">
        <f t="shared" si="22"/>
        <v>21613.385479378456</v>
      </c>
      <c r="T119" s="62">
        <f t="shared" si="23"/>
        <v>21685.849977919272</v>
      </c>
      <c r="U119" s="62">
        <f t="shared" si="24"/>
        <v>21491.173262326985</v>
      </c>
      <c r="V119" s="62">
        <f t="shared" si="14"/>
        <v>1</v>
      </c>
      <c r="W119" s="62">
        <f t="shared" si="14"/>
        <v>0</v>
      </c>
      <c r="X119" s="62">
        <f t="shared" si="14"/>
        <v>0</v>
      </c>
      <c r="Y119" s="62">
        <f t="shared" si="14"/>
        <v>0</v>
      </c>
      <c r="AA119" s="94"/>
    </row>
    <row r="120" spans="2:27" x14ac:dyDescent="0.2">
      <c r="B120" s="94"/>
      <c r="C120" s="62">
        <v>81</v>
      </c>
      <c r="D120" s="62">
        <v>9469.2907067067681</v>
      </c>
      <c r="E120" s="62">
        <v>0.6179159772165822</v>
      </c>
      <c r="F120" s="62">
        <v>13604.432935793287</v>
      </c>
      <c r="G120" s="62">
        <v>0.89425449561215142</v>
      </c>
      <c r="H120" s="62">
        <v>13630.541271240696</v>
      </c>
      <c r="I120" s="62">
        <v>0.89604538744175366</v>
      </c>
      <c r="J120" s="62">
        <v>13552.821569083751</v>
      </c>
      <c r="K120" s="62">
        <v>0.88962160148236125</v>
      </c>
      <c r="L120" s="62">
        <f t="shared" si="15"/>
        <v>-4135.1422290865194</v>
      </c>
      <c r="M120" s="62">
        <f t="shared" si="16"/>
        <v>-0.27633851839556922</v>
      </c>
      <c r="N120" s="62">
        <f t="shared" si="17"/>
        <v>-4161.2505645339279</v>
      </c>
      <c r="O120" s="62">
        <f t="shared" si="18"/>
        <v>-0.27812941022517146</v>
      </c>
      <c r="P120" s="62">
        <f t="shared" si="19"/>
        <v>-4083.5308623769834</v>
      </c>
      <c r="Q120" s="62">
        <f t="shared" si="20"/>
        <v>-0.27170562426577904</v>
      </c>
      <c r="R120" s="62">
        <f t="shared" si="21"/>
        <v>16127.260733512932</v>
      </c>
      <c r="S120" s="62">
        <f t="shared" si="22"/>
        <v>23439.165290444471</v>
      </c>
      <c r="T120" s="62">
        <f t="shared" si="23"/>
        <v>23487.242858146506</v>
      </c>
      <c r="U120" s="62">
        <f t="shared" si="24"/>
        <v>23298.863650721578</v>
      </c>
      <c r="V120" s="62">
        <f t="shared" si="14"/>
        <v>1</v>
      </c>
      <c r="W120" s="62">
        <f t="shared" si="14"/>
        <v>0</v>
      </c>
      <c r="X120" s="62">
        <f t="shared" si="14"/>
        <v>0</v>
      </c>
      <c r="Y120" s="62">
        <f t="shared" si="14"/>
        <v>0</v>
      </c>
      <c r="AA120" s="94"/>
    </row>
    <row r="121" spans="2:27" x14ac:dyDescent="0.2">
      <c r="B121" s="94"/>
      <c r="C121" s="62">
        <v>82</v>
      </c>
      <c r="D121" s="62">
        <v>10043.938899506536</v>
      </c>
      <c r="E121" s="62">
        <v>0.61769100877902938</v>
      </c>
      <c r="F121" s="62">
        <v>14445.01466887843</v>
      </c>
      <c r="G121" s="62">
        <v>0.8944495418937739</v>
      </c>
      <c r="H121" s="62">
        <v>14484.365017005101</v>
      </c>
      <c r="I121" s="62">
        <v>0.8972857930754492</v>
      </c>
      <c r="J121" s="62">
        <v>14384.467733932024</v>
      </c>
      <c r="K121" s="62">
        <v>0.88950734239898577</v>
      </c>
      <c r="L121" s="62">
        <f t="shared" si="15"/>
        <v>-4401.0757693718933</v>
      </c>
      <c r="M121" s="62">
        <f t="shared" si="16"/>
        <v>-0.27675853311474452</v>
      </c>
      <c r="N121" s="62">
        <f t="shared" si="17"/>
        <v>-4440.4261174985641</v>
      </c>
      <c r="O121" s="62">
        <f t="shared" si="18"/>
        <v>-0.27959478429641982</v>
      </c>
      <c r="P121" s="62">
        <f t="shared" si="19"/>
        <v>-4340.5288344254877</v>
      </c>
      <c r="Q121" s="62">
        <f t="shared" si="20"/>
        <v>-0.27181633361995639</v>
      </c>
      <c r="R121" s="62">
        <f t="shared" si="21"/>
        <v>15543.293448155977</v>
      </c>
      <c r="S121" s="62">
        <f t="shared" si="22"/>
        <v>22606.663154529262</v>
      </c>
      <c r="T121" s="62">
        <f t="shared" si="23"/>
        <v>22684.801675352308</v>
      </c>
      <c r="U121" s="62">
        <f t="shared" si="24"/>
        <v>22462.484417603562</v>
      </c>
      <c r="V121" s="62">
        <f t="shared" si="14"/>
        <v>1</v>
      </c>
      <c r="W121" s="62">
        <f t="shared" si="14"/>
        <v>0</v>
      </c>
      <c r="X121" s="62">
        <f t="shared" si="14"/>
        <v>0</v>
      </c>
      <c r="Y121" s="62">
        <f t="shared" si="14"/>
        <v>0</v>
      </c>
      <c r="AA121" s="94"/>
    </row>
    <row r="122" spans="2:27" x14ac:dyDescent="0.2">
      <c r="B122" s="94"/>
      <c r="C122" s="62">
        <v>83</v>
      </c>
      <c r="D122" s="62">
        <v>11374.274092477513</v>
      </c>
      <c r="E122" s="62">
        <v>0.61750682438446658</v>
      </c>
      <c r="F122" s="62">
        <v>16366.495932514061</v>
      </c>
      <c r="G122" s="62">
        <v>0.89388664165333132</v>
      </c>
      <c r="H122" s="62">
        <v>16427.322695549603</v>
      </c>
      <c r="I122" s="62">
        <v>0.8975223264107075</v>
      </c>
      <c r="J122" s="62">
        <v>16296.566914652598</v>
      </c>
      <c r="K122" s="62">
        <v>0.88920287765635753</v>
      </c>
      <c r="L122" s="62">
        <f t="shared" si="15"/>
        <v>-4992.2218400365473</v>
      </c>
      <c r="M122" s="62">
        <f t="shared" si="16"/>
        <v>-0.27637981726886474</v>
      </c>
      <c r="N122" s="62">
        <f t="shared" si="17"/>
        <v>-5053.0486030720895</v>
      </c>
      <c r="O122" s="62">
        <f t="shared" si="18"/>
        <v>-0.28001550202624093</v>
      </c>
      <c r="P122" s="62">
        <f t="shared" si="19"/>
        <v>-4922.2928221750844</v>
      </c>
      <c r="Q122" s="62">
        <f t="shared" si="20"/>
        <v>-0.27169605327189095</v>
      </c>
      <c r="R122" s="62">
        <f t="shared" si="21"/>
        <v>14205.328600824629</v>
      </c>
      <c r="S122" s="62">
        <f t="shared" si="22"/>
        <v>20661.864311333535</v>
      </c>
      <c r="T122" s="62">
        <f t="shared" si="23"/>
        <v>20751.642153687546</v>
      </c>
      <c r="U122" s="62">
        <f t="shared" si="24"/>
        <v>20537.773089384355</v>
      </c>
      <c r="V122" s="62">
        <f t="shared" si="14"/>
        <v>1</v>
      </c>
      <c r="W122" s="62">
        <f t="shared" si="14"/>
        <v>0</v>
      </c>
      <c r="X122" s="62">
        <f t="shared" si="14"/>
        <v>0</v>
      </c>
      <c r="Y122" s="62">
        <f t="shared" si="14"/>
        <v>0</v>
      </c>
      <c r="AA122" s="94"/>
    </row>
    <row r="123" spans="2:27" x14ac:dyDescent="0.2">
      <c r="B123" s="94"/>
      <c r="C123" s="62">
        <v>84</v>
      </c>
      <c r="D123" s="62">
        <v>9851.4604572544158</v>
      </c>
      <c r="E123" s="62">
        <v>0.61777455308790041</v>
      </c>
      <c r="F123" s="62">
        <v>14161.459485531646</v>
      </c>
      <c r="G123" s="62">
        <v>0.89435608166122182</v>
      </c>
      <c r="H123" s="62">
        <v>14199.36151651402</v>
      </c>
      <c r="I123" s="62">
        <v>0.89711359539911473</v>
      </c>
      <c r="J123" s="62">
        <v>14103.504127432096</v>
      </c>
      <c r="K123" s="62">
        <v>0.88957205883657253</v>
      </c>
      <c r="L123" s="62">
        <f t="shared" si="15"/>
        <v>-4309.9990282772305</v>
      </c>
      <c r="M123" s="62">
        <f t="shared" si="16"/>
        <v>-0.27658152857332141</v>
      </c>
      <c r="N123" s="62">
        <f t="shared" si="17"/>
        <v>-4347.9010592596042</v>
      </c>
      <c r="O123" s="62">
        <f t="shared" si="18"/>
        <v>-0.27933904231121431</v>
      </c>
      <c r="P123" s="62">
        <f t="shared" si="19"/>
        <v>-4252.0436701776798</v>
      </c>
      <c r="Q123" s="62">
        <f t="shared" si="20"/>
        <v>-0.27179750574867212</v>
      </c>
      <c r="R123" s="62">
        <f t="shared" si="21"/>
        <v>15739.232629858772</v>
      </c>
      <c r="S123" s="62">
        <f t="shared" si="22"/>
        <v>22886.346841202809</v>
      </c>
      <c r="T123" s="62">
        <f t="shared" si="23"/>
        <v>22962.672059298908</v>
      </c>
      <c r="U123" s="62">
        <f t="shared" si="24"/>
        <v>22746.128837814082</v>
      </c>
      <c r="V123" s="62">
        <f t="shared" si="14"/>
        <v>1</v>
      </c>
      <c r="W123" s="62">
        <f t="shared" si="14"/>
        <v>0</v>
      </c>
      <c r="X123" s="62">
        <f t="shared" si="14"/>
        <v>0</v>
      </c>
      <c r="Y123" s="62">
        <f t="shared" si="14"/>
        <v>0</v>
      </c>
      <c r="AA123" s="94"/>
    </row>
    <row r="124" spans="2:27" x14ac:dyDescent="0.2">
      <c r="B124" s="94"/>
      <c r="C124" s="62">
        <v>85</v>
      </c>
      <c r="D124" s="62">
        <v>10788.788580564054</v>
      </c>
      <c r="E124" s="62">
        <v>0.61775679248270277</v>
      </c>
      <c r="F124" s="62">
        <v>15512.6480020735</v>
      </c>
      <c r="G124" s="62">
        <v>0.8941945085103844</v>
      </c>
      <c r="H124" s="62">
        <v>15558.221886321842</v>
      </c>
      <c r="I124" s="62">
        <v>0.89716706142237379</v>
      </c>
      <c r="J124" s="62">
        <v>15454.247522992458</v>
      </c>
      <c r="K124" s="62">
        <v>0.88970321352088944</v>
      </c>
      <c r="L124" s="62">
        <f t="shared" si="15"/>
        <v>-4723.8594215094454</v>
      </c>
      <c r="M124" s="62">
        <f t="shared" si="16"/>
        <v>-0.27643771602768163</v>
      </c>
      <c r="N124" s="62">
        <f t="shared" si="17"/>
        <v>-4769.4333057577878</v>
      </c>
      <c r="O124" s="62">
        <f t="shared" si="18"/>
        <v>-0.27941026893967102</v>
      </c>
      <c r="P124" s="62">
        <f t="shared" si="19"/>
        <v>-4665.458942428404</v>
      </c>
      <c r="Q124" s="62">
        <f t="shared" si="20"/>
        <v>-0.27194642103818667</v>
      </c>
      <c r="R124" s="62">
        <f t="shared" si="21"/>
        <v>14801.168791239426</v>
      </c>
      <c r="S124" s="62">
        <f t="shared" si="22"/>
        <v>21528.465318460661</v>
      </c>
      <c r="T124" s="62">
        <f t="shared" si="23"/>
        <v>21606.026466038566</v>
      </c>
      <c r="U124" s="62">
        <f t="shared" si="24"/>
        <v>21400.818393896865</v>
      </c>
      <c r="V124" s="62">
        <f t="shared" si="14"/>
        <v>1</v>
      </c>
      <c r="W124" s="62">
        <f t="shared" si="14"/>
        <v>0</v>
      </c>
      <c r="X124" s="62">
        <f t="shared" si="14"/>
        <v>0</v>
      </c>
      <c r="Y124" s="62">
        <f t="shared" si="14"/>
        <v>0</v>
      </c>
      <c r="AA124" s="94"/>
    </row>
    <row r="125" spans="2:27" x14ac:dyDescent="0.2">
      <c r="B125" s="94"/>
      <c r="C125" s="62">
        <v>86</v>
      </c>
      <c r="D125" s="62">
        <v>9413.2623356006116</v>
      </c>
      <c r="E125" s="62">
        <v>0.61777140294362232</v>
      </c>
      <c r="F125" s="62">
        <v>13514.276689530378</v>
      </c>
      <c r="G125" s="62">
        <v>0.89406250207230054</v>
      </c>
      <c r="H125" s="62">
        <v>13552.118502493773</v>
      </c>
      <c r="I125" s="62">
        <v>0.89688218214433801</v>
      </c>
      <c r="J125" s="62">
        <v>13471.698488027996</v>
      </c>
      <c r="K125" s="62">
        <v>0.88994146542498453</v>
      </c>
      <c r="L125" s="62">
        <f t="shared" si="15"/>
        <v>-4101.014353929766</v>
      </c>
      <c r="M125" s="62">
        <f t="shared" si="16"/>
        <v>-0.27629109912867822</v>
      </c>
      <c r="N125" s="62">
        <f t="shared" si="17"/>
        <v>-4138.8561668931616</v>
      </c>
      <c r="O125" s="62">
        <f t="shared" si="18"/>
        <v>-0.2791107792007157</v>
      </c>
      <c r="P125" s="62">
        <f t="shared" si="19"/>
        <v>-4058.4361524273845</v>
      </c>
      <c r="Q125" s="62">
        <f t="shared" si="20"/>
        <v>-0.27217006248136222</v>
      </c>
      <c r="R125" s="62">
        <f t="shared" si="21"/>
        <v>16177.300259936001</v>
      </c>
      <c r="S125" s="62">
        <f t="shared" si="22"/>
        <v>23521.368396312595</v>
      </c>
      <c r="T125" s="62">
        <f t="shared" si="23"/>
        <v>23600.329010653288</v>
      </c>
      <c r="U125" s="62">
        <f t="shared" si="24"/>
        <v>23393.236775736561</v>
      </c>
      <c r="V125" s="62">
        <f t="shared" si="14"/>
        <v>1</v>
      </c>
      <c r="W125" s="62">
        <f t="shared" si="14"/>
        <v>0</v>
      </c>
      <c r="X125" s="62">
        <f t="shared" si="14"/>
        <v>0</v>
      </c>
      <c r="Y125" s="62">
        <f t="shared" si="14"/>
        <v>0</v>
      </c>
      <c r="AA125" s="94"/>
    </row>
    <row r="126" spans="2:27" x14ac:dyDescent="0.2">
      <c r="B126" s="94"/>
      <c r="C126" s="62">
        <v>87</v>
      </c>
      <c r="D126" s="62">
        <v>11449.53638470795</v>
      </c>
      <c r="E126" s="62">
        <v>0.61769157451503887</v>
      </c>
      <c r="F126" s="62">
        <v>16459.98335661196</v>
      </c>
      <c r="G126" s="62">
        <v>0.89400485656970308</v>
      </c>
      <c r="H126" s="62">
        <v>16513.587302930391</v>
      </c>
      <c r="I126" s="62">
        <v>0.89724457964361692</v>
      </c>
      <c r="J126" s="62">
        <v>16399.717282578826</v>
      </c>
      <c r="K126" s="62">
        <v>0.88957023808253333</v>
      </c>
      <c r="L126" s="62">
        <f t="shared" si="15"/>
        <v>-5010.4469719040098</v>
      </c>
      <c r="M126" s="62">
        <f t="shared" si="16"/>
        <v>-0.27631328205466421</v>
      </c>
      <c r="N126" s="62">
        <f t="shared" si="17"/>
        <v>-5064.0509182224414</v>
      </c>
      <c r="O126" s="62">
        <f t="shared" si="18"/>
        <v>-0.27955300512857806</v>
      </c>
      <c r="P126" s="62">
        <f t="shared" si="19"/>
        <v>-4950.1808978708759</v>
      </c>
      <c r="Q126" s="62">
        <f t="shared" si="20"/>
        <v>-0.27187866356749446</v>
      </c>
      <c r="R126" s="62">
        <f t="shared" si="21"/>
        <v>14137.719398003021</v>
      </c>
      <c r="S126" s="62">
        <f t="shared" si="22"/>
        <v>20573.273821931423</v>
      </c>
      <c r="T126" s="62">
        <f t="shared" si="23"/>
        <v>20653.872164226799</v>
      </c>
      <c r="U126" s="62">
        <f t="shared" si="24"/>
        <v>20449.840259752036</v>
      </c>
      <c r="V126" s="62">
        <f t="shared" si="14"/>
        <v>1</v>
      </c>
      <c r="W126" s="62">
        <f t="shared" si="14"/>
        <v>0</v>
      </c>
      <c r="X126" s="62">
        <f t="shared" si="14"/>
        <v>0</v>
      </c>
      <c r="Y126" s="62">
        <f t="shared" si="14"/>
        <v>0</v>
      </c>
      <c r="AA126" s="94"/>
    </row>
    <row r="127" spans="2:27" x14ac:dyDescent="0.2">
      <c r="B127" s="94"/>
      <c r="C127" s="62">
        <v>88</v>
      </c>
      <c r="D127" s="62">
        <v>10009.797610015623</v>
      </c>
      <c r="E127" s="62">
        <v>0.61771211687952998</v>
      </c>
      <c r="F127" s="62">
        <v>14380.437198681189</v>
      </c>
      <c r="G127" s="62">
        <v>0.89338853018674158</v>
      </c>
      <c r="H127" s="62">
        <v>14443.078114247479</v>
      </c>
      <c r="I127" s="62">
        <v>0.89780967460774141</v>
      </c>
      <c r="J127" s="62">
        <v>14323.480454648909</v>
      </c>
      <c r="K127" s="62">
        <v>0.88883664510866423</v>
      </c>
      <c r="L127" s="62">
        <f t="shared" si="15"/>
        <v>-4370.6395886655664</v>
      </c>
      <c r="M127" s="62">
        <f t="shared" si="16"/>
        <v>-0.2756764133072116</v>
      </c>
      <c r="N127" s="62">
        <f t="shared" si="17"/>
        <v>-4433.280504231856</v>
      </c>
      <c r="O127" s="62">
        <f t="shared" si="18"/>
        <v>-0.28009755772821143</v>
      </c>
      <c r="P127" s="62">
        <f t="shared" si="19"/>
        <v>-4313.6828446332856</v>
      </c>
      <c r="Q127" s="62">
        <f t="shared" si="20"/>
        <v>-0.27112452822913424</v>
      </c>
      <c r="R127" s="62">
        <f t="shared" si="21"/>
        <v>15578.309119602029</v>
      </c>
      <c r="S127" s="62">
        <f t="shared" si="22"/>
        <v>22627.289275774398</v>
      </c>
      <c r="T127" s="62">
        <f t="shared" si="23"/>
        <v>22747.789846703599</v>
      </c>
      <c r="U127" s="62">
        <f t="shared" si="24"/>
        <v>22495.688732332397</v>
      </c>
      <c r="V127" s="62">
        <f t="shared" si="14"/>
        <v>1</v>
      </c>
      <c r="W127" s="62">
        <f t="shared" si="14"/>
        <v>0</v>
      </c>
      <c r="X127" s="62">
        <f t="shared" si="14"/>
        <v>0</v>
      </c>
      <c r="Y127" s="62">
        <f t="shared" si="14"/>
        <v>0</v>
      </c>
      <c r="AA127" s="94"/>
    </row>
    <row r="128" spans="2:27" x14ac:dyDescent="0.2">
      <c r="B128" s="94"/>
      <c r="C128" s="62">
        <v>89</v>
      </c>
      <c r="D128" s="62">
        <v>11845.936062730121</v>
      </c>
      <c r="E128" s="62">
        <v>0.61783094363580415</v>
      </c>
      <c r="F128" s="62">
        <v>17029.890453030705</v>
      </c>
      <c r="G128" s="62">
        <v>0.89451770105711714</v>
      </c>
      <c r="H128" s="62">
        <v>17084.122846879283</v>
      </c>
      <c r="I128" s="62">
        <v>0.89747221169649283</v>
      </c>
      <c r="J128" s="62">
        <v>16967.423848612827</v>
      </c>
      <c r="K128" s="62">
        <v>0.88995692220188749</v>
      </c>
      <c r="L128" s="62">
        <f t="shared" si="15"/>
        <v>-5183.9543903005833</v>
      </c>
      <c r="M128" s="62">
        <f t="shared" si="16"/>
        <v>-0.27668675742131299</v>
      </c>
      <c r="N128" s="62">
        <f t="shared" si="17"/>
        <v>-5238.1867841491621</v>
      </c>
      <c r="O128" s="62">
        <f t="shared" si="18"/>
        <v>-0.27964126806068867</v>
      </c>
      <c r="P128" s="62">
        <f t="shared" si="19"/>
        <v>-5121.4877858827058</v>
      </c>
      <c r="Q128" s="62">
        <f t="shared" si="20"/>
        <v>-0.27212597856608334</v>
      </c>
      <c r="R128" s="62">
        <f t="shared" si="21"/>
        <v>13747.092946439428</v>
      </c>
      <c r="S128" s="62">
        <f t="shared" si="22"/>
        <v>20024.610795559318</v>
      </c>
      <c r="T128" s="62">
        <f t="shared" si="23"/>
        <v>20092.766050436236</v>
      </c>
      <c r="U128" s="62">
        <f t="shared" si="24"/>
        <v>19898.15169667816</v>
      </c>
      <c r="V128" s="62">
        <f t="shared" si="14"/>
        <v>1</v>
      </c>
      <c r="W128" s="62">
        <f t="shared" si="14"/>
        <v>0</v>
      </c>
      <c r="X128" s="62">
        <f t="shared" si="14"/>
        <v>0</v>
      </c>
      <c r="Y128" s="62">
        <f t="shared" si="14"/>
        <v>0</v>
      </c>
      <c r="AA128" s="94"/>
    </row>
    <row r="129" spans="2:27" x14ac:dyDescent="0.2">
      <c r="B129" s="94"/>
      <c r="C129" s="62">
        <v>90</v>
      </c>
      <c r="D129" s="62">
        <v>10568.6049129571</v>
      </c>
      <c r="E129" s="62">
        <v>0.61729049275979875</v>
      </c>
      <c r="F129" s="62">
        <v>15205.606666801701</v>
      </c>
      <c r="G129" s="62">
        <v>0.89407413386726586</v>
      </c>
      <c r="H129" s="62">
        <v>15255.009802503388</v>
      </c>
      <c r="I129" s="62">
        <v>0.89735415356044168</v>
      </c>
      <c r="J129" s="62">
        <v>15142.58218069113</v>
      </c>
      <c r="K129" s="62">
        <v>0.88939946658261537</v>
      </c>
      <c r="L129" s="62">
        <f t="shared" si="15"/>
        <v>-4637.0017538446009</v>
      </c>
      <c r="M129" s="62">
        <f t="shared" si="16"/>
        <v>-0.27678364110746712</v>
      </c>
      <c r="N129" s="62">
        <f t="shared" si="17"/>
        <v>-4686.4048895462874</v>
      </c>
      <c r="O129" s="62">
        <f t="shared" si="18"/>
        <v>-0.28006366080064293</v>
      </c>
      <c r="P129" s="62">
        <f t="shared" si="19"/>
        <v>-4573.9772677340297</v>
      </c>
      <c r="Q129" s="62">
        <f t="shared" si="20"/>
        <v>-0.27210897382281662</v>
      </c>
      <c r="R129" s="62">
        <f t="shared" si="21"/>
        <v>15002.036459124804</v>
      </c>
      <c r="S129" s="62">
        <f t="shared" si="22"/>
        <v>21830.520254515919</v>
      </c>
      <c r="T129" s="62">
        <f t="shared" si="23"/>
        <v>21916.988654584347</v>
      </c>
      <c r="U129" s="62">
        <f t="shared" si="24"/>
        <v>21699.901323027127</v>
      </c>
      <c r="V129" s="62">
        <f t="shared" si="14"/>
        <v>1</v>
      </c>
      <c r="W129" s="62">
        <f t="shared" si="14"/>
        <v>0</v>
      </c>
      <c r="X129" s="62">
        <f t="shared" si="14"/>
        <v>0</v>
      </c>
      <c r="Y129" s="62">
        <f t="shared" si="14"/>
        <v>0</v>
      </c>
      <c r="AA129" s="94"/>
    </row>
    <row r="130" spans="2:27" x14ac:dyDescent="0.2">
      <c r="B130" s="94"/>
      <c r="C130" s="62">
        <v>91</v>
      </c>
      <c r="D130" s="62">
        <v>9461.5028156333265</v>
      </c>
      <c r="E130" s="62">
        <v>0.61761998557015174</v>
      </c>
      <c r="F130" s="62">
        <v>13601.265085439838</v>
      </c>
      <c r="G130" s="62">
        <v>0.89473025574722875</v>
      </c>
      <c r="H130" s="62">
        <v>13642.421775563422</v>
      </c>
      <c r="I130" s="62">
        <v>0.89766651020659849</v>
      </c>
      <c r="J130" s="62">
        <v>13549.096643284063</v>
      </c>
      <c r="K130" s="62">
        <v>0.89003195204912344</v>
      </c>
      <c r="L130" s="62">
        <f t="shared" si="15"/>
        <v>-4139.7622698065115</v>
      </c>
      <c r="M130" s="62">
        <f t="shared" si="16"/>
        <v>-0.27711027017707701</v>
      </c>
      <c r="N130" s="62">
        <f t="shared" si="17"/>
        <v>-4180.9189599300953</v>
      </c>
      <c r="O130" s="62">
        <f t="shared" si="18"/>
        <v>-0.28004652463644675</v>
      </c>
      <c r="P130" s="62">
        <f t="shared" si="19"/>
        <v>-4087.5938276507368</v>
      </c>
      <c r="Q130" s="62">
        <f t="shared" si="20"/>
        <v>-0.2724119664789717</v>
      </c>
      <c r="R130" s="62">
        <f t="shared" si="21"/>
        <v>16122.787466624641</v>
      </c>
      <c r="S130" s="62">
        <f t="shared" si="22"/>
        <v>23462.041028633364</v>
      </c>
      <c r="T130" s="62">
        <f t="shared" si="23"/>
        <v>23542.515743234711</v>
      </c>
      <c r="U130" s="62">
        <f t="shared" si="24"/>
        <v>23319.586938398825</v>
      </c>
      <c r="V130" s="62">
        <f t="shared" si="14"/>
        <v>1</v>
      </c>
      <c r="W130" s="62">
        <f t="shared" si="14"/>
        <v>0</v>
      </c>
      <c r="X130" s="62">
        <f t="shared" si="14"/>
        <v>0</v>
      </c>
      <c r="Y130" s="62">
        <f t="shared" si="14"/>
        <v>0</v>
      </c>
      <c r="AA130" s="94"/>
    </row>
    <row r="131" spans="2:27" x14ac:dyDescent="0.2">
      <c r="B131" s="94"/>
      <c r="C131" s="62">
        <v>92</v>
      </c>
      <c r="D131" s="62">
        <v>9348.9617816366117</v>
      </c>
      <c r="E131" s="62">
        <v>0.61758028817027599</v>
      </c>
      <c r="F131" s="62">
        <v>13441.613045574381</v>
      </c>
      <c r="G131" s="62">
        <v>0.89414504665993311</v>
      </c>
      <c r="H131" s="62">
        <v>13473.211917412496</v>
      </c>
      <c r="I131" s="62">
        <v>0.89664157157956847</v>
      </c>
      <c r="J131" s="62">
        <v>13384.352704496881</v>
      </c>
      <c r="K131" s="62">
        <v>0.88927293616895198</v>
      </c>
      <c r="L131" s="62">
        <f t="shared" si="15"/>
        <v>-4092.6512639377688</v>
      </c>
      <c r="M131" s="62">
        <f t="shared" si="16"/>
        <v>-0.27656475848965711</v>
      </c>
      <c r="N131" s="62">
        <f t="shared" si="17"/>
        <v>-4124.2501357758847</v>
      </c>
      <c r="O131" s="62">
        <f t="shared" si="18"/>
        <v>-0.27906128340929248</v>
      </c>
      <c r="P131" s="62">
        <f t="shared" si="19"/>
        <v>-4035.3909228602697</v>
      </c>
      <c r="Q131" s="62">
        <f t="shared" si="20"/>
        <v>-0.27169264799867598</v>
      </c>
      <c r="R131" s="62">
        <f t="shared" si="21"/>
        <v>16233.684075528901</v>
      </c>
      <c r="S131" s="62">
        <f t="shared" si="22"/>
        <v>23597.451367266691</v>
      </c>
      <c r="T131" s="62">
        <f t="shared" si="23"/>
        <v>23669.268543699545</v>
      </c>
      <c r="U131" s="62">
        <f t="shared" si="24"/>
        <v>23452.889403365785</v>
      </c>
      <c r="V131" s="62">
        <f t="shared" si="14"/>
        <v>1</v>
      </c>
      <c r="W131" s="62">
        <f t="shared" si="14"/>
        <v>0</v>
      </c>
      <c r="X131" s="62">
        <f t="shared" si="14"/>
        <v>0</v>
      </c>
      <c r="Y131" s="62">
        <f t="shared" si="14"/>
        <v>0</v>
      </c>
      <c r="AA131" s="94"/>
    </row>
    <row r="132" spans="2:27" x14ac:dyDescent="0.2">
      <c r="B132" s="94"/>
      <c r="C132" s="62">
        <v>93</v>
      </c>
      <c r="D132" s="62">
        <v>9200.7505628548806</v>
      </c>
      <c r="E132" s="62">
        <v>0.61757262121816059</v>
      </c>
      <c r="F132" s="62">
        <v>13231.727025009519</v>
      </c>
      <c r="G132" s="62">
        <v>0.89442726915137816</v>
      </c>
      <c r="H132" s="62">
        <v>13268.438060483815</v>
      </c>
      <c r="I132" s="62">
        <v>0.89717306571970334</v>
      </c>
      <c r="J132" s="62">
        <v>13175.007770431432</v>
      </c>
      <c r="K132" s="62">
        <v>0.88956425838435793</v>
      </c>
      <c r="L132" s="62">
        <f t="shared" si="15"/>
        <v>-4030.9764621546383</v>
      </c>
      <c r="M132" s="62">
        <f t="shared" si="16"/>
        <v>-0.27685464793321757</v>
      </c>
      <c r="N132" s="62">
        <f t="shared" si="17"/>
        <v>-4067.6874976289346</v>
      </c>
      <c r="O132" s="62">
        <f t="shared" si="18"/>
        <v>-0.27960044450154276</v>
      </c>
      <c r="P132" s="62">
        <f t="shared" si="19"/>
        <v>-3974.2572075765511</v>
      </c>
      <c r="Q132" s="62">
        <f t="shared" si="20"/>
        <v>-0.27199163716619734</v>
      </c>
      <c r="R132" s="62">
        <f t="shared" si="21"/>
        <v>16381.577698486204</v>
      </c>
      <c r="S132" s="62">
        <f t="shared" si="22"/>
        <v>23819.028172317172</v>
      </c>
      <c r="T132" s="62">
        <f t="shared" si="23"/>
        <v>23896.059013889178</v>
      </c>
      <c r="U132" s="62">
        <f t="shared" si="24"/>
        <v>23674.302068882214</v>
      </c>
      <c r="V132" s="62">
        <f t="shared" si="14"/>
        <v>1</v>
      </c>
      <c r="W132" s="62">
        <f t="shared" si="14"/>
        <v>0</v>
      </c>
      <c r="X132" s="62">
        <f t="shared" si="14"/>
        <v>0</v>
      </c>
      <c r="Y132" s="62">
        <f t="shared" si="14"/>
        <v>0</v>
      </c>
      <c r="AA132" s="94"/>
    </row>
    <row r="133" spans="2:27" x14ac:dyDescent="0.2">
      <c r="B133" s="94"/>
      <c r="C133" s="62">
        <v>94</v>
      </c>
      <c r="D133" s="62">
        <v>10416.229248453206</v>
      </c>
      <c r="E133" s="62">
        <v>0.61761891921901002</v>
      </c>
      <c r="F133" s="62">
        <v>14977.345689813839</v>
      </c>
      <c r="G133" s="62">
        <v>0.89429702670492128</v>
      </c>
      <c r="H133" s="62">
        <v>15019.781898622296</v>
      </c>
      <c r="I133" s="62">
        <v>0.89710570118177169</v>
      </c>
      <c r="J133" s="62">
        <v>14907.285605014129</v>
      </c>
      <c r="K133" s="62">
        <v>0.88892428208235563</v>
      </c>
      <c r="L133" s="62">
        <f t="shared" si="15"/>
        <v>-4561.116441360633</v>
      </c>
      <c r="M133" s="62">
        <f t="shared" si="16"/>
        <v>-0.27667810748591126</v>
      </c>
      <c r="N133" s="62">
        <f t="shared" si="17"/>
        <v>-4603.5526501690892</v>
      </c>
      <c r="O133" s="62">
        <f t="shared" si="18"/>
        <v>-0.27948678196276167</v>
      </c>
      <c r="P133" s="62">
        <f t="shared" si="19"/>
        <v>-4491.0563565609227</v>
      </c>
      <c r="Q133" s="62">
        <f t="shared" si="20"/>
        <v>-0.27130536286334561</v>
      </c>
      <c r="R133" s="62">
        <f t="shared" si="21"/>
        <v>15168.016861275066</v>
      </c>
      <c r="S133" s="62">
        <f t="shared" si="22"/>
        <v>22068.014344410818</v>
      </c>
      <c r="T133" s="62">
        <f t="shared" si="23"/>
        <v>22141.924667131414</v>
      </c>
      <c r="U133" s="62">
        <f t="shared" si="24"/>
        <v>21915.513855965371</v>
      </c>
      <c r="V133" s="62">
        <f t="shared" si="14"/>
        <v>1</v>
      </c>
      <c r="W133" s="62">
        <f t="shared" si="14"/>
        <v>0</v>
      </c>
      <c r="X133" s="62">
        <f t="shared" si="14"/>
        <v>0</v>
      </c>
      <c r="Y133" s="62">
        <f t="shared" si="14"/>
        <v>0</v>
      </c>
      <c r="AA133" s="94"/>
    </row>
    <row r="134" spans="2:27" x14ac:dyDescent="0.2">
      <c r="B134" s="94"/>
      <c r="C134" s="62">
        <v>95</v>
      </c>
      <c r="D134" s="62">
        <v>10949.462009779909</v>
      </c>
      <c r="E134" s="62">
        <v>0.61781609517283886</v>
      </c>
      <c r="F134" s="62">
        <v>15736.3855157708</v>
      </c>
      <c r="G134" s="62">
        <v>0.89365818768733241</v>
      </c>
      <c r="H134" s="62">
        <v>15787.913136719364</v>
      </c>
      <c r="I134" s="62">
        <v>0.89702638480559194</v>
      </c>
      <c r="J134" s="62">
        <v>15676.357362386685</v>
      </c>
      <c r="K134" s="62">
        <v>0.88921390329044125</v>
      </c>
      <c r="L134" s="62">
        <f t="shared" si="15"/>
        <v>-4786.9235059908915</v>
      </c>
      <c r="M134" s="62">
        <f t="shared" si="16"/>
        <v>-0.27584209251449354</v>
      </c>
      <c r="N134" s="62">
        <f t="shared" si="17"/>
        <v>-4838.4511269394552</v>
      </c>
      <c r="O134" s="62">
        <f t="shared" si="18"/>
        <v>-0.27921028963275307</v>
      </c>
      <c r="P134" s="62">
        <f t="shared" si="19"/>
        <v>-4726.8953526067762</v>
      </c>
      <c r="Q134" s="62">
        <f t="shared" si="20"/>
        <v>-0.27139780811760239</v>
      </c>
      <c r="R134" s="62">
        <f t="shared" si="21"/>
        <v>14642.951916659767</v>
      </c>
      <c r="S134" s="62">
        <f t="shared" si="22"/>
        <v>21282.511250989257</v>
      </c>
      <c r="T134" s="62">
        <f t="shared" si="23"/>
        <v>21370.507827467482</v>
      </c>
      <c r="U134" s="62">
        <f t="shared" si="24"/>
        <v>21158.439367516556</v>
      </c>
      <c r="V134" s="62">
        <f t="shared" si="14"/>
        <v>1</v>
      </c>
      <c r="W134" s="62">
        <f t="shared" si="14"/>
        <v>0</v>
      </c>
      <c r="X134" s="62">
        <f t="shared" si="14"/>
        <v>0</v>
      </c>
      <c r="Y134" s="62">
        <f t="shared" si="14"/>
        <v>0</v>
      </c>
      <c r="AA134" s="94"/>
    </row>
    <row r="135" spans="2:27" x14ac:dyDescent="0.2">
      <c r="B135" s="94"/>
      <c r="C135" s="62">
        <v>96</v>
      </c>
      <c r="D135" s="62">
        <v>11061.157242409332</v>
      </c>
      <c r="E135" s="62">
        <v>0.61778683342663432</v>
      </c>
      <c r="F135" s="62">
        <v>15896.131974260303</v>
      </c>
      <c r="G135" s="62">
        <v>0.89411967471241294</v>
      </c>
      <c r="H135" s="62">
        <v>15949.037314461249</v>
      </c>
      <c r="I135" s="62">
        <v>0.89731410324964511</v>
      </c>
      <c r="J135" s="62">
        <v>15835.364989001951</v>
      </c>
      <c r="K135" s="62">
        <v>0.88943152328292485</v>
      </c>
      <c r="L135" s="62">
        <f t="shared" si="15"/>
        <v>-4834.9747318509708</v>
      </c>
      <c r="M135" s="62">
        <f t="shared" si="16"/>
        <v>-0.27633284128577862</v>
      </c>
      <c r="N135" s="62">
        <f t="shared" si="17"/>
        <v>-4887.8800720519175</v>
      </c>
      <c r="O135" s="62">
        <f t="shared" si="18"/>
        <v>-0.27952726982301079</v>
      </c>
      <c r="P135" s="62">
        <f t="shared" si="19"/>
        <v>-4774.2077465926195</v>
      </c>
      <c r="Q135" s="62">
        <f t="shared" si="20"/>
        <v>-0.27164468985629053</v>
      </c>
      <c r="R135" s="62">
        <f t="shared" si="21"/>
        <v>14530.044545455567</v>
      </c>
      <c r="S135" s="62">
        <f t="shared" si="22"/>
        <v>21141.88143102669</v>
      </c>
      <c r="T135" s="62">
        <f t="shared" si="23"/>
        <v>21221.302098552052</v>
      </c>
      <c r="U135" s="62">
        <f t="shared" si="24"/>
        <v>21008.446431469929</v>
      </c>
      <c r="V135" s="62">
        <f t="shared" si="14"/>
        <v>1</v>
      </c>
      <c r="W135" s="62">
        <f t="shared" si="14"/>
        <v>0</v>
      </c>
      <c r="X135" s="62">
        <f t="shared" si="14"/>
        <v>0</v>
      </c>
      <c r="Y135" s="62">
        <f t="shared" si="14"/>
        <v>0</v>
      </c>
      <c r="AA135" s="94"/>
    </row>
    <row r="136" spans="2:27" x14ac:dyDescent="0.2">
      <c r="B136" s="94"/>
      <c r="C136" s="62">
        <v>97</v>
      </c>
      <c r="D136" s="62">
        <v>10012.009061617229</v>
      </c>
      <c r="E136" s="62">
        <v>0.61793037874861145</v>
      </c>
      <c r="F136" s="62">
        <v>14382.478455951939</v>
      </c>
      <c r="G136" s="62">
        <v>0.89376854964986618</v>
      </c>
      <c r="H136" s="62">
        <v>14434.041353964831</v>
      </c>
      <c r="I136" s="62">
        <v>0.89746637168861987</v>
      </c>
      <c r="J136" s="62">
        <v>14323.633320691306</v>
      </c>
      <c r="K136" s="62">
        <v>0.88901865908667399</v>
      </c>
      <c r="L136" s="62">
        <f t="shared" si="15"/>
        <v>-4370.4693943347102</v>
      </c>
      <c r="M136" s="62">
        <f t="shared" si="16"/>
        <v>-0.27583817090125473</v>
      </c>
      <c r="N136" s="62">
        <f t="shared" si="17"/>
        <v>-4422.0322923476015</v>
      </c>
      <c r="O136" s="62">
        <f t="shared" si="18"/>
        <v>-0.27953599294000842</v>
      </c>
      <c r="P136" s="62">
        <f t="shared" si="19"/>
        <v>-4311.6242590740767</v>
      </c>
      <c r="Q136" s="62">
        <f t="shared" si="20"/>
        <v>-0.27108828033806254</v>
      </c>
      <c r="R136" s="62">
        <f t="shared" si="21"/>
        <v>15585.138947665253</v>
      </c>
      <c r="S136" s="62">
        <f t="shared" si="22"/>
        <v>22640.98994474412</v>
      </c>
      <c r="T136" s="62">
        <f t="shared" si="23"/>
        <v>22742.605626864563</v>
      </c>
      <c r="U136" s="62">
        <f t="shared" si="24"/>
        <v>22503.075613315079</v>
      </c>
      <c r="V136" s="62">
        <f t="shared" si="14"/>
        <v>1</v>
      </c>
      <c r="W136" s="62">
        <f t="shared" si="14"/>
        <v>0</v>
      </c>
      <c r="X136" s="62">
        <f t="shared" si="14"/>
        <v>0</v>
      </c>
      <c r="Y136" s="62">
        <f t="shared" si="14"/>
        <v>0</v>
      </c>
      <c r="AA136" s="94"/>
    </row>
    <row r="137" spans="2:27" x14ac:dyDescent="0.2">
      <c r="B137" s="94"/>
      <c r="C137" s="62">
        <v>98</v>
      </c>
      <c r="D137" s="62">
        <v>9547.0620960216747</v>
      </c>
      <c r="E137" s="62">
        <v>0.61735183656627723</v>
      </c>
      <c r="F137" s="62">
        <v>13724.65039607321</v>
      </c>
      <c r="G137" s="62">
        <v>0.89362196859182208</v>
      </c>
      <c r="H137" s="62">
        <v>13769.163655084174</v>
      </c>
      <c r="I137" s="62">
        <v>0.8968011236564275</v>
      </c>
      <c r="J137" s="62">
        <v>13679.03400119234</v>
      </c>
      <c r="K137" s="62">
        <v>0.88952631761376255</v>
      </c>
      <c r="L137" s="62">
        <f t="shared" si="15"/>
        <v>-4177.588300051535</v>
      </c>
      <c r="M137" s="62">
        <f t="shared" si="16"/>
        <v>-0.27627013202554485</v>
      </c>
      <c r="N137" s="62">
        <f t="shared" si="17"/>
        <v>-4222.1015590624993</v>
      </c>
      <c r="O137" s="62">
        <f t="shared" si="18"/>
        <v>-0.27944928709015027</v>
      </c>
      <c r="P137" s="62">
        <f t="shared" si="19"/>
        <v>-4131.9719051706652</v>
      </c>
      <c r="Q137" s="62">
        <f t="shared" si="20"/>
        <v>-0.27217448104748532</v>
      </c>
      <c r="R137" s="62">
        <f t="shared" si="21"/>
        <v>16026.120381899795</v>
      </c>
      <c r="S137" s="62">
        <f t="shared" si="22"/>
        <v>23292.746030874427</v>
      </c>
      <c r="T137" s="62">
        <f t="shared" si="23"/>
        <v>23379.92609125968</v>
      </c>
      <c r="U137" s="62">
        <f t="shared" si="24"/>
        <v>23168.704179640161</v>
      </c>
      <c r="V137" s="62">
        <f t="shared" si="14"/>
        <v>1</v>
      </c>
      <c r="W137" s="62">
        <f t="shared" si="14"/>
        <v>0</v>
      </c>
      <c r="X137" s="62">
        <f t="shared" si="14"/>
        <v>0</v>
      </c>
      <c r="Y137" s="62">
        <f t="shared" si="14"/>
        <v>0</v>
      </c>
      <c r="AA137" s="94"/>
    </row>
    <row r="138" spans="2:27" x14ac:dyDescent="0.2">
      <c r="B138" s="94"/>
      <c r="C138" s="62">
        <v>99</v>
      </c>
      <c r="D138" s="62">
        <v>8579.5257429709873</v>
      </c>
      <c r="E138" s="62">
        <v>0.61774683492376492</v>
      </c>
      <c r="F138" s="62">
        <v>12308.137760739068</v>
      </c>
      <c r="G138" s="62">
        <v>0.89339388796764696</v>
      </c>
      <c r="H138" s="62">
        <v>12359.063645099801</v>
      </c>
      <c r="I138" s="62">
        <v>0.89767743835943847</v>
      </c>
      <c r="J138" s="62">
        <v>12279.600153983589</v>
      </c>
      <c r="K138" s="62">
        <v>0.89002916855767356</v>
      </c>
      <c r="L138" s="62">
        <f t="shared" si="15"/>
        <v>-3728.6120177680805</v>
      </c>
      <c r="M138" s="62">
        <f t="shared" si="16"/>
        <v>-0.27564705304388204</v>
      </c>
      <c r="N138" s="62">
        <f t="shared" si="17"/>
        <v>-3779.5379021288136</v>
      </c>
      <c r="O138" s="62">
        <f t="shared" si="18"/>
        <v>-0.27993060343567355</v>
      </c>
      <c r="P138" s="62">
        <f t="shared" si="19"/>
        <v>-3700.0744110126016</v>
      </c>
      <c r="Q138" s="62">
        <f t="shared" si="20"/>
        <v>-0.27228233363390864</v>
      </c>
      <c r="R138" s="62">
        <f t="shared" si="21"/>
        <v>17010.01914691105</v>
      </c>
      <c r="S138" s="62">
        <f t="shared" si="22"/>
        <v>24699.810654432738</v>
      </c>
      <c r="T138" s="62">
        <f t="shared" si="23"/>
        <v>24826.326561501577</v>
      </c>
      <c r="U138" s="62">
        <f t="shared" si="24"/>
        <v>24588.968124349482</v>
      </c>
      <c r="V138" s="62">
        <f t="shared" si="14"/>
        <v>1</v>
      </c>
      <c r="W138" s="62">
        <f t="shared" si="14"/>
        <v>0</v>
      </c>
      <c r="X138" s="62">
        <f t="shared" si="14"/>
        <v>0</v>
      </c>
      <c r="Y138" s="62">
        <f t="shared" si="14"/>
        <v>0</v>
      </c>
      <c r="AA138" s="94"/>
    </row>
    <row r="139" spans="2:27" x14ac:dyDescent="0.2">
      <c r="B139" s="94"/>
      <c r="C139" s="62">
        <v>100</v>
      </c>
      <c r="D139" s="62">
        <v>12975.629269739378</v>
      </c>
      <c r="E139" s="62">
        <v>0.61800453155424551</v>
      </c>
      <c r="F139" s="62">
        <v>18669.981295241894</v>
      </c>
      <c r="G139" s="62">
        <v>0.89439073484236431</v>
      </c>
      <c r="H139" s="62">
        <v>18717.395178049621</v>
      </c>
      <c r="I139" s="62">
        <v>0.89685199886989786</v>
      </c>
      <c r="J139" s="62">
        <v>18589.597377067112</v>
      </c>
      <c r="K139" s="62">
        <v>0.88963209657991438</v>
      </c>
      <c r="L139" s="62">
        <f t="shared" si="15"/>
        <v>-5694.352025502516</v>
      </c>
      <c r="M139" s="62">
        <f t="shared" si="16"/>
        <v>-0.2763862032881188</v>
      </c>
      <c r="N139" s="62">
        <f t="shared" si="17"/>
        <v>-5741.7659083102426</v>
      </c>
      <c r="O139" s="62">
        <f t="shared" si="18"/>
        <v>-0.27884746731565235</v>
      </c>
      <c r="P139" s="62">
        <f t="shared" si="19"/>
        <v>-5613.9681073277334</v>
      </c>
      <c r="Q139" s="62">
        <f t="shared" si="20"/>
        <v>-0.27162756502566887</v>
      </c>
      <c r="R139" s="62">
        <f t="shared" si="21"/>
        <v>12624.590445363689</v>
      </c>
      <c r="S139" s="62">
        <f t="shared" si="22"/>
        <v>18379.260504868202</v>
      </c>
      <c r="T139" s="62">
        <f t="shared" si="23"/>
        <v>18433.802023137025</v>
      </c>
      <c r="U139" s="62">
        <f t="shared" si="24"/>
        <v>18262.522591659261</v>
      </c>
      <c r="V139" s="62">
        <f t="shared" si="14"/>
        <v>1</v>
      </c>
      <c r="W139" s="62">
        <f t="shared" si="14"/>
        <v>0</v>
      </c>
      <c r="X139" s="62">
        <f t="shared" si="14"/>
        <v>0</v>
      </c>
      <c r="Y139" s="62">
        <f t="shared" si="14"/>
        <v>0</v>
      </c>
      <c r="AA139" s="94"/>
    </row>
    <row r="140" spans="2:27" x14ac:dyDescent="0.2">
      <c r="B140" s="94"/>
      <c r="C140" s="62">
        <v>101</v>
      </c>
      <c r="D140" s="62">
        <v>9102.5153273793003</v>
      </c>
      <c r="E140" s="62">
        <v>0.61786663738473624</v>
      </c>
      <c r="F140" s="62">
        <v>13079.521483605346</v>
      </c>
      <c r="G140" s="62">
        <v>0.89432344096152494</v>
      </c>
      <c r="H140" s="62">
        <v>13117.139158064918</v>
      </c>
      <c r="I140" s="62">
        <v>0.89720249379788852</v>
      </c>
      <c r="J140" s="62">
        <v>13039.641481036244</v>
      </c>
      <c r="K140" s="62">
        <v>0.89055580483592756</v>
      </c>
      <c r="L140" s="62">
        <f t="shared" si="15"/>
        <v>-3977.0061562260453</v>
      </c>
      <c r="M140" s="62">
        <f t="shared" si="16"/>
        <v>-0.2764568035767887</v>
      </c>
      <c r="N140" s="62">
        <f t="shared" si="17"/>
        <v>-4014.6238306856176</v>
      </c>
      <c r="O140" s="62">
        <f t="shared" si="18"/>
        <v>-0.27933585641315228</v>
      </c>
      <c r="P140" s="62">
        <f t="shared" si="19"/>
        <v>-3937.1261536569436</v>
      </c>
      <c r="Q140" s="62">
        <f t="shared" si="20"/>
        <v>-0.27268916745119132</v>
      </c>
      <c r="R140" s="62">
        <f t="shared" si="21"/>
        <v>16491.992259646013</v>
      </c>
      <c r="S140" s="62">
        <f t="shared" si="22"/>
        <v>23966.932734784863</v>
      </c>
      <c r="T140" s="62">
        <f t="shared" si="23"/>
        <v>24048.576945018813</v>
      </c>
      <c r="U140" s="62">
        <f t="shared" si="24"/>
        <v>23850.742178487217</v>
      </c>
      <c r="V140" s="62">
        <f t="shared" si="14"/>
        <v>1</v>
      </c>
      <c r="W140" s="62">
        <f t="shared" si="14"/>
        <v>0</v>
      </c>
      <c r="X140" s="62">
        <f t="shared" si="14"/>
        <v>0</v>
      </c>
      <c r="Y140" s="62">
        <f t="shared" si="14"/>
        <v>0</v>
      </c>
      <c r="AA140" s="94"/>
    </row>
    <row r="141" spans="2:27" x14ac:dyDescent="0.2">
      <c r="B141" s="94"/>
      <c r="C141" s="62">
        <v>102</v>
      </c>
      <c r="D141" s="62">
        <v>9800.4922353457532</v>
      </c>
      <c r="E141" s="62">
        <v>0.61729411153522429</v>
      </c>
      <c r="F141" s="62">
        <v>14099.896633075045</v>
      </c>
      <c r="G141" s="62">
        <v>0.89423253516685686</v>
      </c>
      <c r="H141" s="62">
        <v>14140.580657650937</v>
      </c>
      <c r="I141" s="62">
        <v>0.89716134764962985</v>
      </c>
      <c r="J141" s="62">
        <v>14040.927393530768</v>
      </c>
      <c r="K141" s="62">
        <v>0.88933831812390307</v>
      </c>
      <c r="L141" s="62">
        <f t="shared" si="15"/>
        <v>-4299.4043977292913</v>
      </c>
      <c r="M141" s="62">
        <f t="shared" si="16"/>
        <v>-0.27693842363163257</v>
      </c>
      <c r="N141" s="62">
        <f t="shared" si="17"/>
        <v>-4340.0884223051835</v>
      </c>
      <c r="O141" s="62">
        <f t="shared" si="18"/>
        <v>-0.27986723611440556</v>
      </c>
      <c r="P141" s="62">
        <f t="shared" si="19"/>
        <v>-4240.4351581850151</v>
      </c>
      <c r="Q141" s="62">
        <f t="shared" si="20"/>
        <v>-0.27204420658867878</v>
      </c>
      <c r="R141" s="62">
        <f t="shared" si="21"/>
        <v>15770.299040889377</v>
      </c>
      <c r="S141" s="62">
        <f t="shared" si="22"/>
        <v>22942.791903676833</v>
      </c>
      <c r="T141" s="62">
        <f t="shared" si="23"/>
        <v>23023.431007387335</v>
      </c>
      <c r="U141" s="62">
        <f t="shared" si="24"/>
        <v>22799.023096433793</v>
      </c>
      <c r="V141" s="62">
        <f t="shared" si="14"/>
        <v>1</v>
      </c>
      <c r="W141" s="62">
        <f t="shared" si="14"/>
        <v>0</v>
      </c>
      <c r="X141" s="62">
        <f t="shared" si="14"/>
        <v>0</v>
      </c>
      <c r="Y141" s="62">
        <f t="shared" si="14"/>
        <v>0</v>
      </c>
      <c r="AA141" s="94"/>
    </row>
    <row r="142" spans="2:27" x14ac:dyDescent="0.2">
      <c r="B142" s="94"/>
      <c r="C142" s="62">
        <v>103</v>
      </c>
      <c r="D142" s="62">
        <v>9947.2535884998215</v>
      </c>
      <c r="E142" s="62">
        <v>0.61738574212590014</v>
      </c>
      <c r="F142" s="62">
        <v>14304.583766345935</v>
      </c>
      <c r="G142" s="62">
        <v>0.89396711194698764</v>
      </c>
      <c r="H142" s="62">
        <v>14353.726509566599</v>
      </c>
      <c r="I142" s="62">
        <v>0.89754018589608175</v>
      </c>
      <c r="J142" s="62">
        <v>14251.563497947838</v>
      </c>
      <c r="K142" s="62">
        <v>0.88961877198770967</v>
      </c>
      <c r="L142" s="62">
        <f t="shared" si="15"/>
        <v>-4357.3301778461137</v>
      </c>
      <c r="M142" s="62">
        <f t="shared" si="16"/>
        <v>-0.2765813698210875</v>
      </c>
      <c r="N142" s="62">
        <f t="shared" si="17"/>
        <v>-4406.4729210667774</v>
      </c>
      <c r="O142" s="62">
        <f t="shared" si="18"/>
        <v>-0.28015444377018162</v>
      </c>
      <c r="P142" s="62">
        <f t="shared" si="19"/>
        <v>-4304.3099094480167</v>
      </c>
      <c r="Q142" s="62">
        <f t="shared" si="20"/>
        <v>-0.27223302986180953</v>
      </c>
      <c r="R142" s="62">
        <f t="shared" si="21"/>
        <v>15627.333393323464</v>
      </c>
      <c r="S142" s="62">
        <f t="shared" si="22"/>
        <v>22727.109878946078</v>
      </c>
      <c r="T142" s="62">
        <f t="shared" si="23"/>
        <v>22825.978150992691</v>
      </c>
      <c r="U142" s="62">
        <f t="shared" si="24"/>
        <v>22600.004512871044</v>
      </c>
      <c r="V142" s="62">
        <f t="shared" si="14"/>
        <v>1</v>
      </c>
      <c r="W142" s="62">
        <f t="shared" si="14"/>
        <v>0</v>
      </c>
      <c r="X142" s="62">
        <f t="shared" si="14"/>
        <v>0</v>
      </c>
      <c r="Y142" s="62">
        <f t="shared" si="14"/>
        <v>0</v>
      </c>
      <c r="AA142" s="94"/>
    </row>
    <row r="143" spans="2:27" x14ac:dyDescent="0.2">
      <c r="B143" s="94"/>
      <c r="C143" s="62">
        <v>104</v>
      </c>
      <c r="D143" s="62">
        <v>8553.1170765259867</v>
      </c>
      <c r="E143" s="62">
        <v>0.61787518120480678</v>
      </c>
      <c r="F143" s="62">
        <v>12293.537273836775</v>
      </c>
      <c r="G143" s="62">
        <v>0.89469269772202809</v>
      </c>
      <c r="H143" s="62">
        <v>12330.413627546921</v>
      </c>
      <c r="I143" s="62">
        <v>0.89774221274781651</v>
      </c>
      <c r="J143" s="62">
        <v>12238.997033491829</v>
      </c>
      <c r="K143" s="62">
        <v>0.88944914830312638</v>
      </c>
      <c r="L143" s="62">
        <f t="shared" si="15"/>
        <v>-3740.4201973107884</v>
      </c>
      <c r="M143" s="62">
        <f t="shared" si="16"/>
        <v>-0.27681751651722131</v>
      </c>
      <c r="N143" s="62">
        <f t="shared" si="17"/>
        <v>-3777.2965510209342</v>
      </c>
      <c r="O143" s="62">
        <f t="shared" si="18"/>
        <v>-0.27986703154300974</v>
      </c>
      <c r="P143" s="62">
        <f t="shared" si="19"/>
        <v>-3685.8799569658422</v>
      </c>
      <c r="Q143" s="62">
        <f t="shared" si="20"/>
        <v>-0.2715739670983196</v>
      </c>
      <c r="R143" s="62">
        <f t="shared" si="21"/>
        <v>17041.744429701932</v>
      </c>
      <c r="S143" s="62">
        <f t="shared" si="22"/>
        <v>24768.213036600515</v>
      </c>
      <c r="T143" s="62">
        <f t="shared" si="23"/>
        <v>24857.659793318628</v>
      </c>
      <c r="U143" s="62">
        <f t="shared" si="24"/>
        <v>24605.544485816881</v>
      </c>
      <c r="V143" s="62">
        <f t="shared" si="14"/>
        <v>1</v>
      </c>
      <c r="W143" s="62">
        <f t="shared" si="14"/>
        <v>0</v>
      </c>
      <c r="X143" s="62">
        <f t="shared" si="14"/>
        <v>0</v>
      </c>
      <c r="Y143" s="62">
        <f t="shared" si="14"/>
        <v>0</v>
      </c>
      <c r="AA143" s="94"/>
    </row>
    <row r="144" spans="2:27" x14ac:dyDescent="0.2">
      <c r="B144" s="94"/>
      <c r="C144" s="62">
        <v>105</v>
      </c>
      <c r="D144" s="62">
        <v>10453.691729917236</v>
      </c>
      <c r="E144" s="62">
        <v>0.61778748854858012</v>
      </c>
      <c r="F144" s="62">
        <v>15034.400932220362</v>
      </c>
      <c r="G144" s="62">
        <v>0.89438939399204931</v>
      </c>
      <c r="H144" s="62">
        <v>15075.27187756029</v>
      </c>
      <c r="I144" s="62">
        <v>0.89697170012532124</v>
      </c>
      <c r="J144" s="62">
        <v>14967.740420041397</v>
      </c>
      <c r="K144" s="62">
        <v>0.88922710677326666</v>
      </c>
      <c r="L144" s="62">
        <f t="shared" si="15"/>
        <v>-4580.7092023031255</v>
      </c>
      <c r="M144" s="62">
        <f t="shared" si="16"/>
        <v>-0.27660190544346919</v>
      </c>
      <c r="N144" s="62">
        <f t="shared" si="17"/>
        <v>-4621.5801476430534</v>
      </c>
      <c r="O144" s="62">
        <f t="shared" si="18"/>
        <v>-0.27918421157674111</v>
      </c>
      <c r="P144" s="62">
        <f t="shared" si="19"/>
        <v>-4514.0486901241602</v>
      </c>
      <c r="Q144" s="62">
        <f t="shared" si="20"/>
        <v>-0.27143961822468654</v>
      </c>
      <c r="R144" s="62">
        <f t="shared" si="21"/>
        <v>15137.537195719147</v>
      </c>
      <c r="S144" s="62">
        <f t="shared" si="22"/>
        <v>22014.785324506287</v>
      </c>
      <c r="T144" s="62">
        <f t="shared" si="23"/>
        <v>22080.883828431019</v>
      </c>
      <c r="U144" s="62">
        <f t="shared" si="24"/>
        <v>21867.6032509344</v>
      </c>
      <c r="V144" s="62">
        <f t="shared" si="14"/>
        <v>1</v>
      </c>
      <c r="W144" s="62">
        <f t="shared" si="14"/>
        <v>0</v>
      </c>
      <c r="X144" s="62">
        <f t="shared" si="14"/>
        <v>0</v>
      </c>
      <c r="Y144" s="62">
        <f t="shared" si="14"/>
        <v>0</v>
      </c>
      <c r="AA144" s="94"/>
    </row>
    <row r="145" spans="2:27" x14ac:dyDescent="0.2">
      <c r="B145" s="94"/>
      <c r="C145" s="62">
        <v>106</v>
      </c>
      <c r="D145" s="62">
        <v>9502.7253778814957</v>
      </c>
      <c r="E145" s="62">
        <v>0.61713124645734929</v>
      </c>
      <c r="F145" s="62">
        <v>13671.264768799303</v>
      </c>
      <c r="G145" s="62">
        <v>0.89429746879030592</v>
      </c>
      <c r="H145" s="62">
        <v>13710.846537145035</v>
      </c>
      <c r="I145" s="62">
        <v>0.89718099286570885</v>
      </c>
      <c r="J145" s="62">
        <v>13606.189645579992</v>
      </c>
      <c r="K145" s="62">
        <v>0.88883511256499403</v>
      </c>
      <c r="L145" s="62">
        <f t="shared" si="15"/>
        <v>-4168.5393909178074</v>
      </c>
      <c r="M145" s="62">
        <f t="shared" si="16"/>
        <v>-0.27716622233295662</v>
      </c>
      <c r="N145" s="62">
        <f t="shared" si="17"/>
        <v>-4208.1211592635391</v>
      </c>
      <c r="O145" s="62">
        <f t="shared" si="18"/>
        <v>-0.28004974640835956</v>
      </c>
      <c r="P145" s="62">
        <f t="shared" si="19"/>
        <v>-4103.4642676984968</v>
      </c>
      <c r="Q145" s="62">
        <f t="shared" si="20"/>
        <v>-0.27170386610764474</v>
      </c>
      <c r="R145" s="62">
        <f t="shared" si="21"/>
        <v>16061.319375367741</v>
      </c>
      <c r="S145" s="62">
        <f t="shared" si="22"/>
        <v>23374.113578370328</v>
      </c>
      <c r="T145" s="62">
        <f t="shared" si="23"/>
        <v>23453.978911324084</v>
      </c>
      <c r="U145" s="62">
        <f t="shared" si="24"/>
        <v>23212.916057312315</v>
      </c>
      <c r="V145" s="62">
        <f t="shared" si="14"/>
        <v>1</v>
      </c>
      <c r="W145" s="62">
        <f t="shared" si="14"/>
        <v>0</v>
      </c>
      <c r="X145" s="62">
        <f t="shared" si="14"/>
        <v>0</v>
      </c>
      <c r="Y145" s="62">
        <f t="shared" si="14"/>
        <v>0</v>
      </c>
      <c r="AA145" s="94"/>
    </row>
    <row r="146" spans="2:27" x14ac:dyDescent="0.2">
      <c r="B146" s="94"/>
      <c r="C146" s="62">
        <v>107</v>
      </c>
      <c r="D146" s="62">
        <v>8088.1537260699606</v>
      </c>
      <c r="E146" s="62">
        <v>0.61717185282301112</v>
      </c>
      <c r="F146" s="62">
        <v>11617.739201237328</v>
      </c>
      <c r="G146" s="62">
        <v>0.89391682722729815</v>
      </c>
      <c r="H146" s="62">
        <v>11649.682541050861</v>
      </c>
      <c r="I146" s="62">
        <v>0.89686795837052824</v>
      </c>
      <c r="J146" s="62">
        <v>11579.53745789982</v>
      </c>
      <c r="K146" s="62">
        <v>0.88971405323120423</v>
      </c>
      <c r="L146" s="62">
        <f t="shared" si="15"/>
        <v>-3529.5854751673669</v>
      </c>
      <c r="M146" s="62">
        <f t="shared" si="16"/>
        <v>-0.27674497440428703</v>
      </c>
      <c r="N146" s="62">
        <f t="shared" si="17"/>
        <v>-3561.5288149809003</v>
      </c>
      <c r="O146" s="62">
        <f t="shared" si="18"/>
        <v>-0.27969610554751712</v>
      </c>
      <c r="P146" s="62">
        <f t="shared" si="19"/>
        <v>-3491.3837318298592</v>
      </c>
      <c r="Q146" s="62">
        <f t="shared" si="20"/>
        <v>-0.2725422004081931</v>
      </c>
      <c r="R146" s="62">
        <f t="shared" si="21"/>
        <v>17477.57310527045</v>
      </c>
      <c r="S146" s="62">
        <f t="shared" si="22"/>
        <v>25411.871449826274</v>
      </c>
      <c r="T146" s="62">
        <f t="shared" si="23"/>
        <v>25502.175766489898</v>
      </c>
      <c r="U146" s="62">
        <f t="shared" si="24"/>
        <v>25275.977483149585</v>
      </c>
      <c r="V146" s="62">
        <f t="shared" si="14"/>
        <v>1</v>
      </c>
      <c r="W146" s="62">
        <f t="shared" si="14"/>
        <v>0</v>
      </c>
      <c r="X146" s="62">
        <f t="shared" si="14"/>
        <v>0</v>
      </c>
      <c r="Y146" s="62">
        <f t="shared" si="14"/>
        <v>0</v>
      </c>
      <c r="AA146" s="94"/>
    </row>
    <row r="147" spans="2:27" x14ac:dyDescent="0.2">
      <c r="B147" s="94"/>
      <c r="C147" s="62">
        <v>108</v>
      </c>
      <c r="D147" s="62">
        <v>10313.701063085486</v>
      </c>
      <c r="E147" s="62">
        <v>0.6175395316135619</v>
      </c>
      <c r="F147" s="62">
        <v>14829.864315598566</v>
      </c>
      <c r="G147" s="62">
        <v>0.89399127815496682</v>
      </c>
      <c r="H147" s="62">
        <v>14873.260244073272</v>
      </c>
      <c r="I147" s="62">
        <v>0.8970425672304192</v>
      </c>
      <c r="J147" s="62">
        <v>14777.135387669889</v>
      </c>
      <c r="K147" s="62">
        <v>0.88968925139271282</v>
      </c>
      <c r="L147" s="62">
        <f t="shared" si="15"/>
        <v>-4516.1632525130808</v>
      </c>
      <c r="M147" s="62">
        <f t="shared" si="16"/>
        <v>-0.27645174654140492</v>
      </c>
      <c r="N147" s="62">
        <f t="shared" si="17"/>
        <v>-4559.559180987786</v>
      </c>
      <c r="O147" s="62">
        <f t="shared" si="18"/>
        <v>-0.2795030356168573</v>
      </c>
      <c r="P147" s="62">
        <f t="shared" si="19"/>
        <v>-4463.4343245844029</v>
      </c>
      <c r="Q147" s="62">
        <f t="shared" si="20"/>
        <v>-0.27214971977915092</v>
      </c>
      <c r="R147" s="62">
        <f t="shared" si="21"/>
        <v>15267.256494474703</v>
      </c>
      <c r="S147" s="62">
        <f t="shared" si="22"/>
        <v>22202.830390692779</v>
      </c>
      <c r="T147" s="62">
        <f t="shared" si="23"/>
        <v>22285.831060879609</v>
      </c>
      <c r="U147" s="62">
        <f t="shared" si="24"/>
        <v>22077.352162021849</v>
      </c>
      <c r="V147" s="62">
        <f t="shared" si="14"/>
        <v>1</v>
      </c>
      <c r="W147" s="62">
        <f t="shared" si="14"/>
        <v>0</v>
      </c>
      <c r="X147" s="62">
        <f t="shared" si="14"/>
        <v>0</v>
      </c>
      <c r="Y147" s="62">
        <f t="shared" si="14"/>
        <v>0</v>
      </c>
      <c r="AA147" s="94"/>
    </row>
    <row r="148" spans="2:27" x14ac:dyDescent="0.2">
      <c r="B148" s="94"/>
      <c r="C148" s="62">
        <v>109</v>
      </c>
      <c r="D148" s="62">
        <v>9584.1652738714984</v>
      </c>
      <c r="E148" s="62">
        <v>0.61803149405408764</v>
      </c>
      <c r="F148" s="62">
        <v>13783.276927887004</v>
      </c>
      <c r="G148" s="62">
        <v>0.8942238584193436</v>
      </c>
      <c r="H148" s="62">
        <v>13815.672676686989</v>
      </c>
      <c r="I148" s="62">
        <v>0.89666276109025111</v>
      </c>
      <c r="J148" s="62">
        <v>13722.444820323666</v>
      </c>
      <c r="K148" s="62">
        <v>0.88941269200886652</v>
      </c>
      <c r="L148" s="62">
        <f t="shared" si="15"/>
        <v>-4199.1116540155053</v>
      </c>
      <c r="M148" s="62">
        <f t="shared" si="16"/>
        <v>-0.27619236436525596</v>
      </c>
      <c r="N148" s="62">
        <f t="shared" si="17"/>
        <v>-4231.5074028154904</v>
      </c>
      <c r="O148" s="62">
        <f t="shared" si="18"/>
        <v>-0.27863126703616348</v>
      </c>
      <c r="P148" s="62">
        <f t="shared" si="19"/>
        <v>-4138.2795464521678</v>
      </c>
      <c r="Q148" s="62">
        <f t="shared" si="20"/>
        <v>-0.27138119795477889</v>
      </c>
      <c r="R148" s="62">
        <f t="shared" si="21"/>
        <v>16017.171335825027</v>
      </c>
      <c r="S148" s="62">
        <f t="shared" si="22"/>
        <v>23259.052183275882</v>
      </c>
      <c r="T148" s="62">
        <f t="shared" si="23"/>
        <v>23327.685538715574</v>
      </c>
      <c r="U148" s="62">
        <f t="shared" si="24"/>
        <v>23120.58653345162</v>
      </c>
      <c r="V148" s="62">
        <f t="shared" si="14"/>
        <v>1</v>
      </c>
      <c r="W148" s="62">
        <f t="shared" si="14"/>
        <v>0</v>
      </c>
      <c r="X148" s="62">
        <f t="shared" si="14"/>
        <v>0</v>
      </c>
      <c r="Y148" s="62">
        <f t="shared" si="14"/>
        <v>0</v>
      </c>
      <c r="AA148" s="94"/>
    </row>
    <row r="149" spans="2:27" x14ac:dyDescent="0.2">
      <c r="B149" s="94"/>
      <c r="C149" s="62">
        <v>110</v>
      </c>
      <c r="D149" s="62">
        <v>9657.54339941133</v>
      </c>
      <c r="E149" s="62">
        <v>0.61725703240287688</v>
      </c>
      <c r="F149" s="62">
        <v>13895.635850297078</v>
      </c>
      <c r="G149" s="62">
        <v>0.89469685142039823</v>
      </c>
      <c r="H149" s="62">
        <v>13942.798512508061</v>
      </c>
      <c r="I149" s="62">
        <v>0.89799219460492208</v>
      </c>
      <c r="J149" s="62">
        <v>13840.702243170777</v>
      </c>
      <c r="K149" s="62">
        <v>0.88988974057369319</v>
      </c>
      <c r="L149" s="62">
        <f t="shared" si="15"/>
        <v>-4238.0924508857479</v>
      </c>
      <c r="M149" s="62">
        <f t="shared" si="16"/>
        <v>-0.27743981901752135</v>
      </c>
      <c r="N149" s="62">
        <f t="shared" si="17"/>
        <v>-4285.2551130967313</v>
      </c>
      <c r="O149" s="62">
        <f t="shared" si="18"/>
        <v>-0.2807351622020452</v>
      </c>
      <c r="P149" s="62">
        <f t="shared" si="19"/>
        <v>-4183.1588437594473</v>
      </c>
      <c r="Q149" s="62">
        <f t="shared" si="20"/>
        <v>-0.27263270817081631</v>
      </c>
      <c r="R149" s="62">
        <f t="shared" si="21"/>
        <v>15911.711910845443</v>
      </c>
      <c r="S149" s="62">
        <f t="shared" si="22"/>
        <v>23166.286522941504</v>
      </c>
      <c r="T149" s="62">
        <f t="shared" si="23"/>
        <v>23255.630156806234</v>
      </c>
      <c r="U149" s="62">
        <f t="shared" si="24"/>
        <v>23022.09037035389</v>
      </c>
      <c r="V149" s="62">
        <f t="shared" si="14"/>
        <v>1</v>
      </c>
      <c r="W149" s="62">
        <f t="shared" si="14"/>
        <v>0</v>
      </c>
      <c r="X149" s="62">
        <f t="shared" si="14"/>
        <v>0</v>
      </c>
      <c r="Y149" s="62">
        <f t="shared" si="14"/>
        <v>0</v>
      </c>
      <c r="AA149" s="94"/>
    </row>
    <row r="150" spans="2:27" x14ac:dyDescent="0.2">
      <c r="B150" s="94"/>
      <c r="C150" s="62">
        <v>111</v>
      </c>
      <c r="D150" s="62">
        <v>9917.9670560489794</v>
      </c>
      <c r="E150" s="62">
        <v>0.61766608833747105</v>
      </c>
      <c r="F150" s="62">
        <v>14252.057355166915</v>
      </c>
      <c r="G150" s="62">
        <v>0.89388266172299868</v>
      </c>
      <c r="H150" s="62">
        <v>14292.834818297637</v>
      </c>
      <c r="I150" s="62">
        <v>0.89667604536655698</v>
      </c>
      <c r="J150" s="62">
        <v>14196.795742687144</v>
      </c>
      <c r="K150" s="62">
        <v>0.88933158570033866</v>
      </c>
      <c r="L150" s="62">
        <f t="shared" si="15"/>
        <v>-4334.0902991179355</v>
      </c>
      <c r="M150" s="62">
        <f t="shared" si="16"/>
        <v>-0.27621657338552763</v>
      </c>
      <c r="N150" s="62">
        <f t="shared" si="17"/>
        <v>-4374.8677622486575</v>
      </c>
      <c r="O150" s="62">
        <f t="shared" si="18"/>
        <v>-0.27900995702908593</v>
      </c>
      <c r="P150" s="62">
        <f t="shared" si="19"/>
        <v>-4278.8286866381641</v>
      </c>
      <c r="Q150" s="62">
        <f t="shared" si="20"/>
        <v>-0.2716654973628676</v>
      </c>
      <c r="R150" s="62">
        <f t="shared" si="21"/>
        <v>15668.23298724242</v>
      </c>
      <c r="S150" s="62">
        <f t="shared" si="22"/>
        <v>22776.138024046581</v>
      </c>
      <c r="T150" s="62">
        <f t="shared" si="23"/>
        <v>22851.073684966617</v>
      </c>
      <c r="U150" s="62">
        <f t="shared" si="24"/>
        <v>22642.875863363683</v>
      </c>
      <c r="V150" s="62">
        <f t="shared" si="14"/>
        <v>1</v>
      </c>
      <c r="W150" s="62">
        <f t="shared" si="14"/>
        <v>0</v>
      </c>
      <c r="X150" s="62">
        <f t="shared" si="14"/>
        <v>0</v>
      </c>
      <c r="Y150" s="62">
        <f t="shared" si="14"/>
        <v>0</v>
      </c>
      <c r="AA150" s="94"/>
    </row>
    <row r="151" spans="2:27" x14ac:dyDescent="0.2">
      <c r="B151" s="94"/>
      <c r="C151" s="62">
        <v>112</v>
      </c>
      <c r="D151" s="62">
        <v>10523.245756130838</v>
      </c>
      <c r="E151" s="62">
        <v>0.61756214172422719</v>
      </c>
      <c r="F151" s="62">
        <v>15141.547875802371</v>
      </c>
      <c r="G151" s="62">
        <v>0.89418900992746997</v>
      </c>
      <c r="H151" s="62">
        <v>15194.649957510926</v>
      </c>
      <c r="I151" s="62">
        <v>0.89766651185651014</v>
      </c>
      <c r="J151" s="62">
        <v>15063.199263680552</v>
      </c>
      <c r="K151" s="62">
        <v>0.8885338721474324</v>
      </c>
      <c r="L151" s="62">
        <f t="shared" si="15"/>
        <v>-4618.3021196715326</v>
      </c>
      <c r="M151" s="62">
        <f t="shared" si="16"/>
        <v>-0.27662686820324278</v>
      </c>
      <c r="N151" s="62">
        <f t="shared" si="17"/>
        <v>-4671.4042013800881</v>
      </c>
      <c r="O151" s="62">
        <f t="shared" si="18"/>
        <v>-0.28010437013228295</v>
      </c>
      <c r="P151" s="62">
        <f t="shared" si="19"/>
        <v>-4539.9535075497133</v>
      </c>
      <c r="Q151" s="62">
        <f t="shared" si="20"/>
        <v>-0.27097173042320521</v>
      </c>
      <c r="R151" s="62">
        <f t="shared" si="21"/>
        <v>15058.648402653549</v>
      </c>
      <c r="S151" s="62">
        <f t="shared" si="22"/>
        <v>21899.337671433143</v>
      </c>
      <c r="T151" s="62">
        <f t="shared" si="23"/>
        <v>21990.287629633152</v>
      </c>
      <c r="U151" s="62">
        <f t="shared" si="24"/>
        <v>21743.427856154689</v>
      </c>
      <c r="V151" s="62">
        <f t="shared" si="14"/>
        <v>1</v>
      </c>
      <c r="W151" s="62">
        <f t="shared" si="14"/>
        <v>0</v>
      </c>
      <c r="X151" s="62">
        <f t="shared" si="14"/>
        <v>0</v>
      </c>
      <c r="Y151" s="62">
        <f t="shared" si="14"/>
        <v>0</v>
      </c>
      <c r="AA151" s="94"/>
    </row>
    <row r="152" spans="2:27" x14ac:dyDescent="0.2">
      <c r="B152" s="94"/>
      <c r="C152" s="62">
        <v>113</v>
      </c>
      <c r="D152" s="62">
        <v>10789.317280991727</v>
      </c>
      <c r="E152" s="62">
        <v>0.61774297043291682</v>
      </c>
      <c r="F152" s="62">
        <v>15513.974063221773</v>
      </c>
      <c r="G152" s="62">
        <v>0.89380414362940575</v>
      </c>
      <c r="H152" s="62">
        <v>15570.651660569778</v>
      </c>
      <c r="I152" s="62">
        <v>0.89749699311712905</v>
      </c>
      <c r="J152" s="62">
        <v>15464.302003225852</v>
      </c>
      <c r="K152" s="62">
        <v>0.89007750694229915</v>
      </c>
      <c r="L152" s="62">
        <f t="shared" si="15"/>
        <v>-4724.6567822300458</v>
      </c>
      <c r="M152" s="62">
        <f t="shared" si="16"/>
        <v>-0.27606117319648893</v>
      </c>
      <c r="N152" s="62">
        <f t="shared" si="17"/>
        <v>-4781.3343795780511</v>
      </c>
      <c r="O152" s="62">
        <f t="shared" si="18"/>
        <v>-0.27975402268421223</v>
      </c>
      <c r="P152" s="62">
        <f t="shared" si="19"/>
        <v>-4674.984722234125</v>
      </c>
      <c r="Q152" s="62">
        <f t="shared" si="20"/>
        <v>-0.27233453650938233</v>
      </c>
      <c r="R152" s="62">
        <f t="shared" si="21"/>
        <v>14800.067526221421</v>
      </c>
      <c r="S152" s="62">
        <f t="shared" si="22"/>
        <v>21510.968782482734</v>
      </c>
      <c r="T152" s="62">
        <f t="shared" si="23"/>
        <v>21607.263782314178</v>
      </c>
      <c r="U152" s="62">
        <f t="shared" si="24"/>
        <v>21406.268644351949</v>
      </c>
      <c r="V152" s="62">
        <f t="shared" si="14"/>
        <v>1</v>
      </c>
      <c r="W152" s="62">
        <f t="shared" si="14"/>
        <v>0</v>
      </c>
      <c r="X152" s="62">
        <f t="shared" si="14"/>
        <v>0</v>
      </c>
      <c r="Y152" s="62">
        <f t="shared" si="14"/>
        <v>0</v>
      </c>
      <c r="AA152" s="94"/>
    </row>
    <row r="153" spans="2:27" x14ac:dyDescent="0.2">
      <c r="B153" s="94"/>
      <c r="C153" s="62">
        <v>114</v>
      </c>
      <c r="D153" s="62">
        <v>9749.8165801728464</v>
      </c>
      <c r="E153" s="62">
        <v>0.61762069069171899</v>
      </c>
      <c r="F153" s="62">
        <v>14019.346848467745</v>
      </c>
      <c r="G153" s="62">
        <v>0.89454168894749952</v>
      </c>
      <c r="H153" s="62">
        <v>14050.758316307487</v>
      </c>
      <c r="I153" s="62">
        <v>0.89672406042257813</v>
      </c>
      <c r="J153" s="62">
        <v>13943.743490098559</v>
      </c>
      <c r="K153" s="62">
        <v>0.88833256187845866</v>
      </c>
      <c r="L153" s="62">
        <f t="shared" si="15"/>
        <v>-4269.5302682948986</v>
      </c>
      <c r="M153" s="62">
        <f t="shared" si="16"/>
        <v>-0.27692099825578054</v>
      </c>
      <c r="N153" s="62">
        <f t="shared" si="17"/>
        <v>-4300.9417361346405</v>
      </c>
      <c r="O153" s="62">
        <f t="shared" si="18"/>
        <v>-0.27910336973085914</v>
      </c>
      <c r="P153" s="62">
        <f t="shared" si="19"/>
        <v>-4193.9269099257126</v>
      </c>
      <c r="Q153" s="62">
        <f t="shared" si="20"/>
        <v>-0.27071187118673967</v>
      </c>
      <c r="R153" s="62">
        <f t="shared" si="21"/>
        <v>15834.50291104092</v>
      </c>
      <c r="S153" s="62">
        <f t="shared" si="22"/>
        <v>23036.148074493474</v>
      </c>
      <c r="T153" s="62">
        <f t="shared" si="23"/>
        <v>23095.139162637388</v>
      </c>
      <c r="U153" s="62">
        <f t="shared" si="24"/>
        <v>22854.544553154708</v>
      </c>
      <c r="V153" s="62">
        <f t="shared" si="14"/>
        <v>1</v>
      </c>
      <c r="W153" s="62">
        <f t="shared" si="14"/>
        <v>0</v>
      </c>
      <c r="X153" s="62">
        <f t="shared" si="14"/>
        <v>0</v>
      </c>
      <c r="Y153" s="62">
        <f t="shared" si="14"/>
        <v>0</v>
      </c>
      <c r="AA153" s="94"/>
    </row>
    <row r="154" spans="2:27" x14ac:dyDescent="0.2">
      <c r="B154" s="94"/>
      <c r="C154" s="62">
        <v>115</v>
      </c>
      <c r="D154" s="62">
        <v>12297.706300651087</v>
      </c>
      <c r="E154" s="62">
        <v>0.61763595300670437</v>
      </c>
      <c r="F154" s="62">
        <v>17696.172645289491</v>
      </c>
      <c r="G154" s="62">
        <v>0.89430024523302343</v>
      </c>
      <c r="H154" s="62">
        <v>17758.337167556867</v>
      </c>
      <c r="I154" s="62">
        <v>0.89757055286343235</v>
      </c>
      <c r="J154" s="62">
        <v>17625.826933554203</v>
      </c>
      <c r="K154" s="62">
        <v>0.88960553515285279</v>
      </c>
      <c r="L154" s="62">
        <f t="shared" si="15"/>
        <v>-5398.4663446384038</v>
      </c>
      <c r="M154" s="62">
        <f t="shared" si="16"/>
        <v>-0.27666429222631905</v>
      </c>
      <c r="N154" s="62">
        <f t="shared" si="17"/>
        <v>-5460.6308669057798</v>
      </c>
      <c r="O154" s="62">
        <f t="shared" si="18"/>
        <v>-0.27993459985672797</v>
      </c>
      <c r="P154" s="62">
        <f t="shared" si="19"/>
        <v>-5328.1206329031156</v>
      </c>
      <c r="Q154" s="62">
        <f t="shared" si="20"/>
        <v>-0.27196958214614841</v>
      </c>
      <c r="R154" s="62">
        <f t="shared" si="21"/>
        <v>13287.245416698635</v>
      </c>
      <c r="S154" s="62">
        <f t="shared" si="22"/>
        <v>19349.320713243269</v>
      </c>
      <c r="T154" s="62">
        <f t="shared" si="23"/>
        <v>19422.625414257953</v>
      </c>
      <c r="U154" s="62">
        <f t="shared" si="24"/>
        <v>19225.192754617568</v>
      </c>
      <c r="V154" s="62">
        <f t="shared" si="14"/>
        <v>1</v>
      </c>
      <c r="W154" s="62">
        <f t="shared" si="14"/>
        <v>0</v>
      </c>
      <c r="X154" s="62">
        <f t="shared" si="14"/>
        <v>0</v>
      </c>
      <c r="Y154" s="62">
        <f t="shared" si="14"/>
        <v>0</v>
      </c>
      <c r="AA154" s="94"/>
    </row>
    <row r="155" spans="2:27" x14ac:dyDescent="0.2">
      <c r="B155" s="94"/>
      <c r="C155" s="62">
        <v>116</v>
      </c>
      <c r="D155" s="62">
        <v>9827.0064336660926</v>
      </c>
      <c r="E155" s="62">
        <v>0.61765872871413807</v>
      </c>
      <c r="F155" s="62">
        <v>14120.446301975775</v>
      </c>
      <c r="G155" s="62">
        <v>0.89402469744497204</v>
      </c>
      <c r="H155" s="62">
        <v>14165.046333532584</v>
      </c>
      <c r="I155" s="62">
        <v>0.89716012645470888</v>
      </c>
      <c r="J155" s="62">
        <v>14071.978333807565</v>
      </c>
      <c r="K155" s="62">
        <v>0.88977106219131585</v>
      </c>
      <c r="L155" s="62">
        <f t="shared" si="15"/>
        <v>-4293.4398683096824</v>
      </c>
      <c r="M155" s="62">
        <f t="shared" si="16"/>
        <v>-0.27636596873083397</v>
      </c>
      <c r="N155" s="62">
        <f t="shared" si="17"/>
        <v>-4338.0398998664914</v>
      </c>
      <c r="O155" s="62">
        <f t="shared" si="18"/>
        <v>-0.27950139774057081</v>
      </c>
      <c r="P155" s="62">
        <f t="shared" si="19"/>
        <v>-4244.9719001414724</v>
      </c>
      <c r="Q155" s="62">
        <f t="shared" si="20"/>
        <v>-0.27211233347717778</v>
      </c>
      <c r="R155" s="62">
        <f t="shared" si="21"/>
        <v>15758.888744588365</v>
      </c>
      <c r="S155" s="62">
        <f t="shared" si="22"/>
        <v>22913.632764984744</v>
      </c>
      <c r="T155" s="62">
        <f t="shared" si="23"/>
        <v>22998.914744727277</v>
      </c>
      <c r="U155" s="62">
        <f t="shared" si="24"/>
        <v>22785.898146405503</v>
      </c>
      <c r="V155" s="62">
        <f t="shared" si="14"/>
        <v>1</v>
      </c>
      <c r="W155" s="62">
        <f t="shared" si="14"/>
        <v>0</v>
      </c>
      <c r="X155" s="62">
        <f t="shared" si="14"/>
        <v>0</v>
      </c>
      <c r="Y155" s="62">
        <f t="shared" si="14"/>
        <v>0</v>
      </c>
      <c r="AA155" s="94"/>
    </row>
    <row r="156" spans="2:27" x14ac:dyDescent="0.2">
      <c r="B156" s="94"/>
      <c r="C156" s="62">
        <v>117</v>
      </c>
      <c r="D156" s="62">
        <v>11989.80893836808</v>
      </c>
      <c r="E156" s="62">
        <v>0.61752147533816315</v>
      </c>
      <c r="F156" s="62">
        <v>17257.807110736707</v>
      </c>
      <c r="G156" s="62">
        <v>0.89423395326813215</v>
      </c>
      <c r="H156" s="62">
        <v>17308.349256034453</v>
      </c>
      <c r="I156" s="62">
        <v>0.89720531122498848</v>
      </c>
      <c r="J156" s="62">
        <v>17203.024969956932</v>
      </c>
      <c r="K156" s="62">
        <v>0.89049529747703926</v>
      </c>
      <c r="L156" s="62">
        <f t="shared" si="15"/>
        <v>-5267.9981723686269</v>
      </c>
      <c r="M156" s="62">
        <f t="shared" si="16"/>
        <v>-0.276712477929969</v>
      </c>
      <c r="N156" s="62">
        <f t="shared" si="17"/>
        <v>-5318.5403176663731</v>
      </c>
      <c r="O156" s="62">
        <f t="shared" si="18"/>
        <v>-0.27968383588682533</v>
      </c>
      <c r="P156" s="62">
        <f t="shared" si="19"/>
        <v>-5213.2160315888523</v>
      </c>
      <c r="Q156" s="62">
        <f t="shared" si="20"/>
        <v>-0.27297382213887611</v>
      </c>
      <c r="R156" s="62">
        <f t="shared" si="21"/>
        <v>13590.400656039992</v>
      </c>
      <c r="S156" s="62">
        <f t="shared" si="22"/>
        <v>19784.940169442401</v>
      </c>
      <c r="T156" s="62">
        <f t="shared" si="23"/>
        <v>19857.483556149469</v>
      </c>
      <c r="U156" s="62">
        <f t="shared" si="24"/>
        <v>19684.852232731944</v>
      </c>
      <c r="V156" s="62">
        <f t="shared" si="14"/>
        <v>1</v>
      </c>
      <c r="W156" s="62">
        <f t="shared" si="14"/>
        <v>0</v>
      </c>
      <c r="X156" s="62">
        <f t="shared" si="14"/>
        <v>0</v>
      </c>
      <c r="Y156" s="62">
        <f t="shared" si="14"/>
        <v>0</v>
      </c>
      <c r="AA156" s="94"/>
    </row>
    <row r="157" spans="2:27" x14ac:dyDescent="0.2">
      <c r="B157" s="94"/>
      <c r="C157" s="62">
        <v>118</v>
      </c>
      <c r="D157" s="62">
        <v>10100.949384091706</v>
      </c>
      <c r="E157" s="62">
        <v>0.6175921372919152</v>
      </c>
      <c r="F157" s="62">
        <v>14524.695211911254</v>
      </c>
      <c r="G157" s="62">
        <v>0.89400038178580132</v>
      </c>
      <c r="H157" s="62">
        <v>14561.697011331382</v>
      </c>
      <c r="I157" s="62">
        <v>0.89675899883360721</v>
      </c>
      <c r="J157" s="62">
        <v>14471.689515601423</v>
      </c>
      <c r="K157" s="62">
        <v>0.8897715037457512</v>
      </c>
      <c r="L157" s="62">
        <f t="shared" si="15"/>
        <v>-4423.7458278195481</v>
      </c>
      <c r="M157" s="62">
        <f t="shared" si="16"/>
        <v>-0.27640824449388612</v>
      </c>
      <c r="N157" s="62">
        <f t="shared" si="17"/>
        <v>-4460.7476272396761</v>
      </c>
      <c r="O157" s="62">
        <f t="shared" si="18"/>
        <v>-0.27916686154169201</v>
      </c>
      <c r="P157" s="62">
        <f t="shared" si="19"/>
        <v>-4370.7401315097177</v>
      </c>
      <c r="Q157" s="62">
        <f t="shared" si="20"/>
        <v>-0.272179366453836</v>
      </c>
      <c r="R157" s="62">
        <f t="shared" si="21"/>
        <v>15482.18731108859</v>
      </c>
      <c r="S157" s="62">
        <f t="shared" si="22"/>
        <v>22508.37660318378</v>
      </c>
      <c r="T157" s="62">
        <f t="shared" si="23"/>
        <v>22585.647756351966</v>
      </c>
      <c r="U157" s="62">
        <f t="shared" si="24"/>
        <v>22386.205255562578</v>
      </c>
      <c r="V157" s="62">
        <f t="shared" si="14"/>
        <v>1</v>
      </c>
      <c r="W157" s="62">
        <f t="shared" si="14"/>
        <v>0</v>
      </c>
      <c r="X157" s="62">
        <f t="shared" si="14"/>
        <v>0</v>
      </c>
      <c r="Y157" s="62">
        <f t="shared" si="14"/>
        <v>0</v>
      </c>
      <c r="AA157" s="94"/>
    </row>
    <row r="158" spans="2:27" x14ac:dyDescent="0.2">
      <c r="B158" s="94"/>
      <c r="C158" s="62">
        <v>119</v>
      </c>
      <c r="D158" s="62">
        <v>8224.4028115193432</v>
      </c>
      <c r="E158" s="62">
        <v>0.61737985995325451</v>
      </c>
      <c r="F158" s="62">
        <v>11819.575318992056</v>
      </c>
      <c r="G158" s="62">
        <v>0.89410029730336282</v>
      </c>
      <c r="H158" s="62">
        <v>11847.324835232817</v>
      </c>
      <c r="I158" s="62">
        <v>0.89651552709590521</v>
      </c>
      <c r="J158" s="62">
        <v>11781.930773073957</v>
      </c>
      <c r="K158" s="62">
        <v>0.89015969887472191</v>
      </c>
      <c r="L158" s="62">
        <f t="shared" si="15"/>
        <v>-3595.1725074727128</v>
      </c>
      <c r="M158" s="62">
        <f t="shared" si="16"/>
        <v>-0.27672043735010832</v>
      </c>
      <c r="N158" s="62">
        <f t="shared" si="17"/>
        <v>-3622.9220237134741</v>
      </c>
      <c r="O158" s="62">
        <f t="shared" si="18"/>
        <v>-0.2791356671426507</v>
      </c>
      <c r="P158" s="62">
        <f t="shared" si="19"/>
        <v>-3557.5279615546133</v>
      </c>
      <c r="Q158" s="62">
        <f t="shared" si="20"/>
        <v>-0.2727798389214674</v>
      </c>
      <c r="R158" s="62">
        <f t="shared" si="21"/>
        <v>17349.94050718427</v>
      </c>
      <c r="S158" s="62">
        <f t="shared" si="22"/>
        <v>25217.635396502446</v>
      </c>
      <c r="T158" s="62">
        <f t="shared" si="23"/>
        <v>25289.934359187959</v>
      </c>
      <c r="U158" s="62">
        <f t="shared" si="24"/>
        <v>25092.044593112525</v>
      </c>
      <c r="V158" s="62">
        <f t="shared" si="14"/>
        <v>1</v>
      </c>
      <c r="W158" s="62">
        <f t="shared" si="14"/>
        <v>0</v>
      </c>
      <c r="X158" s="62">
        <f t="shared" si="14"/>
        <v>0</v>
      </c>
      <c r="Y158" s="62">
        <f t="shared" si="14"/>
        <v>0</v>
      </c>
      <c r="AA158" s="94"/>
    </row>
    <row r="159" spans="2:27" x14ac:dyDescent="0.2">
      <c r="B159" s="94"/>
      <c r="C159" s="62">
        <v>120</v>
      </c>
      <c r="D159" s="62">
        <v>12887.951984572568</v>
      </c>
      <c r="E159" s="62">
        <v>0.61831254628019983</v>
      </c>
      <c r="F159" s="62">
        <v>18535.09086623877</v>
      </c>
      <c r="G159" s="62">
        <v>0.89453349582851494</v>
      </c>
      <c r="H159" s="62">
        <v>18588.789561949539</v>
      </c>
      <c r="I159" s="62">
        <v>0.89737684428664888</v>
      </c>
      <c r="J159" s="62">
        <v>18456.823893061006</v>
      </c>
      <c r="K159" s="62">
        <v>0.889740894655764</v>
      </c>
      <c r="L159" s="62">
        <f t="shared" si="15"/>
        <v>-5647.138881666202</v>
      </c>
      <c r="M159" s="62">
        <f t="shared" si="16"/>
        <v>-0.27622094954831511</v>
      </c>
      <c r="N159" s="62">
        <f t="shared" si="17"/>
        <v>-5700.8375773769712</v>
      </c>
      <c r="O159" s="62">
        <f t="shared" si="18"/>
        <v>-0.27906429800644905</v>
      </c>
      <c r="P159" s="62">
        <f t="shared" si="19"/>
        <v>-5568.8719084884378</v>
      </c>
      <c r="Q159" s="62">
        <f t="shared" si="20"/>
        <v>-0.27142834837556418</v>
      </c>
      <c r="R159" s="62">
        <f t="shared" si="21"/>
        <v>12725.026932538431</v>
      </c>
      <c r="S159" s="62">
        <f t="shared" si="22"/>
        <v>18520.064664961636</v>
      </c>
      <c r="T159" s="62">
        <f t="shared" si="23"/>
        <v>18584.148835780601</v>
      </c>
      <c r="U159" s="62">
        <f t="shared" si="24"/>
        <v>18399.802927159359</v>
      </c>
      <c r="V159" s="62">
        <f t="shared" si="14"/>
        <v>1</v>
      </c>
      <c r="W159" s="62">
        <f t="shared" si="14"/>
        <v>0</v>
      </c>
      <c r="X159" s="62">
        <f t="shared" si="14"/>
        <v>0</v>
      </c>
      <c r="Y159" s="62">
        <f t="shared" si="14"/>
        <v>0</v>
      </c>
      <c r="AA159" s="94"/>
    </row>
    <row r="160" spans="2:27" x14ac:dyDescent="0.2">
      <c r="B160" s="94"/>
      <c r="C160" s="62">
        <v>121</v>
      </c>
      <c r="D160" s="62">
        <v>9921.9844356418871</v>
      </c>
      <c r="E160" s="62">
        <v>0.61785823643034721</v>
      </c>
      <c r="F160" s="62">
        <v>14255.723161360622</v>
      </c>
      <c r="G160" s="62">
        <v>0.89424533641049897</v>
      </c>
      <c r="H160" s="62">
        <v>14302.260254261055</v>
      </c>
      <c r="I160" s="62">
        <v>0.89747397270352747</v>
      </c>
      <c r="J160" s="62">
        <v>14207.609318930892</v>
      </c>
      <c r="K160" s="62">
        <v>0.89001095473318881</v>
      </c>
      <c r="L160" s="62">
        <f t="shared" si="15"/>
        <v>-4333.7387257187347</v>
      </c>
      <c r="M160" s="62">
        <f t="shared" si="16"/>
        <v>-0.27638709998015176</v>
      </c>
      <c r="N160" s="62">
        <f t="shared" si="17"/>
        <v>-4380.2758186191677</v>
      </c>
      <c r="O160" s="62">
        <f t="shared" si="18"/>
        <v>-0.27961573627318026</v>
      </c>
      <c r="P160" s="62">
        <f t="shared" si="19"/>
        <v>-4285.6248832890051</v>
      </c>
      <c r="Q160" s="62">
        <f t="shared" si="20"/>
        <v>-0.2721527183028416</v>
      </c>
      <c r="R160" s="62">
        <f t="shared" si="21"/>
        <v>15672.175150248815</v>
      </c>
      <c r="S160" s="62">
        <f t="shared" si="22"/>
        <v>22787.495654107886</v>
      </c>
      <c r="T160" s="62">
        <f t="shared" si="23"/>
        <v>22874.701591009863</v>
      </c>
      <c r="U160" s="62">
        <f t="shared" si="24"/>
        <v>22660.204469936722</v>
      </c>
      <c r="V160" s="62">
        <f t="shared" si="14"/>
        <v>1</v>
      </c>
      <c r="W160" s="62">
        <f t="shared" si="14"/>
        <v>0</v>
      </c>
      <c r="X160" s="62">
        <f t="shared" si="14"/>
        <v>0</v>
      </c>
      <c r="Y160" s="62">
        <f t="shared" si="14"/>
        <v>0</v>
      </c>
      <c r="AA160" s="94"/>
    </row>
    <row r="161" spans="2:27" x14ac:dyDescent="0.2">
      <c r="B161" s="94"/>
      <c r="C161" s="62">
        <v>122</v>
      </c>
      <c r="D161" s="62">
        <v>9623.6386264761441</v>
      </c>
      <c r="E161" s="62">
        <v>0.61748296704619943</v>
      </c>
      <c r="F161" s="62">
        <v>13821.48149066043</v>
      </c>
      <c r="G161" s="62">
        <v>0.89293539874801775</v>
      </c>
      <c r="H161" s="62">
        <v>13868.120486132597</v>
      </c>
      <c r="I161" s="62">
        <v>0.89634314476645982</v>
      </c>
      <c r="J161" s="62">
        <v>13779.65147338206</v>
      </c>
      <c r="K161" s="62">
        <v>0.88926466583553443</v>
      </c>
      <c r="L161" s="62">
        <f t="shared" si="15"/>
        <v>-4197.8428641842856</v>
      </c>
      <c r="M161" s="62">
        <f t="shared" si="16"/>
        <v>-0.27545243170181832</v>
      </c>
      <c r="N161" s="62">
        <f t="shared" si="17"/>
        <v>-4244.4818596564528</v>
      </c>
      <c r="O161" s="62">
        <f t="shared" si="18"/>
        <v>-0.27886017772026039</v>
      </c>
      <c r="P161" s="62">
        <f t="shared" si="19"/>
        <v>-4156.0128469059164</v>
      </c>
      <c r="Q161" s="62">
        <f t="shared" si="20"/>
        <v>-0.271781698789335</v>
      </c>
      <c r="R161" s="62">
        <f t="shared" si="21"/>
        <v>15954.975800445622</v>
      </c>
      <c r="S161" s="62">
        <f t="shared" si="22"/>
        <v>23167.47446707746</v>
      </c>
      <c r="T161" s="62">
        <f t="shared" si="23"/>
        <v>23261.997942673232</v>
      </c>
      <c r="U161" s="62">
        <f t="shared" si="24"/>
        <v>23057.248044189117</v>
      </c>
      <c r="V161" s="62">
        <f t="shared" si="14"/>
        <v>1</v>
      </c>
      <c r="W161" s="62">
        <f t="shared" si="14"/>
        <v>0</v>
      </c>
      <c r="X161" s="62">
        <f t="shared" si="14"/>
        <v>0</v>
      </c>
      <c r="Y161" s="62">
        <f t="shared" si="14"/>
        <v>0</v>
      </c>
      <c r="AA161" s="94"/>
    </row>
    <row r="162" spans="2:27" x14ac:dyDescent="0.2">
      <c r="B162" s="94"/>
      <c r="C162" s="62">
        <v>123</v>
      </c>
      <c r="D162" s="62">
        <v>11021.02348898478</v>
      </c>
      <c r="E162" s="62">
        <v>0.61704689692412695</v>
      </c>
      <c r="F162" s="62">
        <v>15867.820133050454</v>
      </c>
      <c r="G162" s="62">
        <v>0.89370599873950773</v>
      </c>
      <c r="H162" s="62">
        <v>15931.480952485657</v>
      </c>
      <c r="I162" s="62">
        <v>0.89761695546791453</v>
      </c>
      <c r="J162" s="62">
        <v>15810.611716029105</v>
      </c>
      <c r="K162" s="62">
        <v>0.88961668436694352</v>
      </c>
      <c r="L162" s="62">
        <f t="shared" si="15"/>
        <v>-4846.7966440656746</v>
      </c>
      <c r="M162" s="62">
        <f t="shared" si="16"/>
        <v>-0.27665910181538078</v>
      </c>
      <c r="N162" s="62">
        <f t="shared" si="17"/>
        <v>-4910.4574635008776</v>
      </c>
      <c r="O162" s="62">
        <f t="shared" si="18"/>
        <v>-0.28057005854378758</v>
      </c>
      <c r="P162" s="62">
        <f t="shared" si="19"/>
        <v>-4789.5882270443253</v>
      </c>
      <c r="Q162" s="62">
        <f t="shared" si="20"/>
        <v>-0.27256978744281657</v>
      </c>
      <c r="R162" s="62">
        <f t="shared" si="21"/>
        <v>14539.527169200255</v>
      </c>
      <c r="S162" s="62">
        <f t="shared" si="22"/>
        <v>21153.057158734919</v>
      </c>
      <c r="T162" s="62">
        <f t="shared" si="23"/>
        <v>21251.403810817235</v>
      </c>
      <c r="U162" s="62">
        <f t="shared" si="24"/>
        <v>21040.869817187166</v>
      </c>
      <c r="V162" s="62">
        <f t="shared" si="14"/>
        <v>1</v>
      </c>
      <c r="W162" s="62">
        <f t="shared" si="14"/>
        <v>0</v>
      </c>
      <c r="X162" s="62">
        <f t="shared" si="14"/>
        <v>0</v>
      </c>
      <c r="Y162" s="62">
        <f t="shared" si="14"/>
        <v>0</v>
      </c>
      <c r="AA162" s="94"/>
    </row>
    <row r="163" spans="2:27" x14ac:dyDescent="0.2">
      <c r="B163" s="94"/>
      <c r="C163" s="62">
        <v>124</v>
      </c>
      <c r="D163" s="62">
        <v>13118.943210851885</v>
      </c>
      <c r="E163" s="62">
        <v>0.61801606385089747</v>
      </c>
      <c r="F163" s="62">
        <v>18868.420623169171</v>
      </c>
      <c r="G163" s="62">
        <v>0.89416995222447582</v>
      </c>
      <c r="H163" s="62">
        <v>18923.180498313155</v>
      </c>
      <c r="I163" s="62">
        <v>0.8970351340839412</v>
      </c>
      <c r="J163" s="62">
        <v>18783.859318016261</v>
      </c>
      <c r="K163" s="62">
        <v>0.88915261337012208</v>
      </c>
      <c r="L163" s="62">
        <f t="shared" si="15"/>
        <v>-5749.4774123172865</v>
      </c>
      <c r="M163" s="62">
        <f t="shared" si="16"/>
        <v>-0.27615388837357835</v>
      </c>
      <c r="N163" s="62">
        <f t="shared" si="17"/>
        <v>-5804.2372874612702</v>
      </c>
      <c r="O163" s="62">
        <f t="shared" si="18"/>
        <v>-0.27901907023304373</v>
      </c>
      <c r="P163" s="62">
        <f t="shared" si="19"/>
        <v>-5664.9161071643757</v>
      </c>
      <c r="Q163" s="62">
        <f t="shared" si="20"/>
        <v>-0.27113654951922461</v>
      </c>
      <c r="R163" s="62">
        <f t="shared" si="21"/>
        <v>12481.754218107693</v>
      </c>
      <c r="S163" s="62">
        <f t="shared" si="22"/>
        <v>18171.675477777513</v>
      </c>
      <c r="T163" s="62">
        <f t="shared" si="23"/>
        <v>18235.602895980028</v>
      </c>
      <c r="U163" s="62">
        <f t="shared" si="24"/>
        <v>18048.398538227677</v>
      </c>
      <c r="V163" s="62">
        <f t="shared" si="14"/>
        <v>1</v>
      </c>
      <c r="W163" s="62">
        <f t="shared" si="14"/>
        <v>0</v>
      </c>
      <c r="X163" s="62">
        <f t="shared" si="14"/>
        <v>0</v>
      </c>
      <c r="Y163" s="62">
        <f t="shared" si="14"/>
        <v>0</v>
      </c>
      <c r="AA163" s="94"/>
    </row>
    <row r="164" spans="2:27" x14ac:dyDescent="0.2">
      <c r="B164" s="94"/>
      <c r="C164" s="62">
        <v>125</v>
      </c>
      <c r="D164" s="62">
        <v>9518.5913918895276</v>
      </c>
      <c r="E164" s="62">
        <v>0.61781999813598254</v>
      </c>
      <c r="F164" s="62">
        <v>13672.66598152671</v>
      </c>
      <c r="G164" s="62">
        <v>0.89361449583141661</v>
      </c>
      <c r="H164" s="62">
        <v>13709.074013677582</v>
      </c>
      <c r="I164" s="62">
        <v>0.89632380965205649</v>
      </c>
      <c r="J164" s="62">
        <v>13618.156902341581</v>
      </c>
      <c r="K164" s="62">
        <v>0.88892247792811052</v>
      </c>
      <c r="L164" s="62">
        <f t="shared" si="15"/>
        <v>-4154.0745896371827</v>
      </c>
      <c r="M164" s="62">
        <f t="shared" si="16"/>
        <v>-0.27579449769543407</v>
      </c>
      <c r="N164" s="62">
        <f t="shared" si="17"/>
        <v>-4190.4826217880545</v>
      </c>
      <c r="O164" s="62">
        <f t="shared" si="18"/>
        <v>-0.27850381151607395</v>
      </c>
      <c r="P164" s="62">
        <f t="shared" si="19"/>
        <v>-4099.5655104520538</v>
      </c>
      <c r="Q164" s="62">
        <f t="shared" si="20"/>
        <v>-0.27110247979212798</v>
      </c>
      <c r="R164" s="62">
        <f t="shared" si="21"/>
        <v>16073.984210895414</v>
      </c>
      <c r="S164" s="62">
        <f t="shared" si="22"/>
        <v>23344.420893793889</v>
      </c>
      <c r="T164" s="62">
        <f t="shared" si="23"/>
        <v>23420.24347734921</v>
      </c>
      <c r="U164" s="62">
        <f t="shared" si="24"/>
        <v>23204.567823352474</v>
      </c>
      <c r="V164" s="62">
        <f t="shared" si="14"/>
        <v>1</v>
      </c>
      <c r="W164" s="62">
        <f t="shared" si="14"/>
        <v>0</v>
      </c>
      <c r="X164" s="62">
        <f t="shared" si="14"/>
        <v>0</v>
      </c>
      <c r="Y164" s="62">
        <f t="shared" si="14"/>
        <v>0</v>
      </c>
      <c r="AA164" s="94"/>
    </row>
    <row r="165" spans="2:27" x14ac:dyDescent="0.2">
      <c r="B165" s="94"/>
      <c r="C165" s="62">
        <v>126</v>
      </c>
      <c r="D165" s="62">
        <v>12025.19228686789</v>
      </c>
      <c r="E165" s="62">
        <v>0.61826378345266608</v>
      </c>
      <c r="F165" s="62">
        <v>17271.655690026255</v>
      </c>
      <c r="G165" s="62">
        <v>0.89357856937501468</v>
      </c>
      <c r="H165" s="62">
        <v>17339.297722462456</v>
      </c>
      <c r="I165" s="62">
        <v>0.89736761335363124</v>
      </c>
      <c r="J165" s="62">
        <v>17206.316131752636</v>
      </c>
      <c r="K165" s="62">
        <v>0.88920863098029079</v>
      </c>
      <c r="L165" s="62">
        <f t="shared" si="15"/>
        <v>-5246.4634031583646</v>
      </c>
      <c r="M165" s="62">
        <f t="shared" si="16"/>
        <v>-0.27531478592234859</v>
      </c>
      <c r="N165" s="62">
        <f t="shared" si="17"/>
        <v>-5314.1054355945653</v>
      </c>
      <c r="O165" s="62">
        <f t="shared" si="18"/>
        <v>-0.27910382990096516</v>
      </c>
      <c r="P165" s="62">
        <f t="shared" si="19"/>
        <v>-5181.1238448847453</v>
      </c>
      <c r="Q165" s="62">
        <f t="shared" si="20"/>
        <v>-0.27094484752762471</v>
      </c>
      <c r="R165" s="62">
        <f t="shared" si="21"/>
        <v>13585.76667887535</v>
      </c>
      <c r="S165" s="62">
        <f t="shared" si="22"/>
        <v>19743.942967764353</v>
      </c>
      <c r="T165" s="62">
        <f t="shared" si="23"/>
        <v>19833.258293098363</v>
      </c>
      <c r="U165" s="62">
        <f t="shared" si="24"/>
        <v>19628.262197974927</v>
      </c>
      <c r="V165" s="62">
        <f t="shared" si="14"/>
        <v>1</v>
      </c>
      <c r="W165" s="62">
        <f t="shared" si="14"/>
        <v>0</v>
      </c>
      <c r="X165" s="62">
        <f t="shared" si="14"/>
        <v>0</v>
      </c>
      <c r="Y165" s="62">
        <f t="shared" si="14"/>
        <v>0</v>
      </c>
      <c r="AA165" s="94"/>
    </row>
    <row r="166" spans="2:27" x14ac:dyDescent="0.2">
      <c r="B166" s="94"/>
      <c r="C166" s="62">
        <v>127</v>
      </c>
      <c r="D166" s="62">
        <v>10860.942065477882</v>
      </c>
      <c r="E166" s="62">
        <v>0.61776248460381822</v>
      </c>
      <c r="F166" s="62">
        <v>15615.104698529191</v>
      </c>
      <c r="G166" s="62">
        <v>0.89410201567845748</v>
      </c>
      <c r="H166" s="62">
        <v>15670.534350343025</v>
      </c>
      <c r="I166" s="62">
        <v>0.89763078192362389</v>
      </c>
      <c r="J166" s="62">
        <v>15555.924910722646</v>
      </c>
      <c r="K166" s="62">
        <v>0.88957940950997705</v>
      </c>
      <c r="L166" s="62">
        <f t="shared" si="15"/>
        <v>-4754.1626330513081</v>
      </c>
      <c r="M166" s="62">
        <f t="shared" si="16"/>
        <v>-0.27633953107463927</v>
      </c>
      <c r="N166" s="62">
        <f t="shared" si="17"/>
        <v>-4809.5922848651426</v>
      </c>
      <c r="O166" s="62">
        <f t="shared" si="18"/>
        <v>-0.27986829731980567</v>
      </c>
      <c r="P166" s="62">
        <f t="shared" si="19"/>
        <v>-4694.9828452447637</v>
      </c>
      <c r="Q166" s="62">
        <f t="shared" si="20"/>
        <v>-0.27181692490615883</v>
      </c>
      <c r="R166" s="62">
        <f t="shared" si="21"/>
        <v>14729.251096750684</v>
      </c>
      <c r="S166" s="62">
        <f t="shared" si="22"/>
        <v>21422.177198935235</v>
      </c>
      <c r="T166" s="62">
        <f t="shared" si="23"/>
        <v>21512.923160061167</v>
      </c>
      <c r="U166" s="62">
        <f t="shared" si="24"/>
        <v>21294.012548818642</v>
      </c>
      <c r="V166" s="62">
        <f t="shared" si="14"/>
        <v>1</v>
      </c>
      <c r="W166" s="62">
        <f t="shared" si="14"/>
        <v>0</v>
      </c>
      <c r="X166" s="62">
        <f t="shared" si="14"/>
        <v>0</v>
      </c>
      <c r="Y166" s="62">
        <f t="shared" ref="Y166:Y229" si="25">IF(MIN($R166:$U166)=U166,1,0)</f>
        <v>0</v>
      </c>
      <c r="AA166" s="94"/>
    </row>
    <row r="167" spans="2:27" x14ac:dyDescent="0.2">
      <c r="B167" s="94"/>
      <c r="C167" s="62">
        <v>128</v>
      </c>
      <c r="D167" s="62">
        <v>8214.324712741558</v>
      </c>
      <c r="E167" s="62">
        <v>0.61758271351378868</v>
      </c>
      <c r="F167" s="62">
        <v>11795.869940495448</v>
      </c>
      <c r="G167" s="62">
        <v>0.89351338387703438</v>
      </c>
      <c r="H167" s="62">
        <v>11837.739802782864</v>
      </c>
      <c r="I167" s="62">
        <v>0.89717184337530698</v>
      </c>
      <c r="J167" s="62">
        <v>11751.152271778441</v>
      </c>
      <c r="K167" s="62">
        <v>0.88906702127097392</v>
      </c>
      <c r="L167" s="62">
        <f t="shared" si="15"/>
        <v>-3581.5452277538898</v>
      </c>
      <c r="M167" s="62">
        <f t="shared" si="16"/>
        <v>-0.2759306703632457</v>
      </c>
      <c r="N167" s="62">
        <f t="shared" si="17"/>
        <v>-3623.415090041306</v>
      </c>
      <c r="O167" s="62">
        <f t="shared" si="18"/>
        <v>-0.27958912986151829</v>
      </c>
      <c r="P167" s="62">
        <f t="shared" si="19"/>
        <v>-3536.827559036883</v>
      </c>
      <c r="Q167" s="62">
        <f t="shared" si="20"/>
        <v>-0.27148430775718524</v>
      </c>
      <c r="R167" s="62">
        <f t="shared" si="21"/>
        <v>17368.421611853628</v>
      </c>
      <c r="S167" s="62">
        <f t="shared" si="22"/>
        <v>25217.028473226826</v>
      </c>
      <c r="T167" s="62">
        <f t="shared" si="23"/>
        <v>25326.706637195854</v>
      </c>
      <c r="U167" s="62">
        <f t="shared" si="24"/>
        <v>25077.560017350384</v>
      </c>
      <c r="V167" s="62">
        <f t="shared" ref="V167:Y230" si="26">IF(MIN($R167:$U167)=R167,1,0)</f>
        <v>1</v>
      </c>
      <c r="W167" s="62">
        <f t="shared" si="26"/>
        <v>0</v>
      </c>
      <c r="X167" s="62">
        <f t="shared" si="26"/>
        <v>0</v>
      </c>
      <c r="Y167" s="62">
        <f t="shared" si="25"/>
        <v>0</v>
      </c>
      <c r="AA167" s="94"/>
    </row>
    <row r="168" spans="2:27" x14ac:dyDescent="0.2">
      <c r="B168" s="94"/>
      <c r="C168" s="62">
        <v>129</v>
      </c>
      <c r="D168" s="62">
        <v>10247.043571484326</v>
      </c>
      <c r="E168" s="62">
        <v>0.61732554510045123</v>
      </c>
      <c r="F168" s="62">
        <v>14757.788564575118</v>
      </c>
      <c r="G168" s="62">
        <v>0.89426950561622642</v>
      </c>
      <c r="H168" s="62">
        <v>14801.59772138717</v>
      </c>
      <c r="I168" s="62">
        <v>0.89727165904831097</v>
      </c>
      <c r="J168" s="62">
        <v>14692.334793843718</v>
      </c>
      <c r="K168" s="62">
        <v>0.8894224555642114</v>
      </c>
      <c r="L168" s="62">
        <f t="shared" ref="L168:L231" si="27">IF($C168&lt;=No_of_iterations_PSA,D168-$F168,"")</f>
        <v>-4510.7449930907915</v>
      </c>
      <c r="M168" s="62">
        <f t="shared" ref="M168:M231" si="28">IF($C168&lt;=No_of_iterations_PSA,E168-$G168,"")</f>
        <v>-0.27694396051577519</v>
      </c>
      <c r="N168" s="62">
        <f t="shared" ref="N168:N231" si="29">IF($C168&lt;=No_of_iterations_PSA,D168-$H168,"")</f>
        <v>-4554.5541499028441</v>
      </c>
      <c r="O168" s="62">
        <f t="shared" ref="O168:O231" si="30">IF($C168&lt;=No_of_iterations_PSA,E168-$I168,"")</f>
        <v>-0.27994611394785973</v>
      </c>
      <c r="P168" s="62">
        <f t="shared" ref="P168:P231" si="31">IF($C168&lt;=No_of_iterations_PSA,D168-$J168,"")</f>
        <v>-4445.2912223593921</v>
      </c>
      <c r="Q168" s="62">
        <f t="shared" ref="Q168:Q231" si="32">IF($C168&lt;=No_of_iterations_PSA,E168-$K168,"")</f>
        <v>-0.27209691046376017</v>
      </c>
      <c r="R168" s="62">
        <f t="shared" ref="R168:R231" si="33">IF($C168&lt;=No_of_iterations_PSA,E168*c_WTP-D168,"")</f>
        <v>15325.049808756765</v>
      </c>
      <c r="S168" s="62">
        <f t="shared" ref="S168:S231" si="34">IF($C168&lt;=No_of_iterations_PSA,G168*c_WTP-F168,"")</f>
        <v>22286.431436071449</v>
      </c>
      <c r="T168" s="62">
        <f t="shared" ref="T168:T231" si="35">IF($C168&lt;=No_of_iterations_PSA,I168*c_WTP-H168,"")</f>
        <v>22366.983483030064</v>
      </c>
      <c r="U168" s="62">
        <f t="shared" ref="U168:U231" si="36">IF($C168&lt;=No_of_iterations_PSA,K168*c_WTP-J168,"")</f>
        <v>22151.101005448178</v>
      </c>
      <c r="V168" s="62">
        <f t="shared" si="26"/>
        <v>1</v>
      </c>
      <c r="W168" s="62">
        <f t="shared" si="26"/>
        <v>0</v>
      </c>
      <c r="X168" s="62">
        <f t="shared" si="26"/>
        <v>0</v>
      </c>
      <c r="Y168" s="62">
        <f t="shared" si="25"/>
        <v>0</v>
      </c>
      <c r="AA168" s="94"/>
    </row>
    <row r="169" spans="2:27" x14ac:dyDescent="0.2">
      <c r="B169" s="94"/>
      <c r="C169" s="62">
        <v>130</v>
      </c>
      <c r="D169" s="62">
        <v>10367.791793389129</v>
      </c>
      <c r="E169" s="62">
        <v>0.61779780060442113</v>
      </c>
      <c r="F169" s="62">
        <v>14903.402225155827</v>
      </c>
      <c r="G169" s="62">
        <v>0.89422049116599645</v>
      </c>
      <c r="H169" s="62">
        <v>14949.243278022888</v>
      </c>
      <c r="I169" s="62">
        <v>0.89740950331910718</v>
      </c>
      <c r="J169" s="62">
        <v>14836.353678444912</v>
      </c>
      <c r="K169" s="62">
        <v>0.88914551004296671</v>
      </c>
      <c r="L169" s="62">
        <f t="shared" si="27"/>
        <v>-4535.6104317666977</v>
      </c>
      <c r="M169" s="62">
        <f t="shared" si="28"/>
        <v>-0.27642269056157531</v>
      </c>
      <c r="N169" s="62">
        <f t="shared" si="29"/>
        <v>-4581.4514846337588</v>
      </c>
      <c r="O169" s="62">
        <f t="shared" si="30"/>
        <v>-0.27961170271468605</v>
      </c>
      <c r="P169" s="62">
        <f t="shared" si="31"/>
        <v>-4468.5618850557821</v>
      </c>
      <c r="Q169" s="62">
        <f t="shared" si="32"/>
        <v>-0.27134770943854558</v>
      </c>
      <c r="R169" s="62">
        <f t="shared" si="33"/>
        <v>15223.86429884841</v>
      </c>
      <c r="S169" s="62">
        <f t="shared" si="34"/>
        <v>22138.78740090441</v>
      </c>
      <c r="T169" s="62">
        <f t="shared" si="35"/>
        <v>22225.047987467809</v>
      </c>
      <c r="U169" s="62">
        <f t="shared" si="36"/>
        <v>21995.609929574945</v>
      </c>
      <c r="V169" s="62">
        <f t="shared" si="26"/>
        <v>1</v>
      </c>
      <c r="W169" s="62">
        <f t="shared" si="26"/>
        <v>0</v>
      </c>
      <c r="X169" s="62">
        <f t="shared" si="26"/>
        <v>0</v>
      </c>
      <c r="Y169" s="62">
        <f t="shared" si="25"/>
        <v>0</v>
      </c>
      <c r="AA169" s="94"/>
    </row>
    <row r="170" spans="2:27" x14ac:dyDescent="0.2">
      <c r="B170" s="94"/>
      <c r="C170" s="62">
        <v>131</v>
      </c>
      <c r="D170" s="62">
        <v>12185.374668341836</v>
      </c>
      <c r="E170" s="62">
        <v>0.61804497073547349</v>
      </c>
      <c r="F170" s="62">
        <v>17533.387794642309</v>
      </c>
      <c r="G170" s="62">
        <v>0.89468326117929631</v>
      </c>
      <c r="H170" s="62">
        <v>17592.345662139833</v>
      </c>
      <c r="I170" s="62">
        <v>0.89801308196062235</v>
      </c>
      <c r="J170" s="62">
        <v>17454.760290084629</v>
      </c>
      <c r="K170" s="62">
        <v>0.88966872705379252</v>
      </c>
      <c r="L170" s="62">
        <f t="shared" si="27"/>
        <v>-5348.0131263004732</v>
      </c>
      <c r="M170" s="62">
        <f t="shared" si="28"/>
        <v>-0.27663829044382282</v>
      </c>
      <c r="N170" s="62">
        <f t="shared" si="29"/>
        <v>-5406.9709937979969</v>
      </c>
      <c r="O170" s="62">
        <f t="shared" si="30"/>
        <v>-0.27996811122514886</v>
      </c>
      <c r="P170" s="62">
        <f t="shared" si="31"/>
        <v>-5269.3856217427929</v>
      </c>
      <c r="Q170" s="62">
        <f t="shared" si="32"/>
        <v>-0.27162375631831903</v>
      </c>
      <c r="R170" s="62">
        <f t="shared" si="33"/>
        <v>13416.520199404418</v>
      </c>
      <c r="S170" s="62">
        <f t="shared" si="34"/>
        <v>19527.971616448864</v>
      </c>
      <c r="T170" s="62">
        <f t="shared" si="35"/>
        <v>19606.948244996991</v>
      </c>
      <c r="U170" s="62">
        <f t="shared" si="36"/>
        <v>19398.877059391674</v>
      </c>
      <c r="V170" s="62">
        <f t="shared" si="26"/>
        <v>1</v>
      </c>
      <c r="W170" s="62">
        <f t="shared" si="26"/>
        <v>0</v>
      </c>
      <c r="X170" s="62">
        <f t="shared" si="26"/>
        <v>0</v>
      </c>
      <c r="Y170" s="62">
        <f t="shared" si="25"/>
        <v>0</v>
      </c>
      <c r="AA170" s="94"/>
    </row>
    <row r="171" spans="2:27" x14ac:dyDescent="0.2">
      <c r="B171" s="94"/>
      <c r="C171" s="62">
        <v>132</v>
      </c>
      <c r="D171" s="62">
        <v>8172.7183799100158</v>
      </c>
      <c r="E171" s="62">
        <v>0.61740082909542537</v>
      </c>
      <c r="F171" s="62">
        <v>11745.37231333731</v>
      </c>
      <c r="G171" s="62">
        <v>0.89428662784769164</v>
      </c>
      <c r="H171" s="62">
        <v>11780.073478561046</v>
      </c>
      <c r="I171" s="62">
        <v>0.89744495298079718</v>
      </c>
      <c r="J171" s="62">
        <v>11698.41936532643</v>
      </c>
      <c r="K171" s="62">
        <v>0.88953912687157444</v>
      </c>
      <c r="L171" s="62">
        <f t="shared" si="27"/>
        <v>-3572.6539334272939</v>
      </c>
      <c r="M171" s="62">
        <f t="shared" si="28"/>
        <v>-0.27688579875226627</v>
      </c>
      <c r="N171" s="62">
        <f t="shared" si="29"/>
        <v>-3607.3550986510299</v>
      </c>
      <c r="O171" s="62">
        <f t="shared" si="30"/>
        <v>-0.28004412388537181</v>
      </c>
      <c r="P171" s="62">
        <f t="shared" si="31"/>
        <v>-3525.7009854164144</v>
      </c>
      <c r="Q171" s="62">
        <f t="shared" si="32"/>
        <v>-0.27213829777614906</v>
      </c>
      <c r="R171" s="62">
        <f t="shared" si="33"/>
        <v>17402.493564538883</v>
      </c>
      <c r="S171" s="62">
        <f t="shared" si="34"/>
        <v>25299.556958625468</v>
      </c>
      <c r="T171" s="62">
        <f t="shared" si="35"/>
        <v>25395.686253715496</v>
      </c>
      <c r="U171" s="62">
        <f t="shared" si="36"/>
        <v>25149.849426201668</v>
      </c>
      <c r="V171" s="62">
        <f t="shared" si="26"/>
        <v>1</v>
      </c>
      <c r="W171" s="62">
        <f t="shared" si="26"/>
        <v>0</v>
      </c>
      <c r="X171" s="62">
        <f t="shared" si="26"/>
        <v>0</v>
      </c>
      <c r="Y171" s="62">
        <f t="shared" si="25"/>
        <v>0</v>
      </c>
      <c r="AA171" s="94"/>
    </row>
    <row r="172" spans="2:27" x14ac:dyDescent="0.2">
      <c r="B172" s="94"/>
      <c r="C172" s="62">
        <v>133</v>
      </c>
      <c r="D172" s="62">
        <v>10132.958798214797</v>
      </c>
      <c r="E172" s="62">
        <v>0.61782966355786295</v>
      </c>
      <c r="F172" s="62">
        <v>14570.81368491962</v>
      </c>
      <c r="G172" s="62">
        <v>0.89405338514927413</v>
      </c>
      <c r="H172" s="62">
        <v>14611.002118245631</v>
      </c>
      <c r="I172" s="62">
        <v>0.89677111765561957</v>
      </c>
      <c r="J172" s="62">
        <v>14515.655358283388</v>
      </c>
      <c r="K172" s="62">
        <v>0.88965125079999718</v>
      </c>
      <c r="L172" s="62">
        <f t="shared" si="27"/>
        <v>-4437.854886704823</v>
      </c>
      <c r="M172" s="62">
        <f t="shared" si="28"/>
        <v>-0.27622372159141118</v>
      </c>
      <c r="N172" s="62">
        <f t="shared" si="29"/>
        <v>-4478.0433200308344</v>
      </c>
      <c r="O172" s="62">
        <f t="shared" si="30"/>
        <v>-0.27894145409775661</v>
      </c>
      <c r="P172" s="62">
        <f t="shared" si="31"/>
        <v>-4382.6965600685908</v>
      </c>
      <c r="Q172" s="62">
        <f t="shared" si="32"/>
        <v>-0.27182158724213423</v>
      </c>
      <c r="R172" s="62">
        <f t="shared" si="33"/>
        <v>15460.01718500612</v>
      </c>
      <c r="S172" s="62">
        <f t="shared" si="34"/>
        <v>22464.453741503912</v>
      </c>
      <c r="T172" s="62">
        <f t="shared" si="35"/>
        <v>22536.84465952075</v>
      </c>
      <c r="U172" s="62">
        <f t="shared" si="36"/>
        <v>22337.258054855694</v>
      </c>
      <c r="V172" s="62">
        <f t="shared" si="26"/>
        <v>1</v>
      </c>
      <c r="W172" s="62">
        <f t="shared" si="26"/>
        <v>0</v>
      </c>
      <c r="X172" s="62">
        <f t="shared" si="26"/>
        <v>0</v>
      </c>
      <c r="Y172" s="62">
        <f t="shared" si="25"/>
        <v>0</v>
      </c>
      <c r="AA172" s="94"/>
    </row>
    <row r="173" spans="2:27" x14ac:dyDescent="0.2">
      <c r="B173" s="94"/>
      <c r="C173" s="62">
        <v>134</v>
      </c>
      <c r="D173" s="62">
        <v>9748.9556037248003</v>
      </c>
      <c r="E173" s="62">
        <v>0.61773539854385007</v>
      </c>
      <c r="F173" s="62">
        <v>14017.255875408217</v>
      </c>
      <c r="G173" s="62">
        <v>0.8943117169808118</v>
      </c>
      <c r="H173" s="62">
        <v>14056.334512159814</v>
      </c>
      <c r="I173" s="62">
        <v>0.89713311634208692</v>
      </c>
      <c r="J173" s="62">
        <v>13960.215019886489</v>
      </c>
      <c r="K173" s="62">
        <v>0.88963371867860375</v>
      </c>
      <c r="L173" s="62">
        <f t="shared" si="27"/>
        <v>-4268.3002716834162</v>
      </c>
      <c r="M173" s="62">
        <f t="shared" si="28"/>
        <v>-0.27657631843696173</v>
      </c>
      <c r="N173" s="62">
        <f t="shared" si="29"/>
        <v>-4307.3789084350137</v>
      </c>
      <c r="O173" s="62">
        <f t="shared" si="30"/>
        <v>-0.27939771779823686</v>
      </c>
      <c r="P173" s="62">
        <f t="shared" si="31"/>
        <v>-4211.2594161616889</v>
      </c>
      <c r="Q173" s="62">
        <f t="shared" si="32"/>
        <v>-0.27189832013475368</v>
      </c>
      <c r="R173" s="62">
        <f t="shared" si="33"/>
        <v>15840.115545555644</v>
      </c>
      <c r="S173" s="62">
        <f t="shared" si="34"/>
        <v>23028.712688804928</v>
      </c>
      <c r="T173" s="62">
        <f t="shared" si="35"/>
        <v>23106.507699194797</v>
      </c>
      <c r="U173" s="62">
        <f t="shared" si="36"/>
        <v>22891.972142655992</v>
      </c>
      <c r="V173" s="62">
        <f t="shared" si="26"/>
        <v>1</v>
      </c>
      <c r="W173" s="62">
        <f t="shared" si="26"/>
        <v>0</v>
      </c>
      <c r="X173" s="62">
        <f t="shared" si="26"/>
        <v>0</v>
      </c>
      <c r="Y173" s="62">
        <f t="shared" si="25"/>
        <v>0</v>
      </c>
      <c r="AA173" s="94"/>
    </row>
    <row r="174" spans="2:27" x14ac:dyDescent="0.2">
      <c r="B174" s="94"/>
      <c r="C174" s="62">
        <v>135</v>
      </c>
      <c r="D174" s="62">
        <v>10727.189461909353</v>
      </c>
      <c r="E174" s="62">
        <v>0.61754904388520737</v>
      </c>
      <c r="F174" s="62">
        <v>15403.159518799681</v>
      </c>
      <c r="G174" s="62">
        <v>0.8927413322041472</v>
      </c>
      <c r="H174" s="62">
        <v>15468.548330382422</v>
      </c>
      <c r="I174" s="62">
        <v>0.89697830584576899</v>
      </c>
      <c r="J174" s="62">
        <v>15357.252521244538</v>
      </c>
      <c r="K174" s="62">
        <v>0.88902718644110879</v>
      </c>
      <c r="L174" s="62">
        <f t="shared" si="27"/>
        <v>-4675.9700568903281</v>
      </c>
      <c r="M174" s="62">
        <f t="shared" si="28"/>
        <v>-0.27519228831893983</v>
      </c>
      <c r="N174" s="62">
        <f t="shared" si="29"/>
        <v>-4741.3588684730694</v>
      </c>
      <c r="O174" s="62">
        <f t="shared" si="30"/>
        <v>-0.27942926196056161</v>
      </c>
      <c r="P174" s="62">
        <f t="shared" si="31"/>
        <v>-4630.0630593351852</v>
      </c>
      <c r="Q174" s="62">
        <f t="shared" si="32"/>
        <v>-0.27147814255590141</v>
      </c>
      <c r="R174" s="62">
        <f t="shared" si="33"/>
        <v>14854.162131991476</v>
      </c>
      <c r="S174" s="62">
        <f t="shared" si="34"/>
        <v>21577.757426424912</v>
      </c>
      <c r="T174" s="62">
        <f t="shared" si="35"/>
        <v>21687.881010972713</v>
      </c>
      <c r="U174" s="62">
        <f t="shared" si="36"/>
        <v>21469.809649891948</v>
      </c>
      <c r="V174" s="62">
        <f t="shared" si="26"/>
        <v>1</v>
      </c>
      <c r="W174" s="62">
        <f t="shared" si="26"/>
        <v>0</v>
      </c>
      <c r="X174" s="62">
        <f t="shared" si="26"/>
        <v>0</v>
      </c>
      <c r="Y174" s="62">
        <f t="shared" si="25"/>
        <v>0</v>
      </c>
      <c r="AA174" s="94"/>
    </row>
    <row r="175" spans="2:27" x14ac:dyDescent="0.2">
      <c r="B175" s="94"/>
      <c r="C175" s="62">
        <v>136</v>
      </c>
      <c r="D175" s="62">
        <v>9373.6679407655429</v>
      </c>
      <c r="E175" s="62">
        <v>0.61759601808092235</v>
      </c>
      <c r="F175" s="62">
        <v>13468.433969237416</v>
      </c>
      <c r="G175" s="62">
        <v>0.89454158524176386</v>
      </c>
      <c r="H175" s="62">
        <v>13500.837145059817</v>
      </c>
      <c r="I175" s="62">
        <v>0.89684200986933638</v>
      </c>
      <c r="J175" s="62">
        <v>13404.700227752708</v>
      </c>
      <c r="K175" s="62">
        <v>0.88875928661365888</v>
      </c>
      <c r="L175" s="62">
        <f t="shared" si="27"/>
        <v>-4094.7660284718731</v>
      </c>
      <c r="M175" s="62">
        <f t="shared" si="28"/>
        <v>-0.27694556716084151</v>
      </c>
      <c r="N175" s="62">
        <f t="shared" si="29"/>
        <v>-4127.1692042942741</v>
      </c>
      <c r="O175" s="62">
        <f t="shared" si="30"/>
        <v>-0.27924599178841403</v>
      </c>
      <c r="P175" s="62">
        <f t="shared" si="31"/>
        <v>-4031.0322869871652</v>
      </c>
      <c r="Q175" s="62">
        <f t="shared" si="32"/>
        <v>-0.27116326853273653</v>
      </c>
      <c r="R175" s="62">
        <f t="shared" si="33"/>
        <v>16209.629512218584</v>
      </c>
      <c r="S175" s="62">
        <f t="shared" si="34"/>
        <v>23587.056657817408</v>
      </c>
      <c r="T175" s="62">
        <f t="shared" si="35"/>
        <v>23649.946271767574</v>
      </c>
      <c r="U175" s="62">
        <f t="shared" si="36"/>
        <v>23411.264460931496</v>
      </c>
      <c r="V175" s="62">
        <f t="shared" si="26"/>
        <v>1</v>
      </c>
      <c r="W175" s="62">
        <f t="shared" si="26"/>
        <v>0</v>
      </c>
      <c r="X175" s="62">
        <f t="shared" si="26"/>
        <v>0</v>
      </c>
      <c r="Y175" s="62">
        <f t="shared" si="25"/>
        <v>0</v>
      </c>
      <c r="AA175" s="94"/>
    </row>
    <row r="176" spans="2:27" x14ac:dyDescent="0.2">
      <c r="B176" s="94"/>
      <c r="C176" s="62">
        <v>137</v>
      </c>
      <c r="D176" s="62">
        <v>8424.3721456255425</v>
      </c>
      <c r="E176" s="62">
        <v>0.61775111525834625</v>
      </c>
      <c r="F176" s="62">
        <v>12094.50578899444</v>
      </c>
      <c r="G176" s="62">
        <v>0.89382531950978572</v>
      </c>
      <c r="H176" s="62">
        <v>12137.867609731369</v>
      </c>
      <c r="I176" s="62">
        <v>0.89743827135746623</v>
      </c>
      <c r="J176" s="62">
        <v>12060.519491610456</v>
      </c>
      <c r="K176" s="62">
        <v>0.89018043121859181</v>
      </c>
      <c r="L176" s="62">
        <f t="shared" si="27"/>
        <v>-3670.1336433688975</v>
      </c>
      <c r="M176" s="62">
        <f t="shared" si="28"/>
        <v>-0.27607420425143947</v>
      </c>
      <c r="N176" s="62">
        <f t="shared" si="29"/>
        <v>-3713.4954641058266</v>
      </c>
      <c r="O176" s="62">
        <f t="shared" si="30"/>
        <v>-0.27968715609911998</v>
      </c>
      <c r="P176" s="62">
        <f t="shared" si="31"/>
        <v>-3636.147345984913</v>
      </c>
      <c r="Q176" s="62">
        <f t="shared" si="32"/>
        <v>-0.27242931596024555</v>
      </c>
      <c r="R176" s="62">
        <f t="shared" si="33"/>
        <v>17165.350052836191</v>
      </c>
      <c r="S176" s="62">
        <f t="shared" si="34"/>
        <v>24931.314246378923</v>
      </c>
      <c r="T176" s="62">
        <f t="shared" si="35"/>
        <v>25037.615342980313</v>
      </c>
      <c r="U176" s="62">
        <f t="shared" si="36"/>
        <v>24814.314691188494</v>
      </c>
      <c r="V176" s="62">
        <f t="shared" si="26"/>
        <v>1</v>
      </c>
      <c r="W176" s="62">
        <f t="shared" si="26"/>
        <v>0</v>
      </c>
      <c r="X176" s="62">
        <f t="shared" si="26"/>
        <v>0</v>
      </c>
      <c r="Y176" s="62">
        <f t="shared" si="25"/>
        <v>0</v>
      </c>
      <c r="AA176" s="94"/>
    </row>
    <row r="177" spans="2:27" x14ac:dyDescent="0.2">
      <c r="B177" s="94"/>
      <c r="C177" s="62">
        <v>138</v>
      </c>
      <c r="D177" s="62">
        <v>10047.029445786911</v>
      </c>
      <c r="E177" s="62">
        <v>0.61727997186502381</v>
      </c>
      <c r="F177" s="62">
        <v>14464.954853609246</v>
      </c>
      <c r="G177" s="62">
        <v>0.89459261361354014</v>
      </c>
      <c r="H177" s="62">
        <v>14521.304887900891</v>
      </c>
      <c r="I177" s="62">
        <v>0.89846262104843433</v>
      </c>
      <c r="J177" s="62">
        <v>14396.258483763866</v>
      </c>
      <c r="K177" s="62">
        <v>0.88925205536158836</v>
      </c>
      <c r="L177" s="62">
        <f t="shared" si="27"/>
        <v>-4417.9254078223348</v>
      </c>
      <c r="M177" s="62">
        <f t="shared" si="28"/>
        <v>-0.27731264174851633</v>
      </c>
      <c r="N177" s="62">
        <f t="shared" si="29"/>
        <v>-4474.2754421139798</v>
      </c>
      <c r="O177" s="62">
        <f t="shared" si="30"/>
        <v>-0.28118264918341052</v>
      </c>
      <c r="P177" s="62">
        <f t="shared" si="31"/>
        <v>-4349.2290379769547</v>
      </c>
      <c r="Q177" s="62">
        <f t="shared" si="32"/>
        <v>-0.27197208349656454</v>
      </c>
      <c r="R177" s="62">
        <f t="shared" si="33"/>
        <v>15523.176108749836</v>
      </c>
      <c r="S177" s="62">
        <f t="shared" si="34"/>
        <v>22592.649572718037</v>
      </c>
      <c r="T177" s="62">
        <f t="shared" si="35"/>
        <v>22696.610726409453</v>
      </c>
      <c r="U177" s="62">
        <f t="shared" si="36"/>
        <v>22440.118657534571</v>
      </c>
      <c r="V177" s="62">
        <f t="shared" si="26"/>
        <v>1</v>
      </c>
      <c r="W177" s="62">
        <f t="shared" si="26"/>
        <v>0</v>
      </c>
      <c r="X177" s="62">
        <f t="shared" si="26"/>
        <v>0</v>
      </c>
      <c r="Y177" s="62">
        <f t="shared" si="25"/>
        <v>0</v>
      </c>
      <c r="AA177" s="94"/>
    </row>
    <row r="178" spans="2:27" x14ac:dyDescent="0.2">
      <c r="B178" s="94"/>
      <c r="C178" s="62">
        <v>139</v>
      </c>
      <c r="D178" s="62">
        <v>11346.294756367241</v>
      </c>
      <c r="E178" s="62">
        <v>0.61756154606116875</v>
      </c>
      <c r="F178" s="62">
        <v>16320.988196600169</v>
      </c>
      <c r="G178" s="62">
        <v>0.89378995016839158</v>
      </c>
      <c r="H178" s="62">
        <v>16380.602786384687</v>
      </c>
      <c r="I178" s="62">
        <v>0.89732070476746439</v>
      </c>
      <c r="J178" s="62">
        <v>16264.390055706333</v>
      </c>
      <c r="K178" s="62">
        <v>0.88973474430737454</v>
      </c>
      <c r="L178" s="62">
        <f t="shared" si="27"/>
        <v>-4974.693440232928</v>
      </c>
      <c r="M178" s="62">
        <f t="shared" si="28"/>
        <v>-0.27622840410722282</v>
      </c>
      <c r="N178" s="62">
        <f t="shared" si="29"/>
        <v>-5034.3080300174461</v>
      </c>
      <c r="O178" s="62">
        <f t="shared" si="30"/>
        <v>-0.27975915870629564</v>
      </c>
      <c r="P178" s="62">
        <f t="shared" si="31"/>
        <v>-4918.0952993390929</v>
      </c>
      <c r="Q178" s="62">
        <f t="shared" si="32"/>
        <v>-0.27217319824620578</v>
      </c>
      <c r="R178" s="62">
        <f t="shared" si="33"/>
        <v>14235.574727670615</v>
      </c>
      <c r="S178" s="62">
        <f t="shared" si="34"/>
        <v>20703.366699175283</v>
      </c>
      <c r="T178" s="62">
        <f t="shared" si="35"/>
        <v>20790.010087902756</v>
      </c>
      <c r="U178" s="62">
        <f t="shared" si="36"/>
        <v>20591.981992482353</v>
      </c>
      <c r="V178" s="62">
        <f t="shared" si="26"/>
        <v>1</v>
      </c>
      <c r="W178" s="62">
        <f t="shared" si="26"/>
        <v>0</v>
      </c>
      <c r="X178" s="62">
        <f t="shared" si="26"/>
        <v>0</v>
      </c>
      <c r="Y178" s="62">
        <f t="shared" si="25"/>
        <v>0</v>
      </c>
      <c r="AA178" s="94"/>
    </row>
    <row r="179" spans="2:27" x14ac:dyDescent="0.2">
      <c r="B179" s="94"/>
      <c r="C179" s="62">
        <v>140</v>
      </c>
      <c r="D179" s="62">
        <v>10030.575074782477</v>
      </c>
      <c r="E179" s="62">
        <v>0.61771012298316652</v>
      </c>
      <c r="F179" s="62">
        <v>14429.392795648067</v>
      </c>
      <c r="G179" s="62">
        <v>0.89426840176838407</v>
      </c>
      <c r="H179" s="62">
        <v>14459.805546952934</v>
      </c>
      <c r="I179" s="62">
        <v>0.89637871190170304</v>
      </c>
      <c r="J179" s="62">
        <v>14358.798541103137</v>
      </c>
      <c r="K179" s="62">
        <v>0.88889815593228771</v>
      </c>
      <c r="L179" s="62">
        <f t="shared" si="27"/>
        <v>-4398.8177208655907</v>
      </c>
      <c r="M179" s="62">
        <f t="shared" si="28"/>
        <v>-0.27655827878521755</v>
      </c>
      <c r="N179" s="62">
        <f t="shared" si="29"/>
        <v>-4429.2304721704568</v>
      </c>
      <c r="O179" s="62">
        <f t="shared" si="30"/>
        <v>-0.27866858891853652</v>
      </c>
      <c r="P179" s="62">
        <f t="shared" si="31"/>
        <v>-4328.22346632066</v>
      </c>
      <c r="Q179" s="62">
        <f t="shared" si="32"/>
        <v>-0.27118803294912119</v>
      </c>
      <c r="R179" s="62">
        <f t="shared" si="33"/>
        <v>15557.449059672212</v>
      </c>
      <c r="S179" s="62">
        <f t="shared" si="34"/>
        <v>22614.781479205471</v>
      </c>
      <c r="T179" s="62">
        <f t="shared" si="35"/>
        <v>22671.786214863212</v>
      </c>
      <c r="U179" s="62">
        <f t="shared" si="36"/>
        <v>22462.918670235948</v>
      </c>
      <c r="V179" s="62">
        <f t="shared" si="26"/>
        <v>1</v>
      </c>
      <c r="W179" s="62">
        <f t="shared" si="26"/>
        <v>0</v>
      </c>
      <c r="X179" s="62">
        <f t="shared" si="26"/>
        <v>0</v>
      </c>
      <c r="Y179" s="62">
        <f t="shared" si="25"/>
        <v>0</v>
      </c>
      <c r="AA179" s="94"/>
    </row>
    <row r="180" spans="2:27" x14ac:dyDescent="0.2">
      <c r="B180" s="94"/>
      <c r="C180" s="62">
        <v>141</v>
      </c>
      <c r="D180" s="62">
        <v>8227.1604780515772</v>
      </c>
      <c r="E180" s="62">
        <v>0.61778683441567406</v>
      </c>
      <c r="F180" s="62">
        <v>11797.927665870608</v>
      </c>
      <c r="G180" s="62">
        <v>0.89334598426554623</v>
      </c>
      <c r="H180" s="62">
        <v>11844.609811258544</v>
      </c>
      <c r="I180" s="62">
        <v>0.89746536100750107</v>
      </c>
      <c r="J180" s="62">
        <v>11762.444713274874</v>
      </c>
      <c r="K180" s="62">
        <v>0.88948197120605721</v>
      </c>
      <c r="L180" s="62">
        <f t="shared" si="27"/>
        <v>-3570.7671878190304</v>
      </c>
      <c r="M180" s="62">
        <f t="shared" si="28"/>
        <v>-0.27555914984987218</v>
      </c>
      <c r="N180" s="62">
        <f t="shared" si="29"/>
        <v>-3617.4493332069669</v>
      </c>
      <c r="O180" s="62">
        <f t="shared" si="30"/>
        <v>-0.27967852659182701</v>
      </c>
      <c r="P180" s="62">
        <f t="shared" si="31"/>
        <v>-3535.2842352232965</v>
      </c>
      <c r="Q180" s="62">
        <f t="shared" si="32"/>
        <v>-0.27169513679038315</v>
      </c>
      <c r="R180" s="62">
        <f t="shared" si="33"/>
        <v>17364.041350783304</v>
      </c>
      <c r="S180" s="62">
        <f t="shared" si="34"/>
        <v>25208.036386345382</v>
      </c>
      <c r="T180" s="62">
        <f t="shared" si="35"/>
        <v>25331.995303116179</v>
      </c>
      <c r="U180" s="62">
        <f t="shared" si="36"/>
        <v>25083.456461964837</v>
      </c>
      <c r="V180" s="62">
        <f t="shared" si="26"/>
        <v>1</v>
      </c>
      <c r="W180" s="62">
        <f t="shared" si="26"/>
        <v>0</v>
      </c>
      <c r="X180" s="62">
        <f t="shared" si="26"/>
        <v>0</v>
      </c>
      <c r="Y180" s="62">
        <f t="shared" si="25"/>
        <v>0</v>
      </c>
      <c r="AA180" s="94"/>
    </row>
    <row r="181" spans="2:27" x14ac:dyDescent="0.2">
      <c r="B181" s="94"/>
      <c r="C181" s="62">
        <v>142</v>
      </c>
      <c r="D181" s="62">
        <v>10500.342713397542</v>
      </c>
      <c r="E181" s="62">
        <v>0.61825732804055367</v>
      </c>
      <c r="F181" s="62">
        <v>15082.303936392414</v>
      </c>
      <c r="G181" s="62">
        <v>0.89403730865875364</v>
      </c>
      <c r="H181" s="62">
        <v>15139.430126838863</v>
      </c>
      <c r="I181" s="62">
        <v>0.89775391658117998</v>
      </c>
      <c r="J181" s="62">
        <v>15018.205071161643</v>
      </c>
      <c r="K181" s="62">
        <v>0.88909375193989981</v>
      </c>
      <c r="L181" s="62">
        <f t="shared" si="27"/>
        <v>-4581.9612229948725</v>
      </c>
      <c r="M181" s="62">
        <f t="shared" si="28"/>
        <v>-0.27577998061819997</v>
      </c>
      <c r="N181" s="62">
        <f t="shared" si="29"/>
        <v>-4639.0874134413207</v>
      </c>
      <c r="O181" s="62">
        <f t="shared" si="30"/>
        <v>-0.27949658854062631</v>
      </c>
      <c r="P181" s="62">
        <f t="shared" si="31"/>
        <v>-4517.862357764101</v>
      </c>
      <c r="Q181" s="62">
        <f t="shared" si="32"/>
        <v>-0.27083642389934615</v>
      </c>
      <c r="R181" s="62">
        <f t="shared" si="33"/>
        <v>15110.348843354353</v>
      </c>
      <c r="S181" s="62">
        <f t="shared" si="34"/>
        <v>21952.297537487797</v>
      </c>
      <c r="T181" s="62">
        <f t="shared" si="35"/>
        <v>22049.128113619936</v>
      </c>
      <c r="U181" s="62">
        <f t="shared" si="36"/>
        <v>21811.614509196766</v>
      </c>
      <c r="V181" s="62">
        <f t="shared" si="26"/>
        <v>1</v>
      </c>
      <c r="W181" s="62">
        <f t="shared" si="26"/>
        <v>0</v>
      </c>
      <c r="X181" s="62">
        <f t="shared" si="26"/>
        <v>0</v>
      </c>
      <c r="Y181" s="62">
        <f t="shared" si="25"/>
        <v>0</v>
      </c>
      <c r="AA181" s="94"/>
    </row>
    <row r="182" spans="2:27" x14ac:dyDescent="0.2">
      <c r="B182" s="94"/>
      <c r="C182" s="62">
        <v>143</v>
      </c>
      <c r="D182" s="62">
        <v>12099.823353822481</v>
      </c>
      <c r="E182" s="62">
        <v>0.61780143384387054</v>
      </c>
      <c r="F182" s="62">
        <v>17412.243351159777</v>
      </c>
      <c r="G182" s="62">
        <v>0.89416828700456552</v>
      </c>
      <c r="H182" s="62">
        <v>17471.067899276928</v>
      </c>
      <c r="I182" s="62">
        <v>0.89746002456042218</v>
      </c>
      <c r="J182" s="62">
        <v>17327.339387126671</v>
      </c>
      <c r="K182" s="62">
        <v>0.88879243440692268</v>
      </c>
      <c r="L182" s="62">
        <f t="shared" si="27"/>
        <v>-5312.4199973372961</v>
      </c>
      <c r="M182" s="62">
        <f t="shared" si="28"/>
        <v>-0.27636685316069498</v>
      </c>
      <c r="N182" s="62">
        <f t="shared" si="29"/>
        <v>-5371.2445454544468</v>
      </c>
      <c r="O182" s="62">
        <f t="shared" si="30"/>
        <v>-0.27965859071655164</v>
      </c>
      <c r="P182" s="62">
        <f t="shared" si="31"/>
        <v>-5227.5160333041895</v>
      </c>
      <c r="Q182" s="62">
        <f t="shared" si="32"/>
        <v>-0.27099100056305214</v>
      </c>
      <c r="R182" s="62">
        <f t="shared" si="33"/>
        <v>13491.983241726011</v>
      </c>
      <c r="S182" s="62">
        <f t="shared" si="34"/>
        <v>19627.783769717345</v>
      </c>
      <c r="T182" s="62">
        <f t="shared" si="35"/>
        <v>19705.316158113998</v>
      </c>
      <c r="U182" s="62">
        <f t="shared" si="36"/>
        <v>19489.998415745697</v>
      </c>
      <c r="V182" s="62">
        <f t="shared" si="26"/>
        <v>1</v>
      </c>
      <c r="W182" s="62">
        <f t="shared" si="26"/>
        <v>0</v>
      </c>
      <c r="X182" s="62">
        <f t="shared" si="26"/>
        <v>0</v>
      </c>
      <c r="Y182" s="62">
        <f t="shared" si="25"/>
        <v>0</v>
      </c>
      <c r="AA182" s="94"/>
    </row>
    <row r="183" spans="2:27" x14ac:dyDescent="0.2">
      <c r="B183" s="94"/>
      <c r="C183" s="62">
        <v>144</v>
      </c>
      <c r="D183" s="62">
        <v>10867.15454079287</v>
      </c>
      <c r="E183" s="62">
        <v>0.61707524214870468</v>
      </c>
      <c r="F183" s="62">
        <v>15643.577667602867</v>
      </c>
      <c r="G183" s="62">
        <v>0.8940322829934757</v>
      </c>
      <c r="H183" s="62">
        <v>15696.413493604417</v>
      </c>
      <c r="I183" s="62">
        <v>0.89724080676899176</v>
      </c>
      <c r="J183" s="62">
        <v>15579.069131814451</v>
      </c>
      <c r="K183" s="62">
        <v>0.88924267867175633</v>
      </c>
      <c r="L183" s="62">
        <f t="shared" si="27"/>
        <v>-4776.4231268099975</v>
      </c>
      <c r="M183" s="62">
        <f t="shared" si="28"/>
        <v>-0.27695704084477102</v>
      </c>
      <c r="N183" s="62">
        <f t="shared" si="29"/>
        <v>-4829.2589528115477</v>
      </c>
      <c r="O183" s="62">
        <f t="shared" si="30"/>
        <v>-0.28016556462028708</v>
      </c>
      <c r="P183" s="62">
        <f t="shared" si="31"/>
        <v>-4711.9145910215811</v>
      </c>
      <c r="Q183" s="62">
        <f t="shared" si="32"/>
        <v>-0.27216743652305164</v>
      </c>
      <c r="R183" s="62">
        <f t="shared" si="33"/>
        <v>14694.570289975074</v>
      </c>
      <c r="S183" s="62">
        <f t="shared" si="34"/>
        <v>21390.81562311887</v>
      </c>
      <c r="T183" s="62">
        <f t="shared" si="35"/>
        <v>21470.889685994294</v>
      </c>
      <c r="U183" s="62">
        <f t="shared" si="36"/>
        <v>21256.91958948438</v>
      </c>
      <c r="V183" s="62">
        <f t="shared" si="26"/>
        <v>1</v>
      </c>
      <c r="W183" s="62">
        <f t="shared" si="26"/>
        <v>0</v>
      </c>
      <c r="X183" s="62">
        <f t="shared" si="26"/>
        <v>0</v>
      </c>
      <c r="Y183" s="62">
        <f t="shared" si="25"/>
        <v>0</v>
      </c>
      <c r="AA183" s="94"/>
    </row>
    <row r="184" spans="2:27" x14ac:dyDescent="0.2">
      <c r="B184" s="94"/>
      <c r="C184" s="62">
        <v>145</v>
      </c>
      <c r="D184" s="62">
        <v>11098.393837118929</v>
      </c>
      <c r="E184" s="62">
        <v>0.61784513405155173</v>
      </c>
      <c r="F184" s="62">
        <v>15944.209239249141</v>
      </c>
      <c r="G184" s="62">
        <v>0.89347207800881634</v>
      </c>
      <c r="H184" s="62">
        <v>16013.379857746377</v>
      </c>
      <c r="I184" s="62">
        <v>0.89779626256420275</v>
      </c>
      <c r="J184" s="62">
        <v>15888.01484743091</v>
      </c>
      <c r="K184" s="62">
        <v>0.88928491727065895</v>
      </c>
      <c r="L184" s="62">
        <f t="shared" si="27"/>
        <v>-4845.8154021302125</v>
      </c>
      <c r="M184" s="62">
        <f t="shared" si="28"/>
        <v>-0.27562694395726461</v>
      </c>
      <c r="N184" s="62">
        <f t="shared" si="29"/>
        <v>-4914.9860206274479</v>
      </c>
      <c r="O184" s="62">
        <f t="shared" si="30"/>
        <v>-0.27995112851265103</v>
      </c>
      <c r="P184" s="62">
        <f t="shared" si="31"/>
        <v>-4789.6210103119811</v>
      </c>
      <c r="Q184" s="62">
        <f t="shared" si="32"/>
        <v>-0.27143978321910722</v>
      </c>
      <c r="R184" s="62">
        <f t="shared" si="33"/>
        <v>14495.222995832552</v>
      </c>
      <c r="S184" s="62">
        <f t="shared" si="34"/>
        <v>21066.978120188069</v>
      </c>
      <c r="T184" s="62">
        <f t="shared" si="35"/>
        <v>21176.932522713163</v>
      </c>
      <c r="U184" s="62">
        <f t="shared" si="36"/>
        <v>20949.723565588865</v>
      </c>
      <c r="V184" s="62">
        <f t="shared" si="26"/>
        <v>1</v>
      </c>
      <c r="W184" s="62">
        <f t="shared" si="26"/>
        <v>0</v>
      </c>
      <c r="X184" s="62">
        <f t="shared" si="26"/>
        <v>0</v>
      </c>
      <c r="Y184" s="62">
        <f t="shared" si="25"/>
        <v>0</v>
      </c>
      <c r="AA184" s="94"/>
    </row>
    <row r="185" spans="2:27" x14ac:dyDescent="0.2">
      <c r="B185" s="94"/>
      <c r="C185" s="62">
        <v>146</v>
      </c>
      <c r="D185" s="62">
        <v>9339.6280034530664</v>
      </c>
      <c r="E185" s="62">
        <v>0.6178234143578103</v>
      </c>
      <c r="F185" s="62">
        <v>13418.655007480565</v>
      </c>
      <c r="G185" s="62">
        <v>0.89419331604859842</v>
      </c>
      <c r="H185" s="62">
        <v>13461.897586601739</v>
      </c>
      <c r="I185" s="62">
        <v>0.89753091459637113</v>
      </c>
      <c r="J185" s="62">
        <v>13369.18172792638</v>
      </c>
      <c r="K185" s="62">
        <v>0.8898533770013356</v>
      </c>
      <c r="L185" s="62">
        <f t="shared" si="27"/>
        <v>-4079.0270040274991</v>
      </c>
      <c r="M185" s="62">
        <f t="shared" si="28"/>
        <v>-0.27636990169078812</v>
      </c>
      <c r="N185" s="62">
        <f t="shared" si="29"/>
        <v>-4122.2695831486726</v>
      </c>
      <c r="O185" s="62">
        <f t="shared" si="30"/>
        <v>-0.27970750023856084</v>
      </c>
      <c r="P185" s="62">
        <f t="shared" si="31"/>
        <v>-4029.5537244733132</v>
      </c>
      <c r="Q185" s="62">
        <f t="shared" si="32"/>
        <v>-0.2720299626435253</v>
      </c>
      <c r="R185" s="62">
        <f t="shared" si="33"/>
        <v>16253.089112904867</v>
      </c>
      <c r="S185" s="62">
        <f t="shared" si="34"/>
        <v>23622.408916516579</v>
      </c>
      <c r="T185" s="62">
        <f t="shared" si="35"/>
        <v>23717.42301963834</v>
      </c>
      <c r="U185" s="62">
        <f t="shared" si="36"/>
        <v>23492.10456097695</v>
      </c>
      <c r="V185" s="62">
        <f t="shared" si="26"/>
        <v>1</v>
      </c>
      <c r="W185" s="62">
        <f t="shared" si="26"/>
        <v>0</v>
      </c>
      <c r="X185" s="62">
        <f t="shared" si="26"/>
        <v>0</v>
      </c>
      <c r="Y185" s="62">
        <f t="shared" si="25"/>
        <v>0</v>
      </c>
      <c r="AA185" s="94"/>
    </row>
    <row r="186" spans="2:27" x14ac:dyDescent="0.2">
      <c r="B186" s="94"/>
      <c r="C186" s="62">
        <v>147</v>
      </c>
      <c r="D186" s="62">
        <v>9900.4502775268775</v>
      </c>
      <c r="E186" s="62">
        <v>0.61745045622104044</v>
      </c>
      <c r="F186" s="62">
        <v>14235.376558021826</v>
      </c>
      <c r="G186" s="62">
        <v>0.89376870923781304</v>
      </c>
      <c r="H186" s="62">
        <v>14275.818926770435</v>
      </c>
      <c r="I186" s="62">
        <v>0.89668128198497377</v>
      </c>
      <c r="J186" s="62">
        <v>14183.246860975345</v>
      </c>
      <c r="K186" s="62">
        <v>0.88947725118891374</v>
      </c>
      <c r="L186" s="62">
        <f t="shared" si="27"/>
        <v>-4334.9262804949485</v>
      </c>
      <c r="M186" s="62">
        <f t="shared" si="28"/>
        <v>-0.2763182530167726</v>
      </c>
      <c r="N186" s="62">
        <f t="shared" si="29"/>
        <v>-4375.3686492435572</v>
      </c>
      <c r="O186" s="62">
        <f t="shared" si="30"/>
        <v>-0.27923082576393332</v>
      </c>
      <c r="P186" s="62">
        <f t="shared" si="31"/>
        <v>-4282.7965834484676</v>
      </c>
      <c r="Q186" s="62">
        <f t="shared" si="32"/>
        <v>-0.2720267949678733</v>
      </c>
      <c r="R186" s="62">
        <f t="shared" si="33"/>
        <v>15676.817420973501</v>
      </c>
      <c r="S186" s="62">
        <f t="shared" si="34"/>
        <v>22788.098453445346</v>
      </c>
      <c r="T186" s="62">
        <f t="shared" si="35"/>
        <v>22868.306498175116</v>
      </c>
      <c r="U186" s="62">
        <f t="shared" si="36"/>
        <v>22662.458792274218</v>
      </c>
      <c r="V186" s="62">
        <f t="shared" si="26"/>
        <v>1</v>
      </c>
      <c r="W186" s="62">
        <f t="shared" si="26"/>
        <v>0</v>
      </c>
      <c r="X186" s="62">
        <f t="shared" si="26"/>
        <v>0</v>
      </c>
      <c r="Y186" s="62">
        <f t="shared" si="25"/>
        <v>0</v>
      </c>
      <c r="AA186" s="94"/>
    </row>
    <row r="187" spans="2:27" x14ac:dyDescent="0.2">
      <c r="B187" s="94"/>
      <c r="C187" s="62">
        <v>148</v>
      </c>
      <c r="D187" s="62">
        <v>10671.194903010895</v>
      </c>
      <c r="E187" s="62">
        <v>0.61735288983890801</v>
      </c>
      <c r="F187" s="62">
        <v>15358.043422154446</v>
      </c>
      <c r="G187" s="62">
        <v>0.89425920175196771</v>
      </c>
      <c r="H187" s="62">
        <v>15398.446698277312</v>
      </c>
      <c r="I187" s="62">
        <v>0.89697167097691544</v>
      </c>
      <c r="J187" s="62">
        <v>15279.008006007472</v>
      </c>
      <c r="K187" s="62">
        <v>0.88845867432068704</v>
      </c>
      <c r="L187" s="62">
        <f t="shared" si="27"/>
        <v>-4686.8485191435502</v>
      </c>
      <c r="M187" s="62">
        <f t="shared" si="28"/>
        <v>-0.2769063119130597</v>
      </c>
      <c r="N187" s="62">
        <f t="shared" si="29"/>
        <v>-4727.2517952664166</v>
      </c>
      <c r="O187" s="62">
        <f t="shared" si="30"/>
        <v>-0.27961878113800742</v>
      </c>
      <c r="P187" s="62">
        <f t="shared" si="31"/>
        <v>-4607.8131029965771</v>
      </c>
      <c r="Q187" s="62">
        <f t="shared" si="32"/>
        <v>-0.27110578448177902</v>
      </c>
      <c r="R187" s="62">
        <f t="shared" si="33"/>
        <v>14902.03120567603</v>
      </c>
      <c r="S187" s="62">
        <f t="shared" si="34"/>
        <v>21685.749751219064</v>
      </c>
      <c r="T187" s="62">
        <f t="shared" si="35"/>
        <v>21757.707800270433</v>
      </c>
      <c r="U187" s="62">
        <f t="shared" si="36"/>
        <v>21524.504119052664</v>
      </c>
      <c r="V187" s="62">
        <f t="shared" si="26"/>
        <v>1</v>
      </c>
      <c r="W187" s="62">
        <f t="shared" si="26"/>
        <v>0</v>
      </c>
      <c r="X187" s="62">
        <f t="shared" si="26"/>
        <v>0</v>
      </c>
      <c r="Y187" s="62">
        <f t="shared" si="25"/>
        <v>0</v>
      </c>
      <c r="AA187" s="94"/>
    </row>
    <row r="188" spans="2:27" x14ac:dyDescent="0.2">
      <c r="B188" s="94"/>
      <c r="C188" s="62">
        <v>149</v>
      </c>
      <c r="D188" s="62">
        <v>9904.3459822664245</v>
      </c>
      <c r="E188" s="62">
        <v>0.61788303397390842</v>
      </c>
      <c r="F188" s="62">
        <v>14241.260781483912</v>
      </c>
      <c r="G188" s="62">
        <v>0.89456067525614835</v>
      </c>
      <c r="H188" s="62">
        <v>14271.220034813359</v>
      </c>
      <c r="I188" s="62">
        <v>0.89676098771222112</v>
      </c>
      <c r="J188" s="62">
        <v>14177.522070304802</v>
      </c>
      <c r="K188" s="62">
        <v>0.88949578664965401</v>
      </c>
      <c r="L188" s="62">
        <f t="shared" si="27"/>
        <v>-4336.9147992174876</v>
      </c>
      <c r="M188" s="62">
        <f t="shared" si="28"/>
        <v>-0.27667764128223993</v>
      </c>
      <c r="N188" s="62">
        <f t="shared" si="29"/>
        <v>-4366.8740525469348</v>
      </c>
      <c r="O188" s="62">
        <f t="shared" si="30"/>
        <v>-0.2788779537383127</v>
      </c>
      <c r="P188" s="62">
        <f t="shared" si="31"/>
        <v>-4273.1760880383772</v>
      </c>
      <c r="Q188" s="62">
        <f t="shared" si="32"/>
        <v>-0.27161275267574558</v>
      </c>
      <c r="R188" s="62">
        <f t="shared" si="33"/>
        <v>15690.84081706876</v>
      </c>
      <c r="S188" s="62">
        <f t="shared" si="34"/>
        <v>22815.020630326777</v>
      </c>
      <c r="T188" s="62">
        <f t="shared" si="35"/>
        <v>22876.207120177689</v>
      </c>
      <c r="U188" s="62">
        <f t="shared" si="36"/>
        <v>22668.951395870463</v>
      </c>
      <c r="V188" s="62">
        <f t="shared" si="26"/>
        <v>1</v>
      </c>
      <c r="W188" s="62">
        <f t="shared" si="26"/>
        <v>0</v>
      </c>
      <c r="X188" s="62">
        <f t="shared" si="26"/>
        <v>0</v>
      </c>
      <c r="Y188" s="62">
        <f t="shared" si="25"/>
        <v>0</v>
      </c>
      <c r="AA188" s="94"/>
    </row>
    <row r="189" spans="2:27" x14ac:dyDescent="0.2">
      <c r="B189" s="94"/>
      <c r="C189" s="62">
        <v>150</v>
      </c>
      <c r="D189" s="62">
        <v>8961.0540162382385</v>
      </c>
      <c r="E189" s="62">
        <v>0.61782047545686725</v>
      </c>
      <c r="F189" s="62">
        <v>12872.209587760952</v>
      </c>
      <c r="G189" s="62">
        <v>0.89435534345290157</v>
      </c>
      <c r="H189" s="62">
        <v>12900.122299812958</v>
      </c>
      <c r="I189" s="62">
        <v>0.89662323550592204</v>
      </c>
      <c r="J189" s="62">
        <v>12830.232015103285</v>
      </c>
      <c r="K189" s="62">
        <v>0.89028722059926402</v>
      </c>
      <c r="L189" s="62">
        <f t="shared" si="27"/>
        <v>-3911.1555715227132</v>
      </c>
      <c r="M189" s="62">
        <f t="shared" si="28"/>
        <v>-0.27653486799603433</v>
      </c>
      <c r="N189" s="62">
        <f t="shared" si="29"/>
        <v>-3939.0682835747193</v>
      </c>
      <c r="O189" s="62">
        <f t="shared" si="30"/>
        <v>-0.2788027600490548</v>
      </c>
      <c r="P189" s="62">
        <f t="shared" si="31"/>
        <v>-3869.1779988650469</v>
      </c>
      <c r="Q189" s="62">
        <f t="shared" si="32"/>
        <v>-0.27246674514239677</v>
      </c>
      <c r="R189" s="62">
        <f t="shared" si="33"/>
        <v>16631.54135908703</v>
      </c>
      <c r="S189" s="62">
        <f t="shared" si="34"/>
        <v>24175.566159432041</v>
      </c>
      <c r="T189" s="62">
        <f t="shared" si="35"/>
        <v>24241.598607784355</v>
      </c>
      <c r="U189" s="62">
        <f t="shared" si="36"/>
        <v>24049.025811000633</v>
      </c>
      <c r="V189" s="62">
        <f t="shared" si="26"/>
        <v>1</v>
      </c>
      <c r="W189" s="62">
        <f t="shared" si="26"/>
        <v>0</v>
      </c>
      <c r="X189" s="62">
        <f t="shared" si="26"/>
        <v>0</v>
      </c>
      <c r="Y189" s="62">
        <f t="shared" si="25"/>
        <v>0</v>
      </c>
      <c r="AA189" s="94"/>
    </row>
    <row r="190" spans="2:27" x14ac:dyDescent="0.2">
      <c r="B190" s="94"/>
      <c r="C190" s="62">
        <v>151</v>
      </c>
      <c r="D190" s="62">
        <v>10117.459111138185</v>
      </c>
      <c r="E190" s="62">
        <v>0.61785176013038445</v>
      </c>
      <c r="F190" s="62">
        <v>14549.417679221258</v>
      </c>
      <c r="G190" s="62">
        <v>0.89436076915848661</v>
      </c>
      <c r="H190" s="62">
        <v>14595.967697683322</v>
      </c>
      <c r="I190" s="62">
        <v>0.89757348028253658</v>
      </c>
      <c r="J190" s="62">
        <v>14494.083516282706</v>
      </c>
      <c r="K190" s="62">
        <v>0.89000353744490501</v>
      </c>
      <c r="L190" s="62">
        <f t="shared" si="27"/>
        <v>-4431.9585680830733</v>
      </c>
      <c r="M190" s="62">
        <f t="shared" si="28"/>
        <v>-0.27650900902810216</v>
      </c>
      <c r="N190" s="62">
        <f t="shared" si="29"/>
        <v>-4478.5085865451365</v>
      </c>
      <c r="O190" s="62">
        <f t="shared" si="30"/>
        <v>-0.27972172015215213</v>
      </c>
      <c r="P190" s="62">
        <f t="shared" si="31"/>
        <v>-4376.624405144521</v>
      </c>
      <c r="Q190" s="62">
        <f t="shared" si="32"/>
        <v>-0.27215177731452056</v>
      </c>
      <c r="R190" s="62">
        <f t="shared" si="33"/>
        <v>15476.432200502859</v>
      </c>
      <c r="S190" s="62">
        <f t="shared" si="34"/>
        <v>22498.582822399891</v>
      </c>
      <c r="T190" s="62">
        <f t="shared" si="35"/>
        <v>22585.116149540474</v>
      </c>
      <c r="U190" s="62">
        <f t="shared" si="36"/>
        <v>22373.423018835041</v>
      </c>
      <c r="V190" s="62">
        <f t="shared" si="26"/>
        <v>1</v>
      </c>
      <c r="W190" s="62">
        <f t="shared" si="26"/>
        <v>0</v>
      </c>
      <c r="X190" s="62">
        <f t="shared" si="26"/>
        <v>0</v>
      </c>
      <c r="Y190" s="62">
        <f t="shared" si="25"/>
        <v>0</v>
      </c>
      <c r="AA190" s="94"/>
    </row>
    <row r="191" spans="2:27" x14ac:dyDescent="0.2">
      <c r="B191" s="94"/>
      <c r="C191" s="62">
        <v>152</v>
      </c>
      <c r="D191" s="62">
        <v>12079.704450047269</v>
      </c>
      <c r="E191" s="62">
        <v>0.61794367991099919</v>
      </c>
      <c r="F191" s="62">
        <v>17384.030986873793</v>
      </c>
      <c r="G191" s="62">
        <v>0.89452802748472116</v>
      </c>
      <c r="H191" s="62">
        <v>17418.975564565673</v>
      </c>
      <c r="I191" s="62">
        <v>0.89655648453213366</v>
      </c>
      <c r="J191" s="62">
        <v>17300.112370085157</v>
      </c>
      <c r="K191" s="62">
        <v>0.88923383961223268</v>
      </c>
      <c r="L191" s="62">
        <f t="shared" si="27"/>
        <v>-5304.3265368265238</v>
      </c>
      <c r="M191" s="62">
        <f t="shared" si="28"/>
        <v>-0.27658434757372197</v>
      </c>
      <c r="N191" s="62">
        <f t="shared" si="29"/>
        <v>-5339.2711145184039</v>
      </c>
      <c r="O191" s="62">
        <f t="shared" si="30"/>
        <v>-0.27861280462113447</v>
      </c>
      <c r="P191" s="62">
        <f t="shared" si="31"/>
        <v>-5220.4079200378874</v>
      </c>
      <c r="Q191" s="62">
        <f t="shared" si="32"/>
        <v>-0.27129015970123349</v>
      </c>
      <c r="R191" s="62">
        <f t="shared" si="33"/>
        <v>13517.99454658596</v>
      </c>
      <c r="S191" s="62">
        <f t="shared" si="34"/>
        <v>19670.898023653299</v>
      </c>
      <c r="T191" s="62">
        <f t="shared" si="35"/>
        <v>19719.980250693432</v>
      </c>
      <c r="U191" s="62">
        <f t="shared" si="36"/>
        <v>19535.51020201197</v>
      </c>
      <c r="V191" s="62">
        <f t="shared" si="26"/>
        <v>1</v>
      </c>
      <c r="W191" s="62">
        <f t="shared" si="26"/>
        <v>0</v>
      </c>
      <c r="X191" s="62">
        <f t="shared" si="26"/>
        <v>0</v>
      </c>
      <c r="Y191" s="62">
        <f t="shared" si="25"/>
        <v>0</v>
      </c>
      <c r="AA191" s="94"/>
    </row>
    <row r="192" spans="2:27" x14ac:dyDescent="0.2">
      <c r="B192" s="94"/>
      <c r="C192" s="62">
        <v>153</v>
      </c>
      <c r="D192" s="62">
        <v>8116.9561682428275</v>
      </c>
      <c r="E192" s="62">
        <v>0.61747201197356882</v>
      </c>
      <c r="F192" s="62">
        <v>11650.544193758562</v>
      </c>
      <c r="G192" s="62">
        <v>0.89403193296674444</v>
      </c>
      <c r="H192" s="62">
        <v>11684.437677373537</v>
      </c>
      <c r="I192" s="62">
        <v>0.8970756717728321</v>
      </c>
      <c r="J192" s="62">
        <v>11610.23455419612</v>
      </c>
      <c r="K192" s="62">
        <v>0.88957251037235519</v>
      </c>
      <c r="L192" s="62">
        <f t="shared" si="27"/>
        <v>-3533.5880255157344</v>
      </c>
      <c r="M192" s="62">
        <f t="shared" si="28"/>
        <v>-0.27655992099317561</v>
      </c>
      <c r="N192" s="62">
        <f t="shared" si="29"/>
        <v>-3567.4815091307091</v>
      </c>
      <c r="O192" s="62">
        <f t="shared" si="30"/>
        <v>-0.27960365979926327</v>
      </c>
      <c r="P192" s="62">
        <f t="shared" si="31"/>
        <v>-3493.2783859532929</v>
      </c>
      <c r="Q192" s="62">
        <f t="shared" si="32"/>
        <v>-0.27210049839878636</v>
      </c>
      <c r="R192" s="62">
        <f t="shared" si="33"/>
        <v>17461.204455750285</v>
      </c>
      <c r="S192" s="62">
        <f t="shared" si="34"/>
        <v>25383.834597455854</v>
      </c>
      <c r="T192" s="62">
        <f t="shared" si="35"/>
        <v>25476.024950144259</v>
      </c>
      <c r="U192" s="62">
        <f t="shared" si="36"/>
        <v>25239.417115468321</v>
      </c>
      <c r="V192" s="62">
        <f t="shared" si="26"/>
        <v>1</v>
      </c>
      <c r="W192" s="62">
        <f t="shared" si="26"/>
        <v>0</v>
      </c>
      <c r="X192" s="62">
        <f t="shared" si="26"/>
        <v>0</v>
      </c>
      <c r="Y192" s="62">
        <f t="shared" si="25"/>
        <v>0</v>
      </c>
      <c r="AA192" s="94"/>
    </row>
    <row r="193" spans="2:27" x14ac:dyDescent="0.2">
      <c r="B193" s="94"/>
      <c r="C193" s="62">
        <v>154</v>
      </c>
      <c r="D193" s="62">
        <v>8659.5234929430535</v>
      </c>
      <c r="E193" s="62">
        <v>0.61770558719315427</v>
      </c>
      <c r="F193" s="62">
        <v>12445.375474036875</v>
      </c>
      <c r="G193" s="62">
        <v>0.89418452176789842</v>
      </c>
      <c r="H193" s="62">
        <v>12477.256170908069</v>
      </c>
      <c r="I193" s="62">
        <v>0.8967291703540663</v>
      </c>
      <c r="J193" s="62">
        <v>12394.311245233543</v>
      </c>
      <c r="K193" s="62">
        <v>0.88929634632764321</v>
      </c>
      <c r="L193" s="62">
        <f t="shared" si="27"/>
        <v>-3785.8519810938215</v>
      </c>
      <c r="M193" s="62">
        <f t="shared" si="28"/>
        <v>-0.27647893457474415</v>
      </c>
      <c r="N193" s="62">
        <f t="shared" si="29"/>
        <v>-3817.7326779650157</v>
      </c>
      <c r="O193" s="62">
        <f t="shared" si="30"/>
        <v>-0.27902358316091203</v>
      </c>
      <c r="P193" s="62">
        <f t="shared" si="31"/>
        <v>-3734.7877522904892</v>
      </c>
      <c r="Q193" s="62">
        <f t="shared" si="32"/>
        <v>-0.27159075913448893</v>
      </c>
      <c r="R193" s="62">
        <f t="shared" si="33"/>
        <v>16928.31275094617</v>
      </c>
      <c r="S193" s="62">
        <f t="shared" si="34"/>
        <v>24595.32415567655</v>
      </c>
      <c r="T193" s="62">
        <f t="shared" si="35"/>
        <v>24668.852981838776</v>
      </c>
      <c r="U193" s="62">
        <f t="shared" si="36"/>
        <v>24443.900605042749</v>
      </c>
      <c r="V193" s="62">
        <f t="shared" si="26"/>
        <v>1</v>
      </c>
      <c r="W193" s="62">
        <f t="shared" si="26"/>
        <v>0</v>
      </c>
      <c r="X193" s="62">
        <f t="shared" si="26"/>
        <v>0</v>
      </c>
      <c r="Y193" s="62">
        <f t="shared" si="25"/>
        <v>0</v>
      </c>
      <c r="AA193" s="94"/>
    </row>
    <row r="194" spans="2:27" x14ac:dyDescent="0.2">
      <c r="B194" s="94"/>
      <c r="C194" s="62">
        <v>155</v>
      </c>
      <c r="D194" s="62">
        <v>10736.328797017606</v>
      </c>
      <c r="E194" s="62">
        <v>0.61774767730780367</v>
      </c>
      <c r="F194" s="62">
        <v>15442.373152780578</v>
      </c>
      <c r="G194" s="62">
        <v>0.89419847560819277</v>
      </c>
      <c r="H194" s="62">
        <v>15490.935631719962</v>
      </c>
      <c r="I194" s="62">
        <v>0.89724119858745</v>
      </c>
      <c r="J194" s="62">
        <v>15382.409090818159</v>
      </c>
      <c r="K194" s="62">
        <v>0.88962853500984918</v>
      </c>
      <c r="L194" s="62">
        <f t="shared" si="27"/>
        <v>-4706.0443557629715</v>
      </c>
      <c r="M194" s="62">
        <f t="shared" si="28"/>
        <v>-0.2764507983003891</v>
      </c>
      <c r="N194" s="62">
        <f t="shared" si="29"/>
        <v>-4754.6068347023556</v>
      </c>
      <c r="O194" s="62">
        <f t="shared" si="30"/>
        <v>-0.27949352127964633</v>
      </c>
      <c r="P194" s="62">
        <f t="shared" si="31"/>
        <v>-4646.0802938005527</v>
      </c>
      <c r="Q194" s="62">
        <f t="shared" si="32"/>
        <v>-0.27188085770204551</v>
      </c>
      <c r="R194" s="62">
        <f t="shared" si="33"/>
        <v>14853.250987780852</v>
      </c>
      <c r="S194" s="62">
        <f t="shared" si="34"/>
        <v>21598.904500813194</v>
      </c>
      <c r="T194" s="62">
        <f t="shared" si="35"/>
        <v>21676.383778566567</v>
      </c>
      <c r="U194" s="62">
        <f t="shared" si="36"/>
        <v>21469.563343429829</v>
      </c>
      <c r="V194" s="62">
        <f t="shared" si="26"/>
        <v>1</v>
      </c>
      <c r="W194" s="62">
        <f t="shared" si="26"/>
        <v>0</v>
      </c>
      <c r="X194" s="62">
        <f t="shared" si="26"/>
        <v>0</v>
      </c>
      <c r="Y194" s="62">
        <f t="shared" si="25"/>
        <v>0</v>
      </c>
      <c r="AA194" s="94"/>
    </row>
    <row r="195" spans="2:27" x14ac:dyDescent="0.2">
      <c r="B195" s="94"/>
      <c r="C195" s="62">
        <v>156</v>
      </c>
      <c r="D195" s="62">
        <v>8127.7142051098172</v>
      </c>
      <c r="E195" s="62">
        <v>0.61769476402506163</v>
      </c>
      <c r="F195" s="62">
        <v>11675.799673013125</v>
      </c>
      <c r="G195" s="62">
        <v>0.89466739268880202</v>
      </c>
      <c r="H195" s="62">
        <v>11708.906002535696</v>
      </c>
      <c r="I195" s="62">
        <v>0.89752797981607468</v>
      </c>
      <c r="J195" s="62">
        <v>11618.823889713665</v>
      </c>
      <c r="K195" s="62">
        <v>0.88887785437471867</v>
      </c>
      <c r="L195" s="62">
        <f t="shared" si="27"/>
        <v>-3548.0854679033082</v>
      </c>
      <c r="M195" s="62">
        <f t="shared" si="28"/>
        <v>-0.27697262866374039</v>
      </c>
      <c r="N195" s="62">
        <f t="shared" si="29"/>
        <v>-3581.1917974258786</v>
      </c>
      <c r="O195" s="62">
        <f t="shared" si="30"/>
        <v>-0.27983321579101306</v>
      </c>
      <c r="P195" s="62">
        <f t="shared" si="31"/>
        <v>-3491.1096846038481</v>
      </c>
      <c r="Q195" s="62">
        <f t="shared" si="32"/>
        <v>-0.27118309034965704</v>
      </c>
      <c r="R195" s="62">
        <f t="shared" si="33"/>
        <v>17459.673699864336</v>
      </c>
      <c r="S195" s="62">
        <f t="shared" si="34"/>
        <v>25384.902401727806</v>
      </c>
      <c r="T195" s="62">
        <f t="shared" si="35"/>
        <v>25470.293033365379</v>
      </c>
      <c r="U195" s="62">
        <f t="shared" si="36"/>
        <v>25202.052349904679</v>
      </c>
      <c r="V195" s="62">
        <f t="shared" si="26"/>
        <v>1</v>
      </c>
      <c r="W195" s="62">
        <f t="shared" si="26"/>
        <v>0</v>
      </c>
      <c r="X195" s="62">
        <f t="shared" si="26"/>
        <v>0</v>
      </c>
      <c r="Y195" s="62">
        <f t="shared" si="25"/>
        <v>0</v>
      </c>
      <c r="AA195" s="94"/>
    </row>
    <row r="196" spans="2:27" x14ac:dyDescent="0.2">
      <c r="B196" s="94"/>
      <c r="C196" s="62">
        <v>157</v>
      </c>
      <c r="D196" s="62">
        <v>9510.589601843807</v>
      </c>
      <c r="E196" s="62">
        <v>0.61768975591940545</v>
      </c>
      <c r="F196" s="62">
        <v>13671.727349398476</v>
      </c>
      <c r="G196" s="62">
        <v>0.89400804352796126</v>
      </c>
      <c r="H196" s="62">
        <v>13718.30799321407</v>
      </c>
      <c r="I196" s="62">
        <v>0.89756193842768228</v>
      </c>
      <c r="J196" s="62">
        <v>13610.371638994859</v>
      </c>
      <c r="K196" s="62">
        <v>0.88893935929129542</v>
      </c>
      <c r="L196" s="62">
        <f t="shared" si="27"/>
        <v>-4161.1377475546687</v>
      </c>
      <c r="M196" s="62">
        <f t="shared" si="28"/>
        <v>-0.27631828760855581</v>
      </c>
      <c r="N196" s="62">
        <f t="shared" si="29"/>
        <v>-4207.7183913702629</v>
      </c>
      <c r="O196" s="62">
        <f t="shared" si="30"/>
        <v>-0.27987218250827683</v>
      </c>
      <c r="P196" s="62">
        <f t="shared" si="31"/>
        <v>-4099.7820371510516</v>
      </c>
      <c r="Q196" s="62">
        <f t="shared" si="32"/>
        <v>-0.27124960337188997</v>
      </c>
      <c r="R196" s="62">
        <f t="shared" si="33"/>
        <v>16076.590847361644</v>
      </c>
      <c r="S196" s="62">
        <f t="shared" si="34"/>
        <v>23361.661845703791</v>
      </c>
      <c r="T196" s="62">
        <f t="shared" si="35"/>
        <v>23462.297744214244</v>
      </c>
      <c r="U196" s="62">
        <f t="shared" si="36"/>
        <v>23213.052380287758</v>
      </c>
      <c r="V196" s="62">
        <f t="shared" si="26"/>
        <v>1</v>
      </c>
      <c r="W196" s="62">
        <f t="shared" si="26"/>
        <v>0</v>
      </c>
      <c r="X196" s="62">
        <f t="shared" si="26"/>
        <v>0</v>
      </c>
      <c r="Y196" s="62">
        <f t="shared" si="25"/>
        <v>0</v>
      </c>
      <c r="AA196" s="94"/>
    </row>
    <row r="197" spans="2:27" x14ac:dyDescent="0.2">
      <c r="B197" s="94"/>
      <c r="C197" s="62">
        <v>158</v>
      </c>
      <c r="D197" s="62">
        <v>10834.630682062414</v>
      </c>
      <c r="E197" s="62">
        <v>0.61768855803930622</v>
      </c>
      <c r="F197" s="62">
        <v>15572.090096458613</v>
      </c>
      <c r="G197" s="62">
        <v>0.89351472184390102</v>
      </c>
      <c r="H197" s="62">
        <v>15631.562891989845</v>
      </c>
      <c r="I197" s="62">
        <v>0.89729698278153758</v>
      </c>
      <c r="J197" s="62">
        <v>15527.553478766267</v>
      </c>
      <c r="K197" s="62">
        <v>0.8900101856448922</v>
      </c>
      <c r="L197" s="62">
        <f t="shared" si="27"/>
        <v>-4737.4594143961986</v>
      </c>
      <c r="M197" s="62">
        <f t="shared" si="28"/>
        <v>-0.27582616380459479</v>
      </c>
      <c r="N197" s="62">
        <f t="shared" si="29"/>
        <v>-4796.9322099274304</v>
      </c>
      <c r="O197" s="62">
        <f t="shared" si="30"/>
        <v>-0.27960842474223135</v>
      </c>
      <c r="P197" s="62">
        <f t="shared" si="31"/>
        <v>-4692.9227967038532</v>
      </c>
      <c r="Q197" s="62">
        <f t="shared" si="32"/>
        <v>-0.27232162760558598</v>
      </c>
      <c r="R197" s="62">
        <f t="shared" si="33"/>
        <v>14752.500146157809</v>
      </c>
      <c r="S197" s="62">
        <f t="shared" si="34"/>
        <v>21440.863741203146</v>
      </c>
      <c r="T197" s="62">
        <f t="shared" si="35"/>
        <v>21538.067322752569</v>
      </c>
      <c r="U197" s="62">
        <f t="shared" si="36"/>
        <v>21340.228451387746</v>
      </c>
      <c r="V197" s="62">
        <f t="shared" si="26"/>
        <v>1</v>
      </c>
      <c r="W197" s="62">
        <f t="shared" si="26"/>
        <v>0</v>
      </c>
      <c r="X197" s="62">
        <f t="shared" si="26"/>
        <v>0</v>
      </c>
      <c r="Y197" s="62">
        <f t="shared" si="25"/>
        <v>0</v>
      </c>
      <c r="AA197" s="94"/>
    </row>
    <row r="198" spans="2:27" x14ac:dyDescent="0.2">
      <c r="B198" s="94"/>
      <c r="C198" s="62">
        <v>159</v>
      </c>
      <c r="D198" s="62">
        <v>10837.581652502555</v>
      </c>
      <c r="E198" s="62">
        <v>0.61744720640419748</v>
      </c>
      <c r="F198" s="62">
        <v>15595.120085149574</v>
      </c>
      <c r="G198" s="62">
        <v>0.89407793228912591</v>
      </c>
      <c r="H198" s="62">
        <v>15642.574052631689</v>
      </c>
      <c r="I198" s="62">
        <v>0.89714393864776454</v>
      </c>
      <c r="J198" s="62">
        <v>15530.329929421216</v>
      </c>
      <c r="K198" s="62">
        <v>0.88945284626214716</v>
      </c>
      <c r="L198" s="62">
        <f t="shared" si="27"/>
        <v>-4757.5384326470194</v>
      </c>
      <c r="M198" s="62">
        <f t="shared" si="28"/>
        <v>-0.27663072588492843</v>
      </c>
      <c r="N198" s="62">
        <f t="shared" si="29"/>
        <v>-4804.9924001291347</v>
      </c>
      <c r="O198" s="62">
        <f t="shared" si="30"/>
        <v>-0.27969673224356706</v>
      </c>
      <c r="P198" s="62">
        <f t="shared" si="31"/>
        <v>-4692.7482769186608</v>
      </c>
      <c r="Q198" s="62">
        <f t="shared" si="32"/>
        <v>-0.27200563985794968</v>
      </c>
      <c r="R198" s="62">
        <f t="shared" si="33"/>
        <v>14739.551425584923</v>
      </c>
      <c r="S198" s="62">
        <f t="shared" si="34"/>
        <v>21441.164181995176</v>
      </c>
      <c r="T198" s="62">
        <f t="shared" si="35"/>
        <v>21520.716461913311</v>
      </c>
      <c r="U198" s="62">
        <f t="shared" si="36"/>
        <v>21314.364774141966</v>
      </c>
      <c r="V198" s="62">
        <f t="shared" si="26"/>
        <v>1</v>
      </c>
      <c r="W198" s="62">
        <f t="shared" si="26"/>
        <v>0</v>
      </c>
      <c r="X198" s="62">
        <f t="shared" si="26"/>
        <v>0</v>
      </c>
      <c r="Y198" s="62">
        <f t="shared" si="25"/>
        <v>0</v>
      </c>
      <c r="AA198" s="94"/>
    </row>
    <row r="199" spans="2:27" x14ac:dyDescent="0.2">
      <c r="B199" s="94"/>
      <c r="C199" s="62">
        <v>160</v>
      </c>
      <c r="D199" s="62">
        <v>9742.5953994633728</v>
      </c>
      <c r="E199" s="62">
        <v>0.61748773859929407</v>
      </c>
      <c r="F199" s="62">
        <v>14016.991036237923</v>
      </c>
      <c r="G199" s="62">
        <v>0.89458019371162223</v>
      </c>
      <c r="H199" s="62">
        <v>14049.601101271268</v>
      </c>
      <c r="I199" s="62">
        <v>0.89691334239652609</v>
      </c>
      <c r="J199" s="62">
        <v>13954.672677786937</v>
      </c>
      <c r="K199" s="62">
        <v>0.88953691535404278</v>
      </c>
      <c r="L199" s="62">
        <f t="shared" si="27"/>
        <v>-4274.3956367745504</v>
      </c>
      <c r="M199" s="62">
        <f t="shared" si="28"/>
        <v>-0.27709245511232816</v>
      </c>
      <c r="N199" s="62">
        <f t="shared" si="29"/>
        <v>-4307.0057018078951</v>
      </c>
      <c r="O199" s="62">
        <f t="shared" si="30"/>
        <v>-0.27942560379723203</v>
      </c>
      <c r="P199" s="62">
        <f t="shared" si="31"/>
        <v>-4212.0772783235643</v>
      </c>
      <c r="Q199" s="62">
        <f t="shared" si="32"/>
        <v>-0.27204917675474871</v>
      </c>
      <c r="R199" s="62">
        <f t="shared" si="33"/>
        <v>15836.216684273784</v>
      </c>
      <c r="S199" s="62">
        <f t="shared" si="34"/>
        <v>23040.098908072316</v>
      </c>
      <c r="T199" s="62">
        <f t="shared" si="35"/>
        <v>23104.137194162424</v>
      </c>
      <c r="U199" s="62">
        <f t="shared" si="36"/>
        <v>22893.504503838933</v>
      </c>
      <c r="V199" s="62">
        <f t="shared" si="26"/>
        <v>1</v>
      </c>
      <c r="W199" s="62">
        <f t="shared" si="26"/>
        <v>0</v>
      </c>
      <c r="X199" s="62">
        <f t="shared" si="26"/>
        <v>0</v>
      </c>
      <c r="Y199" s="62">
        <f t="shared" si="25"/>
        <v>0</v>
      </c>
      <c r="AA199" s="94"/>
    </row>
    <row r="200" spans="2:27" x14ac:dyDescent="0.2">
      <c r="B200" s="94"/>
      <c r="C200" s="62">
        <v>161</v>
      </c>
      <c r="D200" s="62">
        <v>11402.549124668398</v>
      </c>
      <c r="E200" s="62">
        <v>0.61806964480305682</v>
      </c>
      <c r="F200" s="62">
        <v>16387.180343450167</v>
      </c>
      <c r="G200" s="62">
        <v>0.89436377142813417</v>
      </c>
      <c r="H200" s="62">
        <v>16429.070695999988</v>
      </c>
      <c r="I200" s="62">
        <v>0.89692100247113171</v>
      </c>
      <c r="J200" s="62">
        <v>16309.180131974041</v>
      </c>
      <c r="K200" s="62">
        <v>0.88885132913217046</v>
      </c>
      <c r="L200" s="62">
        <f t="shared" si="27"/>
        <v>-4984.6312187817693</v>
      </c>
      <c r="M200" s="62">
        <f t="shared" si="28"/>
        <v>-0.27629412662507735</v>
      </c>
      <c r="N200" s="62">
        <f t="shared" si="29"/>
        <v>-5026.5215713315902</v>
      </c>
      <c r="O200" s="62">
        <f t="shared" si="30"/>
        <v>-0.2788513576680749</v>
      </c>
      <c r="P200" s="62">
        <f t="shared" si="31"/>
        <v>-4906.6310073056429</v>
      </c>
      <c r="Q200" s="62">
        <f t="shared" si="32"/>
        <v>-0.27078168432911365</v>
      </c>
      <c r="R200" s="62">
        <f t="shared" si="33"/>
        <v>14200.367841653429</v>
      </c>
      <c r="S200" s="62">
        <f t="shared" si="34"/>
        <v>20660.944524188864</v>
      </c>
      <c r="T200" s="62">
        <f t="shared" si="35"/>
        <v>20724.984910364175</v>
      </c>
      <c r="U200" s="62">
        <f t="shared" si="36"/>
        <v>20510.597325996991</v>
      </c>
      <c r="V200" s="62">
        <f t="shared" si="26"/>
        <v>1</v>
      </c>
      <c r="W200" s="62">
        <f t="shared" si="26"/>
        <v>0</v>
      </c>
      <c r="X200" s="62">
        <f t="shared" si="26"/>
        <v>0</v>
      </c>
      <c r="Y200" s="62">
        <f t="shared" si="25"/>
        <v>0</v>
      </c>
      <c r="AA200" s="94"/>
    </row>
    <row r="201" spans="2:27" x14ac:dyDescent="0.2">
      <c r="B201" s="94"/>
      <c r="C201" s="62">
        <v>162</v>
      </c>
      <c r="D201" s="62">
        <v>9618.2211920734298</v>
      </c>
      <c r="E201" s="62">
        <v>0.61724178658657447</v>
      </c>
      <c r="F201" s="62">
        <v>13840.325094623562</v>
      </c>
      <c r="G201" s="62">
        <v>0.89449468087790396</v>
      </c>
      <c r="H201" s="62">
        <v>13876.707617964677</v>
      </c>
      <c r="I201" s="62">
        <v>0.89730817530819662</v>
      </c>
      <c r="J201" s="62">
        <v>13770.610178771831</v>
      </c>
      <c r="K201" s="62">
        <v>0.88901552843577714</v>
      </c>
      <c r="L201" s="62">
        <f t="shared" si="27"/>
        <v>-4222.1039025501323</v>
      </c>
      <c r="M201" s="62">
        <f t="shared" si="28"/>
        <v>-0.27725289429132949</v>
      </c>
      <c r="N201" s="62">
        <f t="shared" si="29"/>
        <v>-4258.4864258912476</v>
      </c>
      <c r="O201" s="62">
        <f t="shared" si="30"/>
        <v>-0.28006638872162215</v>
      </c>
      <c r="P201" s="62">
        <f t="shared" si="31"/>
        <v>-4152.3889866984009</v>
      </c>
      <c r="Q201" s="62">
        <f t="shared" si="32"/>
        <v>-0.27177374184920267</v>
      </c>
      <c r="R201" s="62">
        <f t="shared" si="33"/>
        <v>15950.402575488832</v>
      </c>
      <c r="S201" s="62">
        <f t="shared" si="34"/>
        <v>23213.22256606273</v>
      </c>
      <c r="T201" s="62">
        <f t="shared" si="35"/>
        <v>23293.386236002065</v>
      </c>
      <c r="U201" s="62">
        <f t="shared" si="36"/>
        <v>23055.969071151805</v>
      </c>
      <c r="V201" s="62">
        <f t="shared" si="26"/>
        <v>1</v>
      </c>
      <c r="W201" s="62">
        <f t="shared" si="26"/>
        <v>0</v>
      </c>
      <c r="X201" s="62">
        <f t="shared" si="26"/>
        <v>0</v>
      </c>
      <c r="Y201" s="62">
        <f t="shared" si="25"/>
        <v>0</v>
      </c>
      <c r="AA201" s="94"/>
    </row>
    <row r="202" spans="2:27" x14ac:dyDescent="0.2">
      <c r="B202" s="94"/>
      <c r="C202" s="62">
        <v>163</v>
      </c>
      <c r="D202" s="62">
        <v>12138.440401997377</v>
      </c>
      <c r="E202" s="62">
        <v>0.61755343123114614</v>
      </c>
      <c r="F202" s="62">
        <v>17453.380158724925</v>
      </c>
      <c r="G202" s="62">
        <v>0.89384413369263938</v>
      </c>
      <c r="H202" s="62">
        <v>17519.541335214657</v>
      </c>
      <c r="I202" s="62">
        <v>0.89764978058934741</v>
      </c>
      <c r="J202" s="62">
        <v>17375.195124432397</v>
      </c>
      <c r="K202" s="62">
        <v>0.88859336211377082</v>
      </c>
      <c r="L202" s="62">
        <f t="shared" si="27"/>
        <v>-5314.9397567275482</v>
      </c>
      <c r="M202" s="62">
        <f t="shared" si="28"/>
        <v>-0.27629070246149323</v>
      </c>
      <c r="N202" s="62">
        <f t="shared" si="29"/>
        <v>-5381.1009332172798</v>
      </c>
      <c r="O202" s="62">
        <f t="shared" si="30"/>
        <v>-0.28009634935820127</v>
      </c>
      <c r="P202" s="62">
        <f t="shared" si="31"/>
        <v>-5236.7547224350201</v>
      </c>
      <c r="Q202" s="62">
        <f t="shared" si="32"/>
        <v>-0.27103993088262468</v>
      </c>
      <c r="R202" s="62">
        <f t="shared" si="33"/>
        <v>13443.092933321619</v>
      </c>
      <c r="S202" s="62">
        <f t="shared" si="34"/>
        <v>19573.219235358971</v>
      </c>
      <c r="T202" s="62">
        <f t="shared" si="35"/>
        <v>19664.703175918468</v>
      </c>
      <c r="U202" s="62">
        <f t="shared" si="36"/>
        <v>19433.896307768442</v>
      </c>
      <c r="V202" s="62">
        <f t="shared" si="26"/>
        <v>1</v>
      </c>
      <c r="W202" s="62">
        <f t="shared" si="26"/>
        <v>0</v>
      </c>
      <c r="X202" s="62">
        <f t="shared" si="26"/>
        <v>0</v>
      </c>
      <c r="Y202" s="62">
        <f t="shared" si="25"/>
        <v>0</v>
      </c>
      <c r="AA202" s="94"/>
    </row>
    <row r="203" spans="2:27" x14ac:dyDescent="0.2">
      <c r="B203" s="94"/>
      <c r="C203" s="62">
        <v>164</v>
      </c>
      <c r="D203" s="62">
        <v>12164.455157980494</v>
      </c>
      <c r="E203" s="62">
        <v>0.6175470981264285</v>
      </c>
      <c r="F203" s="62">
        <v>17508.564833241722</v>
      </c>
      <c r="G203" s="62">
        <v>0.89487017393236112</v>
      </c>
      <c r="H203" s="62">
        <v>17552.706294350082</v>
      </c>
      <c r="I203" s="62">
        <v>0.89737814054663245</v>
      </c>
      <c r="J203" s="62">
        <v>17424.151575936103</v>
      </c>
      <c r="K203" s="62">
        <v>0.88925852921168558</v>
      </c>
      <c r="L203" s="62">
        <f t="shared" si="27"/>
        <v>-5344.1096752612284</v>
      </c>
      <c r="M203" s="62">
        <f t="shared" si="28"/>
        <v>-0.27732307580593263</v>
      </c>
      <c r="N203" s="62">
        <f t="shared" si="29"/>
        <v>-5388.2511363695885</v>
      </c>
      <c r="O203" s="62">
        <f t="shared" si="30"/>
        <v>-0.27983104242020396</v>
      </c>
      <c r="P203" s="62">
        <f t="shared" si="31"/>
        <v>-5259.6964179556089</v>
      </c>
      <c r="Q203" s="62">
        <f t="shared" si="32"/>
        <v>-0.27171143108525708</v>
      </c>
      <c r="R203" s="62">
        <f t="shared" si="33"/>
        <v>13416.81583480868</v>
      </c>
      <c r="S203" s="62">
        <f t="shared" si="34"/>
        <v>19560.537251732403</v>
      </c>
      <c r="T203" s="62">
        <f t="shared" si="35"/>
        <v>19620.285799653622</v>
      </c>
      <c r="U203" s="62">
        <f t="shared" si="36"/>
        <v>19412.493738128764</v>
      </c>
      <c r="V203" s="62">
        <f t="shared" si="26"/>
        <v>1</v>
      </c>
      <c r="W203" s="62">
        <f t="shared" si="26"/>
        <v>0</v>
      </c>
      <c r="X203" s="62">
        <f t="shared" si="26"/>
        <v>0</v>
      </c>
      <c r="Y203" s="62">
        <f t="shared" si="25"/>
        <v>0</v>
      </c>
      <c r="AA203" s="94"/>
    </row>
    <row r="204" spans="2:27" x14ac:dyDescent="0.2">
      <c r="B204" s="94"/>
      <c r="C204" s="62">
        <v>165</v>
      </c>
      <c r="D204" s="62">
        <v>8586.5149491100456</v>
      </c>
      <c r="E204" s="62">
        <v>0.61722912153385501</v>
      </c>
      <c r="F204" s="62">
        <v>12335.058190622023</v>
      </c>
      <c r="G204" s="62">
        <v>0.89349213068826139</v>
      </c>
      <c r="H204" s="62">
        <v>12379.432574005958</v>
      </c>
      <c r="I204" s="62">
        <v>0.89715316003930157</v>
      </c>
      <c r="J204" s="62">
        <v>12284.661630590104</v>
      </c>
      <c r="K204" s="62">
        <v>0.88871214864088188</v>
      </c>
      <c r="L204" s="62">
        <f t="shared" si="27"/>
        <v>-3748.5432415119776</v>
      </c>
      <c r="M204" s="62">
        <f t="shared" si="28"/>
        <v>-0.27626300915440638</v>
      </c>
      <c r="N204" s="62">
        <f t="shared" si="29"/>
        <v>-3792.917624895912</v>
      </c>
      <c r="O204" s="62">
        <f t="shared" si="30"/>
        <v>-0.27992403850544656</v>
      </c>
      <c r="P204" s="62">
        <f t="shared" si="31"/>
        <v>-3698.1466814800588</v>
      </c>
      <c r="Q204" s="62">
        <f t="shared" si="32"/>
        <v>-0.27148302710702688</v>
      </c>
      <c r="R204" s="62">
        <f t="shared" si="33"/>
        <v>16981.584181308364</v>
      </c>
      <c r="S204" s="62">
        <f t="shared" si="34"/>
        <v>24676.959831008513</v>
      </c>
      <c r="T204" s="62">
        <f t="shared" si="35"/>
        <v>24784.239927462069</v>
      </c>
      <c r="U204" s="62">
        <f t="shared" si="36"/>
        <v>24529.350414709785</v>
      </c>
      <c r="V204" s="62">
        <f t="shared" si="26"/>
        <v>1</v>
      </c>
      <c r="W204" s="62">
        <f t="shared" si="26"/>
        <v>0</v>
      </c>
      <c r="X204" s="62">
        <f t="shared" si="26"/>
        <v>0</v>
      </c>
      <c r="Y204" s="62">
        <f t="shared" si="25"/>
        <v>0</v>
      </c>
      <c r="AA204" s="94"/>
    </row>
    <row r="205" spans="2:27" x14ac:dyDescent="0.2">
      <c r="B205" s="94"/>
      <c r="C205" s="62">
        <v>166</v>
      </c>
      <c r="D205" s="62">
        <v>9853.5389202227416</v>
      </c>
      <c r="E205" s="62">
        <v>0.6172294861981823</v>
      </c>
      <c r="F205" s="62">
        <v>14168.374998419666</v>
      </c>
      <c r="G205" s="62">
        <v>0.8934002123380228</v>
      </c>
      <c r="H205" s="62">
        <v>14232.216043825758</v>
      </c>
      <c r="I205" s="62">
        <v>0.89786209300941899</v>
      </c>
      <c r="J205" s="62">
        <v>14118.317801150282</v>
      </c>
      <c r="K205" s="62">
        <v>0.88924299551577302</v>
      </c>
      <c r="L205" s="62">
        <f t="shared" si="27"/>
        <v>-4314.8360781969241</v>
      </c>
      <c r="M205" s="62">
        <f t="shared" si="28"/>
        <v>-0.27617072613984051</v>
      </c>
      <c r="N205" s="62">
        <f t="shared" si="29"/>
        <v>-4378.6771236030163</v>
      </c>
      <c r="O205" s="62">
        <f t="shared" si="30"/>
        <v>-0.2806326068112367</v>
      </c>
      <c r="P205" s="62">
        <f t="shared" si="31"/>
        <v>-4264.7788809275407</v>
      </c>
      <c r="Q205" s="62">
        <f t="shared" si="32"/>
        <v>-0.27201350931759072</v>
      </c>
      <c r="R205" s="62">
        <f t="shared" si="33"/>
        <v>15714.575316050763</v>
      </c>
      <c r="S205" s="62">
        <f t="shared" si="34"/>
        <v>22839.835397470593</v>
      </c>
      <c r="T205" s="62">
        <f t="shared" si="35"/>
        <v>22960.823296996416</v>
      </c>
      <c r="U205" s="62">
        <f t="shared" si="36"/>
        <v>22717.684045095099</v>
      </c>
      <c r="V205" s="62">
        <f t="shared" si="26"/>
        <v>1</v>
      </c>
      <c r="W205" s="62">
        <f t="shared" si="26"/>
        <v>0</v>
      </c>
      <c r="X205" s="62">
        <f t="shared" si="26"/>
        <v>0</v>
      </c>
      <c r="Y205" s="62">
        <f t="shared" si="25"/>
        <v>0</v>
      </c>
      <c r="AA205" s="94"/>
    </row>
    <row r="206" spans="2:27" x14ac:dyDescent="0.2">
      <c r="B206" s="94"/>
      <c r="C206" s="62">
        <v>167</v>
      </c>
      <c r="D206" s="62">
        <v>9541.9594291977337</v>
      </c>
      <c r="E206" s="62">
        <v>0.61734092210621117</v>
      </c>
      <c r="F206" s="62">
        <v>13722.421465152789</v>
      </c>
      <c r="G206" s="62">
        <v>0.89407996027052394</v>
      </c>
      <c r="H206" s="62">
        <v>13777.898538704983</v>
      </c>
      <c r="I206" s="62">
        <v>0.89818509489922127</v>
      </c>
      <c r="J206" s="62">
        <v>13675.145022471779</v>
      </c>
      <c r="K206" s="62">
        <v>0.88989825477221041</v>
      </c>
      <c r="L206" s="62">
        <f t="shared" si="27"/>
        <v>-4180.4620359550554</v>
      </c>
      <c r="M206" s="62">
        <f t="shared" si="28"/>
        <v>-0.27673903816431278</v>
      </c>
      <c r="N206" s="62">
        <f t="shared" si="29"/>
        <v>-4235.9391095072497</v>
      </c>
      <c r="O206" s="62">
        <f t="shared" si="30"/>
        <v>-0.28084417279301011</v>
      </c>
      <c r="P206" s="62">
        <f t="shared" si="31"/>
        <v>-4133.1855932740455</v>
      </c>
      <c r="Q206" s="62">
        <f t="shared" si="32"/>
        <v>-0.27255733266599924</v>
      </c>
      <c r="R206" s="62">
        <f t="shared" si="33"/>
        <v>16030.770928129958</v>
      </c>
      <c r="S206" s="62">
        <f t="shared" si="34"/>
        <v>23313.946809093395</v>
      </c>
      <c r="T206" s="62">
        <f t="shared" si="35"/>
        <v>23428.520832400362</v>
      </c>
      <c r="U206" s="62">
        <f t="shared" si="36"/>
        <v>23188.00028321227</v>
      </c>
      <c r="V206" s="62">
        <f t="shared" si="26"/>
        <v>1</v>
      </c>
      <c r="W206" s="62">
        <f t="shared" si="26"/>
        <v>0</v>
      </c>
      <c r="X206" s="62">
        <f t="shared" si="26"/>
        <v>0</v>
      </c>
      <c r="Y206" s="62">
        <f t="shared" si="25"/>
        <v>0</v>
      </c>
      <c r="AA206" s="94"/>
    </row>
    <row r="207" spans="2:27" x14ac:dyDescent="0.2">
      <c r="B207" s="94"/>
      <c r="C207" s="62">
        <v>168</v>
      </c>
      <c r="D207" s="62">
        <v>9431.7557273560215</v>
      </c>
      <c r="E207" s="62">
        <v>0.61747336002920383</v>
      </c>
      <c r="F207" s="62">
        <v>13556.883352156898</v>
      </c>
      <c r="G207" s="62">
        <v>0.89438754495971828</v>
      </c>
      <c r="H207" s="62">
        <v>13599.908710384669</v>
      </c>
      <c r="I207" s="62">
        <v>0.89755608535530251</v>
      </c>
      <c r="J207" s="62">
        <v>13500.719643241444</v>
      </c>
      <c r="K207" s="62">
        <v>0.88953065534633036</v>
      </c>
      <c r="L207" s="62">
        <f t="shared" si="27"/>
        <v>-4125.1276248008762</v>
      </c>
      <c r="M207" s="62">
        <f t="shared" si="28"/>
        <v>-0.27691418493051445</v>
      </c>
      <c r="N207" s="62">
        <f t="shared" si="29"/>
        <v>-4168.1529830286472</v>
      </c>
      <c r="O207" s="62">
        <f t="shared" si="30"/>
        <v>-0.28008272532609868</v>
      </c>
      <c r="P207" s="62">
        <f t="shared" si="31"/>
        <v>-4068.9639158854225</v>
      </c>
      <c r="Q207" s="62">
        <f t="shared" si="32"/>
        <v>-0.27205729531712652</v>
      </c>
      <c r="R207" s="62">
        <f t="shared" si="33"/>
        <v>16146.460738493717</v>
      </c>
      <c r="S207" s="62">
        <f t="shared" si="34"/>
        <v>23492.226310254475</v>
      </c>
      <c r="T207" s="62">
        <f t="shared" si="35"/>
        <v>23580.454569373382</v>
      </c>
      <c r="U207" s="62">
        <f t="shared" si="36"/>
        <v>23347.198223824947</v>
      </c>
      <c r="V207" s="62">
        <f t="shared" si="26"/>
        <v>1</v>
      </c>
      <c r="W207" s="62">
        <f t="shared" si="26"/>
        <v>0</v>
      </c>
      <c r="X207" s="62">
        <f t="shared" si="26"/>
        <v>0</v>
      </c>
      <c r="Y207" s="62">
        <f t="shared" si="25"/>
        <v>0</v>
      </c>
      <c r="AA207" s="94"/>
    </row>
    <row r="208" spans="2:27" x14ac:dyDescent="0.2">
      <c r="B208" s="94"/>
      <c r="C208" s="62">
        <v>169</v>
      </c>
      <c r="D208" s="62">
        <v>8395.9939473960039</v>
      </c>
      <c r="E208" s="62">
        <v>0.6179514727817671</v>
      </c>
      <c r="F208" s="62">
        <v>12057.453386978943</v>
      </c>
      <c r="G208" s="62">
        <v>0.89396549795792701</v>
      </c>
      <c r="H208" s="62">
        <v>12101.600523709867</v>
      </c>
      <c r="I208" s="62">
        <v>0.8976602677867348</v>
      </c>
      <c r="J208" s="62">
        <v>12004.795812583914</v>
      </c>
      <c r="K208" s="62">
        <v>0.88890915044149144</v>
      </c>
      <c r="L208" s="62">
        <f t="shared" si="27"/>
        <v>-3661.459439582939</v>
      </c>
      <c r="M208" s="62">
        <f t="shared" si="28"/>
        <v>-0.27601402517615992</v>
      </c>
      <c r="N208" s="62">
        <f t="shared" si="29"/>
        <v>-3705.6065763138631</v>
      </c>
      <c r="O208" s="62">
        <f t="shared" si="30"/>
        <v>-0.2797087950049677</v>
      </c>
      <c r="P208" s="62">
        <f t="shared" si="31"/>
        <v>-3608.8018651879102</v>
      </c>
      <c r="Q208" s="62">
        <f t="shared" si="32"/>
        <v>-0.27095767765972434</v>
      </c>
      <c r="R208" s="62">
        <f t="shared" si="33"/>
        <v>17202.027861115916</v>
      </c>
      <c r="S208" s="62">
        <f t="shared" si="34"/>
        <v>24974.173400430227</v>
      </c>
      <c r="T208" s="62">
        <f t="shared" si="35"/>
        <v>25083.078409087837</v>
      </c>
      <c r="U208" s="62">
        <f t="shared" si="36"/>
        <v>24817.376835304429</v>
      </c>
      <c r="V208" s="62">
        <f t="shared" si="26"/>
        <v>1</v>
      </c>
      <c r="W208" s="62">
        <f t="shared" si="26"/>
        <v>0</v>
      </c>
      <c r="X208" s="62">
        <f t="shared" si="26"/>
        <v>0</v>
      </c>
      <c r="Y208" s="62">
        <f t="shared" si="25"/>
        <v>0</v>
      </c>
      <c r="AA208" s="94"/>
    </row>
    <row r="209" spans="2:27" x14ac:dyDescent="0.2">
      <c r="B209" s="94"/>
      <c r="C209" s="62">
        <v>170</v>
      </c>
      <c r="D209" s="62">
        <v>9208.7853104316291</v>
      </c>
      <c r="E209" s="62">
        <v>0.61746689763836482</v>
      </c>
      <c r="F209" s="62">
        <v>13245.79146828324</v>
      </c>
      <c r="G209" s="62">
        <v>0.89414159931970649</v>
      </c>
      <c r="H209" s="62">
        <v>13285.823892639191</v>
      </c>
      <c r="I209" s="62">
        <v>0.89730145247094739</v>
      </c>
      <c r="J209" s="62">
        <v>13186.990830301376</v>
      </c>
      <c r="K209" s="62">
        <v>0.88925016319664985</v>
      </c>
      <c r="L209" s="62">
        <f t="shared" si="27"/>
        <v>-4037.0061578516106</v>
      </c>
      <c r="M209" s="62">
        <f t="shared" si="28"/>
        <v>-0.27667470168134167</v>
      </c>
      <c r="N209" s="62">
        <f t="shared" si="29"/>
        <v>-4077.0385822075623</v>
      </c>
      <c r="O209" s="62">
        <f t="shared" si="30"/>
        <v>-0.27983455483258257</v>
      </c>
      <c r="P209" s="62">
        <f t="shared" si="31"/>
        <v>-3978.2055198697471</v>
      </c>
      <c r="Q209" s="62">
        <f t="shared" si="32"/>
        <v>-0.27178326555828503</v>
      </c>
      <c r="R209" s="62">
        <f t="shared" si="33"/>
        <v>16369.163457339995</v>
      </c>
      <c r="S209" s="62">
        <f t="shared" si="34"/>
        <v>23793.130141936279</v>
      </c>
      <c r="T209" s="62">
        <f t="shared" si="35"/>
        <v>23883.99147451733</v>
      </c>
      <c r="U209" s="62">
        <f t="shared" si="36"/>
        <v>23649.307929956649</v>
      </c>
      <c r="V209" s="62">
        <f t="shared" si="26"/>
        <v>1</v>
      </c>
      <c r="W209" s="62">
        <f t="shared" si="26"/>
        <v>0</v>
      </c>
      <c r="X209" s="62">
        <f t="shared" si="26"/>
        <v>0</v>
      </c>
      <c r="Y209" s="62">
        <f t="shared" si="25"/>
        <v>0</v>
      </c>
      <c r="AA209" s="94"/>
    </row>
    <row r="210" spans="2:27" x14ac:dyDescent="0.2">
      <c r="B210" s="94"/>
      <c r="C210" s="62">
        <v>171</v>
      </c>
      <c r="D210" s="62">
        <v>8808.7326759491971</v>
      </c>
      <c r="E210" s="62">
        <v>0.61783664363992896</v>
      </c>
      <c r="F210" s="62">
        <v>12660.194681666662</v>
      </c>
      <c r="G210" s="62">
        <v>0.89423713878968292</v>
      </c>
      <c r="H210" s="62">
        <v>12694.569934204279</v>
      </c>
      <c r="I210" s="62">
        <v>0.89707629683416201</v>
      </c>
      <c r="J210" s="62">
        <v>12607.953965217832</v>
      </c>
      <c r="K210" s="62">
        <v>0.88956682040773316</v>
      </c>
      <c r="L210" s="62">
        <f t="shared" si="27"/>
        <v>-3851.4620057174652</v>
      </c>
      <c r="M210" s="62">
        <f t="shared" si="28"/>
        <v>-0.27640049514975396</v>
      </c>
      <c r="N210" s="62">
        <f t="shared" si="29"/>
        <v>-3885.8372582550819</v>
      </c>
      <c r="O210" s="62">
        <f t="shared" si="30"/>
        <v>-0.27923965319423305</v>
      </c>
      <c r="P210" s="62">
        <f t="shared" si="31"/>
        <v>-3799.2212892686348</v>
      </c>
      <c r="Q210" s="62">
        <f t="shared" si="32"/>
        <v>-0.2717301767678042</v>
      </c>
      <c r="R210" s="62">
        <f t="shared" si="33"/>
        <v>16784.532450191218</v>
      </c>
      <c r="S210" s="62">
        <f t="shared" si="34"/>
        <v>24382.684555557164</v>
      </c>
      <c r="T210" s="62">
        <f t="shared" si="35"/>
        <v>24465.918585854051</v>
      </c>
      <c r="U210" s="62">
        <f t="shared" si="36"/>
        <v>24241.46200335211</v>
      </c>
      <c r="V210" s="62">
        <f t="shared" si="26"/>
        <v>1</v>
      </c>
      <c r="W210" s="62">
        <f t="shared" si="26"/>
        <v>0</v>
      </c>
      <c r="X210" s="62">
        <f t="shared" si="26"/>
        <v>0</v>
      </c>
      <c r="Y210" s="62">
        <f t="shared" si="25"/>
        <v>0</v>
      </c>
      <c r="AA210" s="94"/>
    </row>
    <row r="211" spans="2:27" x14ac:dyDescent="0.2">
      <c r="B211" s="94"/>
      <c r="C211" s="62">
        <v>172</v>
      </c>
      <c r="D211" s="62">
        <v>8004.9331751390755</v>
      </c>
      <c r="E211" s="62">
        <v>0.61757974573052898</v>
      </c>
      <c r="F211" s="62">
        <v>11490.446002871613</v>
      </c>
      <c r="G211" s="62">
        <v>0.89308307152288502</v>
      </c>
      <c r="H211" s="62">
        <v>11538.563844261487</v>
      </c>
      <c r="I211" s="62">
        <v>0.89746743903033854</v>
      </c>
      <c r="J211" s="62">
        <v>11456.300038247338</v>
      </c>
      <c r="K211" s="62">
        <v>0.88951505030469746</v>
      </c>
      <c r="L211" s="62">
        <f t="shared" si="27"/>
        <v>-3485.5128277325375</v>
      </c>
      <c r="M211" s="62">
        <f t="shared" si="28"/>
        <v>-0.27550332579235604</v>
      </c>
      <c r="N211" s="62">
        <f t="shared" si="29"/>
        <v>-3533.6306691224117</v>
      </c>
      <c r="O211" s="62">
        <f t="shared" si="30"/>
        <v>-0.27988769329980956</v>
      </c>
      <c r="P211" s="62">
        <f t="shared" si="31"/>
        <v>-3451.3668631082628</v>
      </c>
      <c r="Q211" s="62">
        <f t="shared" si="32"/>
        <v>-0.27193530457416848</v>
      </c>
      <c r="R211" s="62">
        <f t="shared" si="33"/>
        <v>17577.690212002359</v>
      </c>
      <c r="S211" s="62">
        <f t="shared" si="34"/>
        <v>25504.627151892375</v>
      </c>
      <c r="T211" s="62">
        <f t="shared" si="35"/>
        <v>25638.127350131253</v>
      </c>
      <c r="U211" s="62">
        <f t="shared" si="36"/>
        <v>25390.971405574448</v>
      </c>
      <c r="V211" s="62">
        <f t="shared" si="26"/>
        <v>1</v>
      </c>
      <c r="W211" s="62">
        <f t="shared" si="26"/>
        <v>0</v>
      </c>
      <c r="X211" s="62">
        <f t="shared" si="26"/>
        <v>0</v>
      </c>
      <c r="Y211" s="62">
        <f t="shared" si="25"/>
        <v>0</v>
      </c>
      <c r="AA211" s="94"/>
    </row>
    <row r="212" spans="2:27" x14ac:dyDescent="0.2">
      <c r="B212" s="94"/>
      <c r="C212" s="62">
        <v>173</v>
      </c>
      <c r="D212" s="62">
        <v>13634.975341907411</v>
      </c>
      <c r="E212" s="62">
        <v>0.61765435131434865</v>
      </c>
      <c r="F212" s="62">
        <v>19621.230553372694</v>
      </c>
      <c r="G212" s="62">
        <v>0.89405960998623579</v>
      </c>
      <c r="H212" s="62">
        <v>19682.691020163424</v>
      </c>
      <c r="I212" s="62">
        <v>0.89704271116252343</v>
      </c>
      <c r="J212" s="62">
        <v>19557.741061914006</v>
      </c>
      <c r="K212" s="62">
        <v>0.89008406728375544</v>
      </c>
      <c r="L212" s="62">
        <f t="shared" si="27"/>
        <v>-5986.2552114652826</v>
      </c>
      <c r="M212" s="62">
        <f t="shared" si="28"/>
        <v>-0.27640525867188714</v>
      </c>
      <c r="N212" s="62">
        <f t="shared" si="29"/>
        <v>-6047.7156782560123</v>
      </c>
      <c r="O212" s="62">
        <f t="shared" si="30"/>
        <v>-0.27938835984817478</v>
      </c>
      <c r="P212" s="62">
        <f t="shared" si="31"/>
        <v>-5922.7657200065951</v>
      </c>
      <c r="Q212" s="62">
        <f t="shared" si="32"/>
        <v>-0.27242971596940679</v>
      </c>
      <c r="R212" s="62">
        <f t="shared" si="33"/>
        <v>11950.738506938167</v>
      </c>
      <c r="S212" s="62">
        <f t="shared" si="34"/>
        <v>17414.294730697136</v>
      </c>
      <c r="T212" s="62">
        <f t="shared" si="35"/>
        <v>17476.406247032945</v>
      </c>
      <c r="U212" s="62">
        <f t="shared" si="36"/>
        <v>17313.101341248279</v>
      </c>
      <c r="V212" s="62">
        <f t="shared" si="26"/>
        <v>1</v>
      </c>
      <c r="W212" s="62">
        <f t="shared" si="26"/>
        <v>0</v>
      </c>
      <c r="X212" s="62">
        <f t="shared" si="26"/>
        <v>0</v>
      </c>
      <c r="Y212" s="62">
        <f t="shared" si="25"/>
        <v>0</v>
      </c>
      <c r="AA212" s="94"/>
    </row>
    <row r="213" spans="2:27" x14ac:dyDescent="0.2">
      <c r="B213" s="94"/>
      <c r="C213" s="62">
        <v>174</v>
      </c>
      <c r="D213" s="62">
        <v>11849.709266260019</v>
      </c>
      <c r="E213" s="62">
        <v>0.61771016028281145</v>
      </c>
      <c r="F213" s="62">
        <v>17050.81126382143</v>
      </c>
      <c r="G213" s="62">
        <v>0.89441864039945462</v>
      </c>
      <c r="H213" s="62">
        <v>17101.842274068487</v>
      </c>
      <c r="I213" s="62">
        <v>0.89738503345905962</v>
      </c>
      <c r="J213" s="62">
        <v>16980.547605313881</v>
      </c>
      <c r="K213" s="62">
        <v>0.88977823642041665</v>
      </c>
      <c r="L213" s="62">
        <f t="shared" si="27"/>
        <v>-5201.1019975614108</v>
      </c>
      <c r="M213" s="62">
        <f t="shared" si="28"/>
        <v>-0.27670848011664317</v>
      </c>
      <c r="N213" s="62">
        <f t="shared" si="29"/>
        <v>-5252.1330078084684</v>
      </c>
      <c r="O213" s="62">
        <f t="shared" si="30"/>
        <v>-0.27967487317624817</v>
      </c>
      <c r="P213" s="62">
        <f t="shared" si="31"/>
        <v>-5130.838339053862</v>
      </c>
      <c r="Q213" s="62">
        <f t="shared" si="32"/>
        <v>-0.2720680761376052</v>
      </c>
      <c r="R213" s="62">
        <f t="shared" si="33"/>
        <v>13738.316413295164</v>
      </c>
      <c r="S213" s="62">
        <f t="shared" si="34"/>
        <v>19999.586496085576</v>
      </c>
      <c r="T213" s="62">
        <f t="shared" si="35"/>
        <v>20071.435351939599</v>
      </c>
      <c r="U213" s="62">
        <f t="shared" si="36"/>
        <v>19877.626060165461</v>
      </c>
      <c r="V213" s="62">
        <f t="shared" si="26"/>
        <v>1</v>
      </c>
      <c r="W213" s="62">
        <f t="shared" si="26"/>
        <v>0</v>
      </c>
      <c r="X213" s="62">
        <f t="shared" si="26"/>
        <v>0</v>
      </c>
      <c r="Y213" s="62">
        <f t="shared" si="25"/>
        <v>0</v>
      </c>
      <c r="AA213" s="94"/>
    </row>
    <row r="214" spans="2:27" x14ac:dyDescent="0.2">
      <c r="B214" s="94"/>
      <c r="C214" s="62">
        <v>175</v>
      </c>
      <c r="D214" s="62">
        <v>7717.6876257720078</v>
      </c>
      <c r="E214" s="62">
        <v>0.61751065482249867</v>
      </c>
      <c r="F214" s="62">
        <v>11078.083887465757</v>
      </c>
      <c r="G214" s="62">
        <v>0.89411613686046021</v>
      </c>
      <c r="H214" s="62">
        <v>11110.465485156679</v>
      </c>
      <c r="I214" s="62">
        <v>0.89719202399536524</v>
      </c>
      <c r="J214" s="62">
        <v>11034.892685278232</v>
      </c>
      <c r="K214" s="62">
        <v>0.88942240541160533</v>
      </c>
      <c r="L214" s="62">
        <f t="shared" si="27"/>
        <v>-3360.3962616937488</v>
      </c>
      <c r="M214" s="62">
        <f t="shared" si="28"/>
        <v>-0.27660548203796154</v>
      </c>
      <c r="N214" s="62">
        <f t="shared" si="29"/>
        <v>-3392.7778593846715</v>
      </c>
      <c r="O214" s="62">
        <f t="shared" si="30"/>
        <v>-0.27968136917286657</v>
      </c>
      <c r="P214" s="62">
        <f t="shared" si="31"/>
        <v>-3317.2050595062237</v>
      </c>
      <c r="Q214" s="62">
        <f t="shared" si="32"/>
        <v>-0.27191175058910666</v>
      </c>
      <c r="R214" s="62">
        <f t="shared" si="33"/>
        <v>17862.073739595176</v>
      </c>
      <c r="S214" s="62">
        <f t="shared" si="34"/>
        <v>25959.78296584195</v>
      </c>
      <c r="T214" s="62">
        <f t="shared" si="35"/>
        <v>26054.816916827331</v>
      </c>
      <c r="U214" s="62">
        <f t="shared" si="36"/>
        <v>25808.541036492104</v>
      </c>
      <c r="V214" s="62">
        <f t="shared" si="26"/>
        <v>1</v>
      </c>
      <c r="W214" s="62">
        <f t="shared" si="26"/>
        <v>0</v>
      </c>
      <c r="X214" s="62">
        <f t="shared" si="26"/>
        <v>0</v>
      </c>
      <c r="Y214" s="62">
        <f t="shared" si="25"/>
        <v>0</v>
      </c>
      <c r="AA214" s="94"/>
    </row>
    <row r="215" spans="2:27" x14ac:dyDescent="0.2">
      <c r="B215" s="94"/>
      <c r="C215" s="62">
        <v>176</v>
      </c>
      <c r="D215" s="62">
        <v>10328.343774969122</v>
      </c>
      <c r="E215" s="62">
        <v>0.61780956536897036</v>
      </c>
      <c r="F215" s="62">
        <v>14847.68268437786</v>
      </c>
      <c r="G215" s="62">
        <v>0.89369329706493117</v>
      </c>
      <c r="H215" s="62">
        <v>14887.894554956812</v>
      </c>
      <c r="I215" s="62">
        <v>0.89639731862116723</v>
      </c>
      <c r="J215" s="62">
        <v>14794.107589420481</v>
      </c>
      <c r="K215" s="62">
        <v>0.88952832820561456</v>
      </c>
      <c r="L215" s="62">
        <f t="shared" si="27"/>
        <v>-4519.3389094087379</v>
      </c>
      <c r="M215" s="62">
        <f t="shared" si="28"/>
        <v>-0.27588373169596081</v>
      </c>
      <c r="N215" s="62">
        <f t="shared" si="29"/>
        <v>-4559.5507799876905</v>
      </c>
      <c r="O215" s="62">
        <f t="shared" si="30"/>
        <v>-0.27858775325219687</v>
      </c>
      <c r="P215" s="62">
        <f t="shared" si="31"/>
        <v>-4465.7638144513585</v>
      </c>
      <c r="Q215" s="62">
        <f t="shared" si="32"/>
        <v>-0.2717187628366442</v>
      </c>
      <c r="R215" s="62">
        <f t="shared" si="33"/>
        <v>15263.799660875105</v>
      </c>
      <c r="S215" s="62">
        <f t="shared" si="34"/>
        <v>22172.66845323985</v>
      </c>
      <c r="T215" s="62">
        <f t="shared" si="35"/>
        <v>22244.467971606417</v>
      </c>
      <c r="U215" s="62">
        <f t="shared" si="36"/>
        <v>22053.713878168895</v>
      </c>
      <c r="V215" s="62">
        <f t="shared" si="26"/>
        <v>1</v>
      </c>
      <c r="W215" s="62">
        <f t="shared" si="26"/>
        <v>0</v>
      </c>
      <c r="X215" s="62">
        <f t="shared" si="26"/>
        <v>0</v>
      </c>
      <c r="Y215" s="62">
        <f t="shared" si="25"/>
        <v>0</v>
      </c>
      <c r="AA215" s="94"/>
    </row>
    <row r="216" spans="2:27" x14ac:dyDescent="0.2">
      <c r="B216" s="94"/>
      <c r="C216" s="62">
        <v>177</v>
      </c>
      <c r="D216" s="62">
        <v>8750.6918471766694</v>
      </c>
      <c r="E216" s="62">
        <v>0.61750632980193143</v>
      </c>
      <c r="F216" s="62">
        <v>12576.377927460993</v>
      </c>
      <c r="G216" s="62">
        <v>0.89456053582602046</v>
      </c>
      <c r="H216" s="62">
        <v>12598.739640365509</v>
      </c>
      <c r="I216" s="62">
        <v>0.89659530760268813</v>
      </c>
      <c r="J216" s="62">
        <v>12523.00951998647</v>
      </c>
      <c r="K216" s="62">
        <v>0.8896399544603405</v>
      </c>
      <c r="L216" s="62">
        <f t="shared" si="27"/>
        <v>-3825.6860802843239</v>
      </c>
      <c r="M216" s="62">
        <f t="shared" si="28"/>
        <v>-0.27705420602408903</v>
      </c>
      <c r="N216" s="62">
        <f t="shared" si="29"/>
        <v>-3848.0477931888399</v>
      </c>
      <c r="O216" s="62">
        <f t="shared" si="30"/>
        <v>-0.2790889778007567</v>
      </c>
      <c r="P216" s="62">
        <f t="shared" si="31"/>
        <v>-3772.3176728098006</v>
      </c>
      <c r="Q216" s="62">
        <f t="shared" si="32"/>
        <v>-0.27213362465840907</v>
      </c>
      <c r="R216" s="62">
        <f t="shared" si="33"/>
        <v>16828.890358538538</v>
      </c>
      <c r="S216" s="62">
        <f t="shared" si="34"/>
        <v>24479.89770859608</v>
      </c>
      <c r="T216" s="62">
        <f t="shared" si="35"/>
        <v>24541.824381768245</v>
      </c>
      <c r="U216" s="62">
        <f t="shared" si="36"/>
        <v>24329.435953578675</v>
      </c>
      <c r="V216" s="62">
        <f t="shared" si="26"/>
        <v>1</v>
      </c>
      <c r="W216" s="62">
        <f t="shared" si="26"/>
        <v>0</v>
      </c>
      <c r="X216" s="62">
        <f t="shared" si="26"/>
        <v>0</v>
      </c>
      <c r="Y216" s="62">
        <f t="shared" si="25"/>
        <v>0</v>
      </c>
      <c r="AA216" s="94"/>
    </row>
    <row r="217" spans="2:27" x14ac:dyDescent="0.2">
      <c r="B217" s="94"/>
      <c r="C217" s="62">
        <v>178</v>
      </c>
      <c r="D217" s="62">
        <v>9802.534808947672</v>
      </c>
      <c r="E217" s="62">
        <v>0.61762271959706649</v>
      </c>
      <c r="F217" s="62">
        <v>14111.776293573173</v>
      </c>
      <c r="G217" s="62">
        <v>0.8948769658037784</v>
      </c>
      <c r="H217" s="62">
        <v>14154.615899904169</v>
      </c>
      <c r="I217" s="62">
        <v>0.89804491780342599</v>
      </c>
      <c r="J217" s="62">
        <v>14032.263026980057</v>
      </c>
      <c r="K217" s="62">
        <v>0.88874732193527606</v>
      </c>
      <c r="L217" s="62">
        <f t="shared" si="27"/>
        <v>-4309.2414846255015</v>
      </c>
      <c r="M217" s="62">
        <f t="shared" si="28"/>
        <v>-0.27725424620671191</v>
      </c>
      <c r="N217" s="62">
        <f t="shared" si="29"/>
        <v>-4352.0810909564971</v>
      </c>
      <c r="O217" s="62">
        <f t="shared" si="30"/>
        <v>-0.2804221982063595</v>
      </c>
      <c r="P217" s="62">
        <f t="shared" si="31"/>
        <v>-4229.7282180323855</v>
      </c>
      <c r="Q217" s="62">
        <f t="shared" si="32"/>
        <v>-0.27112460233820956</v>
      </c>
      <c r="R217" s="62">
        <f t="shared" si="33"/>
        <v>15781.868727641209</v>
      </c>
      <c r="S217" s="62">
        <f t="shared" si="34"/>
        <v>22957.607137882544</v>
      </c>
      <c r="T217" s="62">
        <f t="shared" si="35"/>
        <v>23045.996775184951</v>
      </c>
      <c r="U217" s="62">
        <f t="shared" si="36"/>
        <v>22783.206036866817</v>
      </c>
      <c r="V217" s="62">
        <f t="shared" si="26"/>
        <v>1</v>
      </c>
      <c r="W217" s="62">
        <f t="shared" si="26"/>
        <v>0</v>
      </c>
      <c r="X217" s="62">
        <f t="shared" si="26"/>
        <v>0</v>
      </c>
      <c r="Y217" s="62">
        <f t="shared" si="25"/>
        <v>0</v>
      </c>
      <c r="AA217" s="94"/>
    </row>
    <row r="218" spans="2:27" x14ac:dyDescent="0.2">
      <c r="B218" s="94"/>
      <c r="C218" s="62">
        <v>179</v>
      </c>
      <c r="D218" s="62">
        <v>10587.330729211855</v>
      </c>
      <c r="E218" s="62">
        <v>0.61763598598074321</v>
      </c>
      <c r="F218" s="62">
        <v>15219.330099612833</v>
      </c>
      <c r="G218" s="62">
        <v>0.89352936504532865</v>
      </c>
      <c r="H218" s="62">
        <v>15277.991334926865</v>
      </c>
      <c r="I218" s="62">
        <v>0.89729508558371562</v>
      </c>
      <c r="J218" s="62">
        <v>15166.108198565194</v>
      </c>
      <c r="K218" s="62">
        <v>0.88942757198956901</v>
      </c>
      <c r="L218" s="62">
        <f t="shared" si="27"/>
        <v>-4631.9993704009776</v>
      </c>
      <c r="M218" s="62">
        <f t="shared" si="28"/>
        <v>-0.27589337906458544</v>
      </c>
      <c r="N218" s="62">
        <f t="shared" si="29"/>
        <v>-4690.6606057150093</v>
      </c>
      <c r="O218" s="62">
        <f t="shared" si="30"/>
        <v>-0.27965909960297242</v>
      </c>
      <c r="P218" s="62">
        <f t="shared" si="31"/>
        <v>-4578.7774693533393</v>
      </c>
      <c r="Q218" s="62">
        <f t="shared" si="32"/>
        <v>-0.2717915860088258</v>
      </c>
      <c r="R218" s="62">
        <f t="shared" si="33"/>
        <v>14997.622354054452</v>
      </c>
      <c r="S218" s="62">
        <f t="shared" si="34"/>
        <v>21794.230318024864</v>
      </c>
      <c r="T218" s="62">
        <f t="shared" si="35"/>
        <v>21891.560290292971</v>
      </c>
      <c r="U218" s="62">
        <f t="shared" si="36"/>
        <v>21677.539543530711</v>
      </c>
      <c r="V218" s="62">
        <f t="shared" si="26"/>
        <v>1</v>
      </c>
      <c r="W218" s="62">
        <f t="shared" si="26"/>
        <v>0</v>
      </c>
      <c r="X218" s="62">
        <f t="shared" si="26"/>
        <v>0</v>
      </c>
      <c r="Y218" s="62">
        <f t="shared" si="25"/>
        <v>0</v>
      </c>
      <c r="AA218" s="94"/>
    </row>
    <row r="219" spans="2:27" x14ac:dyDescent="0.2">
      <c r="B219" s="94"/>
      <c r="C219" s="62">
        <v>180</v>
      </c>
      <c r="D219" s="62">
        <v>10666.073491317204</v>
      </c>
      <c r="E219" s="62">
        <v>0.6174154549338926</v>
      </c>
      <c r="F219" s="62">
        <v>15341.244474955258</v>
      </c>
      <c r="G219" s="62">
        <v>0.89375033354498801</v>
      </c>
      <c r="H219" s="62">
        <v>15393.142032632937</v>
      </c>
      <c r="I219" s="62">
        <v>0.89707400943462423</v>
      </c>
      <c r="J219" s="62">
        <v>15273.592226960056</v>
      </c>
      <c r="K219" s="62">
        <v>0.888693106159126</v>
      </c>
      <c r="L219" s="62">
        <f t="shared" si="27"/>
        <v>-4675.1709836380542</v>
      </c>
      <c r="M219" s="62">
        <f t="shared" si="28"/>
        <v>-0.2763348786110954</v>
      </c>
      <c r="N219" s="62">
        <f t="shared" si="29"/>
        <v>-4727.0685413157335</v>
      </c>
      <c r="O219" s="62">
        <f t="shared" si="30"/>
        <v>-0.27965855450073163</v>
      </c>
      <c r="P219" s="62">
        <f t="shared" si="31"/>
        <v>-4607.5187356428523</v>
      </c>
      <c r="Q219" s="62">
        <f t="shared" si="32"/>
        <v>-0.2712776512252334</v>
      </c>
      <c r="R219" s="62">
        <f t="shared" si="33"/>
        <v>14909.744313864363</v>
      </c>
      <c r="S219" s="62">
        <f t="shared" si="34"/>
        <v>21681.469341812321</v>
      </c>
      <c r="T219" s="62">
        <f t="shared" si="35"/>
        <v>21767.251734186939</v>
      </c>
      <c r="U219" s="62">
        <f t="shared" si="36"/>
        <v>21539.631002575581</v>
      </c>
      <c r="V219" s="62">
        <f t="shared" si="26"/>
        <v>1</v>
      </c>
      <c r="W219" s="62">
        <f t="shared" si="26"/>
        <v>0</v>
      </c>
      <c r="X219" s="62">
        <f t="shared" si="26"/>
        <v>0</v>
      </c>
      <c r="Y219" s="62">
        <f t="shared" si="25"/>
        <v>0</v>
      </c>
      <c r="AA219" s="94"/>
    </row>
    <row r="220" spans="2:27" x14ac:dyDescent="0.2">
      <c r="B220" s="94"/>
      <c r="C220" s="62">
        <v>181</v>
      </c>
      <c r="D220" s="62">
        <v>10272.762245708574</v>
      </c>
      <c r="E220" s="62">
        <v>0.61756422908080455</v>
      </c>
      <c r="F220" s="62">
        <v>14772.538032329796</v>
      </c>
      <c r="G220" s="62">
        <v>0.89449862595917096</v>
      </c>
      <c r="H220" s="62">
        <v>14814.101056997177</v>
      </c>
      <c r="I220" s="62">
        <v>0.89735298934270769</v>
      </c>
      <c r="J220" s="62">
        <v>14707.132162214159</v>
      </c>
      <c r="K220" s="62">
        <v>0.88922718188579919</v>
      </c>
      <c r="L220" s="62">
        <f t="shared" si="27"/>
        <v>-4499.7757866212214</v>
      </c>
      <c r="M220" s="62">
        <f t="shared" si="28"/>
        <v>-0.27693439687836641</v>
      </c>
      <c r="N220" s="62">
        <f t="shared" si="29"/>
        <v>-4541.3388112886023</v>
      </c>
      <c r="O220" s="62">
        <f t="shared" si="30"/>
        <v>-0.27978876026190314</v>
      </c>
      <c r="P220" s="62">
        <f t="shared" si="31"/>
        <v>-4434.3699165055841</v>
      </c>
      <c r="Q220" s="62">
        <f t="shared" si="32"/>
        <v>-0.27166295280499464</v>
      </c>
      <c r="R220" s="62">
        <f t="shared" si="33"/>
        <v>15309.218379734673</v>
      </c>
      <c r="S220" s="62">
        <f t="shared" si="34"/>
        <v>22281.173049402903</v>
      </c>
      <c r="T220" s="62">
        <f t="shared" si="35"/>
        <v>22357.849173535149</v>
      </c>
      <c r="U220" s="62">
        <f t="shared" si="36"/>
        <v>22128.214620223185</v>
      </c>
      <c r="V220" s="62">
        <f t="shared" si="26"/>
        <v>1</v>
      </c>
      <c r="W220" s="62">
        <f t="shared" si="26"/>
        <v>0</v>
      </c>
      <c r="X220" s="62">
        <f t="shared" si="26"/>
        <v>0</v>
      </c>
      <c r="Y220" s="62">
        <f t="shared" si="25"/>
        <v>0</v>
      </c>
      <c r="AA220" s="94"/>
    </row>
    <row r="221" spans="2:27" x14ac:dyDescent="0.2">
      <c r="B221" s="94"/>
      <c r="C221" s="62">
        <v>182</v>
      </c>
      <c r="D221" s="62">
        <v>9731.323340963907</v>
      </c>
      <c r="E221" s="62">
        <v>0.61747585759406765</v>
      </c>
      <c r="F221" s="62">
        <v>13996.820575509084</v>
      </c>
      <c r="G221" s="62">
        <v>0.8944750047011305</v>
      </c>
      <c r="H221" s="62">
        <v>14048.722286955088</v>
      </c>
      <c r="I221" s="62">
        <v>0.89816697965405068</v>
      </c>
      <c r="J221" s="62">
        <v>13941.605807688778</v>
      </c>
      <c r="K221" s="62">
        <v>0.88977051951009922</v>
      </c>
      <c r="L221" s="62">
        <f t="shared" si="27"/>
        <v>-4265.497234545177</v>
      </c>
      <c r="M221" s="62">
        <f t="shared" si="28"/>
        <v>-0.27699914710706286</v>
      </c>
      <c r="N221" s="62">
        <f t="shared" si="29"/>
        <v>-4317.3989459911809</v>
      </c>
      <c r="O221" s="62">
        <f t="shared" si="30"/>
        <v>-0.28069112205998303</v>
      </c>
      <c r="P221" s="62">
        <f t="shared" si="31"/>
        <v>-4210.2824667248715</v>
      </c>
      <c r="Q221" s="62">
        <f t="shared" si="32"/>
        <v>-0.27229466191603158</v>
      </c>
      <c r="R221" s="62">
        <f t="shared" si="33"/>
        <v>15846.996584012752</v>
      </c>
      <c r="S221" s="62">
        <f t="shared" si="34"/>
        <v>23055.912019230549</v>
      </c>
      <c r="T221" s="62">
        <f t="shared" si="35"/>
        <v>23156.946678234308</v>
      </c>
      <c r="U221" s="62">
        <f t="shared" si="36"/>
        <v>22916.248192497573</v>
      </c>
      <c r="V221" s="62">
        <f t="shared" si="26"/>
        <v>1</v>
      </c>
      <c r="W221" s="62">
        <f t="shared" si="26"/>
        <v>0</v>
      </c>
      <c r="X221" s="62">
        <f t="shared" si="26"/>
        <v>0</v>
      </c>
      <c r="Y221" s="62">
        <f t="shared" si="25"/>
        <v>0</v>
      </c>
      <c r="AA221" s="94"/>
    </row>
    <row r="222" spans="2:27" x14ac:dyDescent="0.2">
      <c r="B222" s="94"/>
      <c r="C222" s="62">
        <v>183</v>
      </c>
      <c r="D222" s="62">
        <v>9207.9255636101243</v>
      </c>
      <c r="E222" s="62">
        <v>0.61836762342293106</v>
      </c>
      <c r="F222" s="62">
        <v>13226.095978499223</v>
      </c>
      <c r="G222" s="62">
        <v>0.89429560689853438</v>
      </c>
      <c r="H222" s="62">
        <v>13258.172507630328</v>
      </c>
      <c r="I222" s="62">
        <v>0.89678174114558218</v>
      </c>
      <c r="J222" s="62">
        <v>13163.877871542898</v>
      </c>
      <c r="K222" s="62">
        <v>0.88905489691115291</v>
      </c>
      <c r="L222" s="62">
        <f t="shared" si="27"/>
        <v>-4018.1704148890985</v>
      </c>
      <c r="M222" s="62">
        <f t="shared" si="28"/>
        <v>-0.27592798347560332</v>
      </c>
      <c r="N222" s="62">
        <f t="shared" si="29"/>
        <v>-4050.246944020204</v>
      </c>
      <c r="O222" s="62">
        <f t="shared" si="30"/>
        <v>-0.27841411772265112</v>
      </c>
      <c r="P222" s="62">
        <f t="shared" si="31"/>
        <v>-3955.9523079327737</v>
      </c>
      <c r="Q222" s="62">
        <f t="shared" si="32"/>
        <v>-0.27068727348822186</v>
      </c>
      <c r="R222" s="62">
        <f t="shared" si="33"/>
        <v>16407.334869061371</v>
      </c>
      <c r="S222" s="62">
        <f t="shared" si="34"/>
        <v>23819.205241665666</v>
      </c>
      <c r="T222" s="62">
        <f t="shared" si="35"/>
        <v>23890.114337584273</v>
      </c>
      <c r="U222" s="62">
        <f t="shared" si="36"/>
        <v>23664.332178104698</v>
      </c>
      <c r="V222" s="62">
        <f t="shared" si="26"/>
        <v>1</v>
      </c>
      <c r="W222" s="62">
        <f t="shared" si="26"/>
        <v>0</v>
      </c>
      <c r="X222" s="62">
        <f t="shared" si="26"/>
        <v>0</v>
      </c>
      <c r="Y222" s="62">
        <f t="shared" si="25"/>
        <v>0</v>
      </c>
      <c r="AA222" s="94"/>
    </row>
    <row r="223" spans="2:27" x14ac:dyDescent="0.2">
      <c r="B223" s="94"/>
      <c r="C223" s="62">
        <v>184</v>
      </c>
      <c r="D223" s="62">
        <v>9189.1642315327681</v>
      </c>
      <c r="E223" s="62">
        <v>0.61796161336449584</v>
      </c>
      <c r="F223" s="62">
        <v>13211.4239488598</v>
      </c>
      <c r="G223" s="62">
        <v>0.89510777691285415</v>
      </c>
      <c r="H223" s="62">
        <v>13239.51329591636</v>
      </c>
      <c r="I223" s="62">
        <v>0.8974372514754414</v>
      </c>
      <c r="J223" s="62">
        <v>13134.10795152512</v>
      </c>
      <c r="K223" s="62">
        <v>0.888567086131407</v>
      </c>
      <c r="L223" s="62">
        <f t="shared" si="27"/>
        <v>-4022.2597173270315</v>
      </c>
      <c r="M223" s="62">
        <f t="shared" si="28"/>
        <v>-0.2771461635483583</v>
      </c>
      <c r="N223" s="62">
        <f t="shared" si="29"/>
        <v>-4050.3490643835921</v>
      </c>
      <c r="O223" s="62">
        <f t="shared" si="30"/>
        <v>-0.27947563811094556</v>
      </c>
      <c r="P223" s="62">
        <f t="shared" si="31"/>
        <v>-3944.9437199923523</v>
      </c>
      <c r="Q223" s="62">
        <f t="shared" si="32"/>
        <v>-0.27060547276691116</v>
      </c>
      <c r="R223" s="62">
        <f t="shared" si="33"/>
        <v>16409.277640478111</v>
      </c>
      <c r="S223" s="62">
        <f t="shared" si="34"/>
        <v>23867.520601978267</v>
      </c>
      <c r="T223" s="62">
        <f t="shared" si="35"/>
        <v>23935.927409202326</v>
      </c>
      <c r="U223" s="62">
        <f t="shared" si="36"/>
        <v>23673.895024382284</v>
      </c>
      <c r="V223" s="62">
        <f t="shared" si="26"/>
        <v>1</v>
      </c>
      <c r="W223" s="62">
        <f t="shared" si="26"/>
        <v>0</v>
      </c>
      <c r="X223" s="62">
        <f t="shared" si="26"/>
        <v>0</v>
      </c>
      <c r="Y223" s="62">
        <f t="shared" si="25"/>
        <v>0</v>
      </c>
      <c r="AA223" s="94"/>
    </row>
    <row r="224" spans="2:27" x14ac:dyDescent="0.2">
      <c r="B224" s="94"/>
      <c r="C224" s="62">
        <v>185</v>
      </c>
      <c r="D224" s="62">
        <v>10066.131171838048</v>
      </c>
      <c r="E224" s="62">
        <v>0.61729368353215763</v>
      </c>
      <c r="F224" s="62">
        <v>14477.64544662188</v>
      </c>
      <c r="G224" s="62">
        <v>0.894188489037267</v>
      </c>
      <c r="H224" s="62">
        <v>14522.716349933913</v>
      </c>
      <c r="I224" s="62">
        <v>0.8971526226911507</v>
      </c>
      <c r="J224" s="62">
        <v>14422.182299080918</v>
      </c>
      <c r="K224" s="62">
        <v>0.88954693980535349</v>
      </c>
      <c r="L224" s="62">
        <f t="shared" si="27"/>
        <v>-4411.5142747838327</v>
      </c>
      <c r="M224" s="62">
        <f t="shared" si="28"/>
        <v>-0.27689480550510936</v>
      </c>
      <c r="N224" s="62">
        <f t="shared" si="29"/>
        <v>-4456.5851780958656</v>
      </c>
      <c r="O224" s="62">
        <f t="shared" si="30"/>
        <v>-0.27985893915899307</v>
      </c>
      <c r="P224" s="62">
        <f t="shared" si="31"/>
        <v>-4356.0511272428703</v>
      </c>
      <c r="Q224" s="62">
        <f t="shared" si="32"/>
        <v>-0.27225325627319585</v>
      </c>
      <c r="R224" s="62">
        <f t="shared" si="33"/>
        <v>15504.64237479805</v>
      </c>
      <c r="S224" s="62">
        <f t="shared" si="34"/>
        <v>22563.21852325787</v>
      </c>
      <c r="T224" s="62">
        <f t="shared" si="35"/>
        <v>22640.933892424313</v>
      </c>
      <c r="U224" s="62">
        <f t="shared" si="36"/>
        <v>22426.410135416045</v>
      </c>
      <c r="V224" s="62">
        <f t="shared" si="26"/>
        <v>1</v>
      </c>
      <c r="W224" s="62">
        <f t="shared" si="26"/>
        <v>0</v>
      </c>
      <c r="X224" s="62">
        <f t="shared" si="26"/>
        <v>0</v>
      </c>
      <c r="Y224" s="62">
        <f t="shared" si="25"/>
        <v>0</v>
      </c>
      <c r="AA224" s="94"/>
    </row>
    <row r="225" spans="2:27" x14ac:dyDescent="0.2">
      <c r="B225" s="94"/>
      <c r="C225" s="62">
        <v>186</v>
      </c>
      <c r="D225" s="62">
        <v>10676.780731874913</v>
      </c>
      <c r="E225" s="62">
        <v>0.6176576454366618</v>
      </c>
      <c r="F225" s="62">
        <v>15353.660002757055</v>
      </c>
      <c r="G225" s="62">
        <v>0.89401351049531896</v>
      </c>
      <c r="H225" s="62">
        <v>15401.857755050562</v>
      </c>
      <c r="I225" s="62">
        <v>0.89705199892902243</v>
      </c>
      <c r="J225" s="62">
        <v>15290.602859913253</v>
      </c>
      <c r="K225" s="62">
        <v>0.88926303241994575</v>
      </c>
      <c r="L225" s="62">
        <f t="shared" si="27"/>
        <v>-4676.879270882142</v>
      </c>
      <c r="M225" s="62">
        <f t="shared" si="28"/>
        <v>-0.27635586505865717</v>
      </c>
      <c r="N225" s="62">
        <f t="shared" si="29"/>
        <v>-4725.0770231756487</v>
      </c>
      <c r="O225" s="62">
        <f t="shared" si="30"/>
        <v>-0.27939435349236064</v>
      </c>
      <c r="P225" s="62">
        <f t="shared" si="31"/>
        <v>-4613.8221280383405</v>
      </c>
      <c r="Q225" s="62">
        <f t="shared" si="32"/>
        <v>-0.27160538698328396</v>
      </c>
      <c r="R225" s="62">
        <f t="shared" si="33"/>
        <v>14909.069572693365</v>
      </c>
      <c r="S225" s="62">
        <f t="shared" si="34"/>
        <v>21679.955656001039</v>
      </c>
      <c r="T225" s="62">
        <f t="shared" si="35"/>
        <v>21757.624248585267</v>
      </c>
      <c r="U225" s="62">
        <f t="shared" si="36"/>
        <v>21546.22899505058</v>
      </c>
      <c r="V225" s="62">
        <f t="shared" si="26"/>
        <v>1</v>
      </c>
      <c r="W225" s="62">
        <f t="shared" si="26"/>
        <v>0</v>
      </c>
      <c r="X225" s="62">
        <f t="shared" si="26"/>
        <v>0</v>
      </c>
      <c r="Y225" s="62">
        <f t="shared" si="25"/>
        <v>0</v>
      </c>
      <c r="AA225" s="94"/>
    </row>
    <row r="226" spans="2:27" x14ac:dyDescent="0.2">
      <c r="B226" s="94"/>
      <c r="C226" s="62">
        <v>187</v>
      </c>
      <c r="D226" s="62">
        <v>11497.57975267664</v>
      </c>
      <c r="E226" s="62">
        <v>0.61758927295304133</v>
      </c>
      <c r="F226" s="62">
        <v>16547.084697889168</v>
      </c>
      <c r="G226" s="62">
        <v>0.89463379125356224</v>
      </c>
      <c r="H226" s="62">
        <v>16592.154829893334</v>
      </c>
      <c r="I226" s="62">
        <v>0.89747385945637081</v>
      </c>
      <c r="J226" s="62">
        <v>16454.674432733031</v>
      </c>
      <c r="K226" s="62">
        <v>0.88841079995409555</v>
      </c>
      <c r="L226" s="62">
        <f t="shared" si="27"/>
        <v>-5049.5049452125277</v>
      </c>
      <c r="M226" s="62">
        <f t="shared" si="28"/>
        <v>-0.2770445183005209</v>
      </c>
      <c r="N226" s="62">
        <f t="shared" si="29"/>
        <v>-5094.5750772166939</v>
      </c>
      <c r="O226" s="62">
        <f t="shared" si="30"/>
        <v>-0.27988458650332948</v>
      </c>
      <c r="P226" s="62">
        <f t="shared" si="31"/>
        <v>-4957.0946800563906</v>
      </c>
      <c r="Q226" s="62">
        <f t="shared" si="32"/>
        <v>-0.27082152700105422</v>
      </c>
      <c r="R226" s="62">
        <f t="shared" si="33"/>
        <v>14085.438290130143</v>
      </c>
      <c r="S226" s="62">
        <f t="shared" si="34"/>
        <v>20512.225470998394</v>
      </c>
      <c r="T226" s="62">
        <f t="shared" si="35"/>
        <v>20584.80232422737</v>
      </c>
      <c r="U226" s="62">
        <f t="shared" si="36"/>
        <v>20346.854544565424</v>
      </c>
      <c r="V226" s="62">
        <f t="shared" si="26"/>
        <v>1</v>
      </c>
      <c r="W226" s="62">
        <f t="shared" si="26"/>
        <v>0</v>
      </c>
      <c r="X226" s="62">
        <f t="shared" si="26"/>
        <v>0</v>
      </c>
      <c r="Y226" s="62">
        <f t="shared" si="25"/>
        <v>0</v>
      </c>
      <c r="AA226" s="94"/>
    </row>
    <row r="227" spans="2:27" x14ac:dyDescent="0.2">
      <c r="B227" s="94"/>
      <c r="C227" s="62">
        <v>188</v>
      </c>
      <c r="D227" s="62">
        <v>10207.033179989205</v>
      </c>
      <c r="E227" s="62">
        <v>0.61781460486867945</v>
      </c>
      <c r="F227" s="62">
        <v>14671.572007049905</v>
      </c>
      <c r="G227" s="62">
        <v>0.89411204206181294</v>
      </c>
      <c r="H227" s="62">
        <v>14717.421583155074</v>
      </c>
      <c r="I227" s="62">
        <v>0.89722924365334344</v>
      </c>
      <c r="J227" s="62">
        <v>14608.1464854108</v>
      </c>
      <c r="K227" s="62">
        <v>0.88914276303049422</v>
      </c>
      <c r="L227" s="62">
        <f t="shared" si="27"/>
        <v>-4464.5388270607</v>
      </c>
      <c r="M227" s="62">
        <f t="shared" si="28"/>
        <v>-0.27629743719313349</v>
      </c>
      <c r="N227" s="62">
        <f t="shared" si="29"/>
        <v>-4510.388403165869</v>
      </c>
      <c r="O227" s="62">
        <f t="shared" si="30"/>
        <v>-0.27941463878466399</v>
      </c>
      <c r="P227" s="62">
        <f t="shared" si="31"/>
        <v>-4401.1133054215952</v>
      </c>
      <c r="Q227" s="62">
        <f t="shared" si="32"/>
        <v>-0.27132815816181477</v>
      </c>
      <c r="R227" s="62">
        <f t="shared" si="33"/>
        <v>15385.319012090971</v>
      </c>
      <c r="S227" s="62">
        <f t="shared" si="34"/>
        <v>22366.125223318635</v>
      </c>
      <c r="T227" s="62">
        <f t="shared" si="35"/>
        <v>22449.402605941024</v>
      </c>
      <c r="U227" s="62">
        <f t="shared" si="36"/>
        <v>22223.703330364391</v>
      </c>
      <c r="V227" s="62">
        <f t="shared" si="26"/>
        <v>1</v>
      </c>
      <c r="W227" s="62">
        <f t="shared" si="26"/>
        <v>0</v>
      </c>
      <c r="X227" s="62">
        <f t="shared" si="26"/>
        <v>0</v>
      </c>
      <c r="Y227" s="62">
        <f t="shared" si="25"/>
        <v>0</v>
      </c>
      <c r="AA227" s="94"/>
    </row>
    <row r="228" spans="2:27" x14ac:dyDescent="0.2">
      <c r="B228" s="94"/>
      <c r="C228" s="62">
        <v>189</v>
      </c>
      <c r="D228" s="62">
        <v>12553.578130660115</v>
      </c>
      <c r="E228" s="62">
        <v>0.61758947277759779</v>
      </c>
      <c r="F228" s="62">
        <v>18066.013806821025</v>
      </c>
      <c r="G228" s="62">
        <v>0.893658775339775</v>
      </c>
      <c r="H228" s="62">
        <v>18141.26210872216</v>
      </c>
      <c r="I228" s="62">
        <v>0.89775251044015147</v>
      </c>
      <c r="J228" s="62">
        <v>17996.300719442941</v>
      </c>
      <c r="K228" s="62">
        <v>0.88934325341681786</v>
      </c>
      <c r="L228" s="62">
        <f t="shared" si="27"/>
        <v>-5512.4356761609106</v>
      </c>
      <c r="M228" s="62">
        <f t="shared" si="28"/>
        <v>-0.27606930256217721</v>
      </c>
      <c r="N228" s="62">
        <f t="shared" si="29"/>
        <v>-5587.6839780620448</v>
      </c>
      <c r="O228" s="62">
        <f t="shared" si="30"/>
        <v>-0.28016303766255368</v>
      </c>
      <c r="P228" s="62">
        <f t="shared" si="31"/>
        <v>-5442.7225887828263</v>
      </c>
      <c r="Q228" s="62">
        <f t="shared" si="32"/>
        <v>-0.27175378063922007</v>
      </c>
      <c r="R228" s="62">
        <f t="shared" si="33"/>
        <v>13029.448189679095</v>
      </c>
      <c r="S228" s="62">
        <f t="shared" si="34"/>
        <v>18952.907302853815</v>
      </c>
      <c r="T228" s="62">
        <f t="shared" si="35"/>
        <v>19047.237883750673</v>
      </c>
      <c r="U228" s="62">
        <f t="shared" si="36"/>
        <v>18843.854210095324</v>
      </c>
      <c r="V228" s="62">
        <f t="shared" si="26"/>
        <v>1</v>
      </c>
      <c r="W228" s="62">
        <f t="shared" si="26"/>
        <v>0</v>
      </c>
      <c r="X228" s="62">
        <f t="shared" si="26"/>
        <v>0</v>
      </c>
      <c r="Y228" s="62">
        <f t="shared" si="25"/>
        <v>0</v>
      </c>
      <c r="AA228" s="94"/>
    </row>
    <row r="229" spans="2:27" x14ac:dyDescent="0.2">
      <c r="B229" s="94"/>
      <c r="C229" s="62">
        <v>190</v>
      </c>
      <c r="D229" s="62">
        <v>8737.8817896870569</v>
      </c>
      <c r="E229" s="62">
        <v>0.61805427090703235</v>
      </c>
      <c r="F229" s="62">
        <v>12533.004192783479</v>
      </c>
      <c r="G229" s="62">
        <v>0.89337595782572699</v>
      </c>
      <c r="H229" s="62">
        <v>12573.536013011038</v>
      </c>
      <c r="I229" s="62">
        <v>0.89685506398258219</v>
      </c>
      <c r="J229" s="62">
        <v>12485.212197005918</v>
      </c>
      <c r="K229" s="62">
        <v>0.88875431466257993</v>
      </c>
      <c r="L229" s="62">
        <f t="shared" si="27"/>
        <v>-3795.1224030964222</v>
      </c>
      <c r="M229" s="62">
        <f t="shared" si="28"/>
        <v>-0.27532168691869463</v>
      </c>
      <c r="N229" s="62">
        <f t="shared" si="29"/>
        <v>-3835.6542233239816</v>
      </c>
      <c r="O229" s="62">
        <f t="shared" si="30"/>
        <v>-0.27880079307554984</v>
      </c>
      <c r="P229" s="62">
        <f t="shared" si="31"/>
        <v>-3747.330407318861</v>
      </c>
      <c r="Q229" s="62">
        <f t="shared" si="32"/>
        <v>-0.27070004375554757</v>
      </c>
      <c r="R229" s="62">
        <f t="shared" si="33"/>
        <v>16864.398328365853</v>
      </c>
      <c r="S229" s="62">
        <f t="shared" si="34"/>
        <v>24474.201484189438</v>
      </c>
      <c r="T229" s="62">
        <f t="shared" si="35"/>
        <v>24577.788157403444</v>
      </c>
      <c r="U229" s="62">
        <f t="shared" si="36"/>
        <v>24330.546533576795</v>
      </c>
      <c r="V229" s="62">
        <f t="shared" si="26"/>
        <v>1</v>
      </c>
      <c r="W229" s="62">
        <f t="shared" si="26"/>
        <v>0</v>
      </c>
      <c r="X229" s="62">
        <f t="shared" si="26"/>
        <v>0</v>
      </c>
      <c r="Y229" s="62">
        <f t="shared" si="25"/>
        <v>0</v>
      </c>
      <c r="AA229" s="94"/>
    </row>
    <row r="230" spans="2:27" x14ac:dyDescent="0.2">
      <c r="B230" s="94"/>
      <c r="C230" s="62">
        <v>191</v>
      </c>
      <c r="D230" s="62">
        <v>9958.3557011797675</v>
      </c>
      <c r="E230" s="62">
        <v>0.61809115457787867</v>
      </c>
      <c r="F230" s="62">
        <v>14305.908980286104</v>
      </c>
      <c r="G230" s="62">
        <v>0.89412031197045894</v>
      </c>
      <c r="H230" s="62">
        <v>14353.426906064111</v>
      </c>
      <c r="I230" s="62">
        <v>0.89734698796886447</v>
      </c>
      <c r="J230" s="62">
        <v>14246.050538637704</v>
      </c>
      <c r="K230" s="62">
        <v>0.88921656210671951</v>
      </c>
      <c r="L230" s="62">
        <f t="shared" si="27"/>
        <v>-4347.553279106336</v>
      </c>
      <c r="M230" s="62">
        <f t="shared" si="28"/>
        <v>-0.27602915739258027</v>
      </c>
      <c r="N230" s="62">
        <f t="shared" si="29"/>
        <v>-4395.0712048843434</v>
      </c>
      <c r="O230" s="62">
        <f t="shared" si="30"/>
        <v>-0.27925583339098581</v>
      </c>
      <c r="P230" s="62">
        <f t="shared" si="31"/>
        <v>-4287.694837457937</v>
      </c>
      <c r="Q230" s="62">
        <f t="shared" si="32"/>
        <v>-0.27112540752884084</v>
      </c>
      <c r="R230" s="62">
        <f t="shared" si="33"/>
        <v>15645.452286054278</v>
      </c>
      <c r="S230" s="62">
        <f t="shared" si="34"/>
        <v>22732.130822778185</v>
      </c>
      <c r="T230" s="62">
        <f t="shared" si="35"/>
        <v>22818.274723558134</v>
      </c>
      <c r="U230" s="62">
        <f t="shared" si="36"/>
        <v>22588.856330071045</v>
      </c>
      <c r="V230" s="62">
        <f t="shared" si="26"/>
        <v>1</v>
      </c>
      <c r="W230" s="62">
        <f t="shared" si="26"/>
        <v>0</v>
      </c>
      <c r="X230" s="62">
        <f t="shared" si="26"/>
        <v>0</v>
      </c>
      <c r="Y230" s="62">
        <f t="shared" si="26"/>
        <v>0</v>
      </c>
      <c r="AA230" s="94"/>
    </row>
    <row r="231" spans="2:27" x14ac:dyDescent="0.2">
      <c r="B231" s="94"/>
      <c r="C231" s="62">
        <v>192</v>
      </c>
      <c r="D231" s="62">
        <v>9756.9620015334986</v>
      </c>
      <c r="E231" s="62">
        <v>0.61741986739991506</v>
      </c>
      <c r="F231" s="62">
        <v>14027.693963910982</v>
      </c>
      <c r="G231" s="62">
        <v>0.89391204458240003</v>
      </c>
      <c r="H231" s="62">
        <v>14068.030297928937</v>
      </c>
      <c r="I231" s="62">
        <v>0.89686374967432514</v>
      </c>
      <c r="J231" s="62">
        <v>13960.71840330502</v>
      </c>
      <c r="K231" s="62">
        <v>0.88837878453933161</v>
      </c>
      <c r="L231" s="62">
        <f t="shared" si="27"/>
        <v>-4270.7319623774838</v>
      </c>
      <c r="M231" s="62">
        <f t="shared" si="28"/>
        <v>-0.27649217718248498</v>
      </c>
      <c r="N231" s="62">
        <f t="shared" si="29"/>
        <v>-4311.0682963954387</v>
      </c>
      <c r="O231" s="62">
        <f t="shared" si="30"/>
        <v>-0.27944388227441008</v>
      </c>
      <c r="P231" s="62">
        <f t="shared" si="31"/>
        <v>-4203.7564017715213</v>
      </c>
      <c r="Q231" s="62">
        <f t="shared" si="32"/>
        <v>-0.27095891713941656</v>
      </c>
      <c r="R231" s="62">
        <f t="shared" si="33"/>
        <v>15819.038585640581</v>
      </c>
      <c r="S231" s="62">
        <f t="shared" si="34"/>
        <v>23001.718570870355</v>
      </c>
      <c r="T231" s="62">
        <f t="shared" si="35"/>
        <v>23083.653668580304</v>
      </c>
      <c r="U231" s="62">
        <f t="shared" si="36"/>
        <v>22839.484367452249</v>
      </c>
      <c r="V231" s="62">
        <f t="shared" ref="V231:Y294" si="37">IF(MIN($R231:$U231)=R231,1,0)</f>
        <v>1</v>
      </c>
      <c r="W231" s="62">
        <f t="shared" si="37"/>
        <v>0</v>
      </c>
      <c r="X231" s="62">
        <f t="shared" si="37"/>
        <v>0</v>
      </c>
      <c r="Y231" s="62">
        <f t="shared" si="37"/>
        <v>0</v>
      </c>
      <c r="AA231" s="94"/>
    </row>
    <row r="232" spans="2:27" x14ac:dyDescent="0.2">
      <c r="B232" s="94"/>
      <c r="C232" s="62">
        <v>193</v>
      </c>
      <c r="D232" s="62">
        <v>10526.076612880421</v>
      </c>
      <c r="E232" s="62">
        <v>0.61807892088411509</v>
      </c>
      <c r="F232" s="62">
        <v>15125.884063481077</v>
      </c>
      <c r="G232" s="62">
        <v>0.89416378767245597</v>
      </c>
      <c r="H232" s="62">
        <v>15172.515317591553</v>
      </c>
      <c r="I232" s="62">
        <v>0.89733058499189211</v>
      </c>
      <c r="J232" s="62">
        <v>15067.724875463451</v>
      </c>
      <c r="K232" s="62">
        <v>0.88970209604102191</v>
      </c>
      <c r="L232" s="62">
        <f t="shared" ref="L232:L295" si="38">IF($C232&lt;=No_of_iterations_PSA,D232-$F232,"")</f>
        <v>-4599.807450600656</v>
      </c>
      <c r="M232" s="62">
        <f t="shared" ref="M232:M295" si="39">IF($C232&lt;=No_of_iterations_PSA,E232-$G232,"")</f>
        <v>-0.27608486678834088</v>
      </c>
      <c r="N232" s="62">
        <f t="shared" ref="N232:N295" si="40">IF($C232&lt;=No_of_iterations_PSA,D232-$H232,"")</f>
        <v>-4646.4387047111322</v>
      </c>
      <c r="O232" s="62">
        <f t="shared" ref="O232:O295" si="41">IF($C232&lt;=No_of_iterations_PSA,E232-$I232,"")</f>
        <v>-0.27925166410777702</v>
      </c>
      <c r="P232" s="62">
        <f t="shared" ref="P232:P295" si="42">IF($C232&lt;=No_of_iterations_PSA,D232-$J232,"")</f>
        <v>-4541.6482625830304</v>
      </c>
      <c r="Q232" s="62">
        <f t="shared" ref="Q232:Q295" si="43">IF($C232&lt;=No_of_iterations_PSA,E232-$K232,"")</f>
        <v>-0.27162317515690682</v>
      </c>
      <c r="R232" s="62">
        <f t="shared" ref="R232:R295" si="44">IF($C232&lt;=No_of_iterations_PSA,E232*c_WTP-D232,"")</f>
        <v>15077.224605823161</v>
      </c>
      <c r="S232" s="62">
        <f t="shared" ref="S232:S295" si="45">IF($C232&lt;=No_of_iterations_PSA,G232*c_WTP-F232,"")</f>
        <v>21913.956677062743</v>
      </c>
      <c r="T232" s="62">
        <f t="shared" ref="T232:T295" si="46">IF($C232&lt;=No_of_iterations_PSA,I232*c_WTP-H232,"")</f>
        <v>21998.506835112581</v>
      </c>
      <c r="U232" s="62">
        <f t="shared" ref="U232:U295" si="47">IF($C232&lt;=No_of_iterations_PSA,K232*c_WTP-J232,"")</f>
        <v>21787.294750939844</v>
      </c>
      <c r="V232" s="62">
        <f t="shared" si="37"/>
        <v>1</v>
      </c>
      <c r="W232" s="62">
        <f t="shared" si="37"/>
        <v>0</v>
      </c>
      <c r="X232" s="62">
        <f t="shared" si="37"/>
        <v>0</v>
      </c>
      <c r="Y232" s="62">
        <f t="shared" si="37"/>
        <v>0</v>
      </c>
      <c r="AA232" s="94"/>
    </row>
    <row r="233" spans="2:27" x14ac:dyDescent="0.2">
      <c r="B233" s="94"/>
      <c r="C233" s="62">
        <v>194</v>
      </c>
      <c r="D233" s="62">
        <v>11202.680505654338</v>
      </c>
      <c r="E233" s="62">
        <v>0.61808893188820968</v>
      </c>
      <c r="F233" s="62">
        <v>16100.356732673537</v>
      </c>
      <c r="G233" s="62">
        <v>0.89382539253467819</v>
      </c>
      <c r="H233" s="62">
        <v>16154.49910236048</v>
      </c>
      <c r="I233" s="62">
        <v>0.89714273524497989</v>
      </c>
      <c r="J233" s="62">
        <v>16049.665487972072</v>
      </c>
      <c r="K233" s="62">
        <v>0.89012769169010508</v>
      </c>
      <c r="L233" s="62">
        <f t="shared" si="38"/>
        <v>-4897.6762270191994</v>
      </c>
      <c r="M233" s="62">
        <f t="shared" si="39"/>
        <v>-0.27573646064646851</v>
      </c>
      <c r="N233" s="62">
        <f t="shared" si="40"/>
        <v>-4951.8185967061418</v>
      </c>
      <c r="O233" s="62">
        <f t="shared" si="41"/>
        <v>-0.27905380335677021</v>
      </c>
      <c r="P233" s="62">
        <f t="shared" si="42"/>
        <v>-4846.9849823177337</v>
      </c>
      <c r="Q233" s="62">
        <f t="shared" si="43"/>
        <v>-0.2720387598018954</v>
      </c>
      <c r="R233" s="62">
        <f t="shared" si="44"/>
        <v>14401.035408882861</v>
      </c>
      <c r="S233" s="62">
        <f t="shared" si="45"/>
        <v>20925.466327682974</v>
      </c>
      <c r="T233" s="62">
        <f t="shared" si="46"/>
        <v>21008.741562427567</v>
      </c>
      <c r="U233" s="62">
        <f t="shared" si="47"/>
        <v>20822.984012598841</v>
      </c>
      <c r="V233" s="62">
        <f t="shared" si="37"/>
        <v>1</v>
      </c>
      <c r="W233" s="62">
        <f t="shared" si="37"/>
        <v>0</v>
      </c>
      <c r="X233" s="62">
        <f t="shared" si="37"/>
        <v>0</v>
      </c>
      <c r="Y233" s="62">
        <f t="shared" si="37"/>
        <v>0</v>
      </c>
      <c r="AA233" s="94"/>
    </row>
    <row r="234" spans="2:27" x14ac:dyDescent="0.2">
      <c r="B234" s="94"/>
      <c r="C234" s="62">
        <v>195</v>
      </c>
      <c r="D234" s="62">
        <v>9653.9134182181388</v>
      </c>
      <c r="E234" s="62">
        <v>0.61783376433181336</v>
      </c>
      <c r="F234" s="62">
        <v>13882.42837341554</v>
      </c>
      <c r="G234" s="62">
        <v>0.89453725543794393</v>
      </c>
      <c r="H234" s="62">
        <v>13917.866881404214</v>
      </c>
      <c r="I234" s="62">
        <v>0.89712449284623319</v>
      </c>
      <c r="J234" s="62">
        <v>13816.340729917374</v>
      </c>
      <c r="K234" s="62">
        <v>0.88922454363189141</v>
      </c>
      <c r="L234" s="62">
        <f t="shared" si="38"/>
        <v>-4228.5149551974009</v>
      </c>
      <c r="M234" s="62">
        <f t="shared" si="39"/>
        <v>-0.27670349110613057</v>
      </c>
      <c r="N234" s="62">
        <f t="shared" si="40"/>
        <v>-4263.9534631860752</v>
      </c>
      <c r="O234" s="62">
        <f t="shared" si="41"/>
        <v>-0.27929072851441983</v>
      </c>
      <c r="P234" s="62">
        <f t="shared" si="42"/>
        <v>-4162.4273116992354</v>
      </c>
      <c r="Q234" s="62">
        <f t="shared" si="43"/>
        <v>-0.27139077930007804</v>
      </c>
      <c r="R234" s="62">
        <f t="shared" si="44"/>
        <v>15939.232435462896</v>
      </c>
      <c r="S234" s="62">
        <f t="shared" si="45"/>
        <v>23172.882895845847</v>
      </c>
      <c r="T234" s="62">
        <f t="shared" si="46"/>
        <v>23244.61811025815</v>
      </c>
      <c r="U234" s="62">
        <f t="shared" si="47"/>
        <v>23018.896765490095</v>
      </c>
      <c r="V234" s="62">
        <f t="shared" si="37"/>
        <v>1</v>
      </c>
      <c r="W234" s="62">
        <f t="shared" si="37"/>
        <v>0</v>
      </c>
      <c r="X234" s="62">
        <f t="shared" si="37"/>
        <v>0</v>
      </c>
      <c r="Y234" s="62">
        <f t="shared" si="37"/>
        <v>0</v>
      </c>
      <c r="AA234" s="94"/>
    </row>
    <row r="235" spans="2:27" x14ac:dyDescent="0.2">
      <c r="B235" s="94"/>
      <c r="C235" s="62">
        <v>196</v>
      </c>
      <c r="D235" s="62">
        <v>9936.1791037645762</v>
      </c>
      <c r="E235" s="62">
        <v>0.61812277466893251</v>
      </c>
      <c r="F235" s="62">
        <v>14271.06913254987</v>
      </c>
      <c r="G235" s="62">
        <v>0.89392489872004488</v>
      </c>
      <c r="H235" s="62">
        <v>14318.375883028642</v>
      </c>
      <c r="I235" s="62">
        <v>0.89731841788109168</v>
      </c>
      <c r="J235" s="62">
        <v>14213.271090736589</v>
      </c>
      <c r="K235" s="62">
        <v>0.8891743958508932</v>
      </c>
      <c r="L235" s="62">
        <f t="shared" si="38"/>
        <v>-4334.8900287852939</v>
      </c>
      <c r="M235" s="62">
        <f t="shared" si="39"/>
        <v>-0.27580212405111237</v>
      </c>
      <c r="N235" s="62">
        <f t="shared" si="40"/>
        <v>-4382.1967792640662</v>
      </c>
      <c r="O235" s="62">
        <f t="shared" si="41"/>
        <v>-0.27919564321215917</v>
      </c>
      <c r="P235" s="62">
        <f t="shared" si="42"/>
        <v>-4277.0919869720128</v>
      </c>
      <c r="Q235" s="62">
        <f t="shared" si="43"/>
        <v>-0.27105162118196069</v>
      </c>
      <c r="R235" s="62">
        <f t="shared" si="44"/>
        <v>15668.938714121285</v>
      </c>
      <c r="S235" s="62">
        <f t="shared" si="45"/>
        <v>22758.875872029268</v>
      </c>
      <c r="T235" s="62">
        <f t="shared" si="46"/>
        <v>22852.142259277698</v>
      </c>
      <c r="U235" s="62">
        <f t="shared" si="47"/>
        <v>22619.889082990812</v>
      </c>
      <c r="V235" s="62">
        <f t="shared" si="37"/>
        <v>1</v>
      </c>
      <c r="W235" s="62">
        <f t="shared" si="37"/>
        <v>0</v>
      </c>
      <c r="X235" s="62">
        <f t="shared" si="37"/>
        <v>0</v>
      </c>
      <c r="Y235" s="62">
        <f t="shared" si="37"/>
        <v>0</v>
      </c>
      <c r="AA235" s="94"/>
    </row>
    <row r="236" spans="2:27" x14ac:dyDescent="0.2">
      <c r="B236" s="94"/>
      <c r="C236" s="62">
        <v>197</v>
      </c>
      <c r="D236" s="62">
        <v>10202.364547711933</v>
      </c>
      <c r="E236" s="62">
        <v>0.61749301933529832</v>
      </c>
      <c r="F236" s="62">
        <v>14661.995744454322</v>
      </c>
      <c r="G236" s="62">
        <v>0.89355022565972264</v>
      </c>
      <c r="H236" s="62">
        <v>14713.948266127141</v>
      </c>
      <c r="I236" s="62">
        <v>0.89713574640337979</v>
      </c>
      <c r="J236" s="62">
        <v>14628.639539376229</v>
      </c>
      <c r="K236" s="62">
        <v>0.89055382323679277</v>
      </c>
      <c r="L236" s="62">
        <f t="shared" si="38"/>
        <v>-4459.6311967423881</v>
      </c>
      <c r="M236" s="62">
        <f t="shared" si="39"/>
        <v>-0.27605720632442432</v>
      </c>
      <c r="N236" s="62">
        <f t="shared" si="40"/>
        <v>-4511.5837184152078</v>
      </c>
      <c r="O236" s="62">
        <f t="shared" si="41"/>
        <v>-0.27964272706808146</v>
      </c>
      <c r="P236" s="62">
        <f t="shared" si="42"/>
        <v>-4426.2749916642952</v>
      </c>
      <c r="Q236" s="62">
        <f t="shared" si="43"/>
        <v>-0.27306080390149445</v>
      </c>
      <c r="R236" s="62">
        <f t="shared" si="44"/>
        <v>15376.666285233465</v>
      </c>
      <c r="S236" s="62">
        <f t="shared" si="45"/>
        <v>22352.428803274026</v>
      </c>
      <c r="T236" s="62">
        <f t="shared" si="46"/>
        <v>22449.002892886463</v>
      </c>
      <c r="U236" s="62">
        <f t="shared" si="47"/>
        <v>22261.662034384673</v>
      </c>
      <c r="V236" s="62">
        <f t="shared" si="37"/>
        <v>1</v>
      </c>
      <c r="W236" s="62">
        <f t="shared" si="37"/>
        <v>0</v>
      </c>
      <c r="X236" s="62">
        <f t="shared" si="37"/>
        <v>0</v>
      </c>
      <c r="Y236" s="62">
        <f t="shared" si="37"/>
        <v>0</v>
      </c>
      <c r="AA236" s="94"/>
    </row>
    <row r="237" spans="2:27" x14ac:dyDescent="0.2">
      <c r="B237" s="94"/>
      <c r="C237" s="62">
        <v>198</v>
      </c>
      <c r="D237" s="62">
        <v>9481.3009848098336</v>
      </c>
      <c r="E237" s="62">
        <v>0.61777445970359846</v>
      </c>
      <c r="F237" s="62">
        <v>13628.061737822552</v>
      </c>
      <c r="G237" s="62">
        <v>0.89425852412829876</v>
      </c>
      <c r="H237" s="62">
        <v>13671.049326552387</v>
      </c>
      <c r="I237" s="62">
        <v>0.89738946718812052</v>
      </c>
      <c r="J237" s="62">
        <v>13573.865493444122</v>
      </c>
      <c r="K237" s="62">
        <v>0.88960562610583105</v>
      </c>
      <c r="L237" s="62">
        <f t="shared" si="38"/>
        <v>-4146.7607530127189</v>
      </c>
      <c r="M237" s="62">
        <f t="shared" si="39"/>
        <v>-0.2764840644247003</v>
      </c>
      <c r="N237" s="62">
        <f t="shared" si="40"/>
        <v>-4189.7483417425537</v>
      </c>
      <c r="O237" s="62">
        <f t="shared" si="41"/>
        <v>-0.27961500748452206</v>
      </c>
      <c r="P237" s="62">
        <f t="shared" si="42"/>
        <v>-4092.5645086342884</v>
      </c>
      <c r="Q237" s="62">
        <f t="shared" si="43"/>
        <v>-0.27183116640223259</v>
      </c>
      <c r="R237" s="62">
        <f t="shared" si="44"/>
        <v>16109.388233952028</v>
      </c>
      <c r="S237" s="62">
        <f t="shared" si="45"/>
        <v>23415.703365668094</v>
      </c>
      <c r="T237" s="62">
        <f t="shared" si="46"/>
        <v>23502.411962248316</v>
      </c>
      <c r="U237" s="62">
        <f t="shared" si="47"/>
        <v>23277.157962363824</v>
      </c>
      <c r="V237" s="62">
        <f t="shared" si="37"/>
        <v>1</v>
      </c>
      <c r="W237" s="62">
        <f t="shared" si="37"/>
        <v>0</v>
      </c>
      <c r="X237" s="62">
        <f t="shared" si="37"/>
        <v>0</v>
      </c>
      <c r="Y237" s="62">
        <f t="shared" si="37"/>
        <v>0</v>
      </c>
      <c r="AA237" s="94"/>
    </row>
    <row r="238" spans="2:27" x14ac:dyDescent="0.2">
      <c r="B238" s="94"/>
      <c r="C238" s="62">
        <v>199</v>
      </c>
      <c r="D238" s="62">
        <v>8479.1766067455592</v>
      </c>
      <c r="E238" s="62">
        <v>0.61737016038576575</v>
      </c>
      <c r="F238" s="62">
        <v>12185.652705445684</v>
      </c>
      <c r="G238" s="62">
        <v>0.89377356659001705</v>
      </c>
      <c r="H238" s="62">
        <v>12221.356985028684</v>
      </c>
      <c r="I238" s="62">
        <v>0.89688526733348084</v>
      </c>
      <c r="J238" s="62">
        <v>12149.379007324029</v>
      </c>
      <c r="K238" s="62">
        <v>0.89007921552117752</v>
      </c>
      <c r="L238" s="62">
        <f t="shared" si="38"/>
        <v>-3706.4760987001246</v>
      </c>
      <c r="M238" s="62">
        <f t="shared" si="39"/>
        <v>-0.2764034062042513</v>
      </c>
      <c r="N238" s="62">
        <f t="shared" si="40"/>
        <v>-3742.1803782831248</v>
      </c>
      <c r="O238" s="62">
        <f t="shared" si="41"/>
        <v>-0.27951510694771509</v>
      </c>
      <c r="P238" s="62">
        <f t="shared" si="42"/>
        <v>-3670.2024005784697</v>
      </c>
      <c r="Q238" s="62">
        <f t="shared" si="43"/>
        <v>-0.27270905513541177</v>
      </c>
      <c r="R238" s="62">
        <f t="shared" si="44"/>
        <v>17094.764917074404</v>
      </c>
      <c r="S238" s="62">
        <f t="shared" si="45"/>
        <v>24838.023516979185</v>
      </c>
      <c r="T238" s="62">
        <f t="shared" si="46"/>
        <v>24931.218328993429</v>
      </c>
      <c r="U238" s="62">
        <f t="shared" si="47"/>
        <v>24721.262416425227</v>
      </c>
      <c r="V238" s="62">
        <f t="shared" si="37"/>
        <v>1</v>
      </c>
      <c r="W238" s="62">
        <f t="shared" si="37"/>
        <v>0</v>
      </c>
      <c r="X238" s="62">
        <f t="shared" si="37"/>
        <v>0</v>
      </c>
      <c r="Y238" s="62">
        <f t="shared" si="37"/>
        <v>0</v>
      </c>
      <c r="AA238" s="94"/>
    </row>
    <row r="239" spans="2:27" x14ac:dyDescent="0.2">
      <c r="B239" s="94"/>
      <c r="C239" s="62">
        <v>200</v>
      </c>
      <c r="D239" s="62">
        <v>12038.76898258706</v>
      </c>
      <c r="E239" s="62">
        <v>0.61810951831931515</v>
      </c>
      <c r="F239" s="62">
        <v>17308.317026879125</v>
      </c>
      <c r="G239" s="62">
        <v>0.89440462152726585</v>
      </c>
      <c r="H239" s="62">
        <v>17357.052462386961</v>
      </c>
      <c r="I239" s="62">
        <v>0.89718552034431165</v>
      </c>
      <c r="J239" s="62">
        <v>17238.083889808069</v>
      </c>
      <c r="K239" s="62">
        <v>0.88979481929139248</v>
      </c>
      <c r="L239" s="62">
        <f t="shared" si="38"/>
        <v>-5269.5480442920652</v>
      </c>
      <c r="M239" s="62">
        <f t="shared" si="39"/>
        <v>-0.2762951032079507</v>
      </c>
      <c r="N239" s="62">
        <f t="shared" si="40"/>
        <v>-5318.2834797999003</v>
      </c>
      <c r="O239" s="62">
        <f t="shared" si="41"/>
        <v>-0.27907600202499649</v>
      </c>
      <c r="P239" s="62">
        <f t="shared" si="42"/>
        <v>-5199.314907221009</v>
      </c>
      <c r="Q239" s="62">
        <f t="shared" si="43"/>
        <v>-0.27168530097207733</v>
      </c>
      <c r="R239" s="62">
        <f t="shared" si="44"/>
        <v>13565.799704272251</v>
      </c>
      <c r="S239" s="62">
        <f t="shared" si="45"/>
        <v>19741.500015266338</v>
      </c>
      <c r="T239" s="62">
        <f t="shared" si="46"/>
        <v>19807.960532355803</v>
      </c>
      <c r="U239" s="62">
        <f t="shared" si="47"/>
        <v>19620.776704518576</v>
      </c>
      <c r="V239" s="62">
        <f t="shared" si="37"/>
        <v>1</v>
      </c>
      <c r="W239" s="62">
        <f t="shared" si="37"/>
        <v>0</v>
      </c>
      <c r="X239" s="62">
        <f t="shared" si="37"/>
        <v>0</v>
      </c>
      <c r="Y239" s="62">
        <f t="shared" si="37"/>
        <v>0</v>
      </c>
      <c r="AA239" s="94"/>
    </row>
    <row r="240" spans="2:27" x14ac:dyDescent="0.2">
      <c r="B240" s="94"/>
      <c r="C240" s="62">
        <v>201</v>
      </c>
      <c r="D240" s="62">
        <v>11901.083353163591</v>
      </c>
      <c r="E240" s="62">
        <v>0.61790370756437796</v>
      </c>
      <c r="F240" s="62">
        <v>17114.850907346918</v>
      </c>
      <c r="G240" s="62">
        <v>0.89425264660715897</v>
      </c>
      <c r="H240" s="62">
        <v>17168.690233283531</v>
      </c>
      <c r="I240" s="62">
        <v>0.89735412006680049</v>
      </c>
      <c r="J240" s="62">
        <v>17047.703741355341</v>
      </c>
      <c r="K240" s="62">
        <v>0.88966337870698919</v>
      </c>
      <c r="L240" s="62">
        <f t="shared" si="38"/>
        <v>-5213.7675541833269</v>
      </c>
      <c r="M240" s="62">
        <f t="shared" si="39"/>
        <v>-0.27634893904278102</v>
      </c>
      <c r="N240" s="62">
        <f t="shared" si="40"/>
        <v>-5267.6068801199399</v>
      </c>
      <c r="O240" s="62">
        <f t="shared" si="41"/>
        <v>-0.27945041250242253</v>
      </c>
      <c r="P240" s="62">
        <f t="shared" si="42"/>
        <v>-5146.62038819175</v>
      </c>
      <c r="Q240" s="62">
        <f t="shared" si="43"/>
        <v>-0.27175967114261124</v>
      </c>
      <c r="R240" s="62">
        <f t="shared" si="44"/>
        <v>13694.959828983203</v>
      </c>
      <c r="S240" s="62">
        <f t="shared" si="45"/>
        <v>19928.670725708034</v>
      </c>
      <c r="T240" s="62">
        <f t="shared" si="46"/>
        <v>20003.306836363612</v>
      </c>
      <c r="U240" s="62">
        <f t="shared" si="47"/>
        <v>19805.712058202982</v>
      </c>
      <c r="V240" s="62">
        <f t="shared" si="37"/>
        <v>1</v>
      </c>
      <c r="W240" s="62">
        <f t="shared" si="37"/>
        <v>0</v>
      </c>
      <c r="X240" s="62">
        <f t="shared" si="37"/>
        <v>0</v>
      </c>
      <c r="Y240" s="62">
        <f t="shared" si="37"/>
        <v>0</v>
      </c>
      <c r="AA240" s="94"/>
    </row>
    <row r="241" spans="2:27" x14ac:dyDescent="0.2">
      <c r="B241" s="94"/>
      <c r="C241" s="62">
        <v>202</v>
      </c>
      <c r="D241" s="62">
        <v>9227.8469089666196</v>
      </c>
      <c r="E241" s="62">
        <v>0.61764133234068885</v>
      </c>
      <c r="F241" s="62">
        <v>13267.302046989227</v>
      </c>
      <c r="G241" s="62">
        <v>0.8944449193631252</v>
      </c>
      <c r="H241" s="62">
        <v>13303.974610134528</v>
      </c>
      <c r="I241" s="62">
        <v>0.8972300813193711</v>
      </c>
      <c r="J241" s="62">
        <v>13207.000129608521</v>
      </c>
      <c r="K241" s="62">
        <v>0.88926001364221363</v>
      </c>
      <c r="L241" s="62">
        <f t="shared" si="38"/>
        <v>-4039.4551380226076</v>
      </c>
      <c r="M241" s="62">
        <f t="shared" si="39"/>
        <v>-0.27680358702243635</v>
      </c>
      <c r="N241" s="62">
        <f t="shared" si="40"/>
        <v>-4076.1277011679085</v>
      </c>
      <c r="O241" s="62">
        <f t="shared" si="41"/>
        <v>-0.27958874897868224</v>
      </c>
      <c r="P241" s="62">
        <f t="shared" si="42"/>
        <v>-3979.1532206419015</v>
      </c>
      <c r="Q241" s="62">
        <f t="shared" si="43"/>
        <v>-0.27161868130152478</v>
      </c>
      <c r="R241" s="62">
        <f t="shared" si="44"/>
        <v>16357.327641914077</v>
      </c>
      <c r="S241" s="62">
        <f t="shared" si="45"/>
        <v>23784.184292708873</v>
      </c>
      <c r="T241" s="62">
        <f t="shared" si="46"/>
        <v>23862.884278439102</v>
      </c>
      <c r="U241" s="62">
        <f t="shared" si="47"/>
        <v>23629.706675506535</v>
      </c>
      <c r="V241" s="62">
        <f t="shared" si="37"/>
        <v>1</v>
      </c>
      <c r="W241" s="62">
        <f t="shared" si="37"/>
        <v>0</v>
      </c>
      <c r="X241" s="62">
        <f t="shared" si="37"/>
        <v>0</v>
      </c>
      <c r="Y241" s="62">
        <f t="shared" si="37"/>
        <v>0</v>
      </c>
      <c r="AA241" s="94"/>
    </row>
    <row r="242" spans="2:27" x14ac:dyDescent="0.2">
      <c r="B242" s="94"/>
      <c r="C242" s="62">
        <v>203</v>
      </c>
      <c r="D242" s="62">
        <v>8906.8231871118678</v>
      </c>
      <c r="E242" s="62">
        <v>0.61783759442003827</v>
      </c>
      <c r="F242" s="62">
        <v>12784.709798967131</v>
      </c>
      <c r="G242" s="62">
        <v>0.8936847169352482</v>
      </c>
      <c r="H242" s="62">
        <v>12828.935921446187</v>
      </c>
      <c r="I242" s="62">
        <v>0.89724391130375092</v>
      </c>
      <c r="J242" s="62">
        <v>12727.191746009894</v>
      </c>
      <c r="K242" s="62">
        <v>0.8884519734099916</v>
      </c>
      <c r="L242" s="62">
        <f t="shared" si="38"/>
        <v>-3877.8866118552633</v>
      </c>
      <c r="M242" s="62">
        <f t="shared" si="39"/>
        <v>-0.27584712251520993</v>
      </c>
      <c r="N242" s="62">
        <f t="shared" si="40"/>
        <v>-3922.1127343343196</v>
      </c>
      <c r="O242" s="62">
        <f t="shared" si="41"/>
        <v>-0.27940631688371265</v>
      </c>
      <c r="P242" s="62">
        <f t="shared" si="42"/>
        <v>-3820.3685588980261</v>
      </c>
      <c r="Q242" s="62">
        <f t="shared" si="43"/>
        <v>-0.27061437898995333</v>
      </c>
      <c r="R242" s="62">
        <f t="shared" si="44"/>
        <v>16686.481324143795</v>
      </c>
      <c r="S242" s="62">
        <f t="shared" si="45"/>
        <v>24235.285915358589</v>
      </c>
      <c r="T242" s="62">
        <f t="shared" si="46"/>
        <v>24338.495860400391</v>
      </c>
      <c r="U242" s="62">
        <f t="shared" si="47"/>
        <v>24076.042800525604</v>
      </c>
      <c r="V242" s="62">
        <f t="shared" si="37"/>
        <v>1</v>
      </c>
      <c r="W242" s="62">
        <f t="shared" si="37"/>
        <v>0</v>
      </c>
      <c r="X242" s="62">
        <f t="shared" si="37"/>
        <v>0</v>
      </c>
      <c r="Y242" s="62">
        <f t="shared" si="37"/>
        <v>0</v>
      </c>
      <c r="AA242" s="94"/>
    </row>
    <row r="243" spans="2:27" x14ac:dyDescent="0.2">
      <c r="B243" s="94"/>
      <c r="C243" s="62">
        <v>204</v>
      </c>
      <c r="D243" s="62">
        <v>8228.7153912103204</v>
      </c>
      <c r="E243" s="62">
        <v>0.61740178540704582</v>
      </c>
      <c r="F243" s="62">
        <v>11817.205797891345</v>
      </c>
      <c r="G243" s="62">
        <v>0.89367494323209595</v>
      </c>
      <c r="H243" s="62">
        <v>11849.58081469585</v>
      </c>
      <c r="I243" s="62">
        <v>0.89658087262985753</v>
      </c>
      <c r="J243" s="62">
        <v>11773.814664897018</v>
      </c>
      <c r="K243" s="62">
        <v>0.8892201335415445</v>
      </c>
      <c r="L243" s="62">
        <f t="shared" si="38"/>
        <v>-3588.490406681025</v>
      </c>
      <c r="M243" s="62">
        <f t="shared" si="39"/>
        <v>-0.27627315782505013</v>
      </c>
      <c r="N243" s="62">
        <f t="shared" si="40"/>
        <v>-3620.8654234855294</v>
      </c>
      <c r="O243" s="62">
        <f t="shared" si="41"/>
        <v>-0.27917908722281171</v>
      </c>
      <c r="P243" s="62">
        <f t="shared" si="42"/>
        <v>-3545.0992736866974</v>
      </c>
      <c r="Q243" s="62">
        <f t="shared" si="43"/>
        <v>-0.27181834813449868</v>
      </c>
      <c r="R243" s="62">
        <f t="shared" si="44"/>
        <v>17346.536167491147</v>
      </c>
      <c r="S243" s="62">
        <f t="shared" si="45"/>
        <v>25202.385050555</v>
      </c>
      <c r="T243" s="62">
        <f t="shared" si="46"/>
        <v>25290.385253123364</v>
      </c>
      <c r="U243" s="62">
        <f t="shared" si="47"/>
        <v>25061.240146927925</v>
      </c>
      <c r="V243" s="62">
        <f t="shared" si="37"/>
        <v>1</v>
      </c>
      <c r="W243" s="62">
        <f t="shared" si="37"/>
        <v>0</v>
      </c>
      <c r="X243" s="62">
        <f t="shared" si="37"/>
        <v>0</v>
      </c>
      <c r="Y243" s="62">
        <f t="shared" si="37"/>
        <v>0</v>
      </c>
      <c r="AA243" s="94"/>
    </row>
    <row r="244" spans="2:27" x14ac:dyDescent="0.2">
      <c r="B244" s="94"/>
      <c r="C244" s="62">
        <v>205</v>
      </c>
      <c r="D244" s="62">
        <v>9392.323683317265</v>
      </c>
      <c r="E244" s="62">
        <v>0.61819972905514531</v>
      </c>
      <c r="F244" s="62">
        <v>13485.410254002249</v>
      </c>
      <c r="G244" s="62">
        <v>0.89400448271447708</v>
      </c>
      <c r="H244" s="62">
        <v>13524.841266410118</v>
      </c>
      <c r="I244" s="62">
        <v>0.89694491246145169</v>
      </c>
      <c r="J244" s="62">
        <v>13441.424330703283</v>
      </c>
      <c r="K244" s="62">
        <v>0.88996199058016712</v>
      </c>
      <c r="L244" s="62">
        <f t="shared" si="38"/>
        <v>-4093.0865706849836</v>
      </c>
      <c r="M244" s="62">
        <f t="shared" si="39"/>
        <v>-0.27580475365933177</v>
      </c>
      <c r="N244" s="62">
        <f t="shared" si="40"/>
        <v>-4132.5175830928529</v>
      </c>
      <c r="O244" s="62">
        <f t="shared" si="41"/>
        <v>-0.27874518340630638</v>
      </c>
      <c r="P244" s="62">
        <f t="shared" si="42"/>
        <v>-4049.100647386018</v>
      </c>
      <c r="Q244" s="62">
        <f t="shared" si="43"/>
        <v>-0.27176226152502181</v>
      </c>
      <c r="R244" s="62">
        <f t="shared" si="44"/>
        <v>16215.981893063074</v>
      </c>
      <c r="S244" s="62">
        <f t="shared" si="45"/>
        <v>23547.831437962246</v>
      </c>
      <c r="T244" s="62">
        <f t="shared" si="46"/>
        <v>23630.204787393057</v>
      </c>
      <c r="U244" s="62">
        <f t="shared" si="47"/>
        <v>23424.361167089563</v>
      </c>
      <c r="V244" s="62">
        <f t="shared" si="37"/>
        <v>1</v>
      </c>
      <c r="W244" s="62">
        <f t="shared" si="37"/>
        <v>0</v>
      </c>
      <c r="X244" s="62">
        <f t="shared" si="37"/>
        <v>0</v>
      </c>
      <c r="Y244" s="62">
        <f t="shared" si="37"/>
        <v>0</v>
      </c>
      <c r="AA244" s="94"/>
    </row>
    <row r="245" spans="2:27" x14ac:dyDescent="0.2">
      <c r="B245" s="94"/>
      <c r="C245" s="62">
        <v>206</v>
      </c>
      <c r="D245" s="62">
        <v>7689.2364142675815</v>
      </c>
      <c r="E245" s="62">
        <v>0.61794881616988195</v>
      </c>
      <c r="F245" s="62">
        <v>11031.099207949535</v>
      </c>
      <c r="G245" s="62">
        <v>0.89324678217271503</v>
      </c>
      <c r="H245" s="62">
        <v>11072.850339713985</v>
      </c>
      <c r="I245" s="62">
        <v>0.89712042047386342</v>
      </c>
      <c r="J245" s="62">
        <v>10994.759975367751</v>
      </c>
      <c r="K245" s="62">
        <v>0.88929945305194846</v>
      </c>
      <c r="L245" s="62">
        <f t="shared" si="38"/>
        <v>-3341.8627936819539</v>
      </c>
      <c r="M245" s="62">
        <f t="shared" si="39"/>
        <v>-0.27529796600283307</v>
      </c>
      <c r="N245" s="62">
        <f t="shared" si="40"/>
        <v>-3383.6139254464033</v>
      </c>
      <c r="O245" s="62">
        <f t="shared" si="41"/>
        <v>-0.27917160430398147</v>
      </c>
      <c r="P245" s="62">
        <f t="shared" si="42"/>
        <v>-3305.5235611001699</v>
      </c>
      <c r="Q245" s="62">
        <f t="shared" si="43"/>
        <v>-0.27135063688206651</v>
      </c>
      <c r="R245" s="62">
        <f t="shared" si="44"/>
        <v>17908.675346753611</v>
      </c>
      <c r="S245" s="62">
        <f t="shared" si="45"/>
        <v>25970.75549677301</v>
      </c>
      <c r="T245" s="62">
        <f t="shared" si="46"/>
        <v>26089.46595799533</v>
      </c>
      <c r="U245" s="62">
        <f t="shared" si="47"/>
        <v>25843.580567856166</v>
      </c>
      <c r="V245" s="62">
        <f t="shared" si="37"/>
        <v>1</v>
      </c>
      <c r="W245" s="62">
        <f t="shared" si="37"/>
        <v>0</v>
      </c>
      <c r="X245" s="62">
        <f t="shared" si="37"/>
        <v>0</v>
      </c>
      <c r="Y245" s="62">
        <f t="shared" si="37"/>
        <v>0</v>
      </c>
      <c r="AA245" s="94"/>
    </row>
    <row r="246" spans="2:27" x14ac:dyDescent="0.2">
      <c r="B246" s="94"/>
      <c r="C246" s="62">
        <v>207</v>
      </c>
      <c r="D246" s="62">
        <v>10306.08472894136</v>
      </c>
      <c r="E246" s="62">
        <v>0.61729094879864432</v>
      </c>
      <c r="F246" s="62">
        <v>14826.629326063956</v>
      </c>
      <c r="G246" s="62">
        <v>0.89390598387922471</v>
      </c>
      <c r="H246" s="62">
        <v>14879.240268252257</v>
      </c>
      <c r="I246" s="62">
        <v>0.89743410659408229</v>
      </c>
      <c r="J246" s="62">
        <v>14772.42480060048</v>
      </c>
      <c r="K246" s="62">
        <v>0.88963694162506846</v>
      </c>
      <c r="L246" s="62">
        <f t="shared" si="38"/>
        <v>-4520.5445971225963</v>
      </c>
      <c r="M246" s="62">
        <f t="shared" si="39"/>
        <v>-0.27661503508058038</v>
      </c>
      <c r="N246" s="62">
        <f t="shared" si="40"/>
        <v>-4573.1555393108974</v>
      </c>
      <c r="O246" s="62">
        <f t="shared" si="41"/>
        <v>-0.28014315779543797</v>
      </c>
      <c r="P246" s="62">
        <f t="shared" si="42"/>
        <v>-4466.3400716591204</v>
      </c>
      <c r="Q246" s="62">
        <f t="shared" si="43"/>
        <v>-0.27234599282642413</v>
      </c>
      <c r="R246" s="62">
        <f t="shared" si="44"/>
        <v>15264.575534093683</v>
      </c>
      <c r="S246" s="62">
        <f t="shared" si="45"/>
        <v>22202.532150149047</v>
      </c>
      <c r="T246" s="62">
        <f t="shared" si="46"/>
        <v>22296.070163301003</v>
      </c>
      <c r="U246" s="62">
        <f t="shared" si="47"/>
        <v>22079.895869276355</v>
      </c>
      <c r="V246" s="62">
        <f t="shared" si="37"/>
        <v>1</v>
      </c>
      <c r="W246" s="62">
        <f t="shared" si="37"/>
        <v>0</v>
      </c>
      <c r="X246" s="62">
        <f t="shared" si="37"/>
        <v>0</v>
      </c>
      <c r="Y246" s="62">
        <f t="shared" si="37"/>
        <v>0</v>
      </c>
      <c r="AA246" s="94"/>
    </row>
    <row r="247" spans="2:27" x14ac:dyDescent="0.2">
      <c r="B247" s="94"/>
      <c r="C247" s="62">
        <v>208</v>
      </c>
      <c r="D247" s="62">
        <v>10256.626631635016</v>
      </c>
      <c r="E247" s="62">
        <v>0.61754304534589188</v>
      </c>
      <c r="F247" s="62">
        <v>14750.122047755363</v>
      </c>
      <c r="G247" s="62">
        <v>0.89452130063510338</v>
      </c>
      <c r="H247" s="62">
        <v>14778.473454280716</v>
      </c>
      <c r="I247" s="62">
        <v>0.89655805006108902</v>
      </c>
      <c r="J247" s="62">
        <v>14672.407198439374</v>
      </c>
      <c r="K247" s="62">
        <v>0.88868173992100619</v>
      </c>
      <c r="L247" s="62">
        <f t="shared" si="38"/>
        <v>-4493.4954161203477</v>
      </c>
      <c r="M247" s="62">
        <f t="shared" si="39"/>
        <v>-0.27697825528921149</v>
      </c>
      <c r="N247" s="62">
        <f t="shared" si="40"/>
        <v>-4521.8468226457007</v>
      </c>
      <c r="O247" s="62">
        <f t="shared" si="41"/>
        <v>-0.27901500471519713</v>
      </c>
      <c r="P247" s="62">
        <f t="shared" si="42"/>
        <v>-4415.7805668043584</v>
      </c>
      <c r="Q247" s="62">
        <f t="shared" si="43"/>
        <v>-0.2711386945751143</v>
      </c>
      <c r="R247" s="62">
        <f t="shared" si="44"/>
        <v>15324.476478773209</v>
      </c>
      <c r="S247" s="62">
        <f t="shared" si="45"/>
        <v>22304.528309753157</v>
      </c>
      <c r="T247" s="62">
        <f t="shared" si="46"/>
        <v>22360.547211449837</v>
      </c>
      <c r="U247" s="62">
        <f t="shared" si="47"/>
        <v>22140.345196048387</v>
      </c>
      <c r="V247" s="62">
        <f t="shared" si="37"/>
        <v>1</v>
      </c>
      <c r="W247" s="62">
        <f t="shared" si="37"/>
        <v>0</v>
      </c>
      <c r="X247" s="62">
        <f t="shared" si="37"/>
        <v>0</v>
      </c>
      <c r="Y247" s="62">
        <f t="shared" si="37"/>
        <v>0</v>
      </c>
      <c r="AA247" s="94"/>
    </row>
    <row r="248" spans="2:27" x14ac:dyDescent="0.2">
      <c r="B248" s="94"/>
      <c r="C248" s="62">
        <v>209</v>
      </c>
      <c r="D248" s="62">
        <v>12032.101919843824</v>
      </c>
      <c r="E248" s="62">
        <v>0.6176964126063802</v>
      </c>
      <c r="F248" s="62">
        <v>17318.093248651461</v>
      </c>
      <c r="G248" s="62">
        <v>0.89450946931749054</v>
      </c>
      <c r="H248" s="62">
        <v>17358.801404729573</v>
      </c>
      <c r="I248" s="62">
        <v>0.8968226102373994</v>
      </c>
      <c r="J248" s="62">
        <v>17259.068734386288</v>
      </c>
      <c r="K248" s="62">
        <v>0.89053445515465823</v>
      </c>
      <c r="L248" s="62">
        <f t="shared" si="38"/>
        <v>-5285.9913288076368</v>
      </c>
      <c r="M248" s="62">
        <f t="shared" si="39"/>
        <v>-0.27681305671111034</v>
      </c>
      <c r="N248" s="62">
        <f t="shared" si="40"/>
        <v>-5326.6994848857485</v>
      </c>
      <c r="O248" s="62">
        <f t="shared" si="41"/>
        <v>-0.2791261976310192</v>
      </c>
      <c r="P248" s="62">
        <f t="shared" si="42"/>
        <v>-5226.9668145424639</v>
      </c>
      <c r="Q248" s="62">
        <f t="shared" si="43"/>
        <v>-0.27283804254827804</v>
      </c>
      <c r="R248" s="62">
        <f t="shared" si="44"/>
        <v>13555.354275962867</v>
      </c>
      <c r="S248" s="62">
        <f t="shared" si="45"/>
        <v>19736.067008356269</v>
      </c>
      <c r="T248" s="62">
        <f t="shared" si="46"/>
        <v>19791.178401744459</v>
      </c>
      <c r="U248" s="62">
        <f t="shared" si="47"/>
        <v>19630.430535940272</v>
      </c>
      <c r="V248" s="62">
        <f t="shared" si="37"/>
        <v>1</v>
      </c>
      <c r="W248" s="62">
        <f t="shared" si="37"/>
        <v>0</v>
      </c>
      <c r="X248" s="62">
        <f t="shared" si="37"/>
        <v>0</v>
      </c>
      <c r="Y248" s="62">
        <f t="shared" si="37"/>
        <v>0</v>
      </c>
      <c r="AA248" s="94"/>
    </row>
    <row r="249" spans="2:27" x14ac:dyDescent="0.2">
      <c r="B249" s="94"/>
      <c r="C249" s="62">
        <v>210</v>
      </c>
      <c r="D249" s="62">
        <v>9685.0737327260613</v>
      </c>
      <c r="E249" s="62">
        <v>0.61719018372393619</v>
      </c>
      <c r="F249" s="62">
        <v>13933.390100926556</v>
      </c>
      <c r="G249" s="62">
        <v>0.89437243856416371</v>
      </c>
      <c r="H249" s="62">
        <v>13974.432874948405</v>
      </c>
      <c r="I249" s="62">
        <v>0.89720575372962685</v>
      </c>
      <c r="J249" s="62">
        <v>13873.015149513198</v>
      </c>
      <c r="K249" s="62">
        <v>0.88931539951876482</v>
      </c>
      <c r="L249" s="62">
        <f t="shared" si="38"/>
        <v>-4248.3163682004943</v>
      </c>
      <c r="M249" s="62">
        <f t="shared" si="39"/>
        <v>-0.27718225484022752</v>
      </c>
      <c r="N249" s="62">
        <f t="shared" si="40"/>
        <v>-4289.3591422223435</v>
      </c>
      <c r="O249" s="62">
        <f t="shared" si="41"/>
        <v>-0.28001557000569066</v>
      </c>
      <c r="P249" s="62">
        <f t="shared" si="42"/>
        <v>-4187.9414167871364</v>
      </c>
      <c r="Q249" s="62">
        <f t="shared" si="43"/>
        <v>-0.27212521579482862</v>
      </c>
      <c r="R249" s="62">
        <f t="shared" si="44"/>
        <v>15881.412437854273</v>
      </c>
      <c r="S249" s="62">
        <f t="shared" si="45"/>
        <v>23115.093794155364</v>
      </c>
      <c r="T249" s="62">
        <f t="shared" si="46"/>
        <v>23191.418267547655</v>
      </c>
      <c r="U249" s="62">
        <f t="shared" si="47"/>
        <v>22965.985960152113</v>
      </c>
      <c r="V249" s="62">
        <f t="shared" si="37"/>
        <v>1</v>
      </c>
      <c r="W249" s="62">
        <f t="shared" si="37"/>
        <v>0</v>
      </c>
      <c r="X249" s="62">
        <f t="shared" si="37"/>
        <v>0</v>
      </c>
      <c r="Y249" s="62">
        <f t="shared" si="37"/>
        <v>0</v>
      </c>
      <c r="AA249" s="94"/>
    </row>
    <row r="250" spans="2:27" x14ac:dyDescent="0.2">
      <c r="B250" s="94"/>
      <c r="C250" s="62">
        <v>211</v>
      </c>
      <c r="D250" s="62">
        <v>9989.438800325097</v>
      </c>
      <c r="E250" s="62">
        <v>0.61786114427096761</v>
      </c>
      <c r="F250" s="62">
        <v>14359.432486647416</v>
      </c>
      <c r="G250" s="62">
        <v>0.89431820582763155</v>
      </c>
      <c r="H250" s="62">
        <v>14391.055194708739</v>
      </c>
      <c r="I250" s="62">
        <v>0.89661305457327811</v>
      </c>
      <c r="J250" s="62">
        <v>14301.525343217736</v>
      </c>
      <c r="K250" s="62">
        <v>0.88954668817977445</v>
      </c>
      <c r="L250" s="62">
        <f t="shared" si="38"/>
        <v>-4369.9936863223193</v>
      </c>
      <c r="M250" s="62">
        <f t="shared" si="39"/>
        <v>-0.27645706155666394</v>
      </c>
      <c r="N250" s="62">
        <f t="shared" si="40"/>
        <v>-4401.6163943836418</v>
      </c>
      <c r="O250" s="62">
        <f t="shared" si="41"/>
        <v>-0.2787519103023105</v>
      </c>
      <c r="P250" s="62">
        <f t="shared" si="42"/>
        <v>-4312.086542892639</v>
      </c>
      <c r="Q250" s="62">
        <f t="shared" si="43"/>
        <v>-0.27168554390880684</v>
      </c>
      <c r="R250" s="62">
        <f t="shared" si="44"/>
        <v>15604.841239955465</v>
      </c>
      <c r="S250" s="62">
        <f t="shared" si="45"/>
        <v>22686.804871556396</v>
      </c>
      <c r="T250" s="62">
        <f t="shared" si="46"/>
        <v>22750.243977934733</v>
      </c>
      <c r="U250" s="62">
        <f t="shared" si="47"/>
        <v>22547.056667941244</v>
      </c>
      <c r="V250" s="62">
        <f t="shared" si="37"/>
        <v>1</v>
      </c>
      <c r="W250" s="62">
        <f t="shared" si="37"/>
        <v>0</v>
      </c>
      <c r="X250" s="62">
        <f t="shared" si="37"/>
        <v>0</v>
      </c>
      <c r="Y250" s="62">
        <f t="shared" si="37"/>
        <v>0</v>
      </c>
      <c r="AA250" s="94"/>
    </row>
    <row r="251" spans="2:27" x14ac:dyDescent="0.2">
      <c r="B251" s="94"/>
      <c r="C251" s="62">
        <v>212</v>
      </c>
      <c r="D251" s="62">
        <v>10443.618096981008</v>
      </c>
      <c r="E251" s="62">
        <v>0.61787200797149611</v>
      </c>
      <c r="F251" s="62">
        <v>15018.374491218334</v>
      </c>
      <c r="G251" s="62">
        <v>0.89448063285295065</v>
      </c>
      <c r="H251" s="62">
        <v>15063.561407159217</v>
      </c>
      <c r="I251" s="62">
        <v>0.89756167545384002</v>
      </c>
      <c r="J251" s="62">
        <v>14955.52588539235</v>
      </c>
      <c r="K251" s="62">
        <v>0.88968133416132</v>
      </c>
      <c r="L251" s="62">
        <f t="shared" si="38"/>
        <v>-4574.7563942373254</v>
      </c>
      <c r="M251" s="62">
        <f t="shared" si="39"/>
        <v>-0.27660862488145455</v>
      </c>
      <c r="N251" s="62">
        <f t="shared" si="40"/>
        <v>-4619.9433101782088</v>
      </c>
      <c r="O251" s="62">
        <f t="shared" si="41"/>
        <v>-0.27968966748234392</v>
      </c>
      <c r="P251" s="62">
        <f t="shared" si="42"/>
        <v>-4511.9077884113412</v>
      </c>
      <c r="Q251" s="62">
        <f t="shared" si="43"/>
        <v>-0.2718093261898239</v>
      </c>
      <c r="R251" s="62">
        <f t="shared" si="44"/>
        <v>15151.111961230246</v>
      </c>
      <c r="S251" s="62">
        <f t="shared" si="45"/>
        <v>22034.591244082294</v>
      </c>
      <c r="T251" s="62">
        <f t="shared" si="46"/>
        <v>22117.033436840651</v>
      </c>
      <c r="U251" s="62">
        <f t="shared" si="47"/>
        <v>21898.633700906168</v>
      </c>
      <c r="V251" s="62">
        <f t="shared" si="37"/>
        <v>1</v>
      </c>
      <c r="W251" s="62">
        <f t="shared" si="37"/>
        <v>0</v>
      </c>
      <c r="X251" s="62">
        <f t="shared" si="37"/>
        <v>0</v>
      </c>
      <c r="Y251" s="62">
        <f t="shared" si="37"/>
        <v>0</v>
      </c>
      <c r="AA251" s="94"/>
    </row>
    <row r="252" spans="2:27" x14ac:dyDescent="0.2">
      <c r="B252" s="94"/>
      <c r="C252" s="62">
        <v>213</v>
      </c>
      <c r="D252" s="62">
        <v>9168.5983440178879</v>
      </c>
      <c r="E252" s="62">
        <v>0.61795187411810237</v>
      </c>
      <c r="F252" s="62">
        <v>13163.306407076523</v>
      </c>
      <c r="G252" s="62">
        <v>0.89402400134804549</v>
      </c>
      <c r="H252" s="62">
        <v>13210.233810585769</v>
      </c>
      <c r="I252" s="62">
        <v>0.89757373033380161</v>
      </c>
      <c r="J252" s="62">
        <v>13111.34587768794</v>
      </c>
      <c r="K252" s="62">
        <v>0.88922819303030021</v>
      </c>
      <c r="L252" s="62">
        <f t="shared" si="38"/>
        <v>-3994.7080630586352</v>
      </c>
      <c r="M252" s="62">
        <f t="shared" si="39"/>
        <v>-0.27607212722994312</v>
      </c>
      <c r="N252" s="62">
        <f t="shared" si="40"/>
        <v>-4041.6354665678809</v>
      </c>
      <c r="O252" s="62">
        <f t="shared" si="41"/>
        <v>-0.27962185621569924</v>
      </c>
      <c r="P252" s="62">
        <f t="shared" si="42"/>
        <v>-3942.7475336700518</v>
      </c>
      <c r="Q252" s="62">
        <f t="shared" si="43"/>
        <v>-0.27127631891219783</v>
      </c>
      <c r="R252" s="62">
        <f t="shared" si="44"/>
        <v>16429.440089450385</v>
      </c>
      <c r="S252" s="62">
        <f t="shared" si="45"/>
        <v>23870.743824764912</v>
      </c>
      <c r="T252" s="62">
        <f t="shared" si="46"/>
        <v>23970.860394761628</v>
      </c>
      <c r="U252" s="62">
        <f t="shared" si="47"/>
        <v>23724.042790399217</v>
      </c>
      <c r="V252" s="62">
        <f t="shared" si="37"/>
        <v>1</v>
      </c>
      <c r="W252" s="62">
        <f t="shared" si="37"/>
        <v>0</v>
      </c>
      <c r="X252" s="62">
        <f t="shared" si="37"/>
        <v>0</v>
      </c>
      <c r="Y252" s="62">
        <f t="shared" si="37"/>
        <v>0</v>
      </c>
      <c r="AA252" s="94"/>
    </row>
    <row r="253" spans="2:27" x14ac:dyDescent="0.2">
      <c r="B253" s="94"/>
      <c r="C253" s="62">
        <v>214</v>
      </c>
      <c r="D253" s="62">
        <v>11495.372549569107</v>
      </c>
      <c r="E253" s="62">
        <v>0.61805217882202446</v>
      </c>
      <c r="F253" s="62">
        <v>16522.549759833655</v>
      </c>
      <c r="G253" s="62">
        <v>0.89447325586837845</v>
      </c>
      <c r="H253" s="62">
        <v>16568.19949737244</v>
      </c>
      <c r="I253" s="62">
        <v>0.89709321653461893</v>
      </c>
      <c r="J253" s="62">
        <v>16449.008044153496</v>
      </c>
      <c r="K253" s="62">
        <v>0.88926009680743667</v>
      </c>
      <c r="L253" s="62">
        <f t="shared" si="38"/>
        <v>-5027.1772102645482</v>
      </c>
      <c r="M253" s="62">
        <f t="shared" si="39"/>
        <v>-0.27642107704635399</v>
      </c>
      <c r="N253" s="62">
        <f t="shared" si="40"/>
        <v>-5072.8269478033326</v>
      </c>
      <c r="O253" s="62">
        <f t="shared" si="41"/>
        <v>-0.27904103771259448</v>
      </c>
      <c r="P253" s="62">
        <f t="shared" si="42"/>
        <v>-4953.6354945843887</v>
      </c>
      <c r="Q253" s="62">
        <f t="shared" si="43"/>
        <v>-0.27120791798541222</v>
      </c>
      <c r="R253" s="62">
        <f t="shared" si="44"/>
        <v>14106.820905954435</v>
      </c>
      <c r="S253" s="62">
        <f t="shared" si="45"/>
        <v>20530.110391258055</v>
      </c>
      <c r="T253" s="62">
        <f t="shared" si="46"/>
        <v>20592.989904357612</v>
      </c>
      <c r="U253" s="62">
        <f t="shared" si="47"/>
        <v>20387.702205997761</v>
      </c>
      <c r="V253" s="62">
        <f t="shared" si="37"/>
        <v>1</v>
      </c>
      <c r="W253" s="62">
        <f t="shared" si="37"/>
        <v>0</v>
      </c>
      <c r="X253" s="62">
        <f t="shared" si="37"/>
        <v>0</v>
      </c>
      <c r="Y253" s="62">
        <f t="shared" si="37"/>
        <v>0</v>
      </c>
      <c r="AA253" s="94"/>
    </row>
    <row r="254" spans="2:27" x14ac:dyDescent="0.2">
      <c r="B254" s="94"/>
      <c r="C254" s="62">
        <v>215</v>
      </c>
      <c r="D254" s="62">
        <v>9252.4234326197529</v>
      </c>
      <c r="E254" s="62">
        <v>0.61750938967446589</v>
      </c>
      <c r="F254" s="62">
        <v>13282.548191985654</v>
      </c>
      <c r="G254" s="62">
        <v>0.89415364741887127</v>
      </c>
      <c r="H254" s="62">
        <v>13316.771390897</v>
      </c>
      <c r="I254" s="62">
        <v>0.89665257322400727</v>
      </c>
      <c r="J254" s="62">
        <v>13233.19529091919</v>
      </c>
      <c r="K254" s="62">
        <v>0.88911876038975635</v>
      </c>
      <c r="L254" s="62">
        <f t="shared" si="38"/>
        <v>-4030.1247593659009</v>
      </c>
      <c r="M254" s="62">
        <f t="shared" si="39"/>
        <v>-0.27664425774440538</v>
      </c>
      <c r="N254" s="62">
        <f t="shared" si="40"/>
        <v>-4064.347958277247</v>
      </c>
      <c r="O254" s="62">
        <f t="shared" si="41"/>
        <v>-0.27914318354954137</v>
      </c>
      <c r="P254" s="62">
        <f t="shared" si="42"/>
        <v>-3980.7718582994366</v>
      </c>
      <c r="Q254" s="62">
        <f t="shared" si="43"/>
        <v>-0.27160937071529045</v>
      </c>
      <c r="R254" s="62">
        <f t="shared" si="44"/>
        <v>16327.285525255322</v>
      </c>
      <c r="S254" s="62">
        <f t="shared" si="45"/>
        <v>23756.872498693672</v>
      </c>
      <c r="T254" s="62">
        <f t="shared" si="46"/>
        <v>23826.164802334275</v>
      </c>
      <c r="U254" s="62">
        <f t="shared" si="47"/>
        <v>23597.66023946608</v>
      </c>
      <c r="V254" s="62">
        <f t="shared" si="37"/>
        <v>1</v>
      </c>
      <c r="W254" s="62">
        <f t="shared" si="37"/>
        <v>0</v>
      </c>
      <c r="X254" s="62">
        <f t="shared" si="37"/>
        <v>0</v>
      </c>
      <c r="Y254" s="62">
        <f t="shared" si="37"/>
        <v>0</v>
      </c>
      <c r="AA254" s="94"/>
    </row>
    <row r="255" spans="2:27" x14ac:dyDescent="0.2">
      <c r="B255" s="94"/>
      <c r="C255" s="62">
        <v>216</v>
      </c>
      <c r="D255" s="62">
        <v>10924.476537730978</v>
      </c>
      <c r="E255" s="62">
        <v>0.61786614943393503</v>
      </c>
      <c r="F255" s="62">
        <v>15694.970018747932</v>
      </c>
      <c r="G255" s="62">
        <v>0.89378689914948728</v>
      </c>
      <c r="H255" s="62">
        <v>15755.965362184315</v>
      </c>
      <c r="I255" s="62">
        <v>0.89755147433434612</v>
      </c>
      <c r="J255" s="62">
        <v>15640.706237530845</v>
      </c>
      <c r="K255" s="62">
        <v>0.88947087433732708</v>
      </c>
      <c r="L255" s="62">
        <f t="shared" si="38"/>
        <v>-4770.4934810169543</v>
      </c>
      <c r="M255" s="62">
        <f t="shared" si="39"/>
        <v>-0.27592074971555225</v>
      </c>
      <c r="N255" s="62">
        <f t="shared" si="40"/>
        <v>-4831.4888244533377</v>
      </c>
      <c r="O255" s="62">
        <f t="shared" si="41"/>
        <v>-0.27968532490041109</v>
      </c>
      <c r="P255" s="62">
        <f t="shared" si="42"/>
        <v>-4716.2296997998674</v>
      </c>
      <c r="Q255" s="62">
        <f t="shared" si="43"/>
        <v>-0.27160472490339205</v>
      </c>
      <c r="R255" s="62">
        <f t="shared" si="44"/>
        <v>14670.010836420348</v>
      </c>
      <c r="S255" s="62">
        <f t="shared" si="45"/>
        <v>21329.258491620429</v>
      </c>
      <c r="T255" s="62">
        <f t="shared" si="46"/>
        <v>21424.206910641638</v>
      </c>
      <c r="U255" s="62">
        <f t="shared" si="47"/>
        <v>21204.735261018592</v>
      </c>
      <c r="V255" s="62">
        <f t="shared" si="37"/>
        <v>1</v>
      </c>
      <c r="W255" s="62">
        <f t="shared" si="37"/>
        <v>0</v>
      </c>
      <c r="X255" s="62">
        <f t="shared" si="37"/>
        <v>0</v>
      </c>
      <c r="Y255" s="62">
        <f t="shared" si="37"/>
        <v>0</v>
      </c>
      <c r="AA255" s="94"/>
    </row>
    <row r="256" spans="2:27" x14ac:dyDescent="0.2">
      <c r="B256" s="94"/>
      <c r="C256" s="62">
        <v>217</v>
      </c>
      <c r="D256" s="62">
        <v>9468.89245587605</v>
      </c>
      <c r="E256" s="62">
        <v>0.61786068697349572</v>
      </c>
      <c r="F256" s="62">
        <v>13603.24276905188</v>
      </c>
      <c r="G256" s="62">
        <v>0.89401727074940873</v>
      </c>
      <c r="H256" s="62">
        <v>13639.332873839074</v>
      </c>
      <c r="I256" s="62">
        <v>0.89669205159719956</v>
      </c>
      <c r="J256" s="62">
        <v>13540.183564306808</v>
      </c>
      <c r="K256" s="62">
        <v>0.8887468627054711</v>
      </c>
      <c r="L256" s="62">
        <f t="shared" si="38"/>
        <v>-4134.3503131758298</v>
      </c>
      <c r="M256" s="62">
        <f t="shared" si="39"/>
        <v>-0.27615658377591301</v>
      </c>
      <c r="N256" s="62">
        <f t="shared" si="40"/>
        <v>-4170.4404179630237</v>
      </c>
      <c r="O256" s="62">
        <f t="shared" si="41"/>
        <v>-0.27883136462370384</v>
      </c>
      <c r="P256" s="62">
        <f t="shared" si="42"/>
        <v>-4071.291108430758</v>
      </c>
      <c r="Q256" s="62">
        <f t="shared" si="43"/>
        <v>-0.27088617573197538</v>
      </c>
      <c r="R256" s="62">
        <f t="shared" si="44"/>
        <v>16125.368641314037</v>
      </c>
      <c r="S256" s="62">
        <f t="shared" si="45"/>
        <v>23430.528654471629</v>
      </c>
      <c r="T256" s="62">
        <f t="shared" si="46"/>
        <v>23505.238671523319</v>
      </c>
      <c r="U256" s="62">
        <f t="shared" si="47"/>
        <v>23275.266476404624</v>
      </c>
      <c r="V256" s="62">
        <f t="shared" si="37"/>
        <v>1</v>
      </c>
      <c r="W256" s="62">
        <f t="shared" si="37"/>
        <v>0</v>
      </c>
      <c r="X256" s="62">
        <f t="shared" si="37"/>
        <v>0</v>
      </c>
      <c r="Y256" s="62">
        <f t="shared" si="37"/>
        <v>0</v>
      </c>
      <c r="AA256" s="94"/>
    </row>
    <row r="257" spans="2:27" x14ac:dyDescent="0.2">
      <c r="B257" s="94"/>
      <c r="C257" s="62">
        <v>218</v>
      </c>
      <c r="D257" s="62">
        <v>8270.5053681913014</v>
      </c>
      <c r="E257" s="62">
        <v>0.61740100642480744</v>
      </c>
      <c r="F257" s="62">
        <v>11886.832591233511</v>
      </c>
      <c r="G257" s="62">
        <v>0.89430535655487742</v>
      </c>
      <c r="H257" s="62">
        <v>11921.297051040579</v>
      </c>
      <c r="I257" s="62">
        <v>0.89734609313534064</v>
      </c>
      <c r="J257" s="62">
        <v>11837.215613446342</v>
      </c>
      <c r="K257" s="62">
        <v>0.88935784438631327</v>
      </c>
      <c r="L257" s="62">
        <f t="shared" si="38"/>
        <v>-3616.3272230422099</v>
      </c>
      <c r="M257" s="62">
        <f t="shared" si="39"/>
        <v>-0.27690435013006998</v>
      </c>
      <c r="N257" s="62">
        <f t="shared" si="40"/>
        <v>-3650.791682849278</v>
      </c>
      <c r="O257" s="62">
        <f t="shared" si="41"/>
        <v>-0.2799450867105332</v>
      </c>
      <c r="P257" s="62">
        <f t="shared" si="42"/>
        <v>-3566.7102452550407</v>
      </c>
      <c r="Q257" s="62">
        <f t="shared" si="43"/>
        <v>-0.27195683796150583</v>
      </c>
      <c r="R257" s="62">
        <f t="shared" si="44"/>
        <v>17304.713921949922</v>
      </c>
      <c r="S257" s="62">
        <f t="shared" si="45"/>
        <v>25158.872498695731</v>
      </c>
      <c r="T257" s="62">
        <f t="shared" si="46"/>
        <v>25250.36751099777</v>
      </c>
      <c r="U257" s="62">
        <f t="shared" si="47"/>
        <v>25003.543732412298</v>
      </c>
      <c r="V257" s="62">
        <f t="shared" si="37"/>
        <v>1</v>
      </c>
      <c r="W257" s="62">
        <f t="shared" si="37"/>
        <v>0</v>
      </c>
      <c r="X257" s="62">
        <f t="shared" si="37"/>
        <v>0</v>
      </c>
      <c r="Y257" s="62">
        <f t="shared" si="37"/>
        <v>0</v>
      </c>
      <c r="AA257" s="94"/>
    </row>
    <row r="258" spans="2:27" x14ac:dyDescent="0.2">
      <c r="B258" s="94"/>
      <c r="C258" s="62">
        <v>219</v>
      </c>
      <c r="D258" s="62">
        <v>10689.513162433692</v>
      </c>
      <c r="E258" s="62">
        <v>0.61765917278620119</v>
      </c>
      <c r="F258" s="62">
        <v>15366.489837224668</v>
      </c>
      <c r="G258" s="62">
        <v>0.89389004159647467</v>
      </c>
      <c r="H258" s="62">
        <v>15409.083839148916</v>
      </c>
      <c r="I258" s="62">
        <v>0.89666720888797358</v>
      </c>
      <c r="J258" s="62">
        <v>15306.181122023598</v>
      </c>
      <c r="K258" s="62">
        <v>0.88927479448721103</v>
      </c>
      <c r="L258" s="62">
        <f t="shared" si="38"/>
        <v>-4676.9766747909762</v>
      </c>
      <c r="M258" s="62">
        <f t="shared" si="39"/>
        <v>-0.27623086881027348</v>
      </c>
      <c r="N258" s="62">
        <f t="shared" si="40"/>
        <v>-4719.5706767152242</v>
      </c>
      <c r="O258" s="62">
        <f t="shared" si="41"/>
        <v>-0.27900803610177238</v>
      </c>
      <c r="P258" s="62">
        <f t="shared" si="42"/>
        <v>-4616.6679595899059</v>
      </c>
      <c r="Q258" s="62">
        <f t="shared" si="43"/>
        <v>-0.27161562170100984</v>
      </c>
      <c r="R258" s="62">
        <f t="shared" si="44"/>
        <v>14896.400411061908</v>
      </c>
      <c r="S258" s="62">
        <f t="shared" si="45"/>
        <v>21662.011245867696</v>
      </c>
      <c r="T258" s="62">
        <f t="shared" si="46"/>
        <v>21734.458621826503</v>
      </c>
      <c r="U258" s="62">
        <f t="shared" si="47"/>
        <v>21531.137964814632</v>
      </c>
      <c r="V258" s="62">
        <f t="shared" si="37"/>
        <v>1</v>
      </c>
      <c r="W258" s="62">
        <f t="shared" si="37"/>
        <v>0</v>
      </c>
      <c r="X258" s="62">
        <f t="shared" si="37"/>
        <v>0</v>
      </c>
      <c r="Y258" s="62">
        <f t="shared" si="37"/>
        <v>0</v>
      </c>
      <c r="AA258" s="94"/>
    </row>
    <row r="259" spans="2:27" x14ac:dyDescent="0.2">
      <c r="B259" s="94"/>
      <c r="C259" s="62">
        <v>220</v>
      </c>
      <c r="D259" s="62">
        <v>12740.681132482454</v>
      </c>
      <c r="E259" s="62">
        <v>0.61782703156600727</v>
      </c>
      <c r="F259" s="62">
        <v>18327.343166799619</v>
      </c>
      <c r="G259" s="62">
        <v>0.89415285849964565</v>
      </c>
      <c r="H259" s="62">
        <v>18390.81848793594</v>
      </c>
      <c r="I259" s="62">
        <v>0.89750357045446572</v>
      </c>
      <c r="J259" s="62">
        <v>18234.804232946848</v>
      </c>
      <c r="K259" s="62">
        <v>0.88854840213248609</v>
      </c>
      <c r="L259" s="62">
        <f t="shared" si="38"/>
        <v>-5586.6620343171653</v>
      </c>
      <c r="M259" s="62">
        <f t="shared" si="39"/>
        <v>-0.27632582693363839</v>
      </c>
      <c r="N259" s="62">
        <f t="shared" si="40"/>
        <v>-5650.1373554534857</v>
      </c>
      <c r="O259" s="62">
        <f t="shared" si="41"/>
        <v>-0.27967653888845845</v>
      </c>
      <c r="P259" s="62">
        <f t="shared" si="42"/>
        <v>-5494.1231004643942</v>
      </c>
      <c r="Q259" s="62">
        <f t="shared" si="43"/>
        <v>-0.27072137056647883</v>
      </c>
      <c r="R259" s="62">
        <f t="shared" si="44"/>
        <v>12852.185823107831</v>
      </c>
      <c r="S259" s="62">
        <f t="shared" si="45"/>
        <v>18712.044843689706</v>
      </c>
      <c r="T259" s="62">
        <f t="shared" si="46"/>
        <v>18787.369414569846</v>
      </c>
      <c r="U259" s="62">
        <f t="shared" si="47"/>
        <v>18572.424776989257</v>
      </c>
      <c r="V259" s="62">
        <f t="shared" si="37"/>
        <v>1</v>
      </c>
      <c r="W259" s="62">
        <f t="shared" si="37"/>
        <v>0</v>
      </c>
      <c r="X259" s="62">
        <f t="shared" si="37"/>
        <v>0</v>
      </c>
      <c r="Y259" s="62">
        <f t="shared" si="37"/>
        <v>0</v>
      </c>
      <c r="AA259" s="94"/>
    </row>
    <row r="260" spans="2:27" x14ac:dyDescent="0.2">
      <c r="B260" s="94"/>
      <c r="C260" s="62">
        <v>221</v>
      </c>
      <c r="D260" s="62">
        <v>11695.568373585074</v>
      </c>
      <c r="E260" s="62">
        <v>0.61773691644840945</v>
      </c>
      <c r="F260" s="62">
        <v>16823.944670922694</v>
      </c>
      <c r="G260" s="62">
        <v>0.89415624517862369</v>
      </c>
      <c r="H260" s="62">
        <v>16879.335145800978</v>
      </c>
      <c r="I260" s="62">
        <v>0.8974827307567762</v>
      </c>
      <c r="J260" s="62">
        <v>16751.332617438962</v>
      </c>
      <c r="K260" s="62">
        <v>0.88930133839014824</v>
      </c>
      <c r="L260" s="62">
        <f t="shared" si="38"/>
        <v>-5128.3762973376197</v>
      </c>
      <c r="M260" s="62">
        <f t="shared" si="39"/>
        <v>-0.27641932873021424</v>
      </c>
      <c r="N260" s="62">
        <f t="shared" si="40"/>
        <v>-5183.766772215904</v>
      </c>
      <c r="O260" s="62">
        <f t="shared" si="41"/>
        <v>-0.27974581430836676</v>
      </c>
      <c r="P260" s="62">
        <f t="shared" si="42"/>
        <v>-5055.7642438538878</v>
      </c>
      <c r="Q260" s="62">
        <f t="shared" si="43"/>
        <v>-0.2715644219417388</v>
      </c>
      <c r="R260" s="62">
        <f t="shared" si="44"/>
        <v>13893.565653373838</v>
      </c>
      <c r="S260" s="62">
        <f t="shared" si="45"/>
        <v>20215.583629356614</v>
      </c>
      <c r="T260" s="62">
        <f t="shared" si="46"/>
        <v>20297.989493067718</v>
      </c>
      <c r="U260" s="62">
        <f t="shared" si="47"/>
        <v>20087.086024034539</v>
      </c>
      <c r="V260" s="62">
        <f t="shared" si="37"/>
        <v>1</v>
      </c>
      <c r="W260" s="62">
        <f t="shared" si="37"/>
        <v>0</v>
      </c>
      <c r="X260" s="62">
        <f t="shared" si="37"/>
        <v>0</v>
      </c>
      <c r="Y260" s="62">
        <f t="shared" si="37"/>
        <v>0</v>
      </c>
      <c r="AA260" s="94"/>
    </row>
    <row r="261" spans="2:27" x14ac:dyDescent="0.2">
      <c r="B261" s="94"/>
      <c r="C261" s="62">
        <v>222</v>
      </c>
      <c r="D261" s="62">
        <v>6986.5687352623427</v>
      </c>
      <c r="E261" s="62">
        <v>0.61815427546268742</v>
      </c>
      <c r="F261" s="62">
        <v>10008.945944902311</v>
      </c>
      <c r="G261" s="62">
        <v>0.89353334968711673</v>
      </c>
      <c r="H261" s="62">
        <v>10044.596945052517</v>
      </c>
      <c r="I261" s="62">
        <v>0.89751417905117614</v>
      </c>
      <c r="J261" s="62">
        <v>9978.0589794767293</v>
      </c>
      <c r="K261" s="62">
        <v>0.88937761160635365</v>
      </c>
      <c r="L261" s="62">
        <f t="shared" si="38"/>
        <v>-3022.377209639968</v>
      </c>
      <c r="M261" s="62">
        <f t="shared" si="39"/>
        <v>-0.27537907422442931</v>
      </c>
      <c r="N261" s="62">
        <f t="shared" si="40"/>
        <v>-3058.0282097901745</v>
      </c>
      <c r="O261" s="62">
        <f t="shared" si="41"/>
        <v>-0.27935990358848872</v>
      </c>
      <c r="P261" s="62">
        <f t="shared" si="42"/>
        <v>-2991.4902442143866</v>
      </c>
      <c r="Q261" s="62">
        <f t="shared" si="43"/>
        <v>-0.27122333614366623</v>
      </c>
      <c r="R261" s="62">
        <f t="shared" si="44"/>
        <v>18619.853971504021</v>
      </c>
      <c r="S261" s="62">
        <f t="shared" si="45"/>
        <v>27004.779532536813</v>
      </c>
      <c r="T261" s="62">
        <f t="shared" si="46"/>
        <v>27134.030407963408</v>
      </c>
      <c r="U261" s="62">
        <f t="shared" si="47"/>
        <v>26863.519203704862</v>
      </c>
      <c r="V261" s="62">
        <f t="shared" si="37"/>
        <v>1</v>
      </c>
      <c r="W261" s="62">
        <f t="shared" si="37"/>
        <v>0</v>
      </c>
      <c r="X261" s="62">
        <f t="shared" si="37"/>
        <v>0</v>
      </c>
      <c r="Y261" s="62">
        <f t="shared" si="37"/>
        <v>0</v>
      </c>
      <c r="AA261" s="94"/>
    </row>
    <row r="262" spans="2:27" x14ac:dyDescent="0.2">
      <c r="B262" s="94"/>
      <c r="C262" s="62">
        <v>223</v>
      </c>
      <c r="D262" s="62">
        <v>8761.9387477783694</v>
      </c>
      <c r="E262" s="62">
        <v>0.61742980255563407</v>
      </c>
      <c r="F262" s="62">
        <v>12594.894668667856</v>
      </c>
      <c r="G262" s="62">
        <v>0.89420642301073772</v>
      </c>
      <c r="H262" s="62">
        <v>12629.026750771647</v>
      </c>
      <c r="I262" s="62">
        <v>0.89695799297685441</v>
      </c>
      <c r="J262" s="62">
        <v>12552.791406930894</v>
      </c>
      <c r="K262" s="62">
        <v>0.89003882890065578</v>
      </c>
      <c r="L262" s="62">
        <f t="shared" si="38"/>
        <v>-3832.9559208894862</v>
      </c>
      <c r="M262" s="62">
        <f t="shared" si="39"/>
        <v>-0.27677662045510365</v>
      </c>
      <c r="N262" s="62">
        <f t="shared" si="40"/>
        <v>-3867.0880029932778</v>
      </c>
      <c r="O262" s="62">
        <f t="shared" si="41"/>
        <v>-0.27952819042122035</v>
      </c>
      <c r="P262" s="62">
        <f t="shared" si="42"/>
        <v>-3790.8526591525242</v>
      </c>
      <c r="Q262" s="62">
        <f t="shared" si="43"/>
        <v>-0.27260902634502171</v>
      </c>
      <c r="R262" s="62">
        <f t="shared" si="44"/>
        <v>16814.473393286215</v>
      </c>
      <c r="S262" s="62">
        <f t="shared" si="45"/>
        <v>24446.712198128946</v>
      </c>
      <c r="T262" s="62">
        <f t="shared" si="46"/>
        <v>24526.561150301568</v>
      </c>
      <c r="U262" s="62">
        <f t="shared" si="47"/>
        <v>24316.177041449871</v>
      </c>
      <c r="V262" s="62">
        <f t="shared" si="37"/>
        <v>1</v>
      </c>
      <c r="W262" s="62">
        <f t="shared" si="37"/>
        <v>0</v>
      </c>
      <c r="X262" s="62">
        <f t="shared" si="37"/>
        <v>0</v>
      </c>
      <c r="Y262" s="62">
        <f t="shared" si="37"/>
        <v>0</v>
      </c>
      <c r="AA262" s="94"/>
    </row>
    <row r="263" spans="2:27" x14ac:dyDescent="0.2">
      <c r="B263" s="94"/>
      <c r="C263" s="62">
        <v>224</v>
      </c>
      <c r="D263" s="62">
        <v>11038.787425989176</v>
      </c>
      <c r="E263" s="62">
        <v>0.6177968567102945</v>
      </c>
      <c r="F263" s="62">
        <v>15868.776504292622</v>
      </c>
      <c r="G263" s="62">
        <v>0.89398388204520696</v>
      </c>
      <c r="H263" s="62">
        <v>15918.821654025922</v>
      </c>
      <c r="I263" s="62">
        <v>0.89704862166725496</v>
      </c>
      <c r="J263" s="62">
        <v>15802.1943055382</v>
      </c>
      <c r="K263" s="62">
        <v>0.88924212044654316</v>
      </c>
      <c r="L263" s="62">
        <f t="shared" si="38"/>
        <v>-4829.9890783034461</v>
      </c>
      <c r="M263" s="62">
        <f t="shared" si="39"/>
        <v>-0.27618702533491246</v>
      </c>
      <c r="N263" s="62">
        <f t="shared" si="40"/>
        <v>-4880.0342280367458</v>
      </c>
      <c r="O263" s="62">
        <f t="shared" si="41"/>
        <v>-0.27925176495696047</v>
      </c>
      <c r="P263" s="62">
        <f t="shared" si="42"/>
        <v>-4763.4068795490239</v>
      </c>
      <c r="Q263" s="62">
        <f t="shared" si="43"/>
        <v>-0.27144526373624867</v>
      </c>
      <c r="R263" s="62">
        <f t="shared" si="44"/>
        <v>14552.829566378063</v>
      </c>
      <c r="S263" s="62">
        <f t="shared" si="45"/>
        <v>21163.611825548029</v>
      </c>
      <c r="T263" s="62">
        <f t="shared" si="46"/>
        <v>21240.520449918447</v>
      </c>
      <c r="U263" s="62">
        <f t="shared" si="47"/>
        <v>21033.771291839403</v>
      </c>
      <c r="V263" s="62">
        <f t="shared" si="37"/>
        <v>1</v>
      </c>
      <c r="W263" s="62">
        <f t="shared" si="37"/>
        <v>0</v>
      </c>
      <c r="X263" s="62">
        <f t="shared" si="37"/>
        <v>0</v>
      </c>
      <c r="Y263" s="62">
        <f t="shared" si="37"/>
        <v>0</v>
      </c>
      <c r="AA263" s="94"/>
    </row>
    <row r="264" spans="2:27" x14ac:dyDescent="0.2">
      <c r="B264" s="94"/>
      <c r="C264" s="62">
        <v>225</v>
      </c>
      <c r="D264" s="62">
        <v>9905.8892662867638</v>
      </c>
      <c r="E264" s="62">
        <v>0.61787503059715998</v>
      </c>
      <c r="F264" s="62">
        <v>14240.318163238868</v>
      </c>
      <c r="G264" s="62">
        <v>0.8946874031538874</v>
      </c>
      <c r="H264" s="62">
        <v>14279.511371723798</v>
      </c>
      <c r="I264" s="62">
        <v>0.89755467150964086</v>
      </c>
      <c r="J264" s="62">
        <v>14182.027870658752</v>
      </c>
      <c r="K264" s="62">
        <v>0.88977262965004023</v>
      </c>
      <c r="L264" s="62">
        <f t="shared" si="38"/>
        <v>-4334.428896952104</v>
      </c>
      <c r="M264" s="62">
        <f t="shared" si="39"/>
        <v>-0.27681237255672742</v>
      </c>
      <c r="N264" s="62">
        <f t="shared" si="40"/>
        <v>-4373.6221054370344</v>
      </c>
      <c r="O264" s="62">
        <f t="shared" si="41"/>
        <v>-0.27967964091248088</v>
      </c>
      <c r="P264" s="62">
        <f t="shared" si="42"/>
        <v>-4276.1386043719885</v>
      </c>
      <c r="Q264" s="62">
        <f t="shared" si="43"/>
        <v>-0.27189759905288025</v>
      </c>
      <c r="R264" s="62">
        <f t="shared" si="44"/>
        <v>15688.966001169991</v>
      </c>
      <c r="S264" s="62">
        <f t="shared" si="45"/>
        <v>22821.212825007766</v>
      </c>
      <c r="T264" s="62">
        <f t="shared" si="46"/>
        <v>22900.793340891563</v>
      </c>
      <c r="U264" s="62">
        <f t="shared" si="47"/>
        <v>22675.913539964513</v>
      </c>
      <c r="V264" s="62">
        <f t="shared" si="37"/>
        <v>1</v>
      </c>
      <c r="W264" s="62">
        <f t="shared" si="37"/>
        <v>0</v>
      </c>
      <c r="X264" s="62">
        <f t="shared" si="37"/>
        <v>0</v>
      </c>
      <c r="Y264" s="62">
        <f t="shared" si="37"/>
        <v>0</v>
      </c>
      <c r="AA264" s="94"/>
    </row>
    <row r="265" spans="2:27" x14ac:dyDescent="0.2">
      <c r="B265" s="94"/>
      <c r="C265" s="62">
        <v>226</v>
      </c>
      <c r="D265" s="62">
        <v>10855.128783409868</v>
      </c>
      <c r="E265" s="62">
        <v>0.61793849967602976</v>
      </c>
      <c r="F265" s="62">
        <v>15602.043450243409</v>
      </c>
      <c r="G265" s="62">
        <v>0.89424340761962029</v>
      </c>
      <c r="H265" s="62">
        <v>15655.429305526792</v>
      </c>
      <c r="I265" s="62">
        <v>0.89759784666321274</v>
      </c>
      <c r="J265" s="62">
        <v>15535.930378300623</v>
      </c>
      <c r="K265" s="62">
        <v>0.88930708175822648</v>
      </c>
      <c r="L265" s="62">
        <f t="shared" si="38"/>
        <v>-4746.9146668335416</v>
      </c>
      <c r="M265" s="62">
        <f t="shared" si="39"/>
        <v>-0.27630490794359053</v>
      </c>
      <c r="N265" s="62">
        <f t="shared" si="40"/>
        <v>-4800.3005221169242</v>
      </c>
      <c r="O265" s="62">
        <f t="shared" si="41"/>
        <v>-0.27965934698718298</v>
      </c>
      <c r="P265" s="62">
        <f t="shared" si="42"/>
        <v>-4680.801594890756</v>
      </c>
      <c r="Q265" s="62">
        <f t="shared" si="43"/>
        <v>-0.27136858208219672</v>
      </c>
      <c r="R265" s="62">
        <f t="shared" si="44"/>
        <v>14742.355627169991</v>
      </c>
      <c r="S265" s="62">
        <f t="shared" si="45"/>
        <v>21441.095466991741</v>
      </c>
      <c r="T265" s="62">
        <f t="shared" si="46"/>
        <v>21526.663894650133</v>
      </c>
      <c r="U265" s="62">
        <f t="shared" si="47"/>
        <v>21302.726176452146</v>
      </c>
      <c r="V265" s="62">
        <f t="shared" si="37"/>
        <v>1</v>
      </c>
      <c r="W265" s="62">
        <f t="shared" si="37"/>
        <v>0</v>
      </c>
      <c r="X265" s="62">
        <f t="shared" si="37"/>
        <v>0</v>
      </c>
      <c r="Y265" s="62">
        <f t="shared" si="37"/>
        <v>0</v>
      </c>
      <c r="AA265" s="94"/>
    </row>
    <row r="266" spans="2:27" x14ac:dyDescent="0.2">
      <c r="B266" s="94"/>
      <c r="C266" s="62">
        <v>227</v>
      </c>
      <c r="D266" s="62">
        <v>9655.1463513154922</v>
      </c>
      <c r="E266" s="62">
        <v>0.61737976710486187</v>
      </c>
      <c r="F266" s="62">
        <v>13869.908202844726</v>
      </c>
      <c r="G266" s="62">
        <v>0.89324976823140612</v>
      </c>
      <c r="H266" s="62">
        <v>13923.543540788327</v>
      </c>
      <c r="I266" s="62">
        <v>0.89707147003193843</v>
      </c>
      <c r="J266" s="62">
        <v>13826.365014630961</v>
      </c>
      <c r="K266" s="62">
        <v>0.88926130701903039</v>
      </c>
      <c r="L266" s="62">
        <f t="shared" si="38"/>
        <v>-4214.7618515292343</v>
      </c>
      <c r="M266" s="62">
        <f t="shared" si="39"/>
        <v>-0.27587000112654425</v>
      </c>
      <c r="N266" s="62">
        <f t="shared" si="40"/>
        <v>-4268.3971894728347</v>
      </c>
      <c r="O266" s="62">
        <f t="shared" si="41"/>
        <v>-0.27969170292707657</v>
      </c>
      <c r="P266" s="62">
        <f t="shared" si="42"/>
        <v>-4171.2186633154688</v>
      </c>
      <c r="Q266" s="62">
        <f t="shared" si="43"/>
        <v>-0.27188153991416852</v>
      </c>
      <c r="R266" s="62">
        <f t="shared" si="44"/>
        <v>15919.193121236305</v>
      </c>
      <c r="S266" s="62">
        <f t="shared" si="45"/>
        <v>23132.070196373043</v>
      </c>
      <c r="T266" s="62">
        <f t="shared" si="46"/>
        <v>23236.745033814688</v>
      </c>
      <c r="U266" s="62">
        <f t="shared" si="47"/>
        <v>23010.395367325356</v>
      </c>
      <c r="V266" s="62">
        <f t="shared" si="37"/>
        <v>1</v>
      </c>
      <c r="W266" s="62">
        <f t="shared" si="37"/>
        <v>0</v>
      </c>
      <c r="X266" s="62">
        <f t="shared" si="37"/>
        <v>0</v>
      </c>
      <c r="Y266" s="62">
        <f t="shared" si="37"/>
        <v>0</v>
      </c>
      <c r="AA266" s="94"/>
    </row>
    <row r="267" spans="2:27" x14ac:dyDescent="0.2">
      <c r="B267" s="94"/>
      <c r="C267" s="62">
        <v>228</v>
      </c>
      <c r="D267" s="62">
        <v>9103.058757418863</v>
      </c>
      <c r="E267" s="62">
        <v>0.61812473943831914</v>
      </c>
      <c r="F267" s="62">
        <v>13082.046929170865</v>
      </c>
      <c r="G267" s="62">
        <v>0.89434903507801267</v>
      </c>
      <c r="H267" s="62">
        <v>13116.539800593835</v>
      </c>
      <c r="I267" s="62">
        <v>0.8971013417136745</v>
      </c>
      <c r="J267" s="62">
        <v>13019.408913332416</v>
      </c>
      <c r="K267" s="62">
        <v>0.88901278797027028</v>
      </c>
      <c r="L267" s="62">
        <f t="shared" si="38"/>
        <v>-3978.988171752002</v>
      </c>
      <c r="M267" s="62">
        <f t="shared" si="39"/>
        <v>-0.27622429563969353</v>
      </c>
      <c r="N267" s="62">
        <f t="shared" si="40"/>
        <v>-4013.481043174972</v>
      </c>
      <c r="O267" s="62">
        <f t="shared" si="41"/>
        <v>-0.27897660227535537</v>
      </c>
      <c r="P267" s="62">
        <f t="shared" si="42"/>
        <v>-3916.350155913553</v>
      </c>
      <c r="Q267" s="62">
        <f t="shared" si="43"/>
        <v>-0.27088804853195114</v>
      </c>
      <c r="R267" s="62">
        <f t="shared" si="44"/>
        <v>16502.140449074068</v>
      </c>
      <c r="S267" s="62">
        <f t="shared" si="45"/>
        <v>23965.467499900733</v>
      </c>
      <c r="T267" s="62">
        <f t="shared" si="46"/>
        <v>24044.986178553423</v>
      </c>
      <c r="U267" s="62">
        <f t="shared" si="47"/>
        <v>23807.056815548058</v>
      </c>
      <c r="V267" s="62">
        <f t="shared" si="37"/>
        <v>1</v>
      </c>
      <c r="W267" s="62">
        <f t="shared" si="37"/>
        <v>0</v>
      </c>
      <c r="X267" s="62">
        <f t="shared" si="37"/>
        <v>0</v>
      </c>
      <c r="Y267" s="62">
        <f t="shared" si="37"/>
        <v>0</v>
      </c>
      <c r="AA267" s="94"/>
    </row>
    <row r="268" spans="2:27" x14ac:dyDescent="0.2">
      <c r="B268" s="94"/>
      <c r="C268" s="62">
        <v>229</v>
      </c>
      <c r="D268" s="62">
        <v>11123.600345887364</v>
      </c>
      <c r="E268" s="62">
        <v>0.61728945944114644</v>
      </c>
      <c r="F268" s="62">
        <v>16006.161232941144</v>
      </c>
      <c r="G268" s="62">
        <v>0.89416074545755908</v>
      </c>
      <c r="H268" s="62">
        <v>16057.519509984837</v>
      </c>
      <c r="I268" s="62">
        <v>0.89730336298104185</v>
      </c>
      <c r="J268" s="62">
        <v>15936.631750136352</v>
      </c>
      <c r="K268" s="62">
        <v>0.8891812543982377</v>
      </c>
      <c r="L268" s="62">
        <f t="shared" si="38"/>
        <v>-4882.5608870537799</v>
      </c>
      <c r="M268" s="62">
        <f t="shared" si="39"/>
        <v>-0.27687128601641264</v>
      </c>
      <c r="N268" s="62">
        <f t="shared" si="40"/>
        <v>-4933.9191640974732</v>
      </c>
      <c r="O268" s="62">
        <f t="shared" si="41"/>
        <v>-0.28001390353989541</v>
      </c>
      <c r="P268" s="62">
        <f t="shared" si="42"/>
        <v>-4813.0314042489881</v>
      </c>
      <c r="Q268" s="62">
        <f t="shared" si="43"/>
        <v>-0.27189179495709126</v>
      </c>
      <c r="R268" s="62">
        <f t="shared" si="44"/>
        <v>14446.998222002687</v>
      </c>
      <c r="S268" s="62">
        <f t="shared" si="45"/>
        <v>21033.553486892786</v>
      </c>
      <c r="T268" s="62">
        <f t="shared" si="46"/>
        <v>21112.374998141844</v>
      </c>
      <c r="U268" s="62">
        <f t="shared" si="47"/>
        <v>20896.812532056247</v>
      </c>
      <c r="V268" s="62">
        <f t="shared" si="37"/>
        <v>1</v>
      </c>
      <c r="W268" s="62">
        <f t="shared" si="37"/>
        <v>0</v>
      </c>
      <c r="X268" s="62">
        <f t="shared" si="37"/>
        <v>0</v>
      </c>
      <c r="Y268" s="62">
        <f t="shared" si="37"/>
        <v>0</v>
      </c>
      <c r="AA268" s="94"/>
    </row>
    <row r="269" spans="2:27" x14ac:dyDescent="0.2">
      <c r="B269" s="94"/>
      <c r="C269" s="62">
        <v>230</v>
      </c>
      <c r="D269" s="62">
        <v>12980.364523165155</v>
      </c>
      <c r="E269" s="62">
        <v>0.6173543295947358</v>
      </c>
      <c r="F269" s="62">
        <v>18686.518048348702</v>
      </c>
      <c r="G269" s="62">
        <v>0.89388966329439845</v>
      </c>
      <c r="H269" s="62">
        <v>18751.025426250573</v>
      </c>
      <c r="I269" s="62">
        <v>0.89733426876193401</v>
      </c>
      <c r="J269" s="62">
        <v>18606.830219436157</v>
      </c>
      <c r="K269" s="62">
        <v>0.88908464153786326</v>
      </c>
      <c r="L269" s="62">
        <f t="shared" si="38"/>
        <v>-5706.1535251835467</v>
      </c>
      <c r="M269" s="62">
        <f t="shared" si="39"/>
        <v>-0.27653533369966266</v>
      </c>
      <c r="N269" s="62">
        <f t="shared" si="40"/>
        <v>-5770.6609030854179</v>
      </c>
      <c r="O269" s="62">
        <f t="shared" si="41"/>
        <v>-0.27997993916719821</v>
      </c>
      <c r="P269" s="62">
        <f t="shared" si="42"/>
        <v>-5626.4656962710014</v>
      </c>
      <c r="Q269" s="62">
        <f t="shared" si="43"/>
        <v>-0.27173031194312747</v>
      </c>
      <c r="R269" s="62">
        <f t="shared" si="44"/>
        <v>12592.921225967179</v>
      </c>
      <c r="S269" s="62">
        <f t="shared" si="45"/>
        <v>18341.967363958462</v>
      </c>
      <c r="T269" s="62">
        <f t="shared" si="46"/>
        <v>18420.14932294378</v>
      </c>
      <c r="U269" s="62">
        <f t="shared" si="47"/>
        <v>18222.611971628288</v>
      </c>
      <c r="V269" s="62">
        <f t="shared" si="37"/>
        <v>1</v>
      </c>
      <c r="W269" s="62">
        <f t="shared" si="37"/>
        <v>0</v>
      </c>
      <c r="X269" s="62">
        <f t="shared" si="37"/>
        <v>0</v>
      </c>
      <c r="Y269" s="62">
        <f t="shared" si="37"/>
        <v>0</v>
      </c>
      <c r="AA269" s="94"/>
    </row>
    <row r="270" spans="2:27" x14ac:dyDescent="0.2">
      <c r="B270" s="94"/>
      <c r="C270" s="62">
        <v>231</v>
      </c>
      <c r="D270" s="62">
        <v>10746.251336831605</v>
      </c>
      <c r="E270" s="62">
        <v>0.61776976894877711</v>
      </c>
      <c r="F270" s="62">
        <v>15449.43467621222</v>
      </c>
      <c r="G270" s="62">
        <v>0.89409024636792289</v>
      </c>
      <c r="H270" s="62">
        <v>15495.231405198394</v>
      </c>
      <c r="I270" s="62">
        <v>0.89693022084477525</v>
      </c>
      <c r="J270" s="62">
        <v>15381.193821712248</v>
      </c>
      <c r="K270" s="62">
        <v>0.88908787860874428</v>
      </c>
      <c r="L270" s="62">
        <f t="shared" si="38"/>
        <v>-4703.1833393806155</v>
      </c>
      <c r="M270" s="62">
        <f t="shared" si="39"/>
        <v>-0.27632047741914578</v>
      </c>
      <c r="N270" s="62">
        <f t="shared" si="40"/>
        <v>-4748.9800683667891</v>
      </c>
      <c r="O270" s="62">
        <f t="shared" si="41"/>
        <v>-0.27916045189599814</v>
      </c>
      <c r="P270" s="62">
        <f t="shared" si="42"/>
        <v>-4634.942484880643</v>
      </c>
      <c r="Q270" s="62">
        <f t="shared" si="43"/>
        <v>-0.27131810965996717</v>
      </c>
      <c r="R270" s="62">
        <f t="shared" si="44"/>
        <v>14844.243572102538</v>
      </c>
      <c r="S270" s="62">
        <f t="shared" si="45"/>
        <v>21587.359689332618</v>
      </c>
      <c r="T270" s="62">
        <f t="shared" si="46"/>
        <v>21659.20606307558</v>
      </c>
      <c r="U270" s="62">
        <f t="shared" si="47"/>
        <v>21448.382461776378</v>
      </c>
      <c r="V270" s="62">
        <f t="shared" si="37"/>
        <v>1</v>
      </c>
      <c r="W270" s="62">
        <f t="shared" si="37"/>
        <v>0</v>
      </c>
      <c r="X270" s="62">
        <f t="shared" si="37"/>
        <v>0</v>
      </c>
      <c r="Y270" s="62">
        <f t="shared" si="37"/>
        <v>0</v>
      </c>
      <c r="AA270" s="94"/>
    </row>
    <row r="271" spans="2:27" x14ac:dyDescent="0.2">
      <c r="B271" s="94"/>
      <c r="C271" s="62">
        <v>232</v>
      </c>
      <c r="D271" s="62">
        <v>11715.327853225761</v>
      </c>
      <c r="E271" s="62">
        <v>0.61776835629460136</v>
      </c>
      <c r="F271" s="62">
        <v>16850.145135266594</v>
      </c>
      <c r="G271" s="62">
        <v>0.89436548024308449</v>
      </c>
      <c r="H271" s="62">
        <v>16890.055939888731</v>
      </c>
      <c r="I271" s="62">
        <v>0.89662911170993109</v>
      </c>
      <c r="J271" s="62">
        <v>16776.516943096467</v>
      </c>
      <c r="K271" s="62">
        <v>0.88934121803270838</v>
      </c>
      <c r="L271" s="62">
        <f t="shared" si="38"/>
        <v>-5134.8172820408327</v>
      </c>
      <c r="M271" s="62">
        <f t="shared" si="39"/>
        <v>-0.27659712394848313</v>
      </c>
      <c r="N271" s="62">
        <f t="shared" si="40"/>
        <v>-5174.7280866629699</v>
      </c>
      <c r="O271" s="62">
        <f t="shared" si="41"/>
        <v>-0.27886075541532973</v>
      </c>
      <c r="P271" s="62">
        <f t="shared" si="42"/>
        <v>-5061.1890898707061</v>
      </c>
      <c r="Q271" s="62">
        <f t="shared" si="43"/>
        <v>-0.27157286173810702</v>
      </c>
      <c r="R271" s="62">
        <f t="shared" si="44"/>
        <v>13875.108537921806</v>
      </c>
      <c r="S271" s="62">
        <f t="shared" si="45"/>
        <v>20198.050518322936</v>
      </c>
      <c r="T271" s="62">
        <f t="shared" si="46"/>
        <v>20251.908383583457</v>
      </c>
      <c r="U271" s="62">
        <f t="shared" si="47"/>
        <v>20063.553672690447</v>
      </c>
      <c r="V271" s="62">
        <f t="shared" si="37"/>
        <v>1</v>
      </c>
      <c r="W271" s="62">
        <f t="shared" si="37"/>
        <v>0</v>
      </c>
      <c r="X271" s="62">
        <f t="shared" si="37"/>
        <v>0</v>
      </c>
      <c r="Y271" s="62">
        <f t="shared" si="37"/>
        <v>0</v>
      </c>
      <c r="AA271" s="94"/>
    </row>
    <row r="272" spans="2:27" x14ac:dyDescent="0.2">
      <c r="B272" s="94"/>
      <c r="C272" s="62">
        <v>233</v>
      </c>
      <c r="D272" s="62">
        <v>11174.164361273453</v>
      </c>
      <c r="E272" s="62">
        <v>0.61725899369001369</v>
      </c>
      <c r="F272" s="62">
        <v>16089.526339563938</v>
      </c>
      <c r="G272" s="62">
        <v>0.89436863615140783</v>
      </c>
      <c r="H272" s="62">
        <v>16123.183862571459</v>
      </c>
      <c r="I272" s="62">
        <v>0.89650235759931329</v>
      </c>
      <c r="J272" s="62">
        <v>16026.116581752231</v>
      </c>
      <c r="K272" s="62">
        <v>0.88993348503264869</v>
      </c>
      <c r="L272" s="62">
        <f t="shared" si="38"/>
        <v>-4915.3619782904843</v>
      </c>
      <c r="M272" s="62">
        <f t="shared" si="39"/>
        <v>-0.27710964246139413</v>
      </c>
      <c r="N272" s="62">
        <f t="shared" si="40"/>
        <v>-4949.0195012980057</v>
      </c>
      <c r="O272" s="62">
        <f t="shared" si="41"/>
        <v>-0.2792433639092996</v>
      </c>
      <c r="P272" s="62">
        <f t="shared" si="42"/>
        <v>-4851.9522204787772</v>
      </c>
      <c r="Q272" s="62">
        <f t="shared" si="43"/>
        <v>-0.27267449134263499</v>
      </c>
      <c r="R272" s="62">
        <f t="shared" si="44"/>
        <v>14395.172193341672</v>
      </c>
      <c r="S272" s="62">
        <f t="shared" si="45"/>
        <v>20958.800044371983</v>
      </c>
      <c r="T272" s="62">
        <f t="shared" si="46"/>
        <v>21013.529798622498</v>
      </c>
      <c r="U272" s="62">
        <f t="shared" si="47"/>
        <v>20838.488102240208</v>
      </c>
      <c r="V272" s="62">
        <f t="shared" si="37"/>
        <v>1</v>
      </c>
      <c r="W272" s="62">
        <f t="shared" si="37"/>
        <v>0</v>
      </c>
      <c r="X272" s="62">
        <f t="shared" si="37"/>
        <v>0</v>
      </c>
      <c r="Y272" s="62">
        <f t="shared" si="37"/>
        <v>0</v>
      </c>
      <c r="AA272" s="94"/>
    </row>
    <row r="273" spans="2:27" x14ac:dyDescent="0.2">
      <c r="B273" s="94"/>
      <c r="C273" s="62">
        <v>234</v>
      </c>
      <c r="D273" s="62">
        <v>11692.402956592045</v>
      </c>
      <c r="E273" s="62">
        <v>0.61749699808304448</v>
      </c>
      <c r="F273" s="62">
        <v>16831.313392687221</v>
      </c>
      <c r="G273" s="62">
        <v>0.89453265241759405</v>
      </c>
      <c r="H273" s="62">
        <v>16874.434686587228</v>
      </c>
      <c r="I273" s="62">
        <v>0.89698953171178408</v>
      </c>
      <c r="J273" s="62">
        <v>16752.62590588089</v>
      </c>
      <c r="K273" s="62">
        <v>0.88931045187012736</v>
      </c>
      <c r="L273" s="62">
        <f t="shared" si="38"/>
        <v>-5138.9104360951769</v>
      </c>
      <c r="M273" s="62">
        <f t="shared" si="39"/>
        <v>-0.27703565433454957</v>
      </c>
      <c r="N273" s="62">
        <f t="shared" si="40"/>
        <v>-5182.0317299951839</v>
      </c>
      <c r="O273" s="62">
        <f t="shared" si="41"/>
        <v>-0.2794925336287396</v>
      </c>
      <c r="P273" s="62">
        <f t="shared" si="42"/>
        <v>-5060.2229492888455</v>
      </c>
      <c r="Q273" s="62">
        <f t="shared" si="43"/>
        <v>-0.27181345378708288</v>
      </c>
      <c r="R273" s="62">
        <f t="shared" si="44"/>
        <v>13886.79269199999</v>
      </c>
      <c r="S273" s="62">
        <f t="shared" si="45"/>
        <v>20223.807201059197</v>
      </c>
      <c r="T273" s="62">
        <f t="shared" si="46"/>
        <v>20282.459675041719</v>
      </c>
      <c r="U273" s="62">
        <f t="shared" si="47"/>
        <v>20086.170252387263</v>
      </c>
      <c r="V273" s="62">
        <f t="shared" si="37"/>
        <v>1</v>
      </c>
      <c r="W273" s="62">
        <f t="shared" si="37"/>
        <v>0</v>
      </c>
      <c r="X273" s="62">
        <f t="shared" si="37"/>
        <v>0</v>
      </c>
      <c r="Y273" s="62">
        <f t="shared" si="37"/>
        <v>0</v>
      </c>
      <c r="AA273" s="94"/>
    </row>
    <row r="274" spans="2:27" x14ac:dyDescent="0.2">
      <c r="B274" s="94"/>
      <c r="C274" s="62">
        <v>235</v>
      </c>
      <c r="D274" s="62">
        <v>10464.737135111838</v>
      </c>
      <c r="E274" s="62">
        <v>0.61789630520439298</v>
      </c>
      <c r="F274" s="62">
        <v>15053.82743398081</v>
      </c>
      <c r="G274" s="62">
        <v>0.89432332413239157</v>
      </c>
      <c r="H274" s="62">
        <v>15089.528987749445</v>
      </c>
      <c r="I274" s="62">
        <v>0.89670296001558603</v>
      </c>
      <c r="J274" s="62">
        <v>14988.247909755426</v>
      </c>
      <c r="K274" s="62">
        <v>0.88939775868895932</v>
      </c>
      <c r="L274" s="62">
        <f t="shared" si="38"/>
        <v>-4589.0902988689722</v>
      </c>
      <c r="M274" s="62">
        <f t="shared" si="39"/>
        <v>-0.27642701892799859</v>
      </c>
      <c r="N274" s="62">
        <f t="shared" si="40"/>
        <v>-4624.791852637607</v>
      </c>
      <c r="O274" s="62">
        <f t="shared" si="41"/>
        <v>-0.27880665481119304</v>
      </c>
      <c r="P274" s="62">
        <f t="shared" si="42"/>
        <v>-4523.5107746435879</v>
      </c>
      <c r="Q274" s="62">
        <f t="shared" si="43"/>
        <v>-0.27150145348456634</v>
      </c>
      <c r="R274" s="62">
        <f t="shared" si="44"/>
        <v>15130.999411674937</v>
      </c>
      <c r="S274" s="62">
        <f t="shared" si="45"/>
        <v>21992.621944879378</v>
      </c>
      <c r="T274" s="62">
        <f t="shared" si="46"/>
        <v>22055.494427936195</v>
      </c>
      <c r="U274" s="62">
        <f t="shared" si="47"/>
        <v>21854.164846176027</v>
      </c>
      <c r="V274" s="62">
        <f t="shared" si="37"/>
        <v>1</v>
      </c>
      <c r="W274" s="62">
        <f t="shared" si="37"/>
        <v>0</v>
      </c>
      <c r="X274" s="62">
        <f t="shared" si="37"/>
        <v>0</v>
      </c>
      <c r="Y274" s="62">
        <f t="shared" si="37"/>
        <v>0</v>
      </c>
      <c r="AA274" s="94"/>
    </row>
    <row r="275" spans="2:27" x14ac:dyDescent="0.2">
      <c r="B275" s="94"/>
      <c r="C275" s="62">
        <v>236</v>
      </c>
      <c r="D275" s="62">
        <v>10995.726398266148</v>
      </c>
      <c r="E275" s="62">
        <v>0.6177756743589875</v>
      </c>
      <c r="F275" s="62">
        <v>15820.59352281654</v>
      </c>
      <c r="G275" s="62">
        <v>0.89423449852090298</v>
      </c>
      <c r="H275" s="62">
        <v>15871.278186353517</v>
      </c>
      <c r="I275" s="62">
        <v>0.89744819214360927</v>
      </c>
      <c r="J275" s="62">
        <v>15759.76050805683</v>
      </c>
      <c r="K275" s="62">
        <v>0.88993865101158998</v>
      </c>
      <c r="L275" s="62">
        <f t="shared" si="38"/>
        <v>-4824.867124550392</v>
      </c>
      <c r="M275" s="62">
        <f t="shared" si="39"/>
        <v>-0.27645882416191547</v>
      </c>
      <c r="N275" s="62">
        <f t="shared" si="40"/>
        <v>-4875.5517880873685</v>
      </c>
      <c r="O275" s="62">
        <f t="shared" si="41"/>
        <v>-0.27967251778462177</v>
      </c>
      <c r="P275" s="62">
        <f t="shared" si="42"/>
        <v>-4764.0341097906821</v>
      </c>
      <c r="Q275" s="62">
        <f t="shared" si="43"/>
        <v>-0.27216297665260247</v>
      </c>
      <c r="R275" s="62">
        <f t="shared" si="44"/>
        <v>14595.01313638055</v>
      </c>
      <c r="S275" s="62">
        <f t="shared" si="45"/>
        <v>21222.176343913343</v>
      </c>
      <c r="T275" s="62">
        <f t="shared" si="46"/>
        <v>21304.615725003354</v>
      </c>
      <c r="U275" s="62">
        <f t="shared" si="47"/>
        <v>21105.058171447272</v>
      </c>
      <c r="V275" s="62">
        <f t="shared" si="37"/>
        <v>1</v>
      </c>
      <c r="W275" s="62">
        <f t="shared" si="37"/>
        <v>0</v>
      </c>
      <c r="X275" s="62">
        <f t="shared" si="37"/>
        <v>0</v>
      </c>
      <c r="Y275" s="62">
        <f t="shared" si="37"/>
        <v>0</v>
      </c>
      <c r="AA275" s="94"/>
    </row>
    <row r="276" spans="2:27" x14ac:dyDescent="0.2">
      <c r="B276" s="94"/>
      <c r="C276" s="62">
        <v>237</v>
      </c>
      <c r="D276" s="62">
        <v>9602.6663662607862</v>
      </c>
      <c r="E276" s="62">
        <v>0.61769043303301219</v>
      </c>
      <c r="F276" s="62">
        <v>13816.951096016977</v>
      </c>
      <c r="G276" s="62">
        <v>0.89493365786532797</v>
      </c>
      <c r="H276" s="62">
        <v>13840.208586125147</v>
      </c>
      <c r="I276" s="62">
        <v>0.89658826625606358</v>
      </c>
      <c r="J276" s="62">
        <v>13743.580848142634</v>
      </c>
      <c r="K276" s="62">
        <v>0.88900546380743795</v>
      </c>
      <c r="L276" s="62">
        <f t="shared" si="38"/>
        <v>-4214.2847297561912</v>
      </c>
      <c r="M276" s="62">
        <f t="shared" si="39"/>
        <v>-0.27724322483231578</v>
      </c>
      <c r="N276" s="62">
        <f t="shared" si="40"/>
        <v>-4237.542219864361</v>
      </c>
      <c r="O276" s="62">
        <f t="shared" si="41"/>
        <v>-0.27889783322305139</v>
      </c>
      <c r="P276" s="62">
        <f t="shared" si="42"/>
        <v>-4140.9144818818477</v>
      </c>
      <c r="Q276" s="62">
        <f t="shared" si="43"/>
        <v>-0.27131503077442576</v>
      </c>
      <c r="R276" s="62">
        <f t="shared" si="44"/>
        <v>15984.542131698712</v>
      </c>
      <c r="S276" s="62">
        <f t="shared" si="45"/>
        <v>23254.780747396369</v>
      </c>
      <c r="T276" s="62">
        <f t="shared" si="46"/>
        <v>23300.063755266034</v>
      </c>
      <c r="U276" s="62">
        <f t="shared" si="47"/>
        <v>23082.581484616676</v>
      </c>
      <c r="V276" s="62">
        <f t="shared" si="37"/>
        <v>1</v>
      </c>
      <c r="W276" s="62">
        <f t="shared" si="37"/>
        <v>0</v>
      </c>
      <c r="X276" s="62">
        <f t="shared" si="37"/>
        <v>0</v>
      </c>
      <c r="Y276" s="62">
        <f t="shared" si="37"/>
        <v>0</v>
      </c>
      <c r="AA276" s="94"/>
    </row>
    <row r="277" spans="2:27" x14ac:dyDescent="0.2">
      <c r="B277" s="94"/>
      <c r="C277" s="62">
        <v>238</v>
      </c>
      <c r="D277" s="62">
        <v>7959.7590826813193</v>
      </c>
      <c r="E277" s="62">
        <v>0.61770146943991566</v>
      </c>
      <c r="F277" s="62">
        <v>11430.727788622222</v>
      </c>
      <c r="G277" s="62">
        <v>0.89415342675185994</v>
      </c>
      <c r="H277" s="62">
        <v>11453.724764237757</v>
      </c>
      <c r="I277" s="62">
        <v>0.89623059601466948</v>
      </c>
      <c r="J277" s="62">
        <v>11387.344507959348</v>
      </c>
      <c r="K277" s="62">
        <v>0.88966857281843992</v>
      </c>
      <c r="L277" s="62">
        <f t="shared" si="38"/>
        <v>-3470.9687059409025</v>
      </c>
      <c r="M277" s="62">
        <f t="shared" si="39"/>
        <v>-0.27645195731194427</v>
      </c>
      <c r="N277" s="62">
        <f t="shared" si="40"/>
        <v>-3493.9656815564376</v>
      </c>
      <c r="O277" s="62">
        <f t="shared" si="41"/>
        <v>-0.27852912657475382</v>
      </c>
      <c r="P277" s="62">
        <f t="shared" si="42"/>
        <v>-3427.5854252780282</v>
      </c>
      <c r="Q277" s="62">
        <f t="shared" si="43"/>
        <v>-0.27196710337852426</v>
      </c>
      <c r="R277" s="62">
        <f t="shared" si="44"/>
        <v>17627.906587397745</v>
      </c>
      <c r="S277" s="62">
        <f t="shared" si="45"/>
        <v>25608.683761146822</v>
      </c>
      <c r="T277" s="62">
        <f t="shared" si="46"/>
        <v>25671.731445073914</v>
      </c>
      <c r="U277" s="62">
        <f t="shared" si="47"/>
        <v>25466.286452471704</v>
      </c>
      <c r="V277" s="62">
        <f t="shared" si="37"/>
        <v>1</v>
      </c>
      <c r="W277" s="62">
        <f t="shared" si="37"/>
        <v>0</v>
      </c>
      <c r="X277" s="62">
        <f t="shared" si="37"/>
        <v>0</v>
      </c>
      <c r="Y277" s="62">
        <f t="shared" si="37"/>
        <v>0</v>
      </c>
      <c r="AA277" s="94"/>
    </row>
    <row r="278" spans="2:27" x14ac:dyDescent="0.2">
      <c r="B278" s="94"/>
      <c r="C278" s="62">
        <v>239</v>
      </c>
      <c r="D278" s="62">
        <v>10275.176049925692</v>
      </c>
      <c r="E278" s="62">
        <v>0.61741643320310224</v>
      </c>
      <c r="F278" s="62">
        <v>14792.274505466457</v>
      </c>
      <c r="G278" s="62">
        <v>0.89479929202435382</v>
      </c>
      <c r="H278" s="62">
        <v>14832.970862256287</v>
      </c>
      <c r="I278" s="62">
        <v>0.89747759469838007</v>
      </c>
      <c r="J278" s="62">
        <v>14730.780679697073</v>
      </c>
      <c r="K278" s="62">
        <v>0.89005613606785638</v>
      </c>
      <c r="L278" s="62">
        <f t="shared" si="38"/>
        <v>-4517.0984555407649</v>
      </c>
      <c r="M278" s="62">
        <f t="shared" si="39"/>
        <v>-0.27738285882125158</v>
      </c>
      <c r="N278" s="62">
        <f t="shared" si="40"/>
        <v>-4557.7948123305941</v>
      </c>
      <c r="O278" s="62">
        <f t="shared" si="41"/>
        <v>-0.28006116149527782</v>
      </c>
      <c r="P278" s="62">
        <f t="shared" si="42"/>
        <v>-4455.6046297713801</v>
      </c>
      <c r="Q278" s="62">
        <f t="shared" si="43"/>
        <v>-0.27263970286475414</v>
      </c>
      <c r="R278" s="62">
        <f t="shared" si="44"/>
        <v>15300.682279079614</v>
      </c>
      <c r="S278" s="62">
        <f t="shared" si="45"/>
        <v>22273.891367350378</v>
      </c>
      <c r="T278" s="62">
        <f t="shared" si="46"/>
        <v>22344.141020529412</v>
      </c>
      <c r="U278" s="62">
        <f t="shared" si="47"/>
        <v>22138.90470077781</v>
      </c>
      <c r="V278" s="62">
        <f t="shared" si="37"/>
        <v>1</v>
      </c>
      <c r="W278" s="62">
        <f t="shared" si="37"/>
        <v>0</v>
      </c>
      <c r="X278" s="62">
        <f t="shared" si="37"/>
        <v>0</v>
      </c>
      <c r="Y278" s="62">
        <f t="shared" si="37"/>
        <v>0</v>
      </c>
      <c r="AA278" s="94"/>
    </row>
    <row r="279" spans="2:27" x14ac:dyDescent="0.2">
      <c r="B279" s="94"/>
      <c r="C279" s="62">
        <v>240</v>
      </c>
      <c r="D279" s="62">
        <v>10040.835843209894</v>
      </c>
      <c r="E279" s="62">
        <v>0.6178119531199463</v>
      </c>
      <c r="F279" s="62">
        <v>14416.64950071255</v>
      </c>
      <c r="G279" s="62">
        <v>0.89381574309327505</v>
      </c>
      <c r="H279" s="62">
        <v>14473.141190215425</v>
      </c>
      <c r="I279" s="62">
        <v>0.89777903199765841</v>
      </c>
      <c r="J279" s="62">
        <v>14368.803999639826</v>
      </c>
      <c r="K279" s="62">
        <v>0.88969676420005828</v>
      </c>
      <c r="L279" s="62">
        <f t="shared" si="38"/>
        <v>-4375.8136575026565</v>
      </c>
      <c r="M279" s="62">
        <f t="shared" si="39"/>
        <v>-0.27600378997332875</v>
      </c>
      <c r="N279" s="62">
        <f t="shared" si="40"/>
        <v>-4432.3053470055311</v>
      </c>
      <c r="O279" s="62">
        <f t="shared" si="41"/>
        <v>-0.27996707887771211</v>
      </c>
      <c r="P279" s="62">
        <f t="shared" si="42"/>
        <v>-4327.9681564299317</v>
      </c>
      <c r="Q279" s="62">
        <f t="shared" si="43"/>
        <v>-0.27188481108011198</v>
      </c>
      <c r="R279" s="62">
        <f t="shared" si="44"/>
        <v>15551.406502830763</v>
      </c>
      <c r="S279" s="62">
        <f t="shared" si="45"/>
        <v>22608.773841183276</v>
      </c>
      <c r="T279" s="62">
        <f t="shared" si="46"/>
        <v>22716.457431255574</v>
      </c>
      <c r="U279" s="62">
        <f t="shared" si="47"/>
        <v>22485.994760583391</v>
      </c>
      <c r="V279" s="62">
        <f t="shared" si="37"/>
        <v>1</v>
      </c>
      <c r="W279" s="62">
        <f t="shared" si="37"/>
        <v>0</v>
      </c>
      <c r="X279" s="62">
        <f t="shared" si="37"/>
        <v>0</v>
      </c>
      <c r="Y279" s="62">
        <f t="shared" si="37"/>
        <v>0</v>
      </c>
      <c r="AA279" s="94"/>
    </row>
    <row r="280" spans="2:27" x14ac:dyDescent="0.2">
      <c r="B280" s="94"/>
      <c r="C280" s="62">
        <v>241</v>
      </c>
      <c r="D280" s="62">
        <v>10667.695385125944</v>
      </c>
      <c r="E280" s="62">
        <v>0.61756267569144463</v>
      </c>
      <c r="F280" s="62">
        <v>15339.406723659071</v>
      </c>
      <c r="G280" s="62">
        <v>0.89429230720219999</v>
      </c>
      <c r="H280" s="62">
        <v>15391.096577864049</v>
      </c>
      <c r="I280" s="62">
        <v>0.89766749026465598</v>
      </c>
      <c r="J280" s="62">
        <v>15271.634658015504</v>
      </c>
      <c r="K280" s="62">
        <v>0.88907126408282289</v>
      </c>
      <c r="L280" s="62">
        <f t="shared" si="38"/>
        <v>-4671.7113385331268</v>
      </c>
      <c r="M280" s="62">
        <f t="shared" si="39"/>
        <v>-0.27672963151075536</v>
      </c>
      <c r="N280" s="62">
        <f t="shared" si="40"/>
        <v>-4723.4011927381052</v>
      </c>
      <c r="O280" s="62">
        <f t="shared" si="41"/>
        <v>-0.28010481457321135</v>
      </c>
      <c r="P280" s="62">
        <f t="shared" si="42"/>
        <v>-4603.93927288956</v>
      </c>
      <c r="Q280" s="62">
        <f t="shared" si="43"/>
        <v>-0.27150858839137826</v>
      </c>
      <c r="R280" s="62">
        <f t="shared" si="44"/>
        <v>14914.220892716459</v>
      </c>
      <c r="S280" s="62">
        <f t="shared" si="45"/>
        <v>21705.757809884861</v>
      </c>
      <c r="T280" s="62">
        <f t="shared" si="46"/>
        <v>21793.881538859063</v>
      </c>
      <c r="U280" s="62">
        <f t="shared" si="47"/>
        <v>21557.253385351349</v>
      </c>
      <c r="V280" s="62">
        <f t="shared" si="37"/>
        <v>1</v>
      </c>
      <c r="W280" s="62">
        <f t="shared" si="37"/>
        <v>0</v>
      </c>
      <c r="X280" s="62">
        <f t="shared" si="37"/>
        <v>0</v>
      </c>
      <c r="Y280" s="62">
        <f t="shared" si="37"/>
        <v>0</v>
      </c>
      <c r="AA280" s="94"/>
    </row>
    <row r="281" spans="2:27" x14ac:dyDescent="0.2">
      <c r="B281" s="94"/>
      <c r="C281" s="62">
        <v>242</v>
      </c>
      <c r="D281" s="62">
        <v>10210.35998353496</v>
      </c>
      <c r="E281" s="62">
        <v>0.61712135334840301</v>
      </c>
      <c r="F281" s="62">
        <v>14692.572486874409</v>
      </c>
      <c r="G281" s="62">
        <v>0.8943786712832783</v>
      </c>
      <c r="H281" s="62">
        <v>14732.084024477104</v>
      </c>
      <c r="I281" s="62">
        <v>0.89710775430226875</v>
      </c>
      <c r="J281" s="62">
        <v>14621.838154242214</v>
      </c>
      <c r="K281" s="62">
        <v>0.88876724073003921</v>
      </c>
      <c r="L281" s="62">
        <f t="shared" si="38"/>
        <v>-4482.2125033394495</v>
      </c>
      <c r="M281" s="62">
        <f t="shared" si="39"/>
        <v>-0.27725731793487529</v>
      </c>
      <c r="N281" s="62">
        <f t="shared" si="40"/>
        <v>-4521.7240409421447</v>
      </c>
      <c r="O281" s="62">
        <f t="shared" si="41"/>
        <v>-0.27998640095386573</v>
      </c>
      <c r="P281" s="62">
        <f t="shared" si="42"/>
        <v>-4411.4781707072543</v>
      </c>
      <c r="Q281" s="62">
        <f t="shared" si="43"/>
        <v>-0.2716458873816362</v>
      </c>
      <c r="R281" s="62">
        <f t="shared" si="44"/>
        <v>15353.274957569287</v>
      </c>
      <c r="S281" s="62">
        <f t="shared" si="45"/>
        <v>22356.169592364116</v>
      </c>
      <c r="T281" s="62">
        <f t="shared" si="46"/>
        <v>22429.707589740079</v>
      </c>
      <c r="U281" s="62">
        <f t="shared" si="47"/>
        <v>22194.456025758933</v>
      </c>
      <c r="V281" s="62">
        <f t="shared" si="37"/>
        <v>1</v>
      </c>
      <c r="W281" s="62">
        <f t="shared" si="37"/>
        <v>0</v>
      </c>
      <c r="X281" s="62">
        <f t="shared" si="37"/>
        <v>0</v>
      </c>
      <c r="Y281" s="62">
        <f t="shared" si="37"/>
        <v>0</v>
      </c>
      <c r="AA281" s="94"/>
    </row>
    <row r="282" spans="2:27" x14ac:dyDescent="0.2">
      <c r="B282" s="94"/>
      <c r="C282" s="62">
        <v>243</v>
      </c>
      <c r="D282" s="62">
        <v>9162.2632292598591</v>
      </c>
      <c r="E282" s="62">
        <v>0.6174374020391441</v>
      </c>
      <c r="F282" s="62">
        <v>13172.593846649748</v>
      </c>
      <c r="G282" s="62">
        <v>0.89403365348382113</v>
      </c>
      <c r="H282" s="62">
        <v>13219.276334274118</v>
      </c>
      <c r="I282" s="62">
        <v>0.8977360843861828</v>
      </c>
      <c r="J282" s="62">
        <v>13131.981085469968</v>
      </c>
      <c r="K282" s="62">
        <v>0.8903108003696546</v>
      </c>
      <c r="L282" s="62">
        <f t="shared" si="38"/>
        <v>-4010.3306173898891</v>
      </c>
      <c r="M282" s="62">
        <f t="shared" si="39"/>
        <v>-0.27659625144467703</v>
      </c>
      <c r="N282" s="62">
        <f t="shared" si="40"/>
        <v>-4057.0131050142591</v>
      </c>
      <c r="O282" s="62">
        <f t="shared" si="41"/>
        <v>-0.2802986823470387</v>
      </c>
      <c r="P282" s="62">
        <f t="shared" si="42"/>
        <v>-3969.7178562101089</v>
      </c>
      <c r="Q282" s="62">
        <f t="shared" si="43"/>
        <v>-0.2728733983305105</v>
      </c>
      <c r="R282" s="62">
        <f t="shared" si="44"/>
        <v>16414.463712809644</v>
      </c>
      <c r="S282" s="62">
        <f t="shared" si="45"/>
        <v>23861.856215264059</v>
      </c>
      <c r="T282" s="62">
        <f t="shared" si="46"/>
        <v>23968.543225339119</v>
      </c>
      <c r="U282" s="62">
        <f t="shared" si="47"/>
        <v>23748.253509042603</v>
      </c>
      <c r="V282" s="62">
        <f t="shared" si="37"/>
        <v>1</v>
      </c>
      <c r="W282" s="62">
        <f t="shared" si="37"/>
        <v>0</v>
      </c>
      <c r="X282" s="62">
        <f t="shared" si="37"/>
        <v>0</v>
      </c>
      <c r="Y282" s="62">
        <f t="shared" si="37"/>
        <v>0</v>
      </c>
      <c r="AA282" s="94"/>
    </row>
    <row r="283" spans="2:27" x14ac:dyDescent="0.2">
      <c r="B283" s="94"/>
      <c r="C283" s="62">
        <v>244</v>
      </c>
      <c r="D283" s="62">
        <v>7785.1238600885954</v>
      </c>
      <c r="E283" s="62">
        <v>0.61758157890621712</v>
      </c>
      <c r="F283" s="62">
        <v>11190.106984322629</v>
      </c>
      <c r="G283" s="62">
        <v>0.89491655098062439</v>
      </c>
      <c r="H283" s="62">
        <v>11223.214213440551</v>
      </c>
      <c r="I283" s="62">
        <v>0.89802969034652014</v>
      </c>
      <c r="J283" s="62">
        <v>11140.791376979652</v>
      </c>
      <c r="K283" s="62">
        <v>0.88968511615121681</v>
      </c>
      <c r="L283" s="62">
        <f t="shared" si="38"/>
        <v>-3404.9831242340333</v>
      </c>
      <c r="M283" s="62">
        <f t="shared" si="39"/>
        <v>-0.27733497207440727</v>
      </c>
      <c r="N283" s="62">
        <f t="shared" si="40"/>
        <v>-3438.0903533519559</v>
      </c>
      <c r="O283" s="62">
        <f t="shared" si="41"/>
        <v>-0.28044811144030302</v>
      </c>
      <c r="P283" s="62">
        <f t="shared" si="42"/>
        <v>-3355.6675168910569</v>
      </c>
      <c r="Q283" s="62">
        <f t="shared" si="43"/>
        <v>-0.27210353724499969</v>
      </c>
      <c r="R283" s="62">
        <f t="shared" si="44"/>
        <v>17797.575464522542</v>
      </c>
      <c r="S283" s="62">
        <f t="shared" si="45"/>
        <v>25880.916223498753</v>
      </c>
      <c r="T283" s="62">
        <f t="shared" si="46"/>
        <v>25976.767679473698</v>
      </c>
      <c r="U283" s="62">
        <f t="shared" si="47"/>
        <v>25713.524874468356</v>
      </c>
      <c r="V283" s="62">
        <f t="shared" si="37"/>
        <v>1</v>
      </c>
      <c r="W283" s="62">
        <f t="shared" si="37"/>
        <v>0</v>
      </c>
      <c r="X283" s="62">
        <f t="shared" si="37"/>
        <v>0</v>
      </c>
      <c r="Y283" s="62">
        <f t="shared" si="37"/>
        <v>0</v>
      </c>
      <c r="AA283" s="94"/>
    </row>
    <row r="284" spans="2:27" x14ac:dyDescent="0.2">
      <c r="B284" s="94"/>
      <c r="C284" s="62">
        <v>245</v>
      </c>
      <c r="D284" s="62">
        <v>10667.434506673706</v>
      </c>
      <c r="E284" s="62">
        <v>0.61735946211393011</v>
      </c>
      <c r="F284" s="62">
        <v>15342.218842029555</v>
      </c>
      <c r="G284" s="62">
        <v>0.8939378555575852</v>
      </c>
      <c r="H284" s="62">
        <v>15401.609108354696</v>
      </c>
      <c r="I284" s="62">
        <v>0.89772770395553758</v>
      </c>
      <c r="J284" s="62">
        <v>15287.162459638737</v>
      </c>
      <c r="K284" s="62">
        <v>0.88960545967496618</v>
      </c>
      <c r="L284" s="62">
        <f t="shared" si="38"/>
        <v>-4674.7843353558492</v>
      </c>
      <c r="M284" s="62">
        <f t="shared" si="39"/>
        <v>-0.27657839344365509</v>
      </c>
      <c r="N284" s="62">
        <f t="shared" si="40"/>
        <v>-4734.1746016809902</v>
      </c>
      <c r="O284" s="62">
        <f t="shared" si="41"/>
        <v>-0.28036824184160747</v>
      </c>
      <c r="P284" s="62">
        <f t="shared" si="42"/>
        <v>-4619.7279529650314</v>
      </c>
      <c r="Q284" s="62">
        <f t="shared" si="43"/>
        <v>-0.27224599756103607</v>
      </c>
      <c r="R284" s="62">
        <f t="shared" si="44"/>
        <v>14906.063851933735</v>
      </c>
      <c r="S284" s="62">
        <f t="shared" si="45"/>
        <v>21688.262886587851</v>
      </c>
      <c r="T284" s="62">
        <f t="shared" si="46"/>
        <v>21785.863300299494</v>
      </c>
      <c r="U284" s="62">
        <f t="shared" si="47"/>
        <v>21563.854101937064</v>
      </c>
      <c r="V284" s="62">
        <f t="shared" si="37"/>
        <v>1</v>
      </c>
      <c r="W284" s="62">
        <f t="shared" si="37"/>
        <v>0</v>
      </c>
      <c r="X284" s="62">
        <f t="shared" si="37"/>
        <v>0</v>
      </c>
      <c r="Y284" s="62">
        <f t="shared" si="37"/>
        <v>0</v>
      </c>
      <c r="AA284" s="94"/>
    </row>
    <row r="285" spans="2:27" x14ac:dyDescent="0.2">
      <c r="B285" s="94"/>
      <c r="C285" s="62">
        <v>246</v>
      </c>
      <c r="D285" s="62">
        <v>9566.021467615943</v>
      </c>
      <c r="E285" s="62">
        <v>0.61722069755882558</v>
      </c>
      <c r="F285" s="62">
        <v>13758.889387777264</v>
      </c>
      <c r="G285" s="62">
        <v>0.89449280312723656</v>
      </c>
      <c r="H285" s="62">
        <v>13806.889406740938</v>
      </c>
      <c r="I285" s="62">
        <v>0.89789002352466907</v>
      </c>
      <c r="J285" s="62">
        <v>13698.980820072202</v>
      </c>
      <c r="K285" s="62">
        <v>0.88944303771355193</v>
      </c>
      <c r="L285" s="62">
        <f t="shared" si="38"/>
        <v>-4192.8679201613213</v>
      </c>
      <c r="M285" s="62">
        <f t="shared" si="39"/>
        <v>-0.27727210556841098</v>
      </c>
      <c r="N285" s="62">
        <f t="shared" si="40"/>
        <v>-4240.8679391249952</v>
      </c>
      <c r="O285" s="62">
        <f t="shared" si="41"/>
        <v>-0.28066932596584349</v>
      </c>
      <c r="P285" s="62">
        <f t="shared" si="42"/>
        <v>-4132.9593524562588</v>
      </c>
      <c r="Q285" s="62">
        <f t="shared" si="43"/>
        <v>-0.27222234015472635</v>
      </c>
      <c r="R285" s="62">
        <f t="shared" si="44"/>
        <v>16001.728708060849</v>
      </c>
      <c r="S285" s="62">
        <f t="shared" si="45"/>
        <v>23294.580488965381</v>
      </c>
      <c r="T285" s="62">
        <f t="shared" si="46"/>
        <v>23387.30692774495</v>
      </c>
      <c r="U285" s="62">
        <f t="shared" si="47"/>
        <v>23145.307574173974</v>
      </c>
      <c r="V285" s="62">
        <f t="shared" si="37"/>
        <v>1</v>
      </c>
      <c r="W285" s="62">
        <f t="shared" si="37"/>
        <v>0</v>
      </c>
      <c r="X285" s="62">
        <f t="shared" si="37"/>
        <v>0</v>
      </c>
      <c r="Y285" s="62">
        <f t="shared" si="37"/>
        <v>0</v>
      </c>
      <c r="AA285" s="94"/>
    </row>
    <row r="286" spans="2:27" x14ac:dyDescent="0.2">
      <c r="B286" s="94"/>
      <c r="C286" s="62">
        <v>247</v>
      </c>
      <c r="D286" s="62">
        <v>10867.591130907125</v>
      </c>
      <c r="E286" s="62">
        <v>0.61861587541115037</v>
      </c>
      <c r="F286" s="62">
        <v>15600.345582146716</v>
      </c>
      <c r="G286" s="62">
        <v>0.89379425643814037</v>
      </c>
      <c r="H286" s="62">
        <v>15663.687013813867</v>
      </c>
      <c r="I286" s="62">
        <v>0.89775820718946631</v>
      </c>
      <c r="J286" s="62">
        <v>15532.950793931348</v>
      </c>
      <c r="K286" s="62">
        <v>0.88882989939221069</v>
      </c>
      <c r="L286" s="62">
        <f t="shared" si="38"/>
        <v>-4732.7544512395907</v>
      </c>
      <c r="M286" s="62">
        <f t="shared" si="39"/>
        <v>-0.27517838102698999</v>
      </c>
      <c r="N286" s="62">
        <f t="shared" si="40"/>
        <v>-4796.0958829067422</v>
      </c>
      <c r="O286" s="62">
        <f t="shared" si="41"/>
        <v>-0.27914233177831593</v>
      </c>
      <c r="P286" s="62">
        <f t="shared" si="42"/>
        <v>-4665.3596630242228</v>
      </c>
      <c r="Q286" s="62">
        <f t="shared" si="43"/>
        <v>-0.27021402398106031</v>
      </c>
      <c r="R286" s="62">
        <f t="shared" si="44"/>
        <v>14757.952892124367</v>
      </c>
      <c r="S286" s="62">
        <f t="shared" si="45"/>
        <v>21424.187696546811</v>
      </c>
      <c r="T286" s="62">
        <f t="shared" si="46"/>
        <v>21525.048960802582</v>
      </c>
      <c r="U286" s="62">
        <f t="shared" si="47"/>
        <v>21285.938958491584</v>
      </c>
      <c r="V286" s="62">
        <f t="shared" si="37"/>
        <v>1</v>
      </c>
      <c r="W286" s="62">
        <f t="shared" si="37"/>
        <v>0</v>
      </c>
      <c r="X286" s="62">
        <f t="shared" si="37"/>
        <v>0</v>
      </c>
      <c r="Y286" s="62">
        <f t="shared" si="37"/>
        <v>0</v>
      </c>
      <c r="AA286" s="94"/>
    </row>
    <row r="287" spans="2:27" x14ac:dyDescent="0.2">
      <c r="B287" s="94"/>
      <c r="C287" s="62">
        <v>248</v>
      </c>
      <c r="D287" s="62">
        <v>12030.13823394523</v>
      </c>
      <c r="E287" s="62">
        <v>0.6178128737327917</v>
      </c>
      <c r="F287" s="62">
        <v>17311.650616904022</v>
      </c>
      <c r="G287" s="62">
        <v>0.89421053564829778</v>
      </c>
      <c r="H287" s="62">
        <v>17365.108741772336</v>
      </c>
      <c r="I287" s="62">
        <v>0.89728278498015956</v>
      </c>
      <c r="J287" s="62">
        <v>17232.888550142074</v>
      </c>
      <c r="K287" s="62">
        <v>0.88929169890881021</v>
      </c>
      <c r="L287" s="62">
        <f t="shared" si="38"/>
        <v>-5281.5123829587919</v>
      </c>
      <c r="M287" s="62">
        <f t="shared" si="39"/>
        <v>-0.27639766191550608</v>
      </c>
      <c r="N287" s="62">
        <f t="shared" si="40"/>
        <v>-5334.9705078271054</v>
      </c>
      <c r="O287" s="62">
        <f t="shared" si="41"/>
        <v>-0.27946991124736786</v>
      </c>
      <c r="P287" s="62">
        <f t="shared" si="42"/>
        <v>-5202.7503161968434</v>
      </c>
      <c r="Q287" s="62">
        <f t="shared" si="43"/>
        <v>-0.27147882517601851</v>
      </c>
      <c r="R287" s="62">
        <f t="shared" si="44"/>
        <v>13562.142247561935</v>
      </c>
      <c r="S287" s="62">
        <f t="shared" si="45"/>
        <v>19730.126611791064</v>
      </c>
      <c r="T287" s="62">
        <f t="shared" si="46"/>
        <v>19803.933343245797</v>
      </c>
      <c r="U287" s="62">
        <f t="shared" si="47"/>
        <v>19605.13078545648</v>
      </c>
      <c r="V287" s="62">
        <f t="shared" si="37"/>
        <v>1</v>
      </c>
      <c r="W287" s="62">
        <f t="shared" si="37"/>
        <v>0</v>
      </c>
      <c r="X287" s="62">
        <f t="shared" si="37"/>
        <v>0</v>
      </c>
      <c r="Y287" s="62">
        <f t="shared" si="37"/>
        <v>0</v>
      </c>
      <c r="AA287" s="94"/>
    </row>
    <row r="288" spans="2:27" x14ac:dyDescent="0.2">
      <c r="B288" s="94"/>
      <c r="C288" s="62">
        <v>249</v>
      </c>
      <c r="D288" s="62">
        <v>8666.0638008144706</v>
      </c>
      <c r="E288" s="62">
        <v>0.61766162926089718</v>
      </c>
      <c r="F288" s="62">
        <v>12444.426635406913</v>
      </c>
      <c r="G288" s="62">
        <v>0.89422832026062615</v>
      </c>
      <c r="H288" s="62">
        <v>12468.346566050375</v>
      </c>
      <c r="I288" s="62">
        <v>0.89630235974518102</v>
      </c>
      <c r="J288" s="62">
        <v>12396.236761799095</v>
      </c>
      <c r="K288" s="62">
        <v>0.88951292543909355</v>
      </c>
      <c r="L288" s="62">
        <f t="shared" si="38"/>
        <v>-3778.3628345924426</v>
      </c>
      <c r="M288" s="62">
        <f t="shared" si="39"/>
        <v>-0.27656669099972897</v>
      </c>
      <c r="N288" s="62">
        <f t="shared" si="40"/>
        <v>-3802.2827652359047</v>
      </c>
      <c r="O288" s="62">
        <f t="shared" si="41"/>
        <v>-0.27864073048428384</v>
      </c>
      <c r="P288" s="62">
        <f t="shared" si="42"/>
        <v>-3730.1729609846243</v>
      </c>
      <c r="Q288" s="62">
        <f t="shared" si="43"/>
        <v>-0.27185129617819637</v>
      </c>
      <c r="R288" s="62">
        <f t="shared" si="44"/>
        <v>16919.951529688933</v>
      </c>
      <c r="S288" s="62">
        <f t="shared" si="45"/>
        <v>24598.087303069267</v>
      </c>
      <c r="T288" s="62">
        <f t="shared" si="46"/>
        <v>24660.082384034005</v>
      </c>
      <c r="U288" s="62">
        <f t="shared" si="47"/>
        <v>24450.946661589915</v>
      </c>
      <c r="V288" s="62">
        <f t="shared" si="37"/>
        <v>1</v>
      </c>
      <c r="W288" s="62">
        <f t="shared" si="37"/>
        <v>0</v>
      </c>
      <c r="X288" s="62">
        <f t="shared" si="37"/>
        <v>0</v>
      </c>
      <c r="Y288" s="62">
        <f t="shared" si="37"/>
        <v>0</v>
      </c>
      <c r="AA288" s="94"/>
    </row>
    <row r="289" spans="2:27" x14ac:dyDescent="0.2">
      <c r="B289" s="94"/>
      <c r="C289" s="62">
        <v>250</v>
      </c>
      <c r="D289" s="62">
        <v>9634.0927717932482</v>
      </c>
      <c r="E289" s="62">
        <v>0.61796843839974214</v>
      </c>
      <c r="F289" s="62">
        <v>13839.199316808519</v>
      </c>
      <c r="G289" s="62">
        <v>0.89454308510436908</v>
      </c>
      <c r="H289" s="62">
        <v>13884.334031826014</v>
      </c>
      <c r="I289" s="62">
        <v>0.89795708576496824</v>
      </c>
      <c r="J289" s="62">
        <v>13783.128369709322</v>
      </c>
      <c r="K289" s="62">
        <v>0.88971651892471204</v>
      </c>
      <c r="L289" s="62">
        <f t="shared" si="38"/>
        <v>-4205.106545015271</v>
      </c>
      <c r="M289" s="62">
        <f t="shared" si="39"/>
        <v>-0.27657464670462695</v>
      </c>
      <c r="N289" s="62">
        <f t="shared" si="40"/>
        <v>-4250.2412600327661</v>
      </c>
      <c r="O289" s="62">
        <f t="shared" si="41"/>
        <v>-0.27998864736522611</v>
      </c>
      <c r="P289" s="62">
        <f t="shared" si="42"/>
        <v>-4149.035597916074</v>
      </c>
      <c r="Q289" s="62">
        <f t="shared" si="43"/>
        <v>-0.2717480805249699</v>
      </c>
      <c r="R289" s="62">
        <f t="shared" si="44"/>
        <v>15964.631820477671</v>
      </c>
      <c r="S289" s="62">
        <f t="shared" si="45"/>
        <v>23216.353440554871</v>
      </c>
      <c r="T289" s="62">
        <f t="shared" si="46"/>
        <v>23312.640288902032</v>
      </c>
      <c r="U289" s="62">
        <f t="shared" si="47"/>
        <v>23072.488710227946</v>
      </c>
      <c r="V289" s="62">
        <f t="shared" si="37"/>
        <v>1</v>
      </c>
      <c r="W289" s="62">
        <f t="shared" si="37"/>
        <v>0</v>
      </c>
      <c r="X289" s="62">
        <f t="shared" si="37"/>
        <v>0</v>
      </c>
      <c r="Y289" s="62">
        <f t="shared" si="37"/>
        <v>0</v>
      </c>
      <c r="AA289" s="94"/>
    </row>
    <row r="290" spans="2:27" x14ac:dyDescent="0.2">
      <c r="B290" s="94"/>
      <c r="C290" s="62">
        <v>251</v>
      </c>
      <c r="D290" s="62">
        <v>10683.010019455227</v>
      </c>
      <c r="E290" s="62">
        <v>0.61761219004331425</v>
      </c>
      <c r="F290" s="62">
        <v>15364.827887136689</v>
      </c>
      <c r="G290" s="62">
        <v>0.89458424739171816</v>
      </c>
      <c r="H290" s="62">
        <v>15411.454243998684</v>
      </c>
      <c r="I290" s="62">
        <v>0.89755208780588225</v>
      </c>
      <c r="J290" s="62">
        <v>15304.320384962959</v>
      </c>
      <c r="K290" s="62">
        <v>0.88991514068963262</v>
      </c>
      <c r="L290" s="62">
        <f t="shared" si="38"/>
        <v>-4681.8178676814623</v>
      </c>
      <c r="M290" s="62">
        <f t="shared" si="39"/>
        <v>-0.27697205734840391</v>
      </c>
      <c r="N290" s="62">
        <f t="shared" si="40"/>
        <v>-4728.4442245434566</v>
      </c>
      <c r="O290" s="62">
        <f t="shared" si="41"/>
        <v>-0.279939897762568</v>
      </c>
      <c r="P290" s="62">
        <f t="shared" si="42"/>
        <v>-4621.3103655077321</v>
      </c>
      <c r="Q290" s="62">
        <f t="shared" si="43"/>
        <v>-0.27230295064631838</v>
      </c>
      <c r="R290" s="62">
        <f t="shared" si="44"/>
        <v>14900.957340899024</v>
      </c>
      <c r="S290" s="62">
        <f t="shared" si="45"/>
        <v>21692.429976817843</v>
      </c>
      <c r="T290" s="62">
        <f t="shared" si="46"/>
        <v>21768.743441272185</v>
      </c>
      <c r="U290" s="62">
        <f t="shared" si="47"/>
        <v>21559.524402964387</v>
      </c>
      <c r="V290" s="62">
        <f t="shared" si="37"/>
        <v>1</v>
      </c>
      <c r="W290" s="62">
        <f t="shared" si="37"/>
        <v>0</v>
      </c>
      <c r="X290" s="62">
        <f t="shared" si="37"/>
        <v>0</v>
      </c>
      <c r="Y290" s="62">
        <f t="shared" si="37"/>
        <v>0</v>
      </c>
      <c r="AA290" s="94"/>
    </row>
    <row r="291" spans="2:27" x14ac:dyDescent="0.2">
      <c r="B291" s="94"/>
      <c r="C291" s="62">
        <v>252</v>
      </c>
      <c r="D291" s="62">
        <v>10048.980731263835</v>
      </c>
      <c r="E291" s="62">
        <v>0.6176092964743426</v>
      </c>
      <c r="F291" s="62">
        <v>14446.611287987696</v>
      </c>
      <c r="G291" s="62">
        <v>0.89420394547087689</v>
      </c>
      <c r="H291" s="62">
        <v>14488.63576633983</v>
      </c>
      <c r="I291" s="62">
        <v>0.89715790233041615</v>
      </c>
      <c r="J291" s="62">
        <v>14392.142643666582</v>
      </c>
      <c r="K291" s="62">
        <v>0.88963849266233486</v>
      </c>
      <c r="L291" s="62">
        <f t="shared" si="38"/>
        <v>-4397.6305567238614</v>
      </c>
      <c r="M291" s="62">
        <f t="shared" si="39"/>
        <v>-0.2765946489965343</v>
      </c>
      <c r="N291" s="62">
        <f t="shared" si="40"/>
        <v>-4439.6550350759953</v>
      </c>
      <c r="O291" s="62">
        <f t="shared" si="41"/>
        <v>-0.27954860585607355</v>
      </c>
      <c r="P291" s="62">
        <f t="shared" si="42"/>
        <v>-4343.1619124027475</v>
      </c>
      <c r="Q291" s="62">
        <f t="shared" si="43"/>
        <v>-0.27202919618799226</v>
      </c>
      <c r="R291" s="62">
        <f t="shared" si="44"/>
        <v>15534.866765889334</v>
      </c>
      <c r="S291" s="62">
        <f t="shared" si="45"/>
        <v>22594.892949197907</v>
      </c>
      <c r="T291" s="62">
        <f t="shared" si="46"/>
        <v>22675.23317979533</v>
      </c>
      <c r="U291" s="62">
        <f t="shared" si="47"/>
        <v>22460.24227637798</v>
      </c>
      <c r="V291" s="62">
        <f t="shared" si="37"/>
        <v>1</v>
      </c>
      <c r="W291" s="62">
        <f t="shared" si="37"/>
        <v>0</v>
      </c>
      <c r="X291" s="62">
        <f t="shared" si="37"/>
        <v>0</v>
      </c>
      <c r="Y291" s="62">
        <f t="shared" si="37"/>
        <v>0</v>
      </c>
      <c r="AA291" s="94"/>
    </row>
    <row r="292" spans="2:27" x14ac:dyDescent="0.2">
      <c r="B292" s="94"/>
      <c r="C292" s="62">
        <v>253</v>
      </c>
      <c r="D292" s="62">
        <v>9734.0648914433841</v>
      </c>
      <c r="E292" s="62">
        <v>0.61764412795733992</v>
      </c>
      <c r="F292" s="62">
        <v>13980.54577133028</v>
      </c>
      <c r="G292" s="62">
        <v>0.89384898067108809</v>
      </c>
      <c r="H292" s="62">
        <v>14034.171777151591</v>
      </c>
      <c r="I292" s="62">
        <v>0.8977029571272479</v>
      </c>
      <c r="J292" s="62">
        <v>13922.253004314016</v>
      </c>
      <c r="K292" s="62">
        <v>0.88879200244826895</v>
      </c>
      <c r="L292" s="62">
        <f t="shared" si="38"/>
        <v>-4246.4808798868962</v>
      </c>
      <c r="M292" s="62">
        <f t="shared" si="39"/>
        <v>-0.27620485271374817</v>
      </c>
      <c r="N292" s="62">
        <f t="shared" si="40"/>
        <v>-4300.1068857082064</v>
      </c>
      <c r="O292" s="62">
        <f t="shared" si="41"/>
        <v>-0.28005882916990799</v>
      </c>
      <c r="P292" s="62">
        <f t="shared" si="42"/>
        <v>-4188.1881128706318</v>
      </c>
      <c r="Q292" s="62">
        <f t="shared" si="43"/>
        <v>-0.27114787449092903</v>
      </c>
      <c r="R292" s="62">
        <f t="shared" si="44"/>
        <v>15851.225465061463</v>
      </c>
      <c r="S292" s="62">
        <f t="shared" si="45"/>
        <v>23046.254403988874</v>
      </c>
      <c r="T292" s="62">
        <f t="shared" si="46"/>
        <v>23152.275518887524</v>
      </c>
      <c r="U292" s="62">
        <f t="shared" si="47"/>
        <v>22895.066905103078</v>
      </c>
      <c r="V292" s="62">
        <f t="shared" si="37"/>
        <v>1</v>
      </c>
      <c r="W292" s="62">
        <f t="shared" si="37"/>
        <v>0</v>
      </c>
      <c r="X292" s="62">
        <f t="shared" si="37"/>
        <v>0</v>
      </c>
      <c r="Y292" s="62">
        <f t="shared" si="37"/>
        <v>0</v>
      </c>
      <c r="AA292" s="94"/>
    </row>
    <row r="293" spans="2:27" x14ac:dyDescent="0.2">
      <c r="B293" s="94"/>
      <c r="C293" s="62">
        <v>254</v>
      </c>
      <c r="D293" s="62">
        <v>9663.7115635904174</v>
      </c>
      <c r="E293" s="62">
        <v>0.61748031625980493</v>
      </c>
      <c r="F293" s="62">
        <v>13903.756521125228</v>
      </c>
      <c r="G293" s="62">
        <v>0.89458896777550956</v>
      </c>
      <c r="H293" s="62">
        <v>13940.36774943841</v>
      </c>
      <c r="I293" s="62">
        <v>0.89726279224086114</v>
      </c>
      <c r="J293" s="62">
        <v>13833.357022353201</v>
      </c>
      <c r="K293" s="62">
        <v>0.88900131054743836</v>
      </c>
      <c r="L293" s="62">
        <f t="shared" si="38"/>
        <v>-4240.0449575348102</v>
      </c>
      <c r="M293" s="62">
        <f t="shared" si="39"/>
        <v>-0.27710865151570463</v>
      </c>
      <c r="N293" s="62">
        <f t="shared" si="40"/>
        <v>-4276.6561858479927</v>
      </c>
      <c r="O293" s="62">
        <f t="shared" si="41"/>
        <v>-0.27978247598105621</v>
      </c>
      <c r="P293" s="62">
        <f t="shared" si="42"/>
        <v>-4169.6454587627832</v>
      </c>
      <c r="Q293" s="62">
        <f t="shared" si="43"/>
        <v>-0.27152099428763343</v>
      </c>
      <c r="R293" s="62">
        <f t="shared" si="44"/>
        <v>15914.793057155743</v>
      </c>
      <c r="S293" s="62">
        <f t="shared" si="45"/>
        <v>23153.696880007476</v>
      </c>
      <c r="T293" s="62">
        <f t="shared" si="46"/>
        <v>23227.846156347019</v>
      </c>
      <c r="U293" s="62">
        <f t="shared" si="47"/>
        <v>22992.633265763885</v>
      </c>
      <c r="V293" s="62">
        <f t="shared" si="37"/>
        <v>1</v>
      </c>
      <c r="W293" s="62">
        <f t="shared" si="37"/>
        <v>0</v>
      </c>
      <c r="X293" s="62">
        <f t="shared" si="37"/>
        <v>0</v>
      </c>
      <c r="Y293" s="62">
        <f t="shared" si="37"/>
        <v>0</v>
      </c>
      <c r="AA293" s="94"/>
    </row>
    <row r="294" spans="2:27" x14ac:dyDescent="0.2">
      <c r="B294" s="94"/>
      <c r="C294" s="62">
        <v>255</v>
      </c>
      <c r="D294" s="62">
        <v>9398.102807869469</v>
      </c>
      <c r="E294" s="62">
        <v>0.617784141228647</v>
      </c>
      <c r="F294" s="62">
        <v>13505.902522613251</v>
      </c>
      <c r="G294" s="62">
        <v>0.89391893386878818</v>
      </c>
      <c r="H294" s="62">
        <v>13551.174667111822</v>
      </c>
      <c r="I294" s="62">
        <v>0.89739994423473401</v>
      </c>
      <c r="J294" s="62">
        <v>13447.228264324074</v>
      </c>
      <c r="K294" s="62">
        <v>0.88904357707990966</v>
      </c>
      <c r="L294" s="62">
        <f t="shared" si="38"/>
        <v>-4107.7997147437818</v>
      </c>
      <c r="M294" s="62">
        <f t="shared" si="39"/>
        <v>-0.27613479264014118</v>
      </c>
      <c r="N294" s="62">
        <f t="shared" si="40"/>
        <v>-4153.0718592423527</v>
      </c>
      <c r="O294" s="62">
        <f t="shared" si="41"/>
        <v>-0.27961580300608702</v>
      </c>
      <c r="P294" s="62">
        <f t="shared" si="42"/>
        <v>-4049.1254564546052</v>
      </c>
      <c r="Q294" s="62">
        <f t="shared" si="43"/>
        <v>-0.27125943585126266</v>
      </c>
      <c r="R294" s="62">
        <f t="shared" si="44"/>
        <v>16192.987458386004</v>
      </c>
      <c r="S294" s="62">
        <f t="shared" si="45"/>
        <v>23523.795393967433</v>
      </c>
      <c r="T294" s="62">
        <f t="shared" si="46"/>
        <v>23622.720622867797</v>
      </c>
      <c r="U294" s="62">
        <f t="shared" si="47"/>
        <v>23380.512872634099</v>
      </c>
      <c r="V294" s="62">
        <f t="shared" si="37"/>
        <v>1</v>
      </c>
      <c r="W294" s="62">
        <f t="shared" si="37"/>
        <v>0</v>
      </c>
      <c r="X294" s="62">
        <f t="shared" si="37"/>
        <v>0</v>
      </c>
      <c r="Y294" s="62">
        <f t="shared" ref="Y294:Y357" si="48">IF(MIN($R294:$U294)=U294,1,0)</f>
        <v>0</v>
      </c>
      <c r="AA294" s="94"/>
    </row>
    <row r="295" spans="2:27" x14ac:dyDescent="0.2">
      <c r="B295" s="94"/>
      <c r="C295" s="62">
        <v>256</v>
      </c>
      <c r="D295" s="62">
        <v>9293.2697900645326</v>
      </c>
      <c r="E295" s="62">
        <v>0.61780884625598265</v>
      </c>
      <c r="F295" s="62">
        <v>13357.306239088834</v>
      </c>
      <c r="G295" s="62">
        <v>0.89469998910543658</v>
      </c>
      <c r="H295" s="62">
        <v>13385.716706329853</v>
      </c>
      <c r="I295" s="62">
        <v>0.8967751374840498</v>
      </c>
      <c r="J295" s="62">
        <v>13300.714806613483</v>
      </c>
      <c r="K295" s="62">
        <v>0.88958390820583044</v>
      </c>
      <c r="L295" s="62">
        <f t="shared" si="38"/>
        <v>-4064.036449024301</v>
      </c>
      <c r="M295" s="62">
        <f t="shared" si="39"/>
        <v>-0.27689114284945393</v>
      </c>
      <c r="N295" s="62">
        <f t="shared" si="40"/>
        <v>-4092.4469162653204</v>
      </c>
      <c r="O295" s="62">
        <f t="shared" si="41"/>
        <v>-0.27896629122806715</v>
      </c>
      <c r="P295" s="62">
        <f t="shared" si="42"/>
        <v>-4007.4450165489507</v>
      </c>
      <c r="Q295" s="62">
        <f t="shared" si="43"/>
        <v>-0.2717750619498478</v>
      </c>
      <c r="R295" s="62">
        <f t="shared" si="44"/>
        <v>16298.843857243293</v>
      </c>
      <c r="S295" s="62">
        <f t="shared" si="45"/>
        <v>23704.746109614771</v>
      </c>
      <c r="T295" s="62">
        <f t="shared" si="46"/>
        <v>23762.296588809426</v>
      </c>
      <c r="U295" s="62">
        <f t="shared" si="47"/>
        <v>23549.40900690484</v>
      </c>
      <c r="V295" s="62">
        <f t="shared" ref="V295:Y358" si="49">IF(MIN($R295:$U295)=R295,1,0)</f>
        <v>1</v>
      </c>
      <c r="W295" s="62">
        <f t="shared" si="49"/>
        <v>0</v>
      </c>
      <c r="X295" s="62">
        <f t="shared" si="49"/>
        <v>0</v>
      </c>
      <c r="Y295" s="62">
        <f t="shared" si="48"/>
        <v>0</v>
      </c>
      <c r="AA295" s="94"/>
    </row>
    <row r="296" spans="2:27" x14ac:dyDescent="0.2">
      <c r="B296" s="94"/>
      <c r="C296" s="62">
        <v>257</v>
      </c>
      <c r="D296" s="62">
        <v>12518.839445292988</v>
      </c>
      <c r="E296" s="62">
        <v>0.61754033234896788</v>
      </c>
      <c r="F296" s="62">
        <v>18008.356673613442</v>
      </c>
      <c r="G296" s="62">
        <v>0.89354857334174087</v>
      </c>
      <c r="H296" s="62">
        <v>18084.023940310162</v>
      </c>
      <c r="I296" s="62">
        <v>0.89767154966299545</v>
      </c>
      <c r="J296" s="62">
        <v>17936.64418665785</v>
      </c>
      <c r="K296" s="62">
        <v>0.88901822006563702</v>
      </c>
      <c r="L296" s="62">
        <f t="shared" ref="L296:L359" si="50">IF($C296&lt;=No_of_iterations_PSA,D296-$F296,"")</f>
        <v>-5489.5172283204538</v>
      </c>
      <c r="M296" s="62">
        <f t="shared" ref="M296:M359" si="51">IF($C296&lt;=No_of_iterations_PSA,E296-$G296,"")</f>
        <v>-0.27600824099277299</v>
      </c>
      <c r="N296" s="62">
        <f t="shared" ref="N296:N359" si="52">IF($C296&lt;=No_of_iterations_PSA,D296-$H296,"")</f>
        <v>-5565.1844950171744</v>
      </c>
      <c r="O296" s="62">
        <f t="shared" ref="O296:O359" si="53">IF($C296&lt;=No_of_iterations_PSA,E296-$I296,"")</f>
        <v>-0.28013121731402757</v>
      </c>
      <c r="P296" s="62">
        <f t="shared" ref="P296:P359" si="54">IF($C296&lt;=No_of_iterations_PSA,D296-$J296,"")</f>
        <v>-5417.8047413648619</v>
      </c>
      <c r="Q296" s="62">
        <f t="shared" ref="Q296:Q359" si="55">IF($C296&lt;=No_of_iterations_PSA,E296-$K296,"")</f>
        <v>-0.27147788771666914</v>
      </c>
      <c r="R296" s="62">
        <f t="shared" ref="R296:R359" si="56">IF($C296&lt;=No_of_iterations_PSA,E296*c_WTP-D296,"")</f>
        <v>13062.151281930657</v>
      </c>
      <c r="S296" s="62">
        <f t="shared" ref="S296:S359" si="57">IF($C296&lt;=No_of_iterations_PSA,G296*c_WTP-F296,"")</f>
        <v>19005.99942849483</v>
      </c>
      <c r="T296" s="62">
        <f t="shared" ref="T296:T359" si="58">IF($C296&lt;=No_of_iterations_PSA,I296*c_WTP-H296,"")</f>
        <v>19101.122332929761</v>
      </c>
      <c r="U296" s="62">
        <f t="shared" ref="U296:U359" si="59">IF($C296&lt;=No_of_iterations_PSA,K296*c_WTP-J296,"")</f>
        <v>18890.046561341096</v>
      </c>
      <c r="V296" s="62">
        <f t="shared" si="49"/>
        <v>1</v>
      </c>
      <c r="W296" s="62">
        <f t="shared" si="49"/>
        <v>0</v>
      </c>
      <c r="X296" s="62">
        <f t="shared" si="49"/>
        <v>0</v>
      </c>
      <c r="Y296" s="62">
        <f t="shared" si="48"/>
        <v>0</v>
      </c>
      <c r="AA296" s="94"/>
    </row>
    <row r="297" spans="2:27" x14ac:dyDescent="0.2">
      <c r="B297" s="94"/>
      <c r="C297" s="62">
        <v>258</v>
      </c>
      <c r="D297" s="62">
        <v>10997.430743651026</v>
      </c>
      <c r="E297" s="62">
        <v>0.61736517524429935</v>
      </c>
      <c r="F297" s="62">
        <v>15828.88944516529</v>
      </c>
      <c r="G297" s="62">
        <v>0.89420245463032977</v>
      </c>
      <c r="H297" s="62">
        <v>15877.5555001467</v>
      </c>
      <c r="I297" s="62">
        <v>0.89730126099470109</v>
      </c>
      <c r="J297" s="62">
        <v>15762.938119019243</v>
      </c>
      <c r="K297" s="62">
        <v>0.88943665094319868</v>
      </c>
      <c r="L297" s="62">
        <f t="shared" si="50"/>
        <v>-4831.4587015142642</v>
      </c>
      <c r="M297" s="62">
        <f t="shared" si="51"/>
        <v>-0.27683727938603042</v>
      </c>
      <c r="N297" s="62">
        <f t="shared" si="52"/>
        <v>-4880.1247564956739</v>
      </c>
      <c r="O297" s="62">
        <f t="shared" si="53"/>
        <v>-0.27993608575040174</v>
      </c>
      <c r="P297" s="62">
        <f t="shared" si="54"/>
        <v>-4765.5073753682173</v>
      </c>
      <c r="Q297" s="62">
        <f t="shared" si="55"/>
        <v>-0.27207147569889933</v>
      </c>
      <c r="R297" s="62">
        <f t="shared" si="56"/>
        <v>14576.304275668828</v>
      </c>
      <c r="S297" s="62">
        <f t="shared" si="57"/>
        <v>21212.553035441495</v>
      </c>
      <c r="T297" s="62">
        <f t="shared" si="58"/>
        <v>21292.251935297798</v>
      </c>
      <c r="U297" s="62">
        <f t="shared" si="59"/>
        <v>21081.085709651816</v>
      </c>
      <c r="V297" s="62">
        <f t="shared" si="49"/>
        <v>1</v>
      </c>
      <c r="W297" s="62">
        <f t="shared" si="49"/>
        <v>0</v>
      </c>
      <c r="X297" s="62">
        <f t="shared" si="49"/>
        <v>0</v>
      </c>
      <c r="Y297" s="62">
        <f t="shared" si="48"/>
        <v>0</v>
      </c>
      <c r="AA297" s="94"/>
    </row>
    <row r="298" spans="2:27" x14ac:dyDescent="0.2">
      <c r="B298" s="94"/>
      <c r="C298" s="62">
        <v>259</v>
      </c>
      <c r="D298" s="62">
        <v>8506.3244098238247</v>
      </c>
      <c r="E298" s="62">
        <v>0.61819714474698961</v>
      </c>
      <c r="F298" s="62">
        <v>12216.624598523609</v>
      </c>
      <c r="G298" s="62">
        <v>0.8942632501178237</v>
      </c>
      <c r="H298" s="62">
        <v>12247.415669790056</v>
      </c>
      <c r="I298" s="62">
        <v>0.89683659259368487</v>
      </c>
      <c r="J298" s="62">
        <v>12167.263702927581</v>
      </c>
      <c r="K298" s="62">
        <v>0.88957364647881976</v>
      </c>
      <c r="L298" s="62">
        <f t="shared" si="50"/>
        <v>-3710.3001886997845</v>
      </c>
      <c r="M298" s="62">
        <f t="shared" si="51"/>
        <v>-0.27606610537083409</v>
      </c>
      <c r="N298" s="62">
        <f t="shared" si="52"/>
        <v>-3741.0912599662315</v>
      </c>
      <c r="O298" s="62">
        <f t="shared" si="53"/>
        <v>-0.27863944784669525</v>
      </c>
      <c r="P298" s="62">
        <f t="shared" si="54"/>
        <v>-3660.9392931037564</v>
      </c>
      <c r="Q298" s="62">
        <f t="shared" si="55"/>
        <v>-0.27137650173183014</v>
      </c>
      <c r="R298" s="62">
        <f t="shared" si="56"/>
        <v>17101.874114175473</v>
      </c>
      <c r="S298" s="62">
        <f t="shared" si="57"/>
        <v>24827.33627435712</v>
      </c>
      <c r="T298" s="62">
        <f t="shared" si="58"/>
        <v>24903.143341810748</v>
      </c>
      <c r="U298" s="62">
        <f t="shared" si="59"/>
        <v>24682.435028811051</v>
      </c>
      <c r="V298" s="62">
        <f t="shared" si="49"/>
        <v>1</v>
      </c>
      <c r="W298" s="62">
        <f t="shared" si="49"/>
        <v>0</v>
      </c>
      <c r="X298" s="62">
        <f t="shared" si="49"/>
        <v>0</v>
      </c>
      <c r="Y298" s="62">
        <f t="shared" si="48"/>
        <v>0</v>
      </c>
      <c r="AA298" s="94"/>
    </row>
    <row r="299" spans="2:27" x14ac:dyDescent="0.2">
      <c r="B299" s="94"/>
      <c r="C299" s="62">
        <v>260</v>
      </c>
      <c r="D299" s="62">
        <v>10636.283593532356</v>
      </c>
      <c r="E299" s="62">
        <v>0.61739322273257236</v>
      </c>
      <c r="F299" s="62">
        <v>15313.111711275698</v>
      </c>
      <c r="G299" s="62">
        <v>0.89487516867616324</v>
      </c>
      <c r="H299" s="62">
        <v>15354.121800095369</v>
      </c>
      <c r="I299" s="62">
        <v>0.89760553001658416</v>
      </c>
      <c r="J299" s="62">
        <v>15246.943002969318</v>
      </c>
      <c r="K299" s="62">
        <v>0.88991829686164126</v>
      </c>
      <c r="L299" s="62">
        <f t="shared" si="50"/>
        <v>-4676.8281177433419</v>
      </c>
      <c r="M299" s="62">
        <f t="shared" si="51"/>
        <v>-0.27748194594359088</v>
      </c>
      <c r="N299" s="62">
        <f t="shared" si="52"/>
        <v>-4717.8382065630121</v>
      </c>
      <c r="O299" s="62">
        <f t="shared" si="53"/>
        <v>-0.28021230728401181</v>
      </c>
      <c r="P299" s="62">
        <f t="shared" si="54"/>
        <v>-4610.6594094369611</v>
      </c>
      <c r="Q299" s="62">
        <f t="shared" si="55"/>
        <v>-0.2725250741290689</v>
      </c>
      <c r="R299" s="62">
        <f t="shared" si="56"/>
        <v>14938.61326494172</v>
      </c>
      <c r="S299" s="62">
        <f t="shared" si="57"/>
        <v>21756.197275965686</v>
      </c>
      <c r="T299" s="62">
        <f t="shared" si="58"/>
        <v>21828.289675311615</v>
      </c>
      <c r="U299" s="62">
        <f t="shared" si="59"/>
        <v>21617.032526227311</v>
      </c>
      <c r="V299" s="62">
        <f t="shared" si="49"/>
        <v>1</v>
      </c>
      <c r="W299" s="62">
        <f t="shared" si="49"/>
        <v>0</v>
      </c>
      <c r="X299" s="62">
        <f t="shared" si="49"/>
        <v>0</v>
      </c>
      <c r="Y299" s="62">
        <f t="shared" si="48"/>
        <v>0</v>
      </c>
      <c r="AA299" s="94"/>
    </row>
    <row r="300" spans="2:27" x14ac:dyDescent="0.2">
      <c r="B300" s="94"/>
      <c r="C300" s="62">
        <v>261</v>
      </c>
      <c r="D300" s="62">
        <v>7978.0207161967846</v>
      </c>
      <c r="E300" s="62">
        <v>0.61737787661243637</v>
      </c>
      <c r="F300" s="62">
        <v>11470.43067745931</v>
      </c>
      <c r="G300" s="62">
        <v>0.893964167498419</v>
      </c>
      <c r="H300" s="62">
        <v>11509.771319713736</v>
      </c>
      <c r="I300" s="62">
        <v>0.89769352167771554</v>
      </c>
      <c r="J300" s="62">
        <v>11420.917767475346</v>
      </c>
      <c r="K300" s="62">
        <v>0.88915882520757605</v>
      </c>
      <c r="L300" s="62">
        <f t="shared" si="50"/>
        <v>-3492.409961262525</v>
      </c>
      <c r="M300" s="62">
        <f t="shared" si="51"/>
        <v>-0.27658629088598263</v>
      </c>
      <c r="N300" s="62">
        <f t="shared" si="52"/>
        <v>-3531.7506035169517</v>
      </c>
      <c r="O300" s="62">
        <f t="shared" si="53"/>
        <v>-0.28031564506527917</v>
      </c>
      <c r="P300" s="62">
        <f t="shared" si="54"/>
        <v>-3442.8970512785618</v>
      </c>
      <c r="Q300" s="62">
        <f t="shared" si="55"/>
        <v>-0.27178094859513968</v>
      </c>
      <c r="R300" s="62">
        <f t="shared" si="56"/>
        <v>17596.24044459678</v>
      </c>
      <c r="S300" s="62">
        <f t="shared" si="57"/>
        <v>25561.140996995196</v>
      </c>
      <c r="T300" s="62">
        <f t="shared" si="58"/>
        <v>25676.285122263951</v>
      </c>
      <c r="U300" s="62">
        <f t="shared" si="59"/>
        <v>25411.597407923284</v>
      </c>
      <c r="V300" s="62">
        <f t="shared" si="49"/>
        <v>1</v>
      </c>
      <c r="W300" s="62">
        <f t="shared" si="49"/>
        <v>0</v>
      </c>
      <c r="X300" s="62">
        <f t="shared" si="49"/>
        <v>0</v>
      </c>
      <c r="Y300" s="62">
        <f t="shared" si="48"/>
        <v>0</v>
      </c>
      <c r="AA300" s="94"/>
    </row>
    <row r="301" spans="2:27" x14ac:dyDescent="0.2">
      <c r="B301" s="94"/>
      <c r="C301" s="62">
        <v>262</v>
      </c>
      <c r="D301" s="62">
        <v>8706.9877812962186</v>
      </c>
      <c r="E301" s="62">
        <v>0.61711751189753594</v>
      </c>
      <c r="F301" s="62">
        <v>12517.603382362202</v>
      </c>
      <c r="G301" s="62">
        <v>0.89366916622263992</v>
      </c>
      <c r="H301" s="62">
        <v>12565.173283816503</v>
      </c>
      <c r="I301" s="62">
        <v>0.89748097276024719</v>
      </c>
      <c r="J301" s="62">
        <v>12472.934983406951</v>
      </c>
      <c r="K301" s="62">
        <v>0.88950070100259726</v>
      </c>
      <c r="L301" s="62">
        <f t="shared" si="50"/>
        <v>-3810.6156010659834</v>
      </c>
      <c r="M301" s="62">
        <f t="shared" si="51"/>
        <v>-0.27655165432510398</v>
      </c>
      <c r="N301" s="62">
        <f t="shared" si="52"/>
        <v>-3858.185502520284</v>
      </c>
      <c r="O301" s="62">
        <f t="shared" si="53"/>
        <v>-0.28036346086271124</v>
      </c>
      <c r="P301" s="62">
        <f t="shared" si="54"/>
        <v>-3765.9472021107322</v>
      </c>
      <c r="Q301" s="62">
        <f t="shared" si="55"/>
        <v>-0.27238318910506132</v>
      </c>
      <c r="R301" s="62">
        <f t="shared" si="56"/>
        <v>16856.488031547309</v>
      </c>
      <c r="S301" s="62">
        <f t="shared" si="57"/>
        <v>24501.748159244435</v>
      </c>
      <c r="T301" s="62">
        <f t="shared" si="58"/>
        <v>24612.078531803978</v>
      </c>
      <c r="U301" s="62">
        <f t="shared" si="59"/>
        <v>24373.742054924638</v>
      </c>
      <c r="V301" s="62">
        <f t="shared" si="49"/>
        <v>1</v>
      </c>
      <c r="W301" s="62">
        <f t="shared" si="49"/>
        <v>0</v>
      </c>
      <c r="X301" s="62">
        <f t="shared" si="49"/>
        <v>0</v>
      </c>
      <c r="Y301" s="62">
        <f t="shared" si="48"/>
        <v>0</v>
      </c>
      <c r="AA301" s="94"/>
    </row>
    <row r="302" spans="2:27" x14ac:dyDescent="0.2">
      <c r="B302" s="94"/>
      <c r="C302" s="62">
        <v>263</v>
      </c>
      <c r="D302" s="62">
        <v>9526.647227757172</v>
      </c>
      <c r="E302" s="62">
        <v>0.61758878614766399</v>
      </c>
      <c r="F302" s="62">
        <v>13687.668656731748</v>
      </c>
      <c r="G302" s="62">
        <v>0.89339930641342047</v>
      </c>
      <c r="H302" s="62">
        <v>13735.453213523493</v>
      </c>
      <c r="I302" s="62">
        <v>0.89691378482377471</v>
      </c>
      <c r="J302" s="62">
        <v>13637.987532827054</v>
      </c>
      <c r="K302" s="62">
        <v>0.8891475747999622</v>
      </c>
      <c r="L302" s="62">
        <f t="shared" si="50"/>
        <v>-4161.0214289745763</v>
      </c>
      <c r="M302" s="62">
        <f t="shared" si="51"/>
        <v>-0.27581052026575648</v>
      </c>
      <c r="N302" s="62">
        <f t="shared" si="52"/>
        <v>-4208.8059857663211</v>
      </c>
      <c r="O302" s="62">
        <f t="shared" si="53"/>
        <v>-0.27932499867611071</v>
      </c>
      <c r="P302" s="62">
        <f t="shared" si="54"/>
        <v>-4111.3403050698817</v>
      </c>
      <c r="Q302" s="62">
        <f t="shared" si="55"/>
        <v>-0.27155878865229821</v>
      </c>
      <c r="R302" s="62">
        <f t="shared" si="56"/>
        <v>16056.350649623661</v>
      </c>
      <c r="S302" s="62">
        <f t="shared" si="57"/>
        <v>23320.504212137781</v>
      </c>
      <c r="T302" s="62">
        <f t="shared" si="58"/>
        <v>23418.303409016553</v>
      </c>
      <c r="U302" s="62">
        <f t="shared" si="59"/>
        <v>23194.06160568658</v>
      </c>
      <c r="V302" s="62">
        <f t="shared" si="49"/>
        <v>1</v>
      </c>
      <c r="W302" s="62">
        <f t="shared" si="49"/>
        <v>0</v>
      </c>
      <c r="X302" s="62">
        <f t="shared" si="49"/>
        <v>0</v>
      </c>
      <c r="Y302" s="62">
        <f t="shared" si="48"/>
        <v>0</v>
      </c>
      <c r="AA302" s="94"/>
    </row>
    <row r="303" spans="2:27" x14ac:dyDescent="0.2">
      <c r="B303" s="94"/>
      <c r="C303" s="62">
        <v>264</v>
      </c>
      <c r="D303" s="62">
        <v>12487.214540820705</v>
      </c>
      <c r="E303" s="62">
        <v>0.61778868665109454</v>
      </c>
      <c r="F303" s="62">
        <v>17949.60392050691</v>
      </c>
      <c r="G303" s="62">
        <v>0.89384084245217676</v>
      </c>
      <c r="H303" s="62">
        <v>18024.453182736306</v>
      </c>
      <c r="I303" s="62">
        <v>0.89787576002926561</v>
      </c>
      <c r="J303" s="62">
        <v>17878.467277504315</v>
      </c>
      <c r="K303" s="62">
        <v>0.88911503602283937</v>
      </c>
      <c r="L303" s="62">
        <f t="shared" si="50"/>
        <v>-5462.3893796862048</v>
      </c>
      <c r="M303" s="62">
        <f t="shared" si="51"/>
        <v>-0.27605215580108222</v>
      </c>
      <c r="N303" s="62">
        <f t="shared" si="52"/>
        <v>-5537.238641915601</v>
      </c>
      <c r="O303" s="62">
        <f t="shared" si="53"/>
        <v>-0.28008707337817107</v>
      </c>
      <c r="P303" s="62">
        <f t="shared" si="54"/>
        <v>-5391.2527366836093</v>
      </c>
      <c r="Q303" s="62">
        <f t="shared" si="55"/>
        <v>-0.27132634937174482</v>
      </c>
      <c r="R303" s="62">
        <f t="shared" si="56"/>
        <v>13104.064015014234</v>
      </c>
      <c r="S303" s="62">
        <f t="shared" si="57"/>
        <v>19076.859137232059</v>
      </c>
      <c r="T303" s="62">
        <f t="shared" si="58"/>
        <v>19169.152300715996</v>
      </c>
      <c r="U303" s="62">
        <f t="shared" si="59"/>
        <v>18952.233974705785</v>
      </c>
      <c r="V303" s="62">
        <f t="shared" si="49"/>
        <v>1</v>
      </c>
      <c r="W303" s="62">
        <f t="shared" si="49"/>
        <v>0</v>
      </c>
      <c r="X303" s="62">
        <f t="shared" si="49"/>
        <v>0</v>
      </c>
      <c r="Y303" s="62">
        <f t="shared" si="48"/>
        <v>0</v>
      </c>
      <c r="AA303" s="94"/>
    </row>
    <row r="304" spans="2:27" x14ac:dyDescent="0.2">
      <c r="B304" s="94"/>
      <c r="C304" s="62">
        <v>265</v>
      </c>
      <c r="D304" s="62">
        <v>9831.9519435369857</v>
      </c>
      <c r="E304" s="62">
        <v>0.61747723807127475</v>
      </c>
      <c r="F304" s="62">
        <v>14149.414087560501</v>
      </c>
      <c r="G304" s="62">
        <v>0.89467503629487999</v>
      </c>
      <c r="H304" s="62">
        <v>14185.891531189684</v>
      </c>
      <c r="I304" s="62">
        <v>0.89725827431219007</v>
      </c>
      <c r="J304" s="62">
        <v>14083.322185771625</v>
      </c>
      <c r="K304" s="62">
        <v>0.88944634114922372</v>
      </c>
      <c r="L304" s="62">
        <f t="shared" si="50"/>
        <v>-4317.4621440235151</v>
      </c>
      <c r="M304" s="62">
        <f t="shared" si="51"/>
        <v>-0.27719779822360524</v>
      </c>
      <c r="N304" s="62">
        <f t="shared" si="52"/>
        <v>-4353.9395876526978</v>
      </c>
      <c r="O304" s="62">
        <f t="shared" si="53"/>
        <v>-0.27978103624091533</v>
      </c>
      <c r="P304" s="62">
        <f t="shared" si="54"/>
        <v>-4251.3702422346396</v>
      </c>
      <c r="Q304" s="62">
        <f t="shared" si="55"/>
        <v>-0.27196910307794897</v>
      </c>
      <c r="R304" s="62">
        <f t="shared" si="56"/>
        <v>15746.425166327501</v>
      </c>
      <c r="S304" s="62">
        <f t="shared" si="57"/>
        <v>22911.604615918608</v>
      </c>
      <c r="T304" s="62">
        <f t="shared" si="58"/>
        <v>22982.135223918478</v>
      </c>
      <c r="U304" s="62">
        <f t="shared" si="59"/>
        <v>22761.103049993813</v>
      </c>
      <c r="V304" s="62">
        <f t="shared" si="49"/>
        <v>1</v>
      </c>
      <c r="W304" s="62">
        <f t="shared" si="49"/>
        <v>0</v>
      </c>
      <c r="X304" s="62">
        <f t="shared" si="49"/>
        <v>0</v>
      </c>
      <c r="Y304" s="62">
        <f t="shared" si="48"/>
        <v>0</v>
      </c>
      <c r="AA304" s="94"/>
    </row>
    <row r="305" spans="2:27" x14ac:dyDescent="0.2">
      <c r="B305" s="94"/>
      <c r="C305" s="62">
        <v>266</v>
      </c>
      <c r="D305" s="62">
        <v>12394.496266149006</v>
      </c>
      <c r="E305" s="62">
        <v>0.61768509278070416</v>
      </c>
      <c r="F305" s="62">
        <v>17836.744219599925</v>
      </c>
      <c r="G305" s="62">
        <v>0.89461891775149927</v>
      </c>
      <c r="H305" s="62">
        <v>17894.48728723947</v>
      </c>
      <c r="I305" s="62">
        <v>0.89763652726971632</v>
      </c>
      <c r="J305" s="62">
        <v>17752.563760565525</v>
      </c>
      <c r="K305" s="62">
        <v>0.88919195277398033</v>
      </c>
      <c r="L305" s="62">
        <f t="shared" si="50"/>
        <v>-5442.2479534509184</v>
      </c>
      <c r="M305" s="62">
        <f t="shared" si="51"/>
        <v>-0.27693382497079511</v>
      </c>
      <c r="N305" s="62">
        <f t="shared" si="52"/>
        <v>-5499.9910210904636</v>
      </c>
      <c r="O305" s="62">
        <f t="shared" si="53"/>
        <v>-0.27995143448901216</v>
      </c>
      <c r="P305" s="62">
        <f t="shared" si="54"/>
        <v>-5358.0674944165185</v>
      </c>
      <c r="Q305" s="62">
        <f t="shared" si="55"/>
        <v>-0.27150685999327617</v>
      </c>
      <c r="R305" s="62">
        <f t="shared" si="56"/>
        <v>13192.491017198881</v>
      </c>
      <c r="S305" s="62">
        <f t="shared" si="57"/>
        <v>19221.949829338184</v>
      </c>
      <c r="T305" s="62">
        <f t="shared" si="58"/>
        <v>19289.20821838126</v>
      </c>
      <c r="U305" s="62">
        <f t="shared" si="59"/>
        <v>19081.32369114384</v>
      </c>
      <c r="V305" s="62">
        <f t="shared" si="49"/>
        <v>1</v>
      </c>
      <c r="W305" s="62">
        <f t="shared" si="49"/>
        <v>0</v>
      </c>
      <c r="X305" s="62">
        <f t="shared" si="49"/>
        <v>0</v>
      </c>
      <c r="Y305" s="62">
        <f t="shared" si="48"/>
        <v>0</v>
      </c>
      <c r="AA305" s="94"/>
    </row>
    <row r="306" spans="2:27" x14ac:dyDescent="0.2">
      <c r="B306" s="94"/>
      <c r="C306" s="62">
        <v>267</v>
      </c>
      <c r="D306" s="62">
        <v>9299.2704326013372</v>
      </c>
      <c r="E306" s="62">
        <v>0.61779843008210544</v>
      </c>
      <c r="F306" s="62">
        <v>13387.423118139333</v>
      </c>
      <c r="G306" s="62">
        <v>0.89514559514181258</v>
      </c>
      <c r="H306" s="62">
        <v>13420.771987730122</v>
      </c>
      <c r="I306" s="62">
        <v>0.89768633338106685</v>
      </c>
      <c r="J306" s="62">
        <v>13317.075414320294</v>
      </c>
      <c r="K306" s="62">
        <v>0.88947698649953566</v>
      </c>
      <c r="L306" s="62">
        <f t="shared" si="50"/>
        <v>-4088.1526855379961</v>
      </c>
      <c r="M306" s="62">
        <f t="shared" si="51"/>
        <v>-0.27734716505970713</v>
      </c>
      <c r="N306" s="62">
        <f t="shared" si="52"/>
        <v>-4121.5015551287852</v>
      </c>
      <c r="O306" s="62">
        <f t="shared" si="53"/>
        <v>-0.2798879032989614</v>
      </c>
      <c r="P306" s="62">
        <f t="shared" si="54"/>
        <v>-4017.8049817189567</v>
      </c>
      <c r="Q306" s="62">
        <f t="shared" si="55"/>
        <v>-0.27167855641743022</v>
      </c>
      <c r="R306" s="62">
        <f t="shared" si="56"/>
        <v>16292.4117351198</v>
      </c>
      <c r="S306" s="62">
        <f t="shared" si="57"/>
        <v>23693.088015015113</v>
      </c>
      <c r="T306" s="62">
        <f t="shared" si="58"/>
        <v>23764.98668624719</v>
      </c>
      <c r="U306" s="62">
        <f t="shared" si="59"/>
        <v>23528.619274436474</v>
      </c>
      <c r="V306" s="62">
        <f t="shared" si="49"/>
        <v>1</v>
      </c>
      <c r="W306" s="62">
        <f t="shared" si="49"/>
        <v>0</v>
      </c>
      <c r="X306" s="62">
        <f t="shared" si="49"/>
        <v>0</v>
      </c>
      <c r="Y306" s="62">
        <f t="shared" si="48"/>
        <v>0</v>
      </c>
      <c r="AA306" s="94"/>
    </row>
    <row r="307" spans="2:27" x14ac:dyDescent="0.2">
      <c r="B307" s="94"/>
      <c r="C307" s="62">
        <v>268</v>
      </c>
      <c r="D307" s="62">
        <v>7182.5193834098891</v>
      </c>
      <c r="E307" s="62">
        <v>0.61763329293148928</v>
      </c>
      <c r="F307" s="62">
        <v>10304.421776166557</v>
      </c>
      <c r="G307" s="62">
        <v>0.89348500919228269</v>
      </c>
      <c r="H307" s="62">
        <v>10339.969716052354</v>
      </c>
      <c r="I307" s="62">
        <v>0.89703057305920042</v>
      </c>
      <c r="J307" s="62">
        <v>10276.775907837544</v>
      </c>
      <c r="K307" s="62">
        <v>0.88997151883489911</v>
      </c>
      <c r="L307" s="62">
        <f t="shared" si="50"/>
        <v>-3121.9023927566677</v>
      </c>
      <c r="M307" s="62">
        <f t="shared" si="51"/>
        <v>-0.27585171626079341</v>
      </c>
      <c r="N307" s="62">
        <f t="shared" si="52"/>
        <v>-3157.4503326424647</v>
      </c>
      <c r="O307" s="62">
        <f t="shared" si="53"/>
        <v>-0.27939728012771115</v>
      </c>
      <c r="P307" s="62">
        <f t="shared" si="54"/>
        <v>-3094.2565244276548</v>
      </c>
      <c r="Q307" s="62">
        <f t="shared" si="55"/>
        <v>-0.27233822590340984</v>
      </c>
      <c r="R307" s="62">
        <f t="shared" si="56"/>
        <v>18402.322142984121</v>
      </c>
      <c r="S307" s="62">
        <f t="shared" si="57"/>
        <v>26707.301244614559</v>
      </c>
      <c r="T307" s="62">
        <f t="shared" si="58"/>
        <v>26818.624742351964</v>
      </c>
      <c r="U307" s="62">
        <f t="shared" si="59"/>
        <v>26589.404288379315</v>
      </c>
      <c r="V307" s="62">
        <f t="shared" si="49"/>
        <v>1</v>
      </c>
      <c r="W307" s="62">
        <f t="shared" si="49"/>
        <v>0</v>
      </c>
      <c r="X307" s="62">
        <f t="shared" si="49"/>
        <v>0</v>
      </c>
      <c r="Y307" s="62">
        <f t="shared" si="48"/>
        <v>0</v>
      </c>
      <c r="AA307" s="94"/>
    </row>
    <row r="308" spans="2:27" x14ac:dyDescent="0.2">
      <c r="B308" s="94"/>
      <c r="C308" s="62">
        <v>269</v>
      </c>
      <c r="D308" s="62">
        <v>11125.847875188403</v>
      </c>
      <c r="E308" s="62">
        <v>0.617847238271791</v>
      </c>
      <c r="F308" s="62">
        <v>16005.350356413632</v>
      </c>
      <c r="G308" s="62">
        <v>0.8945094199972754</v>
      </c>
      <c r="H308" s="62">
        <v>16041.170303355277</v>
      </c>
      <c r="I308" s="62">
        <v>0.8968714462875409</v>
      </c>
      <c r="J308" s="62">
        <v>15938.246454815595</v>
      </c>
      <c r="K308" s="62">
        <v>0.88975288606945124</v>
      </c>
      <c r="L308" s="62">
        <f t="shared" si="50"/>
        <v>-4879.5024812252286</v>
      </c>
      <c r="M308" s="62">
        <f t="shared" si="51"/>
        <v>-0.2766621817254844</v>
      </c>
      <c r="N308" s="62">
        <f t="shared" si="52"/>
        <v>-4915.3224281668736</v>
      </c>
      <c r="O308" s="62">
        <f t="shared" si="53"/>
        <v>-0.2790242080157499</v>
      </c>
      <c r="P308" s="62">
        <f t="shared" si="54"/>
        <v>-4812.3985796271918</v>
      </c>
      <c r="Q308" s="62">
        <f t="shared" si="55"/>
        <v>-0.27190564779766024</v>
      </c>
      <c r="R308" s="62">
        <f t="shared" si="56"/>
        <v>14467.856122982266</v>
      </c>
      <c r="S308" s="62">
        <f t="shared" si="57"/>
        <v>21048.807857553504</v>
      </c>
      <c r="T308" s="62">
        <f t="shared" si="58"/>
        <v>21110.83248765982</v>
      </c>
      <c r="U308" s="62">
        <f t="shared" si="59"/>
        <v>20918.877097725355</v>
      </c>
      <c r="V308" s="62">
        <f t="shared" si="49"/>
        <v>1</v>
      </c>
      <c r="W308" s="62">
        <f t="shared" si="49"/>
        <v>0</v>
      </c>
      <c r="X308" s="62">
        <f t="shared" si="49"/>
        <v>0</v>
      </c>
      <c r="Y308" s="62">
        <f t="shared" si="48"/>
        <v>0</v>
      </c>
      <c r="AA308" s="94"/>
    </row>
    <row r="309" spans="2:27" x14ac:dyDescent="0.2">
      <c r="B309" s="94"/>
      <c r="C309" s="62">
        <v>270</v>
      </c>
      <c r="D309" s="62">
        <v>11870.967209779801</v>
      </c>
      <c r="E309" s="62">
        <v>0.61761261847439397</v>
      </c>
      <c r="F309" s="62">
        <v>17083.131309715252</v>
      </c>
      <c r="G309" s="62">
        <v>0.89429364464831207</v>
      </c>
      <c r="H309" s="62">
        <v>17133.970258155201</v>
      </c>
      <c r="I309" s="62">
        <v>0.89720653202423672</v>
      </c>
      <c r="J309" s="62">
        <v>16994.99495202893</v>
      </c>
      <c r="K309" s="62">
        <v>0.88862385628295537</v>
      </c>
      <c r="L309" s="62">
        <f t="shared" si="50"/>
        <v>-5212.1640999354513</v>
      </c>
      <c r="M309" s="62">
        <f t="shared" si="51"/>
        <v>-0.2766810261739181</v>
      </c>
      <c r="N309" s="62">
        <f t="shared" si="52"/>
        <v>-5263.0030483753999</v>
      </c>
      <c r="O309" s="62">
        <f t="shared" si="53"/>
        <v>-0.27959391354984275</v>
      </c>
      <c r="P309" s="62">
        <f t="shared" si="54"/>
        <v>-5124.027742249129</v>
      </c>
      <c r="Q309" s="62">
        <f t="shared" si="55"/>
        <v>-0.2710112378085614</v>
      </c>
      <c r="R309" s="62">
        <f t="shared" si="56"/>
        <v>13713.017897903495</v>
      </c>
      <c r="S309" s="62">
        <f t="shared" si="57"/>
        <v>19962.088626196426</v>
      </c>
      <c r="T309" s="62">
        <f t="shared" si="58"/>
        <v>20031.913124416784</v>
      </c>
      <c r="U309" s="62">
        <f t="shared" si="59"/>
        <v>19815.359670636215</v>
      </c>
      <c r="V309" s="62">
        <f t="shared" si="49"/>
        <v>1</v>
      </c>
      <c r="W309" s="62">
        <f t="shared" si="49"/>
        <v>0</v>
      </c>
      <c r="X309" s="62">
        <f t="shared" si="49"/>
        <v>0</v>
      </c>
      <c r="Y309" s="62">
        <f t="shared" si="48"/>
        <v>0</v>
      </c>
      <c r="AA309" s="94"/>
    </row>
    <row r="310" spans="2:27" x14ac:dyDescent="0.2">
      <c r="B310" s="94"/>
      <c r="C310" s="62">
        <v>271</v>
      </c>
      <c r="D310" s="62">
        <v>10805.701971725481</v>
      </c>
      <c r="E310" s="62">
        <v>0.61759429580638847</v>
      </c>
      <c r="F310" s="62">
        <v>15538.177082122065</v>
      </c>
      <c r="G310" s="62">
        <v>0.89363656357204246</v>
      </c>
      <c r="H310" s="62">
        <v>15596.21526519102</v>
      </c>
      <c r="I310" s="62">
        <v>0.8974234281385769</v>
      </c>
      <c r="J310" s="62">
        <v>15483.329586292884</v>
      </c>
      <c r="K310" s="62">
        <v>0.88960618773470701</v>
      </c>
      <c r="L310" s="62">
        <f t="shared" si="50"/>
        <v>-4732.4751103965846</v>
      </c>
      <c r="M310" s="62">
        <f t="shared" si="51"/>
        <v>-0.27604226776565399</v>
      </c>
      <c r="N310" s="62">
        <f t="shared" si="52"/>
        <v>-4790.5132934655394</v>
      </c>
      <c r="O310" s="62">
        <f t="shared" si="53"/>
        <v>-0.27982913233218842</v>
      </c>
      <c r="P310" s="62">
        <f t="shared" si="54"/>
        <v>-4677.6276145674037</v>
      </c>
      <c r="Q310" s="62">
        <f t="shared" si="55"/>
        <v>-0.27201189192831854</v>
      </c>
      <c r="R310" s="62">
        <f t="shared" si="56"/>
        <v>14777.524137758355</v>
      </c>
      <c r="S310" s="62">
        <f t="shared" si="57"/>
        <v>21479.823927286227</v>
      </c>
      <c r="T310" s="62">
        <f t="shared" si="58"/>
        <v>21578.652822021388</v>
      </c>
      <c r="U310" s="62">
        <f t="shared" si="59"/>
        <v>21367.717134429615</v>
      </c>
      <c r="V310" s="62">
        <f t="shared" si="49"/>
        <v>1</v>
      </c>
      <c r="W310" s="62">
        <f t="shared" si="49"/>
        <v>0</v>
      </c>
      <c r="X310" s="62">
        <f t="shared" si="49"/>
        <v>0</v>
      </c>
      <c r="Y310" s="62">
        <f t="shared" si="48"/>
        <v>0</v>
      </c>
      <c r="AA310" s="94"/>
    </row>
    <row r="311" spans="2:27" x14ac:dyDescent="0.2">
      <c r="B311" s="94"/>
      <c r="C311" s="62">
        <v>272</v>
      </c>
      <c r="D311" s="62">
        <v>8991.9560511529107</v>
      </c>
      <c r="E311" s="62">
        <v>0.6181994495170926</v>
      </c>
      <c r="F311" s="62">
        <v>12917.726121594373</v>
      </c>
      <c r="G311" s="62">
        <v>0.89409646051887204</v>
      </c>
      <c r="H311" s="62">
        <v>12957.711933559367</v>
      </c>
      <c r="I311" s="62">
        <v>0.8972340680439832</v>
      </c>
      <c r="J311" s="62">
        <v>12868.962844377709</v>
      </c>
      <c r="K311" s="62">
        <v>0.88974627855820543</v>
      </c>
      <c r="L311" s="62">
        <f t="shared" si="50"/>
        <v>-3925.7700704414619</v>
      </c>
      <c r="M311" s="62">
        <f t="shared" si="51"/>
        <v>-0.27589701100177944</v>
      </c>
      <c r="N311" s="62">
        <f t="shared" si="52"/>
        <v>-3965.7558824064563</v>
      </c>
      <c r="O311" s="62">
        <f t="shared" si="53"/>
        <v>-0.2790346185268906</v>
      </c>
      <c r="P311" s="62">
        <f t="shared" si="54"/>
        <v>-3877.0067932247985</v>
      </c>
      <c r="Q311" s="62">
        <f t="shared" si="55"/>
        <v>-0.27154682904111282</v>
      </c>
      <c r="R311" s="62">
        <f t="shared" si="56"/>
        <v>16616.337945643136</v>
      </c>
      <c r="S311" s="62">
        <f t="shared" si="57"/>
        <v>24119.325658939386</v>
      </c>
      <c r="T311" s="62">
        <f t="shared" si="58"/>
        <v>24209.312101094591</v>
      </c>
      <c r="U311" s="62">
        <f t="shared" si="59"/>
        <v>23987.886998617389</v>
      </c>
      <c r="V311" s="62">
        <f t="shared" si="49"/>
        <v>1</v>
      </c>
      <c r="W311" s="62">
        <f t="shared" si="49"/>
        <v>0</v>
      </c>
      <c r="X311" s="62">
        <f t="shared" si="49"/>
        <v>0</v>
      </c>
      <c r="Y311" s="62">
        <f t="shared" si="48"/>
        <v>0</v>
      </c>
      <c r="AA311" s="94"/>
    </row>
    <row r="312" spans="2:27" x14ac:dyDescent="0.2">
      <c r="B312" s="94"/>
      <c r="C312" s="62">
        <v>273</v>
      </c>
      <c r="D312" s="62">
        <v>8046.0056530929969</v>
      </c>
      <c r="E312" s="62">
        <v>0.61741689285249735</v>
      </c>
      <c r="F312" s="62">
        <v>11564.114406978344</v>
      </c>
      <c r="G312" s="62">
        <v>0.89421074399250711</v>
      </c>
      <c r="H312" s="62">
        <v>11600.661928899972</v>
      </c>
      <c r="I312" s="62">
        <v>0.89760775560566786</v>
      </c>
      <c r="J312" s="62">
        <v>11516.677557592015</v>
      </c>
      <c r="K312" s="62">
        <v>0.88954720401063114</v>
      </c>
      <c r="L312" s="62">
        <f t="shared" si="50"/>
        <v>-3518.1087538853471</v>
      </c>
      <c r="M312" s="62">
        <f t="shared" si="51"/>
        <v>-0.27679385114000976</v>
      </c>
      <c r="N312" s="62">
        <f t="shared" si="52"/>
        <v>-3554.6562758069749</v>
      </c>
      <c r="O312" s="62">
        <f t="shared" si="53"/>
        <v>-0.28019086275317051</v>
      </c>
      <c r="P312" s="62">
        <f t="shared" si="54"/>
        <v>-3470.6719044990177</v>
      </c>
      <c r="Q312" s="62">
        <f t="shared" si="55"/>
        <v>-0.2721303111581338</v>
      </c>
      <c r="R312" s="62">
        <f t="shared" si="56"/>
        <v>17529.871716428854</v>
      </c>
      <c r="S312" s="62">
        <f t="shared" si="57"/>
        <v>25477.671452167273</v>
      </c>
      <c r="T312" s="62">
        <f t="shared" si="58"/>
        <v>25581.841739309217</v>
      </c>
      <c r="U312" s="62">
        <f t="shared" si="59"/>
        <v>25331.925821344372</v>
      </c>
      <c r="V312" s="62">
        <f t="shared" si="49"/>
        <v>1</v>
      </c>
      <c r="W312" s="62">
        <f t="shared" si="49"/>
        <v>0</v>
      </c>
      <c r="X312" s="62">
        <f t="shared" si="49"/>
        <v>0</v>
      </c>
      <c r="Y312" s="62">
        <f t="shared" si="48"/>
        <v>0</v>
      </c>
      <c r="AA312" s="94"/>
    </row>
    <row r="313" spans="2:27" x14ac:dyDescent="0.2">
      <c r="B313" s="94"/>
      <c r="C313" s="62">
        <v>274</v>
      </c>
      <c r="D313" s="62">
        <v>9645.7470016534262</v>
      </c>
      <c r="E313" s="62">
        <v>0.61731626267726514</v>
      </c>
      <c r="F313" s="62">
        <v>13866.97298645718</v>
      </c>
      <c r="G313" s="62">
        <v>0.89399671462400354</v>
      </c>
      <c r="H313" s="62">
        <v>13916.676945793281</v>
      </c>
      <c r="I313" s="62">
        <v>0.89746484566377616</v>
      </c>
      <c r="J313" s="62">
        <v>13826.772507736088</v>
      </c>
      <c r="K313" s="62">
        <v>0.89031856523365371</v>
      </c>
      <c r="L313" s="62">
        <f t="shared" si="50"/>
        <v>-4221.2259848037538</v>
      </c>
      <c r="M313" s="62">
        <f t="shared" si="51"/>
        <v>-0.2766804519467384</v>
      </c>
      <c r="N313" s="62">
        <f t="shared" si="52"/>
        <v>-4270.9299441398543</v>
      </c>
      <c r="O313" s="62">
        <f t="shared" si="53"/>
        <v>-0.28014858298651102</v>
      </c>
      <c r="P313" s="62">
        <f t="shared" si="54"/>
        <v>-4181.0255060826621</v>
      </c>
      <c r="Q313" s="62">
        <f t="shared" si="55"/>
        <v>-0.27300230255638858</v>
      </c>
      <c r="R313" s="62">
        <f t="shared" si="56"/>
        <v>15925.961863489605</v>
      </c>
      <c r="S313" s="62">
        <f t="shared" si="57"/>
        <v>23165.946920127542</v>
      </c>
      <c r="T313" s="62">
        <f t="shared" si="58"/>
        <v>23259.906820982978</v>
      </c>
      <c r="U313" s="62">
        <f t="shared" si="59"/>
        <v>23053.783738502781</v>
      </c>
      <c r="V313" s="62">
        <f t="shared" si="49"/>
        <v>1</v>
      </c>
      <c r="W313" s="62">
        <f t="shared" si="49"/>
        <v>0</v>
      </c>
      <c r="X313" s="62">
        <f t="shared" si="49"/>
        <v>0</v>
      </c>
      <c r="Y313" s="62">
        <f t="shared" si="48"/>
        <v>0</v>
      </c>
      <c r="AA313" s="94"/>
    </row>
    <row r="314" spans="2:27" x14ac:dyDescent="0.2">
      <c r="B314" s="94"/>
      <c r="C314" s="62">
        <v>275</v>
      </c>
      <c r="D314" s="62">
        <v>8930.1709454288775</v>
      </c>
      <c r="E314" s="62">
        <v>0.6173519641455768</v>
      </c>
      <c r="F314" s="62">
        <v>12840.985537831761</v>
      </c>
      <c r="G314" s="62">
        <v>0.89435030633099954</v>
      </c>
      <c r="H314" s="62">
        <v>12879.555341660829</v>
      </c>
      <c r="I314" s="62">
        <v>0.89731376306608623</v>
      </c>
      <c r="J314" s="62">
        <v>12796.043167226517</v>
      </c>
      <c r="K314" s="62">
        <v>0.89008380868193981</v>
      </c>
      <c r="L314" s="62">
        <f t="shared" si="50"/>
        <v>-3910.8145924028831</v>
      </c>
      <c r="M314" s="62">
        <f t="shared" si="51"/>
        <v>-0.27699834218542274</v>
      </c>
      <c r="N314" s="62">
        <f t="shared" si="52"/>
        <v>-3949.3843962319515</v>
      </c>
      <c r="O314" s="62">
        <f t="shared" si="53"/>
        <v>-0.27996179892050943</v>
      </c>
      <c r="P314" s="62">
        <f t="shared" si="54"/>
        <v>-3865.8722217976392</v>
      </c>
      <c r="Q314" s="62">
        <f t="shared" si="55"/>
        <v>-0.27273184453636301</v>
      </c>
      <c r="R314" s="62">
        <f t="shared" si="56"/>
        <v>16643.016817337499</v>
      </c>
      <c r="S314" s="62">
        <f t="shared" si="57"/>
        <v>24206.581551623567</v>
      </c>
      <c r="T314" s="62">
        <f t="shared" si="58"/>
        <v>24290.769979588724</v>
      </c>
      <c r="U314" s="62">
        <f t="shared" si="59"/>
        <v>24074.788523614159</v>
      </c>
      <c r="V314" s="62">
        <f t="shared" si="49"/>
        <v>1</v>
      </c>
      <c r="W314" s="62">
        <f t="shared" si="49"/>
        <v>0</v>
      </c>
      <c r="X314" s="62">
        <f t="shared" si="49"/>
        <v>0</v>
      </c>
      <c r="Y314" s="62">
        <f t="shared" si="48"/>
        <v>0</v>
      </c>
      <c r="AA314" s="94"/>
    </row>
    <row r="315" spans="2:27" x14ac:dyDescent="0.2">
      <c r="B315" s="94"/>
      <c r="C315" s="62">
        <v>276</v>
      </c>
      <c r="D315" s="62">
        <v>9431.3549320469883</v>
      </c>
      <c r="E315" s="62">
        <v>0.61789054508911578</v>
      </c>
      <c r="F315" s="62">
        <v>13567.428987096137</v>
      </c>
      <c r="G315" s="62">
        <v>0.89489700055515364</v>
      </c>
      <c r="H315" s="62">
        <v>13590.807670973132</v>
      </c>
      <c r="I315" s="62">
        <v>0.89681323592202411</v>
      </c>
      <c r="J315" s="62">
        <v>13489.430522174665</v>
      </c>
      <c r="K315" s="62">
        <v>0.88869955849094995</v>
      </c>
      <c r="L315" s="62">
        <f t="shared" si="50"/>
        <v>-4136.0740550491482</v>
      </c>
      <c r="M315" s="62">
        <f t="shared" si="51"/>
        <v>-0.27700645546603786</v>
      </c>
      <c r="N315" s="62">
        <f t="shared" si="52"/>
        <v>-4159.4527389261439</v>
      </c>
      <c r="O315" s="62">
        <f t="shared" si="53"/>
        <v>-0.27892269083290833</v>
      </c>
      <c r="P315" s="62">
        <f t="shared" si="54"/>
        <v>-4058.0755901276771</v>
      </c>
      <c r="Q315" s="62">
        <f t="shared" si="55"/>
        <v>-0.27080901340183416</v>
      </c>
      <c r="R315" s="62">
        <f t="shared" si="56"/>
        <v>16164.143007724544</v>
      </c>
      <c r="S315" s="62">
        <f t="shared" si="57"/>
        <v>23502.784363900551</v>
      </c>
      <c r="T315" s="62">
        <f t="shared" si="58"/>
        <v>23558.783813860791</v>
      </c>
      <c r="U315" s="62">
        <f t="shared" si="59"/>
        <v>23324.059988754449</v>
      </c>
      <c r="V315" s="62">
        <f t="shared" si="49"/>
        <v>1</v>
      </c>
      <c r="W315" s="62">
        <f t="shared" si="49"/>
        <v>0</v>
      </c>
      <c r="X315" s="62">
        <f t="shared" si="49"/>
        <v>0</v>
      </c>
      <c r="Y315" s="62">
        <f t="shared" si="48"/>
        <v>0</v>
      </c>
      <c r="AA315" s="94"/>
    </row>
    <row r="316" spans="2:27" x14ac:dyDescent="0.2">
      <c r="B316" s="94"/>
      <c r="C316" s="62">
        <v>277</v>
      </c>
      <c r="D316" s="62">
        <v>10601.368027636558</v>
      </c>
      <c r="E316" s="62">
        <v>0.61789669939572522</v>
      </c>
      <c r="F316" s="62">
        <v>15246.79070319428</v>
      </c>
      <c r="G316" s="62">
        <v>0.89429203194588747</v>
      </c>
      <c r="H316" s="62">
        <v>15299.216956794933</v>
      </c>
      <c r="I316" s="62">
        <v>0.89769682108107773</v>
      </c>
      <c r="J316" s="62">
        <v>15172.663795715438</v>
      </c>
      <c r="K316" s="62">
        <v>0.88888238860946722</v>
      </c>
      <c r="L316" s="62">
        <f t="shared" si="50"/>
        <v>-4645.422675557722</v>
      </c>
      <c r="M316" s="62">
        <f t="shared" si="51"/>
        <v>-0.27639533255016224</v>
      </c>
      <c r="N316" s="62">
        <f t="shared" si="52"/>
        <v>-4697.8489291583755</v>
      </c>
      <c r="O316" s="62">
        <f t="shared" si="53"/>
        <v>-0.27980012168535251</v>
      </c>
      <c r="P316" s="62">
        <f t="shared" si="54"/>
        <v>-4571.2957680788804</v>
      </c>
      <c r="Q316" s="62">
        <f t="shared" si="55"/>
        <v>-0.270985689213742</v>
      </c>
      <c r="R316" s="62">
        <f t="shared" si="56"/>
        <v>14994.384848131964</v>
      </c>
      <c r="S316" s="62">
        <f t="shared" si="57"/>
        <v>21798.362428132161</v>
      </c>
      <c r="T316" s="62">
        <f t="shared" si="58"/>
        <v>21886.976159667633</v>
      </c>
      <c r="U316" s="62">
        <f t="shared" si="59"/>
        <v>21648.40027004313</v>
      </c>
      <c r="V316" s="62">
        <f t="shared" si="49"/>
        <v>1</v>
      </c>
      <c r="W316" s="62">
        <f t="shared" si="49"/>
        <v>0</v>
      </c>
      <c r="X316" s="62">
        <f t="shared" si="49"/>
        <v>0</v>
      </c>
      <c r="Y316" s="62">
        <f t="shared" si="48"/>
        <v>0</v>
      </c>
      <c r="AA316" s="94"/>
    </row>
    <row r="317" spans="2:27" x14ac:dyDescent="0.2">
      <c r="B317" s="94"/>
      <c r="C317" s="62">
        <v>278</v>
      </c>
      <c r="D317" s="62">
        <v>8400.7466843306793</v>
      </c>
      <c r="E317" s="62">
        <v>0.61787857951033687</v>
      </c>
      <c r="F317" s="62">
        <v>12061.948231196366</v>
      </c>
      <c r="G317" s="62">
        <v>0.89397347786779946</v>
      </c>
      <c r="H317" s="62">
        <v>12094.578471779691</v>
      </c>
      <c r="I317" s="62">
        <v>0.89689319620481722</v>
      </c>
      <c r="J317" s="62">
        <v>12007.088633326621</v>
      </c>
      <c r="K317" s="62">
        <v>0.88872390965581693</v>
      </c>
      <c r="L317" s="62">
        <f t="shared" si="50"/>
        <v>-3661.2015468656864</v>
      </c>
      <c r="M317" s="62">
        <f t="shared" si="51"/>
        <v>-0.27609489835746259</v>
      </c>
      <c r="N317" s="62">
        <f t="shared" si="52"/>
        <v>-3693.8317874490112</v>
      </c>
      <c r="O317" s="62">
        <f t="shared" si="53"/>
        <v>-0.27901461669448036</v>
      </c>
      <c r="P317" s="62">
        <f t="shared" si="54"/>
        <v>-3606.3419489959415</v>
      </c>
      <c r="Q317" s="62">
        <f t="shared" si="55"/>
        <v>-0.27084533014548007</v>
      </c>
      <c r="R317" s="62">
        <f t="shared" si="56"/>
        <v>17194.255593305516</v>
      </c>
      <c r="S317" s="62">
        <f t="shared" si="57"/>
        <v>24970.009115999361</v>
      </c>
      <c r="T317" s="62">
        <f t="shared" si="58"/>
        <v>25058.325287808657</v>
      </c>
      <c r="U317" s="62">
        <f t="shared" si="59"/>
        <v>24807.410600255938</v>
      </c>
      <c r="V317" s="62">
        <f t="shared" si="49"/>
        <v>1</v>
      </c>
      <c r="W317" s="62">
        <f t="shared" si="49"/>
        <v>0</v>
      </c>
      <c r="X317" s="62">
        <f t="shared" si="49"/>
        <v>0</v>
      </c>
      <c r="Y317" s="62">
        <f t="shared" si="48"/>
        <v>0</v>
      </c>
      <c r="AA317" s="94"/>
    </row>
    <row r="318" spans="2:27" x14ac:dyDescent="0.2">
      <c r="B318" s="94"/>
      <c r="C318" s="62">
        <v>279</v>
      </c>
      <c r="D318" s="62">
        <v>12142.07954618582</v>
      </c>
      <c r="E318" s="62">
        <v>0.6177023312449671</v>
      </c>
      <c r="F318" s="62">
        <v>17477.17749516643</v>
      </c>
      <c r="G318" s="62">
        <v>0.89441344747435259</v>
      </c>
      <c r="H318" s="62">
        <v>17539.916654744313</v>
      </c>
      <c r="I318" s="62">
        <v>0.89795502343004563</v>
      </c>
      <c r="J318" s="62">
        <v>17402.061728165063</v>
      </c>
      <c r="K318" s="62">
        <v>0.88968240606771465</v>
      </c>
      <c r="L318" s="62">
        <f t="shared" si="50"/>
        <v>-5335.0979489806105</v>
      </c>
      <c r="M318" s="62">
        <f t="shared" si="51"/>
        <v>-0.27671111622938549</v>
      </c>
      <c r="N318" s="62">
        <f t="shared" si="52"/>
        <v>-5397.8371085584931</v>
      </c>
      <c r="O318" s="62">
        <f t="shared" si="53"/>
        <v>-0.28025269218507853</v>
      </c>
      <c r="P318" s="62">
        <f t="shared" si="54"/>
        <v>-5259.9821819792433</v>
      </c>
      <c r="Q318" s="62">
        <f t="shared" si="55"/>
        <v>-0.27198007482274755</v>
      </c>
      <c r="R318" s="62">
        <f t="shared" si="56"/>
        <v>13445.621823305699</v>
      </c>
      <c r="S318" s="62">
        <f t="shared" si="57"/>
        <v>19573.005153011149</v>
      </c>
      <c r="T318" s="62">
        <f t="shared" si="58"/>
        <v>19656.972235821897</v>
      </c>
      <c r="U318" s="62">
        <f t="shared" si="59"/>
        <v>19452.142260783949</v>
      </c>
      <c r="V318" s="62">
        <f t="shared" si="49"/>
        <v>1</v>
      </c>
      <c r="W318" s="62">
        <f t="shared" si="49"/>
        <v>0</v>
      </c>
      <c r="X318" s="62">
        <f t="shared" si="49"/>
        <v>0</v>
      </c>
      <c r="Y318" s="62">
        <f t="shared" si="48"/>
        <v>0</v>
      </c>
      <c r="AA318" s="94"/>
    </row>
    <row r="319" spans="2:27" x14ac:dyDescent="0.2">
      <c r="B319" s="94"/>
      <c r="C319" s="62">
        <v>280</v>
      </c>
      <c r="D319" s="62">
        <v>7789.6994881925202</v>
      </c>
      <c r="E319" s="62">
        <v>0.61760991522441155</v>
      </c>
      <c r="F319" s="62">
        <v>11189.905775574021</v>
      </c>
      <c r="G319" s="62">
        <v>0.89411680798433657</v>
      </c>
      <c r="H319" s="62">
        <v>11235.474472314507</v>
      </c>
      <c r="I319" s="62">
        <v>0.89838787786593488</v>
      </c>
      <c r="J319" s="62">
        <v>11146.876214759352</v>
      </c>
      <c r="K319" s="62">
        <v>0.88944161154284551</v>
      </c>
      <c r="L319" s="62">
        <f t="shared" si="50"/>
        <v>-3400.2062873815012</v>
      </c>
      <c r="M319" s="62">
        <f t="shared" si="51"/>
        <v>-0.27650689275992502</v>
      </c>
      <c r="N319" s="62">
        <f t="shared" si="52"/>
        <v>-3445.7749841219866</v>
      </c>
      <c r="O319" s="62">
        <f t="shared" si="53"/>
        <v>-0.28077796264152333</v>
      </c>
      <c r="P319" s="62">
        <f t="shared" si="54"/>
        <v>-3357.1767265668313</v>
      </c>
      <c r="Q319" s="62">
        <f t="shared" si="55"/>
        <v>-0.27183169631843396</v>
      </c>
      <c r="R319" s="62">
        <f t="shared" si="56"/>
        <v>17794.173640063505</v>
      </c>
      <c r="S319" s="62">
        <f t="shared" si="57"/>
        <v>25847.988878369135</v>
      </c>
      <c r="T319" s="62">
        <f t="shared" si="58"/>
        <v>25979.344980403985</v>
      </c>
      <c r="U319" s="62">
        <f t="shared" si="59"/>
        <v>25697.353101791479</v>
      </c>
      <c r="V319" s="62">
        <f t="shared" si="49"/>
        <v>1</v>
      </c>
      <c r="W319" s="62">
        <f t="shared" si="49"/>
        <v>0</v>
      </c>
      <c r="X319" s="62">
        <f t="shared" si="49"/>
        <v>0</v>
      </c>
      <c r="Y319" s="62">
        <f t="shared" si="48"/>
        <v>0</v>
      </c>
      <c r="AA319" s="94"/>
    </row>
    <row r="320" spans="2:27" x14ac:dyDescent="0.2">
      <c r="B320" s="94"/>
      <c r="C320" s="62">
        <v>281</v>
      </c>
      <c r="D320" s="62">
        <v>10844.653436649538</v>
      </c>
      <c r="E320" s="62">
        <v>0.61781485517657364</v>
      </c>
      <c r="F320" s="62">
        <v>15579.529191790214</v>
      </c>
      <c r="G320" s="62">
        <v>0.89377227680392379</v>
      </c>
      <c r="H320" s="62">
        <v>15631.729013619966</v>
      </c>
      <c r="I320" s="62">
        <v>0.89718760620812998</v>
      </c>
      <c r="J320" s="62">
        <v>15530.850840649702</v>
      </c>
      <c r="K320" s="62">
        <v>0.89007107883362802</v>
      </c>
      <c r="L320" s="62">
        <f t="shared" si="50"/>
        <v>-4734.8757551406761</v>
      </c>
      <c r="M320" s="62">
        <f t="shared" si="51"/>
        <v>-0.27595742162735015</v>
      </c>
      <c r="N320" s="62">
        <f t="shared" si="52"/>
        <v>-4787.0755769704283</v>
      </c>
      <c r="O320" s="62">
        <f t="shared" si="53"/>
        <v>-0.27937275103155634</v>
      </c>
      <c r="P320" s="62">
        <f t="shared" si="54"/>
        <v>-4686.1974040001642</v>
      </c>
      <c r="Q320" s="62">
        <f t="shared" si="55"/>
        <v>-0.27225622365705437</v>
      </c>
      <c r="R320" s="62">
        <f t="shared" si="56"/>
        <v>14747.709124184848</v>
      </c>
      <c r="S320" s="62">
        <f t="shared" si="57"/>
        <v>21444.093602535526</v>
      </c>
      <c r="T320" s="62">
        <f t="shared" si="58"/>
        <v>21533.370385945607</v>
      </c>
      <c r="U320" s="62">
        <f t="shared" si="59"/>
        <v>21339.453528954506</v>
      </c>
      <c r="V320" s="62">
        <f t="shared" si="49"/>
        <v>1</v>
      </c>
      <c r="W320" s="62">
        <f t="shared" si="49"/>
        <v>0</v>
      </c>
      <c r="X320" s="62">
        <f t="shared" si="49"/>
        <v>0</v>
      </c>
      <c r="Y320" s="62">
        <f t="shared" si="48"/>
        <v>0</v>
      </c>
      <c r="AA320" s="94"/>
    </row>
    <row r="321" spans="2:27" x14ac:dyDescent="0.2">
      <c r="B321" s="94"/>
      <c r="C321" s="62">
        <v>282</v>
      </c>
      <c r="D321" s="62">
        <v>9107.2142121738489</v>
      </c>
      <c r="E321" s="62">
        <v>0.61749220742720023</v>
      </c>
      <c r="F321" s="62">
        <v>13100.965932132935</v>
      </c>
      <c r="G321" s="62">
        <v>0.89434027784044046</v>
      </c>
      <c r="H321" s="62">
        <v>13137.12675693822</v>
      </c>
      <c r="I321" s="62">
        <v>0.89723238060412458</v>
      </c>
      <c r="J321" s="62">
        <v>13051.617533908076</v>
      </c>
      <c r="K321" s="62">
        <v>0.88994583499671742</v>
      </c>
      <c r="L321" s="62">
        <f t="shared" si="50"/>
        <v>-3993.7517199590857</v>
      </c>
      <c r="M321" s="62">
        <f t="shared" si="51"/>
        <v>-0.27684807041324022</v>
      </c>
      <c r="N321" s="62">
        <f t="shared" si="52"/>
        <v>-4029.912544764371</v>
      </c>
      <c r="O321" s="62">
        <f t="shared" si="53"/>
        <v>-0.27974017317692434</v>
      </c>
      <c r="P321" s="62">
        <f t="shared" si="54"/>
        <v>-3944.4033217342276</v>
      </c>
      <c r="Q321" s="62">
        <f t="shared" si="55"/>
        <v>-0.27245362756951719</v>
      </c>
      <c r="R321" s="62">
        <f t="shared" si="56"/>
        <v>16471.782988290492</v>
      </c>
      <c r="S321" s="62">
        <f t="shared" si="57"/>
        <v>23946.185737129472</v>
      </c>
      <c r="T321" s="62">
        <f t="shared" si="58"/>
        <v>24029.827377207039</v>
      </c>
      <c r="U321" s="62">
        <f t="shared" si="59"/>
        <v>23813.498734995945</v>
      </c>
      <c r="V321" s="62">
        <f t="shared" si="49"/>
        <v>1</v>
      </c>
      <c r="W321" s="62">
        <f t="shared" si="49"/>
        <v>0</v>
      </c>
      <c r="X321" s="62">
        <f t="shared" si="49"/>
        <v>0</v>
      </c>
      <c r="Y321" s="62">
        <f t="shared" si="48"/>
        <v>0</v>
      </c>
      <c r="AA321" s="94"/>
    </row>
    <row r="322" spans="2:27" x14ac:dyDescent="0.2">
      <c r="B322" s="94"/>
      <c r="C322" s="62">
        <v>283</v>
      </c>
      <c r="D322" s="62">
        <v>10708.572706010958</v>
      </c>
      <c r="E322" s="62">
        <v>0.61766031549088152</v>
      </c>
      <c r="F322" s="62">
        <v>15391.136326970938</v>
      </c>
      <c r="G322" s="62">
        <v>0.89396597826061852</v>
      </c>
      <c r="H322" s="62">
        <v>15431.106741424743</v>
      </c>
      <c r="I322" s="62">
        <v>0.89636165017992375</v>
      </c>
      <c r="J322" s="62">
        <v>15324.956453901872</v>
      </c>
      <c r="K322" s="62">
        <v>0.88901464321698254</v>
      </c>
      <c r="L322" s="62">
        <f t="shared" si="50"/>
        <v>-4682.5636209599797</v>
      </c>
      <c r="M322" s="62">
        <f t="shared" si="51"/>
        <v>-0.276305662769737</v>
      </c>
      <c r="N322" s="62">
        <f t="shared" si="52"/>
        <v>-4722.5340354137843</v>
      </c>
      <c r="O322" s="62">
        <f t="shared" si="53"/>
        <v>-0.27870133468904223</v>
      </c>
      <c r="P322" s="62">
        <f t="shared" si="54"/>
        <v>-4616.3837478909136</v>
      </c>
      <c r="Q322" s="62">
        <f t="shared" si="55"/>
        <v>-0.27135432772610102</v>
      </c>
      <c r="R322" s="62">
        <f t="shared" si="56"/>
        <v>14877.388202883316</v>
      </c>
      <c r="S322" s="62">
        <f t="shared" si="57"/>
        <v>21640.510356496925</v>
      </c>
      <c r="T322" s="62">
        <f t="shared" si="58"/>
        <v>21699.778255628415</v>
      </c>
      <c r="U322" s="62">
        <f t="shared" si="59"/>
        <v>21501.586126718412</v>
      </c>
      <c r="V322" s="62">
        <f t="shared" si="49"/>
        <v>1</v>
      </c>
      <c r="W322" s="62">
        <f t="shared" si="49"/>
        <v>0</v>
      </c>
      <c r="X322" s="62">
        <f t="shared" si="49"/>
        <v>0</v>
      </c>
      <c r="Y322" s="62">
        <f t="shared" si="48"/>
        <v>0</v>
      </c>
      <c r="AA322" s="94"/>
    </row>
    <row r="323" spans="2:27" x14ac:dyDescent="0.2">
      <c r="B323" s="94"/>
      <c r="C323" s="62">
        <v>284</v>
      </c>
      <c r="D323" s="62">
        <v>9495.4173997127436</v>
      </c>
      <c r="E323" s="62">
        <v>0.61756477351929684</v>
      </c>
      <c r="F323" s="62">
        <v>13660.203851327869</v>
      </c>
      <c r="G323" s="62">
        <v>0.8952037054938019</v>
      </c>
      <c r="H323" s="62">
        <v>13689.406390834989</v>
      </c>
      <c r="I323" s="62">
        <v>0.89741751481238163</v>
      </c>
      <c r="J323" s="62">
        <v>13589.781841110345</v>
      </c>
      <c r="K323" s="62">
        <v>0.88931266431764977</v>
      </c>
      <c r="L323" s="62">
        <f t="shared" si="50"/>
        <v>-4164.7864516151258</v>
      </c>
      <c r="M323" s="62">
        <f t="shared" si="51"/>
        <v>-0.27763893197450507</v>
      </c>
      <c r="N323" s="62">
        <f t="shared" si="52"/>
        <v>-4193.9889911222454</v>
      </c>
      <c r="O323" s="62">
        <f t="shared" si="53"/>
        <v>-0.27985274129308479</v>
      </c>
      <c r="P323" s="62">
        <f t="shared" si="54"/>
        <v>-4094.3644413976017</v>
      </c>
      <c r="Q323" s="62">
        <f t="shared" si="55"/>
        <v>-0.27174789079835293</v>
      </c>
      <c r="R323" s="62">
        <f t="shared" si="56"/>
        <v>16086.585778550609</v>
      </c>
      <c r="S323" s="62">
        <f t="shared" si="57"/>
        <v>23422.714445047386</v>
      </c>
      <c r="T323" s="62">
        <f t="shared" si="58"/>
        <v>23485.216742753106</v>
      </c>
      <c r="U323" s="62">
        <f t="shared" si="59"/>
        <v>23249.105965583978</v>
      </c>
      <c r="V323" s="62">
        <f t="shared" si="49"/>
        <v>1</v>
      </c>
      <c r="W323" s="62">
        <f t="shared" si="49"/>
        <v>0</v>
      </c>
      <c r="X323" s="62">
        <f t="shared" si="49"/>
        <v>0</v>
      </c>
      <c r="Y323" s="62">
        <f t="shared" si="48"/>
        <v>0</v>
      </c>
      <c r="AA323" s="94"/>
    </row>
    <row r="324" spans="2:27" x14ac:dyDescent="0.2">
      <c r="B324" s="94"/>
      <c r="C324" s="62">
        <v>285</v>
      </c>
      <c r="D324" s="62">
        <v>12203.056060474064</v>
      </c>
      <c r="E324" s="62">
        <v>0.61784799757331332</v>
      </c>
      <c r="F324" s="62">
        <v>17557.48803625429</v>
      </c>
      <c r="G324" s="62">
        <v>0.89464597649820643</v>
      </c>
      <c r="H324" s="62">
        <v>17620.40311556177</v>
      </c>
      <c r="I324" s="62">
        <v>0.89814197155654796</v>
      </c>
      <c r="J324" s="62">
        <v>17466.9729994708</v>
      </c>
      <c r="K324" s="62">
        <v>0.88877004195083975</v>
      </c>
      <c r="L324" s="62">
        <f t="shared" si="50"/>
        <v>-5354.4319757802259</v>
      </c>
      <c r="M324" s="62">
        <f t="shared" si="51"/>
        <v>-0.27679797892489311</v>
      </c>
      <c r="N324" s="62">
        <f t="shared" si="52"/>
        <v>-5417.3470550877064</v>
      </c>
      <c r="O324" s="62">
        <f t="shared" si="53"/>
        <v>-0.28029397398323463</v>
      </c>
      <c r="P324" s="62">
        <f t="shared" si="54"/>
        <v>-5263.9169389967356</v>
      </c>
      <c r="Q324" s="62">
        <f t="shared" si="55"/>
        <v>-0.27092204437752643</v>
      </c>
      <c r="R324" s="62">
        <f t="shared" si="56"/>
        <v>13390.679391002868</v>
      </c>
      <c r="S324" s="62">
        <f t="shared" si="57"/>
        <v>19502.326894207414</v>
      </c>
      <c r="T324" s="62">
        <f t="shared" si="58"/>
        <v>19584.229914196672</v>
      </c>
      <c r="U324" s="62">
        <f t="shared" si="59"/>
        <v>19349.437218300784</v>
      </c>
      <c r="V324" s="62">
        <f t="shared" si="49"/>
        <v>1</v>
      </c>
      <c r="W324" s="62">
        <f t="shared" si="49"/>
        <v>0</v>
      </c>
      <c r="X324" s="62">
        <f t="shared" si="49"/>
        <v>0</v>
      </c>
      <c r="Y324" s="62">
        <f t="shared" si="48"/>
        <v>0</v>
      </c>
      <c r="AA324" s="94"/>
    </row>
    <row r="325" spans="2:27" x14ac:dyDescent="0.2">
      <c r="B325" s="94"/>
      <c r="C325" s="62">
        <v>286</v>
      </c>
      <c r="D325" s="62">
        <v>9523.6575073272033</v>
      </c>
      <c r="E325" s="62">
        <v>0.61753114423682953</v>
      </c>
      <c r="F325" s="62">
        <v>13702.451187647121</v>
      </c>
      <c r="G325" s="62">
        <v>0.89436668513497464</v>
      </c>
      <c r="H325" s="62">
        <v>13737.974455528345</v>
      </c>
      <c r="I325" s="62">
        <v>0.89707949651717911</v>
      </c>
      <c r="J325" s="62">
        <v>13646.889545417618</v>
      </c>
      <c r="K325" s="62">
        <v>0.88980146476954702</v>
      </c>
      <c r="L325" s="62">
        <f t="shared" si="50"/>
        <v>-4178.7936803199173</v>
      </c>
      <c r="M325" s="62">
        <f t="shared" si="51"/>
        <v>-0.2768355408981451</v>
      </c>
      <c r="N325" s="62">
        <f t="shared" si="52"/>
        <v>-4214.3169482011417</v>
      </c>
      <c r="O325" s="62">
        <f t="shared" si="53"/>
        <v>-0.27954835228034958</v>
      </c>
      <c r="P325" s="62">
        <f t="shared" si="54"/>
        <v>-4123.2320380904148</v>
      </c>
      <c r="Q325" s="62">
        <f t="shared" si="55"/>
        <v>-0.27227032053271749</v>
      </c>
      <c r="R325" s="62">
        <f t="shared" si="56"/>
        <v>16056.952611539222</v>
      </c>
      <c r="S325" s="62">
        <f t="shared" si="57"/>
        <v>23345.794377384067</v>
      </c>
      <c r="T325" s="62">
        <f t="shared" si="58"/>
        <v>23422.646608199284</v>
      </c>
      <c r="U325" s="62">
        <f t="shared" si="59"/>
        <v>23212.246331196096</v>
      </c>
      <c r="V325" s="62">
        <f t="shared" si="49"/>
        <v>1</v>
      </c>
      <c r="W325" s="62">
        <f t="shared" si="49"/>
        <v>0</v>
      </c>
      <c r="X325" s="62">
        <f t="shared" si="49"/>
        <v>0</v>
      </c>
      <c r="Y325" s="62">
        <f t="shared" si="48"/>
        <v>0</v>
      </c>
      <c r="AA325" s="94"/>
    </row>
    <row r="326" spans="2:27" x14ac:dyDescent="0.2">
      <c r="B326" s="94"/>
      <c r="C326" s="62">
        <v>287</v>
      </c>
      <c r="D326" s="62">
        <v>8963.6390458255992</v>
      </c>
      <c r="E326" s="62">
        <v>0.61788386662324268</v>
      </c>
      <c r="F326" s="62">
        <v>12870.281399548478</v>
      </c>
      <c r="G326" s="62">
        <v>0.89413969191367981</v>
      </c>
      <c r="H326" s="62">
        <v>12914.43092852577</v>
      </c>
      <c r="I326" s="62">
        <v>0.89766583381652454</v>
      </c>
      <c r="J326" s="62">
        <v>12819.966875423128</v>
      </c>
      <c r="K326" s="62">
        <v>0.88947103399080829</v>
      </c>
      <c r="L326" s="62">
        <f t="shared" si="50"/>
        <v>-3906.6423537228784</v>
      </c>
      <c r="M326" s="62">
        <f t="shared" si="51"/>
        <v>-0.27625582529043713</v>
      </c>
      <c r="N326" s="62">
        <f t="shared" si="52"/>
        <v>-3950.7918827001704</v>
      </c>
      <c r="O326" s="62">
        <f t="shared" si="53"/>
        <v>-0.27978196719328186</v>
      </c>
      <c r="P326" s="62">
        <f t="shared" si="54"/>
        <v>-3856.3278295975288</v>
      </c>
      <c r="Q326" s="62">
        <f t="shared" si="55"/>
        <v>-0.27158716736756561</v>
      </c>
      <c r="R326" s="62">
        <f t="shared" si="56"/>
        <v>16631.582245175607</v>
      </c>
      <c r="S326" s="62">
        <f t="shared" si="57"/>
        <v>24168.561198283795</v>
      </c>
      <c r="T326" s="62">
        <f t="shared" si="58"/>
        <v>24270.478571489941</v>
      </c>
      <c r="U326" s="62">
        <f t="shared" si="59"/>
        <v>24025.481236612115</v>
      </c>
      <c r="V326" s="62">
        <f t="shared" si="49"/>
        <v>1</v>
      </c>
      <c r="W326" s="62">
        <f t="shared" si="49"/>
        <v>0</v>
      </c>
      <c r="X326" s="62">
        <f t="shared" si="49"/>
        <v>0</v>
      </c>
      <c r="Y326" s="62">
        <f t="shared" si="48"/>
        <v>0</v>
      </c>
      <c r="AA326" s="94"/>
    </row>
    <row r="327" spans="2:27" x14ac:dyDescent="0.2">
      <c r="B327" s="94"/>
      <c r="C327" s="62">
        <v>288</v>
      </c>
      <c r="D327" s="62">
        <v>8330.4791123006089</v>
      </c>
      <c r="E327" s="62">
        <v>0.61769128799380046</v>
      </c>
      <c r="F327" s="62">
        <v>11958.074146985546</v>
      </c>
      <c r="G327" s="62">
        <v>0.89401324311002872</v>
      </c>
      <c r="H327" s="62">
        <v>12009.487395811193</v>
      </c>
      <c r="I327" s="62">
        <v>0.89841473788371951</v>
      </c>
      <c r="J327" s="62">
        <v>11919.852621109041</v>
      </c>
      <c r="K327" s="62">
        <v>0.88987027563054022</v>
      </c>
      <c r="L327" s="62">
        <f t="shared" si="50"/>
        <v>-3627.5950346849368</v>
      </c>
      <c r="M327" s="62">
        <f t="shared" si="51"/>
        <v>-0.27632195511622826</v>
      </c>
      <c r="N327" s="62">
        <f t="shared" si="52"/>
        <v>-3679.0082835105841</v>
      </c>
      <c r="O327" s="62">
        <f t="shared" si="53"/>
        <v>-0.28072344988991904</v>
      </c>
      <c r="P327" s="62">
        <f t="shared" si="54"/>
        <v>-3589.3735088084322</v>
      </c>
      <c r="Q327" s="62">
        <f t="shared" si="55"/>
        <v>-0.27217898763673976</v>
      </c>
      <c r="R327" s="62">
        <f t="shared" si="56"/>
        <v>17256.764801554578</v>
      </c>
      <c r="S327" s="62">
        <f t="shared" si="57"/>
        <v>25075.530435604287</v>
      </c>
      <c r="T327" s="62">
        <f t="shared" si="58"/>
        <v>25206.444706284004</v>
      </c>
      <c r="U327" s="62">
        <f t="shared" si="59"/>
        <v>24942.133676610458</v>
      </c>
      <c r="V327" s="62">
        <f t="shared" si="49"/>
        <v>1</v>
      </c>
      <c r="W327" s="62">
        <f t="shared" si="49"/>
        <v>0</v>
      </c>
      <c r="X327" s="62">
        <f t="shared" si="49"/>
        <v>0</v>
      </c>
      <c r="Y327" s="62">
        <f t="shared" si="48"/>
        <v>0</v>
      </c>
      <c r="AA327" s="94"/>
    </row>
    <row r="328" spans="2:27" x14ac:dyDescent="0.2">
      <c r="B328" s="94"/>
      <c r="C328" s="62">
        <v>289</v>
      </c>
      <c r="D328" s="62">
        <v>9616.0979441872732</v>
      </c>
      <c r="E328" s="62">
        <v>0.61739934628875759</v>
      </c>
      <c r="F328" s="62">
        <v>13831.031495914396</v>
      </c>
      <c r="G328" s="62">
        <v>0.89437930581300762</v>
      </c>
      <c r="H328" s="62">
        <v>13868.261471638632</v>
      </c>
      <c r="I328" s="62">
        <v>0.89700914625478845</v>
      </c>
      <c r="J328" s="62">
        <v>13774.726303703374</v>
      </c>
      <c r="K328" s="62">
        <v>0.88958272442410879</v>
      </c>
      <c r="L328" s="62">
        <f t="shared" si="50"/>
        <v>-4214.9335517271229</v>
      </c>
      <c r="M328" s="62">
        <f t="shared" si="51"/>
        <v>-0.27697995952425003</v>
      </c>
      <c r="N328" s="62">
        <f t="shared" si="52"/>
        <v>-4252.1635274513592</v>
      </c>
      <c r="O328" s="62">
        <f t="shared" si="53"/>
        <v>-0.27960979996603086</v>
      </c>
      <c r="P328" s="62">
        <f t="shared" si="54"/>
        <v>-4158.6283595161003</v>
      </c>
      <c r="Q328" s="62">
        <f t="shared" si="55"/>
        <v>-0.27218337813535121</v>
      </c>
      <c r="R328" s="62">
        <f t="shared" si="56"/>
        <v>15959.052576478221</v>
      </c>
      <c r="S328" s="62">
        <f t="shared" si="57"/>
        <v>23217.73686808363</v>
      </c>
      <c r="T328" s="62">
        <f t="shared" si="58"/>
        <v>23289.445402819729</v>
      </c>
      <c r="U328" s="62">
        <f t="shared" si="59"/>
        <v>23075.348472840906</v>
      </c>
      <c r="V328" s="62">
        <f t="shared" si="49"/>
        <v>1</v>
      </c>
      <c r="W328" s="62">
        <f t="shared" si="49"/>
        <v>0</v>
      </c>
      <c r="X328" s="62">
        <f t="shared" si="49"/>
        <v>0</v>
      </c>
      <c r="Y328" s="62">
        <f t="shared" si="48"/>
        <v>0</v>
      </c>
      <c r="AA328" s="94"/>
    </row>
    <row r="329" spans="2:27" x14ac:dyDescent="0.2">
      <c r="B329" s="94"/>
      <c r="C329" s="62">
        <v>290</v>
      </c>
      <c r="D329" s="62">
        <v>9714.9701094268767</v>
      </c>
      <c r="E329" s="62">
        <v>0.61738078295457433</v>
      </c>
      <c r="F329" s="62">
        <v>13969.748330104203</v>
      </c>
      <c r="G329" s="62">
        <v>0.89374090771462578</v>
      </c>
      <c r="H329" s="62">
        <v>14010.200566310845</v>
      </c>
      <c r="I329" s="62">
        <v>0.89668193959688991</v>
      </c>
      <c r="J329" s="62">
        <v>13917.931649194072</v>
      </c>
      <c r="K329" s="62">
        <v>0.88939129165937636</v>
      </c>
      <c r="L329" s="62">
        <f t="shared" si="50"/>
        <v>-4254.7782206773263</v>
      </c>
      <c r="M329" s="62">
        <f t="shared" si="51"/>
        <v>-0.27636012476005145</v>
      </c>
      <c r="N329" s="62">
        <f t="shared" si="52"/>
        <v>-4295.2304568839681</v>
      </c>
      <c r="O329" s="62">
        <f t="shared" si="53"/>
        <v>-0.27930115664231558</v>
      </c>
      <c r="P329" s="62">
        <f t="shared" si="54"/>
        <v>-4202.9615397671951</v>
      </c>
      <c r="Q329" s="62">
        <f t="shared" si="55"/>
        <v>-0.27201050870480203</v>
      </c>
      <c r="R329" s="62">
        <f t="shared" si="56"/>
        <v>15859.411443683412</v>
      </c>
      <c r="S329" s="62">
        <f t="shared" si="57"/>
        <v>23052.575031066459</v>
      </c>
      <c r="T329" s="62">
        <f t="shared" si="58"/>
        <v>23133.952099550726</v>
      </c>
      <c r="U329" s="62">
        <f t="shared" si="59"/>
        <v>22924.213216503937</v>
      </c>
      <c r="V329" s="62">
        <f t="shared" si="49"/>
        <v>1</v>
      </c>
      <c r="W329" s="62">
        <f t="shared" si="49"/>
        <v>0</v>
      </c>
      <c r="X329" s="62">
        <f t="shared" si="49"/>
        <v>0</v>
      </c>
      <c r="Y329" s="62">
        <f t="shared" si="48"/>
        <v>0</v>
      </c>
      <c r="AA329" s="94"/>
    </row>
    <row r="330" spans="2:27" x14ac:dyDescent="0.2">
      <c r="B330" s="94"/>
      <c r="C330" s="62">
        <v>291</v>
      </c>
      <c r="D330" s="62">
        <v>10550.964097339987</v>
      </c>
      <c r="E330" s="62">
        <v>0.61781214437182574</v>
      </c>
      <c r="F330" s="62">
        <v>15173.517069063049</v>
      </c>
      <c r="G330" s="62">
        <v>0.89424283286163742</v>
      </c>
      <c r="H330" s="62">
        <v>15216.099484233999</v>
      </c>
      <c r="I330" s="62">
        <v>0.89698828986060342</v>
      </c>
      <c r="J330" s="62">
        <v>15118.459662395942</v>
      </c>
      <c r="K330" s="62">
        <v>0.88996195646924736</v>
      </c>
      <c r="L330" s="62">
        <f t="shared" si="50"/>
        <v>-4622.552971723062</v>
      </c>
      <c r="M330" s="62">
        <f t="shared" si="51"/>
        <v>-0.27643068848981167</v>
      </c>
      <c r="N330" s="62">
        <f t="shared" si="52"/>
        <v>-4665.1353868940114</v>
      </c>
      <c r="O330" s="62">
        <f t="shared" si="53"/>
        <v>-0.27917614548877767</v>
      </c>
      <c r="P330" s="62">
        <f t="shared" si="54"/>
        <v>-4567.495565055955</v>
      </c>
      <c r="Q330" s="62">
        <f t="shared" si="55"/>
        <v>-0.27214981209742162</v>
      </c>
      <c r="R330" s="62">
        <f t="shared" si="56"/>
        <v>15041.286171118521</v>
      </c>
      <c r="S330" s="62">
        <f t="shared" si="57"/>
        <v>21869.598039397424</v>
      </c>
      <c r="T330" s="62">
        <f t="shared" si="58"/>
        <v>21940.743434951633</v>
      </c>
      <c r="U330" s="62">
        <f t="shared" si="59"/>
        <v>21747.324422386162</v>
      </c>
      <c r="V330" s="62">
        <f t="shared" si="49"/>
        <v>1</v>
      </c>
      <c r="W330" s="62">
        <f t="shared" si="49"/>
        <v>0</v>
      </c>
      <c r="X330" s="62">
        <f t="shared" si="49"/>
        <v>0</v>
      </c>
      <c r="Y330" s="62">
        <f t="shared" si="48"/>
        <v>0</v>
      </c>
      <c r="AA330" s="94"/>
    </row>
    <row r="331" spans="2:27" x14ac:dyDescent="0.2">
      <c r="B331" s="94"/>
      <c r="C331" s="62">
        <v>292</v>
      </c>
      <c r="D331" s="62">
        <v>11409.554409054064</v>
      </c>
      <c r="E331" s="62">
        <v>0.61756456392958592</v>
      </c>
      <c r="F331" s="62">
        <v>16407.252222479099</v>
      </c>
      <c r="G331" s="62">
        <v>0.89386247316972123</v>
      </c>
      <c r="H331" s="62">
        <v>16454.818313292319</v>
      </c>
      <c r="I331" s="62">
        <v>0.89676125548547847</v>
      </c>
      <c r="J331" s="62">
        <v>16340.778199482938</v>
      </c>
      <c r="K331" s="62">
        <v>0.88922902478366539</v>
      </c>
      <c r="L331" s="62">
        <f t="shared" si="50"/>
        <v>-4997.6978134250348</v>
      </c>
      <c r="M331" s="62">
        <f t="shared" si="51"/>
        <v>-0.27629790924013531</v>
      </c>
      <c r="N331" s="62">
        <f t="shared" si="52"/>
        <v>-5045.2639042382543</v>
      </c>
      <c r="O331" s="62">
        <f t="shared" si="53"/>
        <v>-0.27919669155589255</v>
      </c>
      <c r="P331" s="62">
        <f t="shared" si="54"/>
        <v>-4931.2237904288741</v>
      </c>
      <c r="Q331" s="62">
        <f t="shared" si="55"/>
        <v>-0.27166446085407947</v>
      </c>
      <c r="R331" s="62">
        <f t="shared" si="56"/>
        <v>14172.440087165101</v>
      </c>
      <c r="S331" s="62">
        <f t="shared" si="57"/>
        <v>20620.106866103433</v>
      </c>
      <c r="T331" s="62">
        <f t="shared" si="58"/>
        <v>20692.619933938138</v>
      </c>
      <c r="U331" s="62">
        <f t="shared" si="59"/>
        <v>20494.644923155614</v>
      </c>
      <c r="V331" s="62">
        <f t="shared" si="49"/>
        <v>1</v>
      </c>
      <c r="W331" s="62">
        <f t="shared" si="49"/>
        <v>0</v>
      </c>
      <c r="X331" s="62">
        <f t="shared" si="49"/>
        <v>0</v>
      </c>
      <c r="Y331" s="62">
        <f t="shared" si="48"/>
        <v>0</v>
      </c>
      <c r="AA331" s="94"/>
    </row>
    <row r="332" spans="2:27" x14ac:dyDescent="0.2">
      <c r="B332" s="94"/>
      <c r="C332" s="62">
        <v>293</v>
      </c>
      <c r="D332" s="62">
        <v>13476.045261484433</v>
      </c>
      <c r="E332" s="62">
        <v>0.6176879778450296</v>
      </c>
      <c r="F332" s="62">
        <v>19395.595464842056</v>
      </c>
      <c r="G332" s="62">
        <v>0.89400786429535495</v>
      </c>
      <c r="H332" s="62">
        <v>19454.013090709079</v>
      </c>
      <c r="I332" s="62">
        <v>0.89690343737466049</v>
      </c>
      <c r="J332" s="62">
        <v>19329.47074399604</v>
      </c>
      <c r="K332" s="62">
        <v>0.89015505528021432</v>
      </c>
      <c r="L332" s="62">
        <f t="shared" si="50"/>
        <v>-5919.5502033576231</v>
      </c>
      <c r="M332" s="62">
        <f t="shared" si="51"/>
        <v>-0.27631988645032535</v>
      </c>
      <c r="N332" s="62">
        <f t="shared" si="52"/>
        <v>-5977.9678292246463</v>
      </c>
      <c r="O332" s="62">
        <f t="shared" si="53"/>
        <v>-0.27921545952963089</v>
      </c>
      <c r="P332" s="62">
        <f t="shared" si="54"/>
        <v>-5853.4254825116077</v>
      </c>
      <c r="Q332" s="62">
        <f t="shared" si="55"/>
        <v>-0.27246707743518472</v>
      </c>
      <c r="R332" s="62">
        <f t="shared" si="56"/>
        <v>12111.061532768075</v>
      </c>
      <c r="S332" s="62">
        <f t="shared" si="57"/>
        <v>17637.786305728729</v>
      </c>
      <c r="T332" s="62">
        <f t="shared" si="58"/>
        <v>17699.314899098856</v>
      </c>
      <c r="U332" s="62">
        <f t="shared" si="59"/>
        <v>17544.312265931556</v>
      </c>
      <c r="V332" s="62">
        <f t="shared" si="49"/>
        <v>1</v>
      </c>
      <c r="W332" s="62">
        <f t="shared" si="49"/>
        <v>0</v>
      </c>
      <c r="X332" s="62">
        <f t="shared" si="49"/>
        <v>0</v>
      </c>
      <c r="Y332" s="62">
        <f t="shared" si="48"/>
        <v>0</v>
      </c>
      <c r="AA332" s="94"/>
    </row>
    <row r="333" spans="2:27" x14ac:dyDescent="0.2">
      <c r="B333" s="94"/>
      <c r="C333" s="62">
        <v>294</v>
      </c>
      <c r="D333" s="62">
        <v>10698.5798383486</v>
      </c>
      <c r="E333" s="62">
        <v>0.61798716499473372</v>
      </c>
      <c r="F333" s="62">
        <v>15374.295247844986</v>
      </c>
      <c r="G333" s="62">
        <v>0.89378988657224179</v>
      </c>
      <c r="H333" s="62">
        <v>15426.436936145768</v>
      </c>
      <c r="I333" s="62">
        <v>0.89723230297176149</v>
      </c>
      <c r="J333" s="62">
        <v>15315.218011282825</v>
      </c>
      <c r="K333" s="62">
        <v>0.88933497937149864</v>
      </c>
      <c r="L333" s="62">
        <f t="shared" si="50"/>
        <v>-4675.7154094963862</v>
      </c>
      <c r="M333" s="62">
        <f t="shared" si="51"/>
        <v>-0.27580272157750807</v>
      </c>
      <c r="N333" s="62">
        <f t="shared" si="52"/>
        <v>-4727.8570977971685</v>
      </c>
      <c r="O333" s="62">
        <f t="shared" si="53"/>
        <v>-0.27924513797702777</v>
      </c>
      <c r="P333" s="62">
        <f t="shared" si="54"/>
        <v>-4616.6381729342247</v>
      </c>
      <c r="Q333" s="62">
        <f t="shared" si="55"/>
        <v>-0.27134781437676492</v>
      </c>
      <c r="R333" s="62">
        <f t="shared" si="56"/>
        <v>14900.920484393249</v>
      </c>
      <c r="S333" s="62">
        <f t="shared" si="57"/>
        <v>21650.057013523554</v>
      </c>
      <c r="T333" s="62">
        <f t="shared" si="58"/>
        <v>21740.513982156477</v>
      </c>
      <c r="U333" s="62">
        <f t="shared" si="59"/>
        <v>21524.594174202135</v>
      </c>
      <c r="V333" s="62">
        <f t="shared" si="49"/>
        <v>1</v>
      </c>
      <c r="W333" s="62">
        <f t="shared" si="49"/>
        <v>0</v>
      </c>
      <c r="X333" s="62">
        <f t="shared" si="49"/>
        <v>0</v>
      </c>
      <c r="Y333" s="62">
        <f t="shared" si="48"/>
        <v>0</v>
      </c>
      <c r="AA333" s="94"/>
    </row>
    <row r="334" spans="2:27" x14ac:dyDescent="0.2">
      <c r="B334" s="94"/>
      <c r="C334" s="62">
        <v>295</v>
      </c>
      <c r="D334" s="62">
        <v>11641.323675782229</v>
      </c>
      <c r="E334" s="62">
        <v>0.61748946938070504</v>
      </c>
      <c r="F334" s="62">
        <v>16742.110848520682</v>
      </c>
      <c r="G334" s="62">
        <v>0.89370333717988748</v>
      </c>
      <c r="H334" s="62">
        <v>16805.843637941955</v>
      </c>
      <c r="I334" s="62">
        <v>0.89743630618419878</v>
      </c>
      <c r="J334" s="62">
        <v>16682.325271519043</v>
      </c>
      <c r="K334" s="62">
        <v>0.88941717252606456</v>
      </c>
      <c r="L334" s="62">
        <f t="shared" si="50"/>
        <v>-5100.7871727384536</v>
      </c>
      <c r="M334" s="62">
        <f t="shared" si="51"/>
        <v>-0.27621386779918244</v>
      </c>
      <c r="N334" s="62">
        <f t="shared" si="52"/>
        <v>-5164.5199621597258</v>
      </c>
      <c r="O334" s="62">
        <f t="shared" si="53"/>
        <v>-0.27994683680349375</v>
      </c>
      <c r="P334" s="62">
        <f t="shared" si="54"/>
        <v>-5041.0015957368141</v>
      </c>
      <c r="Q334" s="62">
        <f t="shared" si="55"/>
        <v>-0.27192770314535952</v>
      </c>
      <c r="R334" s="62">
        <f t="shared" si="56"/>
        <v>13937.560103844096</v>
      </c>
      <c r="S334" s="62">
        <f t="shared" si="57"/>
        <v>20278.65619081898</v>
      </c>
      <c r="T334" s="62">
        <f t="shared" si="58"/>
        <v>20369.557909432293</v>
      </c>
      <c r="U334" s="62">
        <f t="shared" si="59"/>
        <v>20160.891683200654</v>
      </c>
      <c r="V334" s="62">
        <f t="shared" si="49"/>
        <v>1</v>
      </c>
      <c r="W334" s="62">
        <f t="shared" si="49"/>
        <v>0</v>
      </c>
      <c r="X334" s="62">
        <f t="shared" si="49"/>
        <v>0</v>
      </c>
      <c r="Y334" s="62">
        <f t="shared" si="48"/>
        <v>0</v>
      </c>
      <c r="AA334" s="94"/>
    </row>
    <row r="335" spans="2:27" x14ac:dyDescent="0.2">
      <c r="B335" s="94"/>
      <c r="C335" s="62">
        <v>296</v>
      </c>
      <c r="D335" s="62">
        <v>8641.2802743788325</v>
      </c>
      <c r="E335" s="62">
        <v>0.61759924847546921</v>
      </c>
      <c r="F335" s="62">
        <v>12419.086251896781</v>
      </c>
      <c r="G335" s="62">
        <v>0.89450035511827097</v>
      </c>
      <c r="H335" s="62">
        <v>12449.646410823798</v>
      </c>
      <c r="I335" s="62">
        <v>0.89712645698641946</v>
      </c>
      <c r="J335" s="62">
        <v>12363.054199496444</v>
      </c>
      <c r="K335" s="62">
        <v>0.88918429972620072</v>
      </c>
      <c r="L335" s="62">
        <f t="shared" si="50"/>
        <v>-3777.8059775179481</v>
      </c>
      <c r="M335" s="62">
        <f t="shared" si="51"/>
        <v>-0.27690110664280176</v>
      </c>
      <c r="N335" s="62">
        <f t="shared" si="52"/>
        <v>-3808.3661364449654</v>
      </c>
      <c r="O335" s="62">
        <f t="shared" si="53"/>
        <v>-0.27952720851095025</v>
      </c>
      <c r="P335" s="62">
        <f t="shared" si="54"/>
        <v>-3721.7739251176117</v>
      </c>
      <c r="Q335" s="62">
        <f t="shared" si="55"/>
        <v>-0.27158505125073151</v>
      </c>
      <c r="R335" s="62">
        <f t="shared" si="56"/>
        <v>16942.150994469004</v>
      </c>
      <c r="S335" s="62">
        <f t="shared" si="57"/>
        <v>24634.696458522474</v>
      </c>
      <c r="T335" s="62">
        <f t="shared" si="58"/>
        <v>24712.919943381639</v>
      </c>
      <c r="U335" s="62">
        <f t="shared" si="59"/>
        <v>24470.516232361697</v>
      </c>
      <c r="V335" s="62">
        <f t="shared" si="49"/>
        <v>1</v>
      </c>
      <c r="W335" s="62">
        <f t="shared" si="49"/>
        <v>0</v>
      </c>
      <c r="X335" s="62">
        <f t="shared" si="49"/>
        <v>0</v>
      </c>
      <c r="Y335" s="62">
        <f t="shared" si="48"/>
        <v>0</v>
      </c>
      <c r="AA335" s="94"/>
    </row>
    <row r="336" spans="2:27" x14ac:dyDescent="0.2">
      <c r="B336" s="94"/>
      <c r="C336" s="62">
        <v>297</v>
      </c>
      <c r="D336" s="62">
        <v>10677.603770881276</v>
      </c>
      <c r="E336" s="62">
        <v>0.61741151515445514</v>
      </c>
      <c r="F336" s="62">
        <v>15351.244510871529</v>
      </c>
      <c r="G336" s="62">
        <v>0.89378852572266154</v>
      </c>
      <c r="H336" s="62">
        <v>15403.768227133027</v>
      </c>
      <c r="I336" s="62">
        <v>0.89717081978676416</v>
      </c>
      <c r="J336" s="62">
        <v>15286.007558650739</v>
      </c>
      <c r="K336" s="62">
        <v>0.88871838281275162</v>
      </c>
      <c r="L336" s="62">
        <f t="shared" si="50"/>
        <v>-4673.6407399902528</v>
      </c>
      <c r="M336" s="62">
        <f t="shared" si="51"/>
        <v>-0.2763770105682064</v>
      </c>
      <c r="N336" s="62">
        <f t="shared" si="52"/>
        <v>-4726.1644562517504</v>
      </c>
      <c r="O336" s="62">
        <f t="shared" si="53"/>
        <v>-0.27975930463230902</v>
      </c>
      <c r="P336" s="62">
        <f t="shared" si="54"/>
        <v>-4608.4037877694627</v>
      </c>
      <c r="Q336" s="62">
        <f t="shared" si="55"/>
        <v>-0.27130686765829648</v>
      </c>
      <c r="R336" s="62">
        <f t="shared" si="56"/>
        <v>14898.050832876874</v>
      </c>
      <c r="S336" s="62">
        <f t="shared" si="57"/>
        <v>21673.051378664004</v>
      </c>
      <c r="T336" s="62">
        <f t="shared" si="58"/>
        <v>21760.635811713895</v>
      </c>
      <c r="U336" s="62">
        <f t="shared" si="59"/>
        <v>21528.262730984687</v>
      </c>
      <c r="V336" s="62">
        <f t="shared" si="49"/>
        <v>1</v>
      </c>
      <c r="W336" s="62">
        <f t="shared" si="49"/>
        <v>0</v>
      </c>
      <c r="X336" s="62">
        <f t="shared" si="49"/>
        <v>0</v>
      </c>
      <c r="Y336" s="62">
        <f t="shared" si="48"/>
        <v>0</v>
      </c>
      <c r="AA336" s="94"/>
    </row>
    <row r="337" spans="2:27" x14ac:dyDescent="0.2">
      <c r="B337" s="94"/>
      <c r="C337" s="62">
        <v>298</v>
      </c>
      <c r="D337" s="62">
        <v>10402.600028323379</v>
      </c>
      <c r="E337" s="62">
        <v>0.61774005864792358</v>
      </c>
      <c r="F337" s="62">
        <v>14969.321364454157</v>
      </c>
      <c r="G337" s="62">
        <v>0.8946253122354596</v>
      </c>
      <c r="H337" s="62">
        <v>15015.927362514403</v>
      </c>
      <c r="I337" s="62">
        <v>0.89771259663545921</v>
      </c>
      <c r="J337" s="62">
        <v>14902.973565502674</v>
      </c>
      <c r="K337" s="62">
        <v>0.88960142046676061</v>
      </c>
      <c r="L337" s="62">
        <f t="shared" si="50"/>
        <v>-4566.7213361307786</v>
      </c>
      <c r="M337" s="62">
        <f t="shared" si="51"/>
        <v>-0.27688525358753602</v>
      </c>
      <c r="N337" s="62">
        <f t="shared" si="52"/>
        <v>-4613.3273341910244</v>
      </c>
      <c r="O337" s="62">
        <f t="shared" si="53"/>
        <v>-0.27997253798753563</v>
      </c>
      <c r="P337" s="62">
        <f t="shared" si="54"/>
        <v>-4500.3735371792955</v>
      </c>
      <c r="Q337" s="62">
        <f t="shared" si="55"/>
        <v>-0.27186136181883702</v>
      </c>
      <c r="R337" s="62">
        <f t="shared" si="56"/>
        <v>15186.664161108207</v>
      </c>
      <c r="S337" s="62">
        <f t="shared" si="57"/>
        <v>22089.637569587521</v>
      </c>
      <c r="T337" s="62">
        <f t="shared" si="58"/>
        <v>22170.919240512856</v>
      </c>
      <c r="U337" s="62">
        <f t="shared" si="59"/>
        <v>21947.875675912415</v>
      </c>
      <c r="V337" s="62">
        <f t="shared" si="49"/>
        <v>1</v>
      </c>
      <c r="W337" s="62">
        <f t="shared" si="49"/>
        <v>0</v>
      </c>
      <c r="X337" s="62">
        <f t="shared" si="49"/>
        <v>0</v>
      </c>
      <c r="Y337" s="62">
        <f t="shared" si="48"/>
        <v>0</v>
      </c>
      <c r="AA337" s="94"/>
    </row>
    <row r="338" spans="2:27" x14ac:dyDescent="0.2">
      <c r="B338" s="94"/>
      <c r="C338" s="62">
        <v>299</v>
      </c>
      <c r="D338" s="62">
        <v>10207.809923000965</v>
      </c>
      <c r="E338" s="62">
        <v>0.61788133378584409</v>
      </c>
      <c r="F338" s="62">
        <v>14668.562670158915</v>
      </c>
      <c r="G338" s="62">
        <v>0.89414527691556489</v>
      </c>
      <c r="H338" s="62">
        <v>14715.772636057325</v>
      </c>
      <c r="I338" s="62">
        <v>0.89737128500428998</v>
      </c>
      <c r="J338" s="62">
        <v>14618.399316372943</v>
      </c>
      <c r="K338" s="62">
        <v>0.89004133677196595</v>
      </c>
      <c r="L338" s="62">
        <f t="shared" si="50"/>
        <v>-4460.7527471579506</v>
      </c>
      <c r="M338" s="62">
        <f t="shared" si="51"/>
        <v>-0.2762639431297208</v>
      </c>
      <c r="N338" s="62">
        <f t="shared" si="52"/>
        <v>-4507.9627130563604</v>
      </c>
      <c r="O338" s="62">
        <f t="shared" si="53"/>
        <v>-0.27948995121844589</v>
      </c>
      <c r="P338" s="62">
        <f t="shared" si="54"/>
        <v>-4410.5893933719781</v>
      </c>
      <c r="Q338" s="62">
        <f t="shared" si="55"/>
        <v>-0.27216000298612186</v>
      </c>
      <c r="R338" s="62">
        <f t="shared" si="56"/>
        <v>15387.306447743842</v>
      </c>
      <c r="S338" s="62">
        <f t="shared" si="57"/>
        <v>22370.511280791448</v>
      </c>
      <c r="T338" s="62">
        <f t="shared" si="58"/>
        <v>22456.935473960384</v>
      </c>
      <c r="U338" s="62">
        <f t="shared" si="59"/>
        <v>22250.673018068974</v>
      </c>
      <c r="V338" s="62">
        <f t="shared" si="49"/>
        <v>1</v>
      </c>
      <c r="W338" s="62">
        <f t="shared" si="49"/>
        <v>0</v>
      </c>
      <c r="X338" s="62">
        <f t="shared" si="49"/>
        <v>0</v>
      </c>
      <c r="Y338" s="62">
        <f t="shared" si="48"/>
        <v>0</v>
      </c>
      <c r="AA338" s="94"/>
    </row>
    <row r="339" spans="2:27" x14ac:dyDescent="0.2">
      <c r="B339" s="94"/>
      <c r="C339" s="62">
        <v>300</v>
      </c>
      <c r="D339" s="62">
        <v>10243.534295388143</v>
      </c>
      <c r="E339" s="62">
        <v>0.61789670620703563</v>
      </c>
      <c r="F339" s="62">
        <v>14726.510410098665</v>
      </c>
      <c r="G339" s="62">
        <v>0.89438783293582802</v>
      </c>
      <c r="H339" s="62">
        <v>14768.921997945188</v>
      </c>
      <c r="I339" s="62">
        <v>0.89732584882068733</v>
      </c>
      <c r="J339" s="62">
        <v>14661.701213773649</v>
      </c>
      <c r="K339" s="62">
        <v>0.88936702828111747</v>
      </c>
      <c r="L339" s="62">
        <f t="shared" si="50"/>
        <v>-4482.9761147105219</v>
      </c>
      <c r="M339" s="62">
        <f t="shared" si="51"/>
        <v>-0.27649112672879239</v>
      </c>
      <c r="N339" s="62">
        <f t="shared" si="52"/>
        <v>-4525.3877025570455</v>
      </c>
      <c r="O339" s="62">
        <f t="shared" si="53"/>
        <v>-0.2794291426136517</v>
      </c>
      <c r="P339" s="62">
        <f t="shared" si="54"/>
        <v>-4418.1669183855065</v>
      </c>
      <c r="Q339" s="62">
        <f t="shared" si="55"/>
        <v>-0.27147032207408184</v>
      </c>
      <c r="R339" s="62">
        <f t="shared" si="56"/>
        <v>15352.218862532101</v>
      </c>
      <c r="S339" s="62">
        <f t="shared" si="57"/>
        <v>22322.611181435073</v>
      </c>
      <c r="T339" s="62">
        <f t="shared" si="58"/>
        <v>22401.903963602963</v>
      </c>
      <c r="U339" s="62">
        <f t="shared" si="59"/>
        <v>22179.438565743363</v>
      </c>
      <c r="V339" s="62">
        <f t="shared" si="49"/>
        <v>1</v>
      </c>
      <c r="W339" s="62">
        <f t="shared" si="49"/>
        <v>0</v>
      </c>
      <c r="X339" s="62">
        <f t="shared" si="49"/>
        <v>0</v>
      </c>
      <c r="Y339" s="62">
        <f t="shared" si="48"/>
        <v>0</v>
      </c>
      <c r="AA339" s="94"/>
    </row>
    <row r="340" spans="2:27" x14ac:dyDescent="0.2">
      <c r="B340" s="94"/>
      <c r="C340" s="62">
        <v>301</v>
      </c>
      <c r="D340" s="62">
        <v>11105.598912904334</v>
      </c>
      <c r="E340" s="62">
        <v>0.617559318131635</v>
      </c>
      <c r="F340" s="62">
        <v>15990.855865964464</v>
      </c>
      <c r="G340" s="62">
        <v>0.89473995677637252</v>
      </c>
      <c r="H340" s="62">
        <v>16032.120889391428</v>
      </c>
      <c r="I340" s="62">
        <v>0.8973401959700843</v>
      </c>
      <c r="J340" s="62">
        <v>15911.06668827308</v>
      </c>
      <c r="K340" s="62">
        <v>0.88924654614760035</v>
      </c>
      <c r="L340" s="62">
        <f t="shared" si="50"/>
        <v>-4885.2569530601304</v>
      </c>
      <c r="M340" s="62">
        <f t="shared" si="51"/>
        <v>-0.27718063864473752</v>
      </c>
      <c r="N340" s="62">
        <f t="shared" si="52"/>
        <v>-4926.5219764870944</v>
      </c>
      <c r="O340" s="62">
        <f t="shared" si="53"/>
        <v>-0.27978087783844929</v>
      </c>
      <c r="P340" s="62">
        <f t="shared" si="54"/>
        <v>-4805.4677753687465</v>
      </c>
      <c r="Q340" s="62">
        <f t="shared" si="55"/>
        <v>-0.27168722801596534</v>
      </c>
      <c r="R340" s="62">
        <f t="shared" si="56"/>
        <v>14476.178281380515</v>
      </c>
      <c r="S340" s="62">
        <f t="shared" si="57"/>
        <v>21072.85210353999</v>
      </c>
      <c r="T340" s="62">
        <f t="shared" si="58"/>
        <v>21139.299388473344</v>
      </c>
      <c r="U340" s="62">
        <f t="shared" si="59"/>
        <v>20925.082239345116</v>
      </c>
      <c r="V340" s="62">
        <f t="shared" si="49"/>
        <v>1</v>
      </c>
      <c r="W340" s="62">
        <f t="shared" si="49"/>
        <v>0</v>
      </c>
      <c r="X340" s="62">
        <f t="shared" si="49"/>
        <v>0</v>
      </c>
      <c r="Y340" s="62">
        <f t="shared" si="48"/>
        <v>0</v>
      </c>
      <c r="AA340" s="94"/>
    </row>
    <row r="341" spans="2:27" x14ac:dyDescent="0.2">
      <c r="B341" s="94"/>
      <c r="C341" s="62">
        <v>302</v>
      </c>
      <c r="D341" s="62">
        <v>8908.0200811346167</v>
      </c>
      <c r="E341" s="62">
        <v>0.61746206117038582</v>
      </c>
      <c r="F341" s="62">
        <v>12799.536074121021</v>
      </c>
      <c r="G341" s="62">
        <v>0.89344200599882639</v>
      </c>
      <c r="H341" s="62">
        <v>12838.891560417671</v>
      </c>
      <c r="I341" s="62">
        <v>0.89645150754283442</v>
      </c>
      <c r="J341" s="62">
        <v>12738.316766366757</v>
      </c>
      <c r="K341" s="62">
        <v>0.8879700487057135</v>
      </c>
      <c r="L341" s="62">
        <f t="shared" si="50"/>
        <v>-3891.5159929864039</v>
      </c>
      <c r="M341" s="62">
        <f t="shared" si="51"/>
        <v>-0.27597994482844057</v>
      </c>
      <c r="N341" s="62">
        <f t="shared" si="52"/>
        <v>-3930.8714792830542</v>
      </c>
      <c r="O341" s="62">
        <f t="shared" si="53"/>
        <v>-0.2789894463724486</v>
      </c>
      <c r="P341" s="62">
        <f t="shared" si="54"/>
        <v>-3830.2966852321406</v>
      </c>
      <c r="Q341" s="62">
        <f t="shared" si="55"/>
        <v>-0.27050798753532768</v>
      </c>
      <c r="R341" s="62">
        <f t="shared" si="56"/>
        <v>16669.728340787449</v>
      </c>
      <c r="S341" s="62">
        <f t="shared" si="57"/>
        <v>24210.405582374366</v>
      </c>
      <c r="T341" s="62">
        <f t="shared" si="58"/>
        <v>24295.715688036704</v>
      </c>
      <c r="U341" s="62">
        <f t="shared" si="59"/>
        <v>24044.954531218718</v>
      </c>
      <c r="V341" s="62">
        <f t="shared" si="49"/>
        <v>1</v>
      </c>
      <c r="W341" s="62">
        <f t="shared" si="49"/>
        <v>0</v>
      </c>
      <c r="X341" s="62">
        <f t="shared" si="49"/>
        <v>0</v>
      </c>
      <c r="Y341" s="62">
        <f t="shared" si="48"/>
        <v>0</v>
      </c>
      <c r="AA341" s="94"/>
    </row>
    <row r="342" spans="2:27" x14ac:dyDescent="0.2">
      <c r="B342" s="94"/>
      <c r="C342" s="62">
        <v>303</v>
      </c>
      <c r="D342" s="62">
        <v>10067.725421264829</v>
      </c>
      <c r="E342" s="62">
        <v>0.61749606891886033</v>
      </c>
      <c r="F342" s="62">
        <v>14487.485474105262</v>
      </c>
      <c r="G342" s="62">
        <v>0.89455380942857421</v>
      </c>
      <c r="H342" s="62">
        <v>14515.548423815522</v>
      </c>
      <c r="I342" s="62">
        <v>0.89654681413453163</v>
      </c>
      <c r="J342" s="62">
        <v>14430.512563722452</v>
      </c>
      <c r="K342" s="62">
        <v>0.89002279572882126</v>
      </c>
      <c r="L342" s="62">
        <f t="shared" si="50"/>
        <v>-4419.7600528404328</v>
      </c>
      <c r="M342" s="62">
        <f t="shared" si="51"/>
        <v>-0.27705774050971388</v>
      </c>
      <c r="N342" s="62">
        <f t="shared" si="52"/>
        <v>-4447.8230025506928</v>
      </c>
      <c r="O342" s="62">
        <f t="shared" si="53"/>
        <v>-0.2790507452156713</v>
      </c>
      <c r="P342" s="62">
        <f t="shared" si="54"/>
        <v>-4362.7871424576224</v>
      </c>
      <c r="Q342" s="62">
        <f t="shared" si="55"/>
        <v>-0.27252672680996093</v>
      </c>
      <c r="R342" s="62">
        <f t="shared" si="56"/>
        <v>15511.431737630042</v>
      </c>
      <c r="S342" s="62">
        <f t="shared" si="57"/>
        <v>22568.511527663999</v>
      </c>
      <c r="T342" s="62">
        <f t="shared" si="58"/>
        <v>22623.006804893314</v>
      </c>
      <c r="U342" s="62">
        <f t="shared" si="59"/>
        <v>22437.791726548243</v>
      </c>
      <c r="V342" s="62">
        <f t="shared" si="49"/>
        <v>1</v>
      </c>
      <c r="W342" s="62">
        <f t="shared" si="49"/>
        <v>0</v>
      </c>
      <c r="X342" s="62">
        <f t="shared" si="49"/>
        <v>0</v>
      </c>
      <c r="Y342" s="62">
        <f t="shared" si="48"/>
        <v>0</v>
      </c>
      <c r="AA342" s="94"/>
    </row>
    <row r="343" spans="2:27" x14ac:dyDescent="0.2">
      <c r="B343" s="94"/>
      <c r="C343" s="62">
        <v>304</v>
      </c>
      <c r="D343" s="62">
        <v>10785.098714990258</v>
      </c>
      <c r="E343" s="62">
        <v>0.61742307419725639</v>
      </c>
      <c r="F343" s="62">
        <v>15516.510921574018</v>
      </c>
      <c r="G343" s="62">
        <v>0.89428522202126992</v>
      </c>
      <c r="H343" s="62">
        <v>15564.884592932949</v>
      </c>
      <c r="I343" s="62">
        <v>0.89732650678755921</v>
      </c>
      <c r="J343" s="62">
        <v>15444.591204586985</v>
      </c>
      <c r="K343" s="62">
        <v>0.88891187490694223</v>
      </c>
      <c r="L343" s="62">
        <f t="shared" si="50"/>
        <v>-4731.4122065837601</v>
      </c>
      <c r="M343" s="62">
        <f t="shared" si="51"/>
        <v>-0.27686214782401353</v>
      </c>
      <c r="N343" s="62">
        <f t="shared" si="52"/>
        <v>-4779.7858779426915</v>
      </c>
      <c r="O343" s="62">
        <f t="shared" si="53"/>
        <v>-0.27990343259030281</v>
      </c>
      <c r="P343" s="62">
        <f t="shared" si="54"/>
        <v>-4659.492489596727</v>
      </c>
      <c r="Q343" s="62">
        <f t="shared" si="55"/>
        <v>-0.27148880070968584</v>
      </c>
      <c r="R343" s="62">
        <f t="shared" si="56"/>
        <v>14791.034710556891</v>
      </c>
      <c r="S343" s="62">
        <f t="shared" si="57"/>
        <v>21528.360115435069</v>
      </c>
      <c r="T343" s="62">
        <f t="shared" si="58"/>
        <v>21605.968624234905</v>
      </c>
      <c r="U343" s="62">
        <f t="shared" si="59"/>
        <v>21377.694301558193</v>
      </c>
      <c r="V343" s="62">
        <f t="shared" si="49"/>
        <v>1</v>
      </c>
      <c r="W343" s="62">
        <f t="shared" si="49"/>
        <v>0</v>
      </c>
      <c r="X343" s="62">
        <f t="shared" si="49"/>
        <v>0</v>
      </c>
      <c r="Y343" s="62">
        <f t="shared" si="48"/>
        <v>0</v>
      </c>
      <c r="AA343" s="94"/>
    </row>
    <row r="344" spans="2:27" x14ac:dyDescent="0.2">
      <c r="B344" s="94"/>
      <c r="C344" s="62">
        <v>305</v>
      </c>
      <c r="D344" s="62">
        <v>10196.072353209625</v>
      </c>
      <c r="E344" s="62">
        <v>0.61724791235989973</v>
      </c>
      <c r="F344" s="62">
        <v>14681.151748006887</v>
      </c>
      <c r="G344" s="62">
        <v>0.89476398663183065</v>
      </c>
      <c r="H344" s="62">
        <v>14710.898619683583</v>
      </c>
      <c r="I344" s="62">
        <v>0.89684347305961964</v>
      </c>
      <c r="J344" s="62">
        <v>14616.80835525745</v>
      </c>
      <c r="K344" s="62">
        <v>0.8898225000653518</v>
      </c>
      <c r="L344" s="62">
        <f t="shared" si="50"/>
        <v>-4485.0793947972616</v>
      </c>
      <c r="M344" s="62">
        <f t="shared" si="51"/>
        <v>-0.27751607427193092</v>
      </c>
      <c r="N344" s="62">
        <f t="shared" si="52"/>
        <v>-4514.8262664739577</v>
      </c>
      <c r="O344" s="62">
        <f t="shared" si="53"/>
        <v>-0.27959556069971991</v>
      </c>
      <c r="P344" s="62">
        <f t="shared" si="54"/>
        <v>-4420.7360020478245</v>
      </c>
      <c r="Q344" s="62">
        <f t="shared" si="55"/>
        <v>-0.27257458770545206</v>
      </c>
      <c r="R344" s="62">
        <f t="shared" si="56"/>
        <v>15372.80516838686</v>
      </c>
      <c r="S344" s="62">
        <f t="shared" si="57"/>
        <v>22383.551634230069</v>
      </c>
      <c r="T344" s="62">
        <f t="shared" si="58"/>
        <v>22439.945408338099</v>
      </c>
      <c r="U344" s="62">
        <f t="shared" si="59"/>
        <v>22243.198887449686</v>
      </c>
      <c r="V344" s="62">
        <f t="shared" si="49"/>
        <v>1</v>
      </c>
      <c r="W344" s="62">
        <f t="shared" si="49"/>
        <v>0</v>
      </c>
      <c r="X344" s="62">
        <f t="shared" si="49"/>
        <v>0</v>
      </c>
      <c r="Y344" s="62">
        <f t="shared" si="48"/>
        <v>0</v>
      </c>
      <c r="AA344" s="94"/>
    </row>
    <row r="345" spans="2:27" x14ac:dyDescent="0.2">
      <c r="B345" s="94"/>
      <c r="C345" s="62">
        <v>306</v>
      </c>
      <c r="D345" s="62">
        <v>9385.8780025507713</v>
      </c>
      <c r="E345" s="62">
        <v>0.61750957494647718</v>
      </c>
      <c r="F345" s="62">
        <v>13497.149494896294</v>
      </c>
      <c r="G345" s="62">
        <v>0.89465897328031996</v>
      </c>
      <c r="H345" s="62">
        <v>13530.684096035118</v>
      </c>
      <c r="I345" s="62">
        <v>0.89727501316598646</v>
      </c>
      <c r="J345" s="62">
        <v>13446.002771092217</v>
      </c>
      <c r="K345" s="62">
        <v>0.89016302724892116</v>
      </c>
      <c r="L345" s="62">
        <f t="shared" si="50"/>
        <v>-4111.2714923455223</v>
      </c>
      <c r="M345" s="62">
        <f t="shared" si="51"/>
        <v>-0.27714939833384278</v>
      </c>
      <c r="N345" s="62">
        <f t="shared" si="52"/>
        <v>-4144.806093484347</v>
      </c>
      <c r="O345" s="62">
        <f t="shared" si="53"/>
        <v>-0.27976543821950928</v>
      </c>
      <c r="P345" s="62">
        <f t="shared" si="54"/>
        <v>-4060.1247685414455</v>
      </c>
      <c r="Q345" s="62">
        <f t="shared" si="55"/>
        <v>-0.27265345230244398</v>
      </c>
      <c r="R345" s="62">
        <f t="shared" si="56"/>
        <v>16193.838630032098</v>
      </c>
      <c r="S345" s="62">
        <f t="shared" si="57"/>
        <v>23563.203814267683</v>
      </c>
      <c r="T345" s="62">
        <f t="shared" si="58"/>
        <v>23638.036049352704</v>
      </c>
      <c r="U345" s="62">
        <f t="shared" si="59"/>
        <v>23428.110469667095</v>
      </c>
      <c r="V345" s="62">
        <f t="shared" si="49"/>
        <v>1</v>
      </c>
      <c r="W345" s="62">
        <f t="shared" si="49"/>
        <v>0</v>
      </c>
      <c r="X345" s="62">
        <f t="shared" si="49"/>
        <v>0</v>
      </c>
      <c r="Y345" s="62">
        <f t="shared" si="48"/>
        <v>0</v>
      </c>
      <c r="AA345" s="94"/>
    </row>
    <row r="346" spans="2:27" x14ac:dyDescent="0.2">
      <c r="B346" s="94"/>
      <c r="C346" s="62">
        <v>307</v>
      </c>
      <c r="D346" s="62">
        <v>8990.5629081561237</v>
      </c>
      <c r="E346" s="62">
        <v>0.61743944342031176</v>
      </c>
      <c r="F346" s="62">
        <v>12919.935215692245</v>
      </c>
      <c r="G346" s="62">
        <v>0.89399539744490397</v>
      </c>
      <c r="H346" s="62">
        <v>12965.467760500147</v>
      </c>
      <c r="I346" s="62">
        <v>0.89748195956097654</v>
      </c>
      <c r="J346" s="62">
        <v>12869.396863813876</v>
      </c>
      <c r="K346" s="62">
        <v>0.88932249117440287</v>
      </c>
      <c r="L346" s="62">
        <f t="shared" si="50"/>
        <v>-3929.3723075361213</v>
      </c>
      <c r="M346" s="62">
        <f t="shared" si="51"/>
        <v>-0.27655595402459221</v>
      </c>
      <c r="N346" s="62">
        <f t="shared" si="52"/>
        <v>-3974.9048523440233</v>
      </c>
      <c r="O346" s="62">
        <f t="shared" si="53"/>
        <v>-0.28004251614066478</v>
      </c>
      <c r="P346" s="62">
        <f t="shared" si="54"/>
        <v>-3878.8339556577521</v>
      </c>
      <c r="Q346" s="62">
        <f t="shared" si="55"/>
        <v>-0.27188304775409111</v>
      </c>
      <c r="R346" s="62">
        <f t="shared" si="56"/>
        <v>16586.248596086869</v>
      </c>
      <c r="S346" s="62">
        <f t="shared" si="57"/>
        <v>24112.930128065454</v>
      </c>
      <c r="T346" s="62">
        <f t="shared" si="58"/>
        <v>24211.824932353746</v>
      </c>
      <c r="U346" s="62">
        <f t="shared" si="59"/>
        <v>23969.898010594588</v>
      </c>
      <c r="V346" s="62">
        <f t="shared" si="49"/>
        <v>1</v>
      </c>
      <c r="W346" s="62">
        <f t="shared" si="49"/>
        <v>0</v>
      </c>
      <c r="X346" s="62">
        <f t="shared" si="49"/>
        <v>0</v>
      </c>
      <c r="Y346" s="62">
        <f t="shared" si="48"/>
        <v>0</v>
      </c>
      <c r="AA346" s="94"/>
    </row>
    <row r="347" spans="2:27" x14ac:dyDescent="0.2">
      <c r="B347" s="94"/>
      <c r="C347" s="62">
        <v>308</v>
      </c>
      <c r="D347" s="62">
        <v>9004.1703865920117</v>
      </c>
      <c r="E347" s="62">
        <v>0.61802684926183649</v>
      </c>
      <c r="F347" s="62">
        <v>12940.563681935921</v>
      </c>
      <c r="G347" s="62">
        <v>0.89421260397503555</v>
      </c>
      <c r="H347" s="62">
        <v>12976.945544210201</v>
      </c>
      <c r="I347" s="62">
        <v>0.89705452921641426</v>
      </c>
      <c r="J347" s="62">
        <v>12886.802360199266</v>
      </c>
      <c r="K347" s="62">
        <v>0.88945645907368731</v>
      </c>
      <c r="L347" s="62">
        <f t="shared" si="50"/>
        <v>-3936.3932953439089</v>
      </c>
      <c r="M347" s="62">
        <f t="shared" si="51"/>
        <v>-0.27618575471319906</v>
      </c>
      <c r="N347" s="62">
        <f t="shared" si="52"/>
        <v>-3972.775157618189</v>
      </c>
      <c r="O347" s="62">
        <f t="shared" si="53"/>
        <v>-0.27902767995457778</v>
      </c>
      <c r="P347" s="62">
        <f t="shared" si="54"/>
        <v>-3882.6319736072546</v>
      </c>
      <c r="Q347" s="62">
        <f t="shared" si="55"/>
        <v>-0.27142960981185082</v>
      </c>
      <c r="R347" s="62">
        <f t="shared" si="56"/>
        <v>16596.973817230304</v>
      </c>
      <c r="S347" s="62">
        <f t="shared" si="57"/>
        <v>24101.299225125949</v>
      </c>
      <c r="T347" s="62">
        <f t="shared" si="58"/>
        <v>24182.641274050544</v>
      </c>
      <c r="U347" s="62">
        <f t="shared" si="59"/>
        <v>23958.042000469155</v>
      </c>
      <c r="V347" s="62">
        <f t="shared" si="49"/>
        <v>1</v>
      </c>
      <c r="W347" s="62">
        <f t="shared" si="49"/>
        <v>0</v>
      </c>
      <c r="X347" s="62">
        <f t="shared" si="49"/>
        <v>0</v>
      </c>
      <c r="Y347" s="62">
        <f t="shared" si="48"/>
        <v>0</v>
      </c>
      <c r="AA347" s="94"/>
    </row>
    <row r="348" spans="2:27" x14ac:dyDescent="0.2">
      <c r="B348" s="94"/>
      <c r="C348" s="62">
        <v>309</v>
      </c>
      <c r="D348" s="62">
        <v>9231.7691442577798</v>
      </c>
      <c r="E348" s="62">
        <v>0.61768646630685908</v>
      </c>
      <c r="F348" s="62">
        <v>13263.534805891426</v>
      </c>
      <c r="G348" s="62">
        <v>0.89348133596279478</v>
      </c>
      <c r="H348" s="62">
        <v>13305.685549291589</v>
      </c>
      <c r="I348" s="62">
        <v>0.89687147367495956</v>
      </c>
      <c r="J348" s="62">
        <v>13224.230524775621</v>
      </c>
      <c r="K348" s="62">
        <v>0.89009997439201116</v>
      </c>
      <c r="L348" s="62">
        <f t="shared" si="50"/>
        <v>-4031.7656616336462</v>
      </c>
      <c r="M348" s="62">
        <f t="shared" si="51"/>
        <v>-0.27579486965593569</v>
      </c>
      <c r="N348" s="62">
        <f t="shared" si="52"/>
        <v>-4073.9164050338095</v>
      </c>
      <c r="O348" s="62">
        <f t="shared" si="53"/>
        <v>-0.27918500736810048</v>
      </c>
      <c r="P348" s="62">
        <f t="shared" si="54"/>
        <v>-3992.4613805178415</v>
      </c>
      <c r="Q348" s="62">
        <f t="shared" si="55"/>
        <v>-0.27241350808515208</v>
      </c>
      <c r="R348" s="62">
        <f t="shared" si="56"/>
        <v>16355.275036037552</v>
      </c>
      <c r="S348" s="62">
        <f t="shared" si="57"/>
        <v>23748.036055031385</v>
      </c>
      <c r="T348" s="62">
        <f t="shared" si="58"/>
        <v>23846.318376219937</v>
      </c>
      <c r="U348" s="62">
        <f t="shared" si="59"/>
        <v>23647.270814439049</v>
      </c>
      <c r="V348" s="62">
        <f t="shared" si="49"/>
        <v>1</v>
      </c>
      <c r="W348" s="62">
        <f t="shared" si="49"/>
        <v>0</v>
      </c>
      <c r="X348" s="62">
        <f t="shared" si="49"/>
        <v>0</v>
      </c>
      <c r="Y348" s="62">
        <f t="shared" si="48"/>
        <v>0</v>
      </c>
      <c r="AA348" s="94"/>
    </row>
    <row r="349" spans="2:27" x14ac:dyDescent="0.2">
      <c r="B349" s="94"/>
      <c r="C349" s="62">
        <v>310</v>
      </c>
      <c r="D349" s="62">
        <v>9219.150310683217</v>
      </c>
      <c r="E349" s="62">
        <v>0.61720153911944309</v>
      </c>
      <c r="F349" s="62">
        <v>13257.828788773139</v>
      </c>
      <c r="G349" s="62">
        <v>0.89394736696141575</v>
      </c>
      <c r="H349" s="62">
        <v>13310.037158744717</v>
      </c>
      <c r="I349" s="62">
        <v>0.89783858941508887</v>
      </c>
      <c r="J349" s="62">
        <v>13206.69531201845</v>
      </c>
      <c r="K349" s="62">
        <v>0.88934183355190877</v>
      </c>
      <c r="L349" s="62">
        <f t="shared" si="50"/>
        <v>-4038.6784780899216</v>
      </c>
      <c r="M349" s="62">
        <f t="shared" si="51"/>
        <v>-0.27674582784197266</v>
      </c>
      <c r="N349" s="62">
        <f t="shared" si="52"/>
        <v>-4090.8868480615001</v>
      </c>
      <c r="O349" s="62">
        <f t="shared" si="53"/>
        <v>-0.28063705029564578</v>
      </c>
      <c r="P349" s="62">
        <f t="shared" si="54"/>
        <v>-3987.5450013352329</v>
      </c>
      <c r="Q349" s="62">
        <f t="shared" si="55"/>
        <v>-0.27214029443246568</v>
      </c>
      <c r="R349" s="62">
        <f t="shared" si="56"/>
        <v>16347.806245800595</v>
      </c>
      <c r="S349" s="62">
        <f t="shared" si="57"/>
        <v>23773.046940236545</v>
      </c>
      <c r="T349" s="62">
        <f t="shared" si="58"/>
        <v>23882.028569185924</v>
      </c>
      <c r="U349" s="62">
        <f t="shared" si="59"/>
        <v>23633.400801035823</v>
      </c>
      <c r="V349" s="62">
        <f t="shared" si="49"/>
        <v>1</v>
      </c>
      <c r="W349" s="62">
        <f t="shared" si="49"/>
        <v>0</v>
      </c>
      <c r="X349" s="62">
        <f t="shared" si="49"/>
        <v>0</v>
      </c>
      <c r="Y349" s="62">
        <f t="shared" si="48"/>
        <v>0</v>
      </c>
      <c r="AA349" s="94"/>
    </row>
    <row r="350" spans="2:27" x14ac:dyDescent="0.2">
      <c r="B350" s="94"/>
      <c r="C350" s="62">
        <v>311</v>
      </c>
      <c r="D350" s="62">
        <v>11473.312842224397</v>
      </c>
      <c r="E350" s="62">
        <v>0.61778548511541764</v>
      </c>
      <c r="F350" s="62">
        <v>16501.583057086082</v>
      </c>
      <c r="G350" s="62">
        <v>0.89393181619533635</v>
      </c>
      <c r="H350" s="62">
        <v>16558.823872551813</v>
      </c>
      <c r="I350" s="62">
        <v>0.89739191139897267</v>
      </c>
      <c r="J350" s="62">
        <v>16432.650506360224</v>
      </c>
      <c r="K350" s="62">
        <v>0.88919747670881066</v>
      </c>
      <c r="L350" s="62">
        <f t="shared" si="50"/>
        <v>-5028.2702148616845</v>
      </c>
      <c r="M350" s="62">
        <f t="shared" si="51"/>
        <v>-0.27614633107991871</v>
      </c>
      <c r="N350" s="62">
        <f t="shared" si="52"/>
        <v>-5085.5110303274159</v>
      </c>
      <c r="O350" s="62">
        <f t="shared" si="53"/>
        <v>-0.27960642628355503</v>
      </c>
      <c r="P350" s="62">
        <f t="shared" si="54"/>
        <v>-4959.3376641358263</v>
      </c>
      <c r="Q350" s="62">
        <f t="shared" si="55"/>
        <v>-0.27141199159339302</v>
      </c>
      <c r="R350" s="62">
        <f t="shared" si="56"/>
        <v>14117.833093196663</v>
      </c>
      <c r="S350" s="62">
        <f t="shared" si="57"/>
        <v>20528.648496989528</v>
      </c>
      <c r="T350" s="62">
        <f t="shared" si="58"/>
        <v>20614.738665239234</v>
      </c>
      <c r="U350" s="62">
        <f t="shared" si="59"/>
        <v>20401.465768825547</v>
      </c>
      <c r="V350" s="62">
        <f t="shared" si="49"/>
        <v>1</v>
      </c>
      <c r="W350" s="62">
        <f t="shared" si="49"/>
        <v>0</v>
      </c>
      <c r="X350" s="62">
        <f t="shared" si="49"/>
        <v>0</v>
      </c>
      <c r="Y350" s="62">
        <f t="shared" si="48"/>
        <v>0</v>
      </c>
      <c r="AA350" s="94"/>
    </row>
    <row r="351" spans="2:27" x14ac:dyDescent="0.2">
      <c r="B351" s="94"/>
      <c r="C351" s="62">
        <v>312</v>
      </c>
      <c r="D351" s="62">
        <v>10483.598131608866</v>
      </c>
      <c r="E351" s="62">
        <v>0.61746434677158846</v>
      </c>
      <c r="F351" s="62">
        <v>15081.247721755724</v>
      </c>
      <c r="G351" s="62">
        <v>0.8939622509287749</v>
      </c>
      <c r="H351" s="62">
        <v>15139.48464853185</v>
      </c>
      <c r="I351" s="62">
        <v>0.89773431793750491</v>
      </c>
      <c r="J351" s="62">
        <v>15027.648683864336</v>
      </c>
      <c r="K351" s="62">
        <v>0.88978848206447136</v>
      </c>
      <c r="L351" s="62">
        <f t="shared" si="50"/>
        <v>-4597.6495901468588</v>
      </c>
      <c r="M351" s="62">
        <f t="shared" si="51"/>
        <v>-0.27649790415718645</v>
      </c>
      <c r="N351" s="62">
        <f t="shared" si="52"/>
        <v>-4655.8865169229848</v>
      </c>
      <c r="O351" s="62">
        <f t="shared" si="53"/>
        <v>-0.28026997116591645</v>
      </c>
      <c r="P351" s="62">
        <f t="shared" si="54"/>
        <v>-4544.0505522554704</v>
      </c>
      <c r="Q351" s="62">
        <f t="shared" si="55"/>
        <v>-0.27232413529288291</v>
      </c>
      <c r="R351" s="62">
        <f t="shared" si="56"/>
        <v>15094.244969057414</v>
      </c>
      <c r="S351" s="62">
        <f t="shared" si="57"/>
        <v>21950.244560717845</v>
      </c>
      <c r="T351" s="62">
        <f t="shared" si="58"/>
        <v>22048.261737711357</v>
      </c>
      <c r="U351" s="62">
        <f t="shared" si="59"/>
        <v>21830.949397174325</v>
      </c>
      <c r="V351" s="62">
        <f t="shared" si="49"/>
        <v>1</v>
      </c>
      <c r="W351" s="62">
        <f t="shared" si="49"/>
        <v>0</v>
      </c>
      <c r="X351" s="62">
        <f t="shared" si="49"/>
        <v>0</v>
      </c>
      <c r="Y351" s="62">
        <f t="shared" si="48"/>
        <v>0</v>
      </c>
      <c r="AA351" s="94"/>
    </row>
    <row r="352" spans="2:27" x14ac:dyDescent="0.2">
      <c r="B352" s="94"/>
      <c r="C352" s="62">
        <v>313</v>
      </c>
      <c r="D352" s="62">
        <v>13741.658579539562</v>
      </c>
      <c r="E352" s="62">
        <v>0.61794181087731226</v>
      </c>
      <c r="F352" s="62">
        <v>19779.648468903695</v>
      </c>
      <c r="G352" s="62">
        <v>0.89437137196772254</v>
      </c>
      <c r="H352" s="62">
        <v>19839.487730864766</v>
      </c>
      <c r="I352" s="62">
        <v>0.89727352734803079</v>
      </c>
      <c r="J352" s="62">
        <v>19693.493569028476</v>
      </c>
      <c r="K352" s="62">
        <v>0.88950664780474076</v>
      </c>
      <c r="L352" s="62">
        <f t="shared" si="50"/>
        <v>-6037.989889364133</v>
      </c>
      <c r="M352" s="62">
        <f t="shared" si="51"/>
        <v>-0.27642956109041028</v>
      </c>
      <c r="N352" s="62">
        <f t="shared" si="52"/>
        <v>-6097.8291513252043</v>
      </c>
      <c r="O352" s="62">
        <f t="shared" si="53"/>
        <v>-0.27933171647071853</v>
      </c>
      <c r="P352" s="62">
        <f t="shared" si="54"/>
        <v>-5951.8349894889143</v>
      </c>
      <c r="Q352" s="62">
        <f t="shared" si="55"/>
        <v>-0.2715648369274285</v>
      </c>
      <c r="R352" s="62">
        <f t="shared" si="56"/>
        <v>11855.962994242222</v>
      </c>
      <c r="S352" s="62">
        <f t="shared" si="57"/>
        <v>17268.791243487241</v>
      </c>
      <c r="T352" s="62">
        <f t="shared" si="58"/>
        <v>17329.170866000062</v>
      </c>
      <c r="U352" s="62">
        <f t="shared" si="59"/>
        <v>17153.429809635105</v>
      </c>
      <c r="V352" s="62">
        <f t="shared" si="49"/>
        <v>1</v>
      </c>
      <c r="W352" s="62">
        <f t="shared" si="49"/>
        <v>0</v>
      </c>
      <c r="X352" s="62">
        <f t="shared" si="49"/>
        <v>0</v>
      </c>
      <c r="Y352" s="62">
        <f t="shared" si="48"/>
        <v>0</v>
      </c>
      <c r="AA352" s="94"/>
    </row>
    <row r="353" spans="2:27" x14ac:dyDescent="0.2">
      <c r="B353" s="94"/>
      <c r="C353" s="62">
        <v>314</v>
      </c>
      <c r="D353" s="62">
        <v>10211.86497709679</v>
      </c>
      <c r="E353" s="62">
        <v>0.61777651526445065</v>
      </c>
      <c r="F353" s="62">
        <v>14685.681030113408</v>
      </c>
      <c r="G353" s="62">
        <v>0.89430987768895454</v>
      </c>
      <c r="H353" s="62">
        <v>14728.233436356228</v>
      </c>
      <c r="I353" s="62">
        <v>0.89735719585676321</v>
      </c>
      <c r="J353" s="62">
        <v>14616.489297977641</v>
      </c>
      <c r="K353" s="62">
        <v>0.88911243716671273</v>
      </c>
      <c r="L353" s="62">
        <f t="shared" si="50"/>
        <v>-4473.8160530166188</v>
      </c>
      <c r="M353" s="62">
        <f t="shared" si="51"/>
        <v>-0.27653336242450388</v>
      </c>
      <c r="N353" s="62">
        <f t="shared" si="52"/>
        <v>-4516.3684592594382</v>
      </c>
      <c r="O353" s="62">
        <f t="shared" si="53"/>
        <v>-0.27958068059231256</v>
      </c>
      <c r="P353" s="62">
        <f t="shared" si="54"/>
        <v>-4404.6243208808519</v>
      </c>
      <c r="Q353" s="62">
        <f t="shared" si="55"/>
        <v>-0.27133592190226208</v>
      </c>
      <c r="R353" s="62">
        <f t="shared" si="56"/>
        <v>15378.909391217814</v>
      </c>
      <c r="S353" s="62">
        <f t="shared" si="57"/>
        <v>22360.211343273841</v>
      </c>
      <c r="T353" s="62">
        <f t="shared" si="58"/>
        <v>22443.891044814336</v>
      </c>
      <c r="U353" s="62">
        <f t="shared" si="59"/>
        <v>22214.104299216269</v>
      </c>
      <c r="V353" s="62">
        <f t="shared" si="49"/>
        <v>1</v>
      </c>
      <c r="W353" s="62">
        <f t="shared" si="49"/>
        <v>0</v>
      </c>
      <c r="X353" s="62">
        <f t="shared" si="49"/>
        <v>0</v>
      </c>
      <c r="Y353" s="62">
        <f t="shared" si="48"/>
        <v>0</v>
      </c>
      <c r="AA353" s="94"/>
    </row>
    <row r="354" spans="2:27" x14ac:dyDescent="0.2">
      <c r="B354" s="94"/>
      <c r="C354" s="62">
        <v>315</v>
      </c>
      <c r="D354" s="62">
        <v>10525.099524531483</v>
      </c>
      <c r="E354" s="62">
        <v>0.61759565098988034</v>
      </c>
      <c r="F354" s="62">
        <v>15143.624695219714</v>
      </c>
      <c r="G354" s="62">
        <v>0.89448677600089388</v>
      </c>
      <c r="H354" s="62">
        <v>15185.101812257008</v>
      </c>
      <c r="I354" s="62">
        <v>0.89724370314398472</v>
      </c>
      <c r="J354" s="62">
        <v>15070.723464964476</v>
      </c>
      <c r="K354" s="62">
        <v>0.88915726092821679</v>
      </c>
      <c r="L354" s="62">
        <f t="shared" si="50"/>
        <v>-4618.5251706882318</v>
      </c>
      <c r="M354" s="62">
        <f t="shared" si="51"/>
        <v>-0.27689112501101354</v>
      </c>
      <c r="N354" s="62">
        <f t="shared" si="52"/>
        <v>-4660.0022877255251</v>
      </c>
      <c r="O354" s="62">
        <f t="shared" si="53"/>
        <v>-0.27964805215410438</v>
      </c>
      <c r="P354" s="62">
        <f t="shared" si="54"/>
        <v>-4545.6239404329935</v>
      </c>
      <c r="Q354" s="62">
        <f t="shared" si="55"/>
        <v>-0.27156160993833645</v>
      </c>
      <c r="R354" s="62">
        <f t="shared" si="56"/>
        <v>15058.182722073319</v>
      </c>
      <c r="S354" s="62">
        <f t="shared" si="57"/>
        <v>21909.595513841316</v>
      </c>
      <c r="T354" s="62">
        <f t="shared" si="58"/>
        <v>21982.321346779412</v>
      </c>
      <c r="U354" s="62">
        <f t="shared" si="59"/>
        <v>21761.726911725978</v>
      </c>
      <c r="V354" s="62">
        <f t="shared" si="49"/>
        <v>1</v>
      </c>
      <c r="W354" s="62">
        <f t="shared" si="49"/>
        <v>0</v>
      </c>
      <c r="X354" s="62">
        <f t="shared" si="49"/>
        <v>0</v>
      </c>
      <c r="Y354" s="62">
        <f t="shared" si="48"/>
        <v>0</v>
      </c>
      <c r="AA354" s="94"/>
    </row>
    <row r="355" spans="2:27" x14ac:dyDescent="0.2">
      <c r="B355" s="94"/>
      <c r="C355" s="62">
        <v>316</v>
      </c>
      <c r="D355" s="62">
        <v>9005.7058577538482</v>
      </c>
      <c r="E355" s="62">
        <v>0.61743744303501402</v>
      </c>
      <c r="F355" s="62">
        <v>12952.215248201786</v>
      </c>
      <c r="G355" s="62">
        <v>0.89436765548456398</v>
      </c>
      <c r="H355" s="62">
        <v>12985.411429485195</v>
      </c>
      <c r="I355" s="62">
        <v>0.89700751135842427</v>
      </c>
      <c r="J355" s="62">
        <v>12894.495713578708</v>
      </c>
      <c r="K355" s="62">
        <v>0.88939164309646779</v>
      </c>
      <c r="L355" s="62">
        <f t="shared" si="50"/>
        <v>-3946.5093904479381</v>
      </c>
      <c r="M355" s="62">
        <f t="shared" si="51"/>
        <v>-0.27693021244954996</v>
      </c>
      <c r="N355" s="62">
        <f t="shared" si="52"/>
        <v>-3979.7055717313469</v>
      </c>
      <c r="O355" s="62">
        <f t="shared" si="53"/>
        <v>-0.27957006832341025</v>
      </c>
      <c r="P355" s="62">
        <f t="shared" si="54"/>
        <v>-3888.7898558248598</v>
      </c>
      <c r="Q355" s="62">
        <f t="shared" si="55"/>
        <v>-0.27195420006145377</v>
      </c>
      <c r="R355" s="62">
        <f t="shared" si="56"/>
        <v>16571.022782528573</v>
      </c>
      <c r="S355" s="62">
        <f t="shared" si="57"/>
        <v>24096.070512590792</v>
      </c>
      <c r="T355" s="62">
        <f t="shared" si="58"/>
        <v>24172.227721026167</v>
      </c>
      <c r="U355" s="62">
        <f t="shared" si="59"/>
        <v>23947.663710049372</v>
      </c>
      <c r="V355" s="62">
        <f t="shared" si="49"/>
        <v>1</v>
      </c>
      <c r="W355" s="62">
        <f t="shared" si="49"/>
        <v>0</v>
      </c>
      <c r="X355" s="62">
        <f t="shared" si="49"/>
        <v>0</v>
      </c>
      <c r="Y355" s="62">
        <f t="shared" si="48"/>
        <v>0</v>
      </c>
      <c r="AA355" s="94"/>
    </row>
    <row r="356" spans="2:27" x14ac:dyDescent="0.2">
      <c r="B356" s="94"/>
      <c r="C356" s="62">
        <v>317</v>
      </c>
      <c r="D356" s="62">
        <v>10899.681851453803</v>
      </c>
      <c r="E356" s="62">
        <v>0.61818226945259824</v>
      </c>
      <c r="F356" s="62">
        <v>15650.725202522128</v>
      </c>
      <c r="G356" s="62">
        <v>0.89379806329817724</v>
      </c>
      <c r="H356" s="62">
        <v>15704.260253920733</v>
      </c>
      <c r="I356" s="62">
        <v>0.89712291034753078</v>
      </c>
      <c r="J356" s="62">
        <v>15586.308139790939</v>
      </c>
      <c r="K356" s="62">
        <v>0.88884924800123277</v>
      </c>
      <c r="L356" s="62">
        <f t="shared" si="50"/>
        <v>-4751.0433510683251</v>
      </c>
      <c r="M356" s="62">
        <f t="shared" si="51"/>
        <v>-0.27561579384557899</v>
      </c>
      <c r="N356" s="62">
        <f t="shared" si="52"/>
        <v>-4804.5784024669301</v>
      </c>
      <c r="O356" s="62">
        <f t="shared" si="53"/>
        <v>-0.27894064089493253</v>
      </c>
      <c r="P356" s="62">
        <f t="shared" si="54"/>
        <v>-4686.6262883371364</v>
      </c>
      <c r="Q356" s="62">
        <f t="shared" si="55"/>
        <v>-0.27066697854863453</v>
      </c>
      <c r="R356" s="62">
        <f t="shared" si="56"/>
        <v>14707.900478350628</v>
      </c>
      <c r="S356" s="62">
        <f t="shared" si="57"/>
        <v>21373.965771541563</v>
      </c>
      <c r="T356" s="62">
        <f t="shared" si="58"/>
        <v>21458.159184315384</v>
      </c>
      <c r="U356" s="62">
        <f t="shared" si="59"/>
        <v>21233.383109412127</v>
      </c>
      <c r="V356" s="62">
        <f t="shared" si="49"/>
        <v>1</v>
      </c>
      <c r="W356" s="62">
        <f t="shared" si="49"/>
        <v>0</v>
      </c>
      <c r="X356" s="62">
        <f t="shared" si="49"/>
        <v>0</v>
      </c>
      <c r="Y356" s="62">
        <f t="shared" si="48"/>
        <v>0</v>
      </c>
      <c r="AA356" s="94"/>
    </row>
    <row r="357" spans="2:27" x14ac:dyDescent="0.2">
      <c r="B357" s="94"/>
      <c r="C357" s="62">
        <v>318</v>
      </c>
      <c r="D357" s="62">
        <v>9356.9160260492699</v>
      </c>
      <c r="E357" s="62">
        <v>0.61741951304015685</v>
      </c>
      <c r="F357" s="62">
        <v>13458.87048119618</v>
      </c>
      <c r="G357" s="62">
        <v>0.89441207016048119</v>
      </c>
      <c r="H357" s="62">
        <v>13489.995963118507</v>
      </c>
      <c r="I357" s="62">
        <v>0.89675145441414439</v>
      </c>
      <c r="J357" s="62">
        <v>13395.342857536612</v>
      </c>
      <c r="K357" s="62">
        <v>0.88908180159477024</v>
      </c>
      <c r="L357" s="62">
        <f t="shared" si="50"/>
        <v>-4101.9544551469098</v>
      </c>
      <c r="M357" s="62">
        <f t="shared" si="51"/>
        <v>-0.27699255712032433</v>
      </c>
      <c r="N357" s="62">
        <f t="shared" si="52"/>
        <v>-4133.0799370692366</v>
      </c>
      <c r="O357" s="62">
        <f t="shared" si="53"/>
        <v>-0.27933194137398754</v>
      </c>
      <c r="P357" s="62">
        <f t="shared" si="54"/>
        <v>-4038.4268314873425</v>
      </c>
      <c r="Q357" s="62">
        <f t="shared" si="55"/>
        <v>-0.27166228855461338</v>
      </c>
      <c r="R357" s="62">
        <f t="shared" si="56"/>
        <v>16219.069882126189</v>
      </c>
      <c r="S357" s="62">
        <f t="shared" si="57"/>
        <v>23591.255113131592</v>
      </c>
      <c r="T357" s="62">
        <f t="shared" si="58"/>
        <v>23657.036284533009</v>
      </c>
      <c r="U357" s="62">
        <f t="shared" si="59"/>
        <v>23433.981691725152</v>
      </c>
      <c r="V357" s="62">
        <f t="shared" si="49"/>
        <v>1</v>
      </c>
      <c r="W357" s="62">
        <f t="shared" si="49"/>
        <v>0</v>
      </c>
      <c r="X357" s="62">
        <f t="shared" si="49"/>
        <v>0</v>
      </c>
      <c r="Y357" s="62">
        <f t="shared" si="48"/>
        <v>0</v>
      </c>
      <c r="AA357" s="94"/>
    </row>
    <row r="358" spans="2:27" x14ac:dyDescent="0.2">
      <c r="B358" s="94"/>
      <c r="C358" s="62">
        <v>319</v>
      </c>
      <c r="D358" s="62">
        <v>9006.1081082873716</v>
      </c>
      <c r="E358" s="62">
        <v>0.61784627339236764</v>
      </c>
      <c r="F358" s="62">
        <v>12936.503259404471</v>
      </c>
      <c r="G358" s="62">
        <v>0.89402936535016153</v>
      </c>
      <c r="H358" s="62">
        <v>12975.300185790216</v>
      </c>
      <c r="I358" s="62">
        <v>0.89701696689709887</v>
      </c>
      <c r="J358" s="62">
        <v>12883.445101331332</v>
      </c>
      <c r="K358" s="62">
        <v>0.88918382205739721</v>
      </c>
      <c r="L358" s="62">
        <f t="shared" si="50"/>
        <v>-3930.3951511170999</v>
      </c>
      <c r="M358" s="62">
        <f t="shared" si="51"/>
        <v>-0.27618309195779389</v>
      </c>
      <c r="N358" s="62">
        <f t="shared" si="52"/>
        <v>-3969.1920775028448</v>
      </c>
      <c r="O358" s="62">
        <f t="shared" si="53"/>
        <v>-0.27917069350473123</v>
      </c>
      <c r="P358" s="62">
        <f t="shared" si="54"/>
        <v>-3877.3369930439603</v>
      </c>
      <c r="Q358" s="62">
        <f t="shared" si="55"/>
        <v>-0.27133754866502957</v>
      </c>
      <c r="R358" s="62">
        <f t="shared" si="56"/>
        <v>16587.555920718067</v>
      </c>
      <c r="S358" s="62">
        <f t="shared" si="57"/>
        <v>24097.769170860618</v>
      </c>
      <c r="T358" s="62">
        <f t="shared" si="58"/>
        <v>24182.730650955204</v>
      </c>
      <c r="U358" s="62">
        <f t="shared" si="59"/>
        <v>23950.105543574289</v>
      </c>
      <c r="V358" s="62">
        <f t="shared" si="49"/>
        <v>1</v>
      </c>
      <c r="W358" s="62">
        <f t="shared" si="49"/>
        <v>0</v>
      </c>
      <c r="X358" s="62">
        <f t="shared" si="49"/>
        <v>0</v>
      </c>
      <c r="Y358" s="62">
        <f t="shared" si="49"/>
        <v>0</v>
      </c>
      <c r="AA358" s="94"/>
    </row>
    <row r="359" spans="2:27" x14ac:dyDescent="0.2">
      <c r="B359" s="94"/>
      <c r="C359" s="62">
        <v>320</v>
      </c>
      <c r="D359" s="62">
        <v>9880.6962655689986</v>
      </c>
      <c r="E359" s="62">
        <v>0.61781926316828961</v>
      </c>
      <c r="F359" s="62">
        <v>14193.612478182509</v>
      </c>
      <c r="G359" s="62">
        <v>0.89355195512958208</v>
      </c>
      <c r="H359" s="62">
        <v>14263.134931770732</v>
      </c>
      <c r="I359" s="62">
        <v>0.89840225249000905</v>
      </c>
      <c r="J359" s="62">
        <v>14132.585009540158</v>
      </c>
      <c r="K359" s="62">
        <v>0.88863691367332887</v>
      </c>
      <c r="L359" s="62">
        <f t="shared" si="50"/>
        <v>-4312.9162126135107</v>
      </c>
      <c r="M359" s="62">
        <f t="shared" si="51"/>
        <v>-0.27573269196129246</v>
      </c>
      <c r="N359" s="62">
        <f t="shared" si="52"/>
        <v>-4382.4386662017332</v>
      </c>
      <c r="O359" s="62">
        <f t="shared" si="53"/>
        <v>-0.28058298932171943</v>
      </c>
      <c r="P359" s="62">
        <f t="shared" si="54"/>
        <v>-4251.8887439711598</v>
      </c>
      <c r="Q359" s="62">
        <f t="shared" si="55"/>
        <v>-0.27081765050503925</v>
      </c>
      <c r="R359" s="62">
        <f t="shared" si="56"/>
        <v>15711.848891914231</v>
      </c>
      <c r="S359" s="62">
        <f t="shared" si="57"/>
        <v>22820.883711105296</v>
      </c>
      <c r="T359" s="62">
        <f t="shared" si="58"/>
        <v>22952.279975375404</v>
      </c>
      <c r="U359" s="62">
        <f t="shared" si="59"/>
        <v>22678.310502463817</v>
      </c>
      <c r="V359" s="62">
        <f t="shared" ref="V359:Y422" si="60">IF(MIN($R359:$U359)=R359,1,0)</f>
        <v>1</v>
      </c>
      <c r="W359" s="62">
        <f t="shared" si="60"/>
        <v>0</v>
      </c>
      <c r="X359" s="62">
        <f t="shared" si="60"/>
        <v>0</v>
      </c>
      <c r="Y359" s="62">
        <f t="shared" si="60"/>
        <v>0</v>
      </c>
      <c r="AA359" s="94"/>
    </row>
    <row r="360" spans="2:27" x14ac:dyDescent="0.2">
      <c r="B360" s="94"/>
      <c r="C360" s="62">
        <v>321</v>
      </c>
      <c r="D360" s="62">
        <v>10584.179952106309</v>
      </c>
      <c r="E360" s="62">
        <v>0.61730312827628442</v>
      </c>
      <c r="F360" s="62">
        <v>15230.723165945317</v>
      </c>
      <c r="G360" s="62">
        <v>0.89378365480509814</v>
      </c>
      <c r="H360" s="62">
        <v>15278.499460769817</v>
      </c>
      <c r="I360" s="62">
        <v>0.89686575699096782</v>
      </c>
      <c r="J360" s="62">
        <v>15186.747979681293</v>
      </c>
      <c r="K360" s="62">
        <v>0.8902938293197078</v>
      </c>
      <c r="L360" s="62">
        <f t="shared" ref="L360:L423" si="61">IF($C360&lt;=No_of_iterations_PSA,D360-$F360,"")</f>
        <v>-4646.5432138390079</v>
      </c>
      <c r="M360" s="62">
        <f t="shared" ref="M360:M423" si="62">IF($C360&lt;=No_of_iterations_PSA,E360-$G360,"")</f>
        <v>-0.27648052652881372</v>
      </c>
      <c r="N360" s="62">
        <f t="shared" ref="N360:N423" si="63">IF($C360&lt;=No_of_iterations_PSA,D360-$H360,"")</f>
        <v>-4694.3195086635078</v>
      </c>
      <c r="O360" s="62">
        <f t="shared" ref="O360:O423" si="64">IF($C360&lt;=No_of_iterations_PSA,E360-$I360,"")</f>
        <v>-0.2795626287146834</v>
      </c>
      <c r="P360" s="62">
        <f t="shared" ref="P360:P423" si="65">IF($C360&lt;=No_of_iterations_PSA,D360-$J360,"")</f>
        <v>-4602.5680275749837</v>
      </c>
      <c r="Q360" s="62">
        <f t="shared" ref="Q360:Q423" si="66">IF($C360&lt;=No_of_iterations_PSA,E360-$K360,"")</f>
        <v>-0.27299070104342338</v>
      </c>
      <c r="R360" s="62">
        <f t="shared" ref="R360:R423" si="67">IF($C360&lt;=No_of_iterations_PSA,E360*c_WTP-D360,"")</f>
        <v>14986.984833610497</v>
      </c>
      <c r="S360" s="62">
        <f t="shared" ref="S360:S423" si="68">IF($C360&lt;=No_of_iterations_PSA,G360*c_WTP-F360,"")</f>
        <v>21793.370950701064</v>
      </c>
      <c r="T360" s="62">
        <f t="shared" ref="T360:T423" si="69">IF($C360&lt;=No_of_iterations_PSA,I360*c_WTP-H360,"")</f>
        <v>21873.267656824035</v>
      </c>
      <c r="U360" s="62">
        <f t="shared" ref="U360:U423" si="70">IF($C360&lt;=No_of_iterations_PSA,K360*c_WTP-J360,"")</f>
        <v>21692.783606058285</v>
      </c>
      <c r="V360" s="62">
        <f t="shared" si="60"/>
        <v>1</v>
      </c>
      <c r="W360" s="62">
        <f t="shared" si="60"/>
        <v>0</v>
      </c>
      <c r="X360" s="62">
        <f t="shared" si="60"/>
        <v>0</v>
      </c>
      <c r="Y360" s="62">
        <f t="shared" si="60"/>
        <v>0</v>
      </c>
      <c r="AA360" s="94"/>
    </row>
    <row r="361" spans="2:27" x14ac:dyDescent="0.2">
      <c r="B361" s="94"/>
      <c r="C361" s="62">
        <v>322</v>
      </c>
      <c r="D361" s="62">
        <v>9184.1958363690101</v>
      </c>
      <c r="E361" s="62">
        <v>0.61777592399952219</v>
      </c>
      <c r="F361" s="62">
        <v>13208.522358139355</v>
      </c>
      <c r="G361" s="62">
        <v>0.89451509212853486</v>
      </c>
      <c r="H361" s="62">
        <v>13240.9284639952</v>
      </c>
      <c r="I361" s="62">
        <v>0.89701260050450426</v>
      </c>
      <c r="J361" s="62">
        <v>13155.047788817099</v>
      </c>
      <c r="K361" s="62">
        <v>0.88983929550799301</v>
      </c>
      <c r="L361" s="62">
        <f t="shared" si="61"/>
        <v>-4024.3265217703447</v>
      </c>
      <c r="M361" s="62">
        <f t="shared" si="62"/>
        <v>-0.27673916812901267</v>
      </c>
      <c r="N361" s="62">
        <f t="shared" si="63"/>
        <v>-4056.7326276261902</v>
      </c>
      <c r="O361" s="62">
        <f t="shared" si="64"/>
        <v>-0.27923667650498207</v>
      </c>
      <c r="P361" s="62">
        <f t="shared" si="65"/>
        <v>-3970.8519524480889</v>
      </c>
      <c r="Q361" s="62">
        <f t="shared" si="66"/>
        <v>-0.27206337150847082</v>
      </c>
      <c r="R361" s="62">
        <f t="shared" si="67"/>
        <v>16406.554039387196</v>
      </c>
      <c r="S361" s="62">
        <f t="shared" si="68"/>
        <v>23845.870818193074</v>
      </c>
      <c r="T361" s="62">
        <f t="shared" si="69"/>
        <v>23916.921499303382</v>
      </c>
      <c r="U361" s="62">
        <f t="shared" si="70"/>
        <v>23705.655188306002</v>
      </c>
      <c r="V361" s="62">
        <f t="shared" si="60"/>
        <v>1</v>
      </c>
      <c r="W361" s="62">
        <f t="shared" si="60"/>
        <v>0</v>
      </c>
      <c r="X361" s="62">
        <f t="shared" si="60"/>
        <v>0</v>
      </c>
      <c r="Y361" s="62">
        <f t="shared" si="60"/>
        <v>0</v>
      </c>
      <c r="AA361" s="94"/>
    </row>
    <row r="362" spans="2:27" x14ac:dyDescent="0.2">
      <c r="B362" s="94"/>
      <c r="C362" s="62">
        <v>323</v>
      </c>
      <c r="D362" s="62">
        <v>7724.4862334429081</v>
      </c>
      <c r="E362" s="62">
        <v>0.61763704382293783</v>
      </c>
      <c r="F362" s="62">
        <v>11093.300564029934</v>
      </c>
      <c r="G362" s="62">
        <v>0.89446161149447923</v>
      </c>
      <c r="H362" s="62">
        <v>11117.060707047895</v>
      </c>
      <c r="I362" s="62">
        <v>0.89676748630750303</v>
      </c>
      <c r="J362" s="62">
        <v>11046.618223052117</v>
      </c>
      <c r="K362" s="62">
        <v>0.88931973250549912</v>
      </c>
      <c r="L362" s="62">
        <f t="shared" si="61"/>
        <v>-3368.8143305870262</v>
      </c>
      <c r="M362" s="62">
        <f t="shared" si="62"/>
        <v>-0.2768245676715414</v>
      </c>
      <c r="N362" s="62">
        <f t="shared" si="63"/>
        <v>-3392.5744736049865</v>
      </c>
      <c r="O362" s="62">
        <f t="shared" si="64"/>
        <v>-0.2791304424845652</v>
      </c>
      <c r="P362" s="62">
        <f t="shared" si="65"/>
        <v>-3322.1319896092091</v>
      </c>
      <c r="Q362" s="62">
        <f t="shared" si="66"/>
        <v>-0.27168268868256129</v>
      </c>
      <c r="R362" s="62">
        <f t="shared" si="67"/>
        <v>17860.510669878466</v>
      </c>
      <c r="S362" s="62">
        <f t="shared" si="68"/>
        <v>25958.877230517373</v>
      </c>
      <c r="T362" s="62">
        <f t="shared" si="69"/>
        <v>26030.635645754111</v>
      </c>
      <c r="U362" s="62">
        <f t="shared" si="70"/>
        <v>25792.562376255679</v>
      </c>
      <c r="V362" s="62">
        <f t="shared" si="60"/>
        <v>1</v>
      </c>
      <c r="W362" s="62">
        <f t="shared" si="60"/>
        <v>0</v>
      </c>
      <c r="X362" s="62">
        <f t="shared" si="60"/>
        <v>0</v>
      </c>
      <c r="Y362" s="62">
        <f t="shared" si="60"/>
        <v>0</v>
      </c>
      <c r="AA362" s="94"/>
    </row>
    <row r="363" spans="2:27" x14ac:dyDescent="0.2">
      <c r="B363" s="94"/>
      <c r="C363" s="62">
        <v>324</v>
      </c>
      <c r="D363" s="62">
        <v>8757.1615247525806</v>
      </c>
      <c r="E363" s="62">
        <v>0.61721845704359946</v>
      </c>
      <c r="F363" s="62">
        <v>12580.895759970133</v>
      </c>
      <c r="G363" s="62">
        <v>0.89374709097127192</v>
      </c>
      <c r="H363" s="62">
        <v>12629.175182195791</v>
      </c>
      <c r="I363" s="62">
        <v>0.89755812010647362</v>
      </c>
      <c r="J363" s="62">
        <v>12526.013396679638</v>
      </c>
      <c r="K363" s="62">
        <v>0.88851275473491409</v>
      </c>
      <c r="L363" s="62">
        <f t="shared" si="61"/>
        <v>-3823.7342352175529</v>
      </c>
      <c r="M363" s="62">
        <f t="shared" si="62"/>
        <v>-0.27652863392767246</v>
      </c>
      <c r="N363" s="62">
        <f t="shared" si="63"/>
        <v>-3872.0136574432108</v>
      </c>
      <c r="O363" s="62">
        <f t="shared" si="64"/>
        <v>-0.28033966306287417</v>
      </c>
      <c r="P363" s="62">
        <f t="shared" si="65"/>
        <v>-3768.8518719270578</v>
      </c>
      <c r="Q363" s="62">
        <f t="shared" si="66"/>
        <v>-0.27129429769131463</v>
      </c>
      <c r="R363" s="62">
        <f t="shared" si="67"/>
        <v>16810.495839821484</v>
      </c>
      <c r="S363" s="62">
        <f t="shared" si="68"/>
        <v>24441.683736423838</v>
      </c>
      <c r="T363" s="62">
        <f t="shared" si="69"/>
        <v>24551.27238509477</v>
      </c>
      <c r="U363" s="62">
        <f t="shared" si="70"/>
        <v>24279.738955459445</v>
      </c>
      <c r="V363" s="62">
        <f t="shared" si="60"/>
        <v>1</v>
      </c>
      <c r="W363" s="62">
        <f t="shared" si="60"/>
        <v>0</v>
      </c>
      <c r="X363" s="62">
        <f t="shared" si="60"/>
        <v>0</v>
      </c>
      <c r="Y363" s="62">
        <f t="shared" si="60"/>
        <v>0</v>
      </c>
      <c r="AA363" s="94"/>
    </row>
    <row r="364" spans="2:27" x14ac:dyDescent="0.2">
      <c r="B364" s="94"/>
      <c r="C364" s="62">
        <v>325</v>
      </c>
      <c r="D364" s="62">
        <v>9643.4286664195042</v>
      </c>
      <c r="E364" s="62">
        <v>0.61803425455185657</v>
      </c>
      <c r="F364" s="62">
        <v>13865.924274314928</v>
      </c>
      <c r="G364" s="62">
        <v>0.89506327568477362</v>
      </c>
      <c r="H364" s="62">
        <v>13899.828589359164</v>
      </c>
      <c r="I364" s="62">
        <v>0.89753797895813014</v>
      </c>
      <c r="J364" s="62">
        <v>13790.563151658513</v>
      </c>
      <c r="K364" s="62">
        <v>0.88894878663580645</v>
      </c>
      <c r="L364" s="62">
        <f t="shared" si="61"/>
        <v>-4222.4956078954237</v>
      </c>
      <c r="M364" s="62">
        <f t="shared" si="62"/>
        <v>-0.27702902113291705</v>
      </c>
      <c r="N364" s="62">
        <f t="shared" si="63"/>
        <v>-4256.3999229396595</v>
      </c>
      <c r="O364" s="62">
        <f t="shared" si="64"/>
        <v>-0.27950372440627358</v>
      </c>
      <c r="P364" s="62">
        <f t="shared" si="65"/>
        <v>-4147.1344852390084</v>
      </c>
      <c r="Q364" s="62">
        <f t="shared" si="66"/>
        <v>-0.27091453208394989</v>
      </c>
      <c r="R364" s="62">
        <f t="shared" si="67"/>
        <v>15958.022294136603</v>
      </c>
      <c r="S364" s="62">
        <f t="shared" si="68"/>
        <v>23211.176857651131</v>
      </c>
      <c r="T364" s="62">
        <f t="shared" si="69"/>
        <v>23279.784651002421</v>
      </c>
      <c r="U364" s="62">
        <f t="shared" si="70"/>
        <v>23033.251385943135</v>
      </c>
      <c r="V364" s="62">
        <f t="shared" si="60"/>
        <v>1</v>
      </c>
      <c r="W364" s="62">
        <f t="shared" si="60"/>
        <v>0</v>
      </c>
      <c r="X364" s="62">
        <f t="shared" si="60"/>
        <v>0</v>
      </c>
      <c r="Y364" s="62">
        <f t="shared" si="60"/>
        <v>0</v>
      </c>
      <c r="AA364" s="94"/>
    </row>
    <row r="365" spans="2:27" x14ac:dyDescent="0.2">
      <c r="B365" s="94"/>
      <c r="C365" s="62">
        <v>326</v>
      </c>
      <c r="D365" s="62">
        <v>10797.994833307748</v>
      </c>
      <c r="E365" s="62">
        <v>0.61770033335325003</v>
      </c>
      <c r="F365" s="62">
        <v>15547.884412672862</v>
      </c>
      <c r="G365" s="62">
        <v>0.89477614411619022</v>
      </c>
      <c r="H365" s="62">
        <v>15603.403800673863</v>
      </c>
      <c r="I365" s="62">
        <v>0.89832638890615424</v>
      </c>
      <c r="J365" s="62">
        <v>15460.647036450622</v>
      </c>
      <c r="K365" s="62">
        <v>0.88874494968992135</v>
      </c>
      <c r="L365" s="62">
        <f t="shared" si="61"/>
        <v>-4749.8895793651136</v>
      </c>
      <c r="M365" s="62">
        <f t="shared" si="62"/>
        <v>-0.27707581076294019</v>
      </c>
      <c r="N365" s="62">
        <f t="shared" si="63"/>
        <v>-4805.4089673661147</v>
      </c>
      <c r="O365" s="62">
        <f t="shared" si="64"/>
        <v>-0.28062605555290421</v>
      </c>
      <c r="P365" s="62">
        <f t="shared" si="65"/>
        <v>-4662.652203142874</v>
      </c>
      <c r="Q365" s="62">
        <f t="shared" si="66"/>
        <v>-0.27104461633667132</v>
      </c>
      <c r="R365" s="62">
        <f t="shared" si="67"/>
        <v>14789.623775517281</v>
      </c>
      <c r="S365" s="62">
        <f t="shared" si="68"/>
        <v>21517.3225811962</v>
      </c>
      <c r="T365" s="62">
        <f t="shared" si="69"/>
        <v>21608.868533374669</v>
      </c>
      <c r="U365" s="62">
        <f t="shared" si="70"/>
        <v>21354.723759504675</v>
      </c>
      <c r="V365" s="62">
        <f t="shared" si="60"/>
        <v>1</v>
      </c>
      <c r="W365" s="62">
        <f t="shared" si="60"/>
        <v>0</v>
      </c>
      <c r="X365" s="62">
        <f t="shared" si="60"/>
        <v>0</v>
      </c>
      <c r="Y365" s="62">
        <f t="shared" si="60"/>
        <v>0</v>
      </c>
      <c r="AA365" s="94"/>
    </row>
    <row r="366" spans="2:27" x14ac:dyDescent="0.2">
      <c r="B366" s="94"/>
      <c r="C366" s="62">
        <v>327</v>
      </c>
      <c r="D366" s="62">
        <v>10157.119110176309</v>
      </c>
      <c r="E366" s="62">
        <v>0.61766579105961195</v>
      </c>
      <c r="F366" s="62">
        <v>14596.960685714776</v>
      </c>
      <c r="G366" s="62">
        <v>0.89363048574115445</v>
      </c>
      <c r="H366" s="62">
        <v>14640.214356512293</v>
      </c>
      <c r="I366" s="62">
        <v>0.89654563643071317</v>
      </c>
      <c r="J366" s="62">
        <v>14549.936939364037</v>
      </c>
      <c r="K366" s="62">
        <v>0.88979249957853246</v>
      </c>
      <c r="L366" s="62">
        <f t="shared" si="61"/>
        <v>-4439.8415755384667</v>
      </c>
      <c r="M366" s="62">
        <f t="shared" si="62"/>
        <v>-0.2759646946815425</v>
      </c>
      <c r="N366" s="62">
        <f t="shared" si="63"/>
        <v>-4483.0952463359845</v>
      </c>
      <c r="O366" s="62">
        <f t="shared" si="64"/>
        <v>-0.27887984537110122</v>
      </c>
      <c r="P366" s="62">
        <f t="shared" si="65"/>
        <v>-4392.8178291877284</v>
      </c>
      <c r="Q366" s="62">
        <f t="shared" si="66"/>
        <v>-0.27212670851892051</v>
      </c>
      <c r="R366" s="62">
        <f t="shared" si="67"/>
        <v>15429.068618677056</v>
      </c>
      <c r="S366" s="62">
        <f t="shared" si="68"/>
        <v>22420.788555626808</v>
      </c>
      <c r="T366" s="62">
        <f t="shared" si="69"/>
        <v>22498.292086993566</v>
      </c>
      <c r="U366" s="62">
        <f t="shared" si="70"/>
        <v>22308.827563177088</v>
      </c>
      <c r="V366" s="62">
        <f t="shared" si="60"/>
        <v>1</v>
      </c>
      <c r="W366" s="62">
        <f t="shared" si="60"/>
        <v>0</v>
      </c>
      <c r="X366" s="62">
        <f t="shared" si="60"/>
        <v>0</v>
      </c>
      <c r="Y366" s="62">
        <f t="shared" si="60"/>
        <v>0</v>
      </c>
      <c r="AA366" s="94"/>
    </row>
    <row r="367" spans="2:27" x14ac:dyDescent="0.2">
      <c r="B367" s="94"/>
      <c r="C367" s="62">
        <v>328</v>
      </c>
      <c r="D367" s="62">
        <v>10190.89834570015</v>
      </c>
      <c r="E367" s="62">
        <v>0.61803701477533191</v>
      </c>
      <c r="F367" s="62">
        <v>14644.657235838618</v>
      </c>
      <c r="G367" s="62">
        <v>0.89367285238871874</v>
      </c>
      <c r="H367" s="62">
        <v>14685.467404188703</v>
      </c>
      <c r="I367" s="62">
        <v>0.8964279210818431</v>
      </c>
      <c r="J367" s="62">
        <v>14603.892157338269</v>
      </c>
      <c r="K367" s="62">
        <v>0.89027299503440871</v>
      </c>
      <c r="L367" s="62">
        <f t="shared" si="61"/>
        <v>-4453.7588901384679</v>
      </c>
      <c r="M367" s="62">
        <f t="shared" si="62"/>
        <v>-0.27563583761338684</v>
      </c>
      <c r="N367" s="62">
        <f t="shared" si="63"/>
        <v>-4494.5690584885524</v>
      </c>
      <c r="O367" s="62">
        <f t="shared" si="64"/>
        <v>-0.2783909063065112</v>
      </c>
      <c r="P367" s="62">
        <f t="shared" si="65"/>
        <v>-4412.9938116381181</v>
      </c>
      <c r="Q367" s="62">
        <f t="shared" si="66"/>
        <v>-0.2722359802590768</v>
      </c>
      <c r="R367" s="62">
        <f t="shared" si="67"/>
        <v>15410.666954353199</v>
      </c>
      <c r="S367" s="62">
        <f t="shared" si="68"/>
        <v>22374.847001511669</v>
      </c>
      <c r="T367" s="62">
        <f t="shared" si="69"/>
        <v>22448.162798705562</v>
      </c>
      <c r="U367" s="62">
        <f t="shared" si="70"/>
        <v>22274.776388967075</v>
      </c>
      <c r="V367" s="62">
        <f t="shared" si="60"/>
        <v>1</v>
      </c>
      <c r="W367" s="62">
        <f t="shared" si="60"/>
        <v>0</v>
      </c>
      <c r="X367" s="62">
        <f t="shared" si="60"/>
        <v>0</v>
      </c>
      <c r="Y367" s="62">
        <f t="shared" si="60"/>
        <v>0</v>
      </c>
      <c r="AA367" s="94"/>
    </row>
    <row r="368" spans="2:27" x14ac:dyDescent="0.2">
      <c r="B368" s="94"/>
      <c r="C368" s="62">
        <v>329</v>
      </c>
      <c r="D368" s="62">
        <v>11348.194178085756</v>
      </c>
      <c r="E368" s="62">
        <v>0.61781534190392262</v>
      </c>
      <c r="F368" s="62">
        <v>16325.811558257088</v>
      </c>
      <c r="G368" s="62">
        <v>0.89471780189695127</v>
      </c>
      <c r="H368" s="62">
        <v>16362.807714088209</v>
      </c>
      <c r="I368" s="62">
        <v>0.89702143048758354</v>
      </c>
      <c r="J368" s="62">
        <v>16247.139650924386</v>
      </c>
      <c r="K368" s="62">
        <v>0.88928396463597092</v>
      </c>
      <c r="L368" s="62">
        <f t="shared" si="61"/>
        <v>-4977.6173801713321</v>
      </c>
      <c r="M368" s="62">
        <f t="shared" si="62"/>
        <v>-0.27690245999302865</v>
      </c>
      <c r="N368" s="62">
        <f t="shared" si="63"/>
        <v>-5014.6135360024527</v>
      </c>
      <c r="O368" s="62">
        <f t="shared" si="64"/>
        <v>-0.27920608858366092</v>
      </c>
      <c r="P368" s="62">
        <f t="shared" si="65"/>
        <v>-4898.9454728386299</v>
      </c>
      <c r="Q368" s="62">
        <f t="shared" si="66"/>
        <v>-0.2714686227320483</v>
      </c>
      <c r="R368" s="62">
        <f t="shared" si="67"/>
        <v>14244.188544942335</v>
      </c>
      <c r="S368" s="62">
        <f t="shared" si="68"/>
        <v>20736.97866752222</v>
      </c>
      <c r="T368" s="62">
        <f t="shared" si="69"/>
        <v>20795.408022429452</v>
      </c>
      <c r="U368" s="62">
        <f t="shared" si="70"/>
        <v>20590.55930015607</v>
      </c>
      <c r="V368" s="62">
        <f t="shared" si="60"/>
        <v>1</v>
      </c>
      <c r="W368" s="62">
        <f t="shared" si="60"/>
        <v>0</v>
      </c>
      <c r="X368" s="62">
        <f t="shared" si="60"/>
        <v>0</v>
      </c>
      <c r="Y368" s="62">
        <f t="shared" si="60"/>
        <v>0</v>
      </c>
      <c r="AA368" s="94"/>
    </row>
    <row r="369" spans="2:27" x14ac:dyDescent="0.2">
      <c r="B369" s="94"/>
      <c r="C369" s="62">
        <v>330</v>
      </c>
      <c r="D369" s="62">
        <v>9247.4662666481909</v>
      </c>
      <c r="E369" s="62">
        <v>0.61755449654369998</v>
      </c>
      <c r="F369" s="62">
        <v>13303.178082906794</v>
      </c>
      <c r="G369" s="62">
        <v>0.8949648481946334</v>
      </c>
      <c r="H369" s="62">
        <v>13321.688960131149</v>
      </c>
      <c r="I369" s="62">
        <v>0.89641681931729844</v>
      </c>
      <c r="J369" s="62">
        <v>13236.083305317903</v>
      </c>
      <c r="K369" s="62">
        <v>0.88921758927322259</v>
      </c>
      <c r="L369" s="62">
        <f t="shared" si="61"/>
        <v>-4055.711816258603</v>
      </c>
      <c r="M369" s="62">
        <f t="shared" si="62"/>
        <v>-0.27741035165093342</v>
      </c>
      <c r="N369" s="62">
        <f t="shared" si="63"/>
        <v>-4074.2226934829578</v>
      </c>
      <c r="O369" s="62">
        <f t="shared" si="64"/>
        <v>-0.27886232277359846</v>
      </c>
      <c r="P369" s="62">
        <f t="shared" si="65"/>
        <v>-3988.6170386697122</v>
      </c>
      <c r="Q369" s="62">
        <f t="shared" si="66"/>
        <v>-0.2716630927295226</v>
      </c>
      <c r="R369" s="62">
        <f t="shared" si="67"/>
        <v>16334.111198178036</v>
      </c>
      <c r="S369" s="62">
        <f t="shared" si="68"/>
        <v>23769.845788707702</v>
      </c>
      <c r="T369" s="62">
        <f t="shared" si="69"/>
        <v>23811.48136326862</v>
      </c>
      <c r="U369" s="62">
        <f t="shared" si="70"/>
        <v>23598.866112736068</v>
      </c>
      <c r="V369" s="62">
        <f t="shared" si="60"/>
        <v>1</v>
      </c>
      <c r="W369" s="62">
        <f t="shared" si="60"/>
        <v>0</v>
      </c>
      <c r="X369" s="62">
        <f t="shared" si="60"/>
        <v>0</v>
      </c>
      <c r="Y369" s="62">
        <f t="shared" si="60"/>
        <v>0</v>
      </c>
      <c r="AA369" s="94"/>
    </row>
    <row r="370" spans="2:27" x14ac:dyDescent="0.2">
      <c r="B370" s="94"/>
      <c r="C370" s="62">
        <v>331</v>
      </c>
      <c r="D370" s="62">
        <v>9378.7090373808605</v>
      </c>
      <c r="E370" s="62">
        <v>0.61753152674640921</v>
      </c>
      <c r="F370" s="62">
        <v>13487.861475539275</v>
      </c>
      <c r="G370" s="62">
        <v>0.89441948275004812</v>
      </c>
      <c r="H370" s="62">
        <v>13518.794941718772</v>
      </c>
      <c r="I370" s="62">
        <v>0.89673003537165663</v>
      </c>
      <c r="J370" s="62">
        <v>13421.838231607118</v>
      </c>
      <c r="K370" s="62">
        <v>0.88879998482657208</v>
      </c>
      <c r="L370" s="62">
        <f t="shared" si="61"/>
        <v>-4109.152438158415</v>
      </c>
      <c r="M370" s="62">
        <f t="shared" si="62"/>
        <v>-0.27688795600363891</v>
      </c>
      <c r="N370" s="62">
        <f t="shared" si="63"/>
        <v>-4140.0859043379114</v>
      </c>
      <c r="O370" s="62">
        <f t="shared" si="64"/>
        <v>-0.27919850862524742</v>
      </c>
      <c r="P370" s="62">
        <f t="shared" si="65"/>
        <v>-4043.1291942262578</v>
      </c>
      <c r="Q370" s="62">
        <f t="shared" si="66"/>
        <v>-0.27126845808016287</v>
      </c>
      <c r="R370" s="62">
        <f t="shared" si="67"/>
        <v>16201.916926562393</v>
      </c>
      <c r="S370" s="62">
        <f t="shared" si="68"/>
        <v>23562.571177898717</v>
      </c>
      <c r="T370" s="62">
        <f t="shared" si="69"/>
        <v>23627.350043516737</v>
      </c>
      <c r="U370" s="62">
        <f t="shared" si="70"/>
        <v>23395.812339848806</v>
      </c>
      <c r="V370" s="62">
        <f t="shared" si="60"/>
        <v>1</v>
      </c>
      <c r="W370" s="62">
        <f t="shared" si="60"/>
        <v>0</v>
      </c>
      <c r="X370" s="62">
        <f t="shared" si="60"/>
        <v>0</v>
      </c>
      <c r="Y370" s="62">
        <f t="shared" si="60"/>
        <v>0</v>
      </c>
      <c r="AA370" s="94"/>
    </row>
    <row r="371" spans="2:27" x14ac:dyDescent="0.2">
      <c r="B371" s="94"/>
      <c r="C371" s="62">
        <v>332</v>
      </c>
      <c r="D371" s="62">
        <v>10371.320121239256</v>
      </c>
      <c r="E371" s="62">
        <v>0.61721754937585416</v>
      </c>
      <c r="F371" s="62">
        <v>14930.013244867419</v>
      </c>
      <c r="G371" s="62">
        <v>0.89454823382394877</v>
      </c>
      <c r="H371" s="62">
        <v>14963.584121025158</v>
      </c>
      <c r="I371" s="62">
        <v>0.89672701502626317</v>
      </c>
      <c r="J371" s="62">
        <v>14851.941192927268</v>
      </c>
      <c r="K371" s="62">
        <v>0.88866522457806807</v>
      </c>
      <c r="L371" s="62">
        <f t="shared" si="61"/>
        <v>-4558.6931236281634</v>
      </c>
      <c r="M371" s="62">
        <f t="shared" si="62"/>
        <v>-0.27733068444809461</v>
      </c>
      <c r="N371" s="62">
        <f t="shared" si="63"/>
        <v>-4592.2639997859023</v>
      </c>
      <c r="O371" s="62">
        <f t="shared" si="64"/>
        <v>-0.27950946565040902</v>
      </c>
      <c r="P371" s="62">
        <f t="shared" si="65"/>
        <v>-4480.6210716880123</v>
      </c>
      <c r="Q371" s="62">
        <f t="shared" si="66"/>
        <v>-0.27144767520221391</v>
      </c>
      <c r="R371" s="62">
        <f t="shared" si="67"/>
        <v>15196.299644106126</v>
      </c>
      <c r="S371" s="62">
        <f t="shared" si="68"/>
        <v>22125.752793055835</v>
      </c>
      <c r="T371" s="62">
        <f t="shared" si="69"/>
        <v>22182.435749422766</v>
      </c>
      <c r="U371" s="62">
        <f t="shared" si="70"/>
        <v>21960.127069994625</v>
      </c>
      <c r="V371" s="62">
        <f t="shared" si="60"/>
        <v>1</v>
      </c>
      <c r="W371" s="62">
        <f t="shared" si="60"/>
        <v>0</v>
      </c>
      <c r="X371" s="62">
        <f t="shared" si="60"/>
        <v>0</v>
      </c>
      <c r="Y371" s="62">
        <f t="shared" si="60"/>
        <v>0</v>
      </c>
      <c r="AA371" s="94"/>
    </row>
    <row r="372" spans="2:27" x14ac:dyDescent="0.2">
      <c r="B372" s="94"/>
      <c r="C372" s="62">
        <v>333</v>
      </c>
      <c r="D372" s="62">
        <v>8318.6816607804485</v>
      </c>
      <c r="E372" s="62">
        <v>0.6178911863227049</v>
      </c>
      <c r="F372" s="62">
        <v>11950.02167180687</v>
      </c>
      <c r="G372" s="62">
        <v>0.89408273528817928</v>
      </c>
      <c r="H372" s="62">
        <v>11982.149692687441</v>
      </c>
      <c r="I372" s="62">
        <v>0.8969072759977641</v>
      </c>
      <c r="J372" s="62">
        <v>11900.887096860108</v>
      </c>
      <c r="K372" s="62">
        <v>0.88933804418890672</v>
      </c>
      <c r="L372" s="62">
        <f t="shared" si="61"/>
        <v>-3631.3400110264211</v>
      </c>
      <c r="M372" s="62">
        <f t="shared" si="62"/>
        <v>-0.27619154896547438</v>
      </c>
      <c r="N372" s="62">
        <f t="shared" si="63"/>
        <v>-3663.4680319069921</v>
      </c>
      <c r="O372" s="62">
        <f t="shared" si="64"/>
        <v>-0.2790160896750592</v>
      </c>
      <c r="P372" s="62">
        <f t="shared" si="65"/>
        <v>-3582.2054360796592</v>
      </c>
      <c r="Q372" s="62">
        <f t="shared" si="66"/>
        <v>-0.27144685786620182</v>
      </c>
      <c r="R372" s="62">
        <f t="shared" si="67"/>
        <v>17276.842841451282</v>
      </c>
      <c r="S372" s="62">
        <f t="shared" si="68"/>
        <v>25086.461554770671</v>
      </c>
      <c r="T372" s="62">
        <f t="shared" si="69"/>
        <v>25171.337308243943</v>
      </c>
      <c r="U372" s="62">
        <f t="shared" si="70"/>
        <v>24939.052045621163</v>
      </c>
      <c r="V372" s="62">
        <f t="shared" si="60"/>
        <v>1</v>
      </c>
      <c r="W372" s="62">
        <f t="shared" si="60"/>
        <v>0</v>
      </c>
      <c r="X372" s="62">
        <f t="shared" si="60"/>
        <v>0</v>
      </c>
      <c r="Y372" s="62">
        <f t="shared" si="60"/>
        <v>0</v>
      </c>
      <c r="AA372" s="94"/>
    </row>
    <row r="373" spans="2:27" x14ac:dyDescent="0.2">
      <c r="B373" s="94"/>
      <c r="C373" s="62">
        <v>334</v>
      </c>
      <c r="D373" s="62">
        <v>10394.508624184933</v>
      </c>
      <c r="E373" s="62">
        <v>0.61804059931661948</v>
      </c>
      <c r="F373" s="62">
        <v>14928.238528358354</v>
      </c>
      <c r="G373" s="62">
        <v>0.8933869709396951</v>
      </c>
      <c r="H373" s="62">
        <v>14984.489704038657</v>
      </c>
      <c r="I373" s="62">
        <v>0.89699826697653406</v>
      </c>
      <c r="J373" s="62">
        <v>14875.131916591885</v>
      </c>
      <c r="K373" s="62">
        <v>0.88908561897637473</v>
      </c>
      <c r="L373" s="62">
        <f t="shared" si="61"/>
        <v>-4533.7299041734204</v>
      </c>
      <c r="M373" s="62">
        <f t="shared" si="62"/>
        <v>-0.27534637162307563</v>
      </c>
      <c r="N373" s="62">
        <f t="shared" si="63"/>
        <v>-4589.9810798537237</v>
      </c>
      <c r="O373" s="62">
        <f t="shared" si="64"/>
        <v>-0.27895766765991459</v>
      </c>
      <c r="P373" s="62">
        <f t="shared" si="65"/>
        <v>-4480.6232924069518</v>
      </c>
      <c r="Q373" s="62">
        <f t="shared" si="66"/>
        <v>-0.27104501965975525</v>
      </c>
      <c r="R373" s="62">
        <f t="shared" si="67"/>
        <v>15207.205161906712</v>
      </c>
      <c r="S373" s="62">
        <f t="shared" si="68"/>
        <v>22079.423355847579</v>
      </c>
      <c r="T373" s="62">
        <f t="shared" si="69"/>
        <v>22172.766507197288</v>
      </c>
      <c r="U373" s="62">
        <f t="shared" si="70"/>
        <v>21954.350763885464</v>
      </c>
      <c r="V373" s="62">
        <f t="shared" si="60"/>
        <v>1</v>
      </c>
      <c r="W373" s="62">
        <f t="shared" si="60"/>
        <v>0</v>
      </c>
      <c r="X373" s="62">
        <f t="shared" si="60"/>
        <v>0</v>
      </c>
      <c r="Y373" s="62">
        <f t="shared" si="60"/>
        <v>0</v>
      </c>
      <c r="AA373" s="94"/>
    </row>
    <row r="374" spans="2:27" x14ac:dyDescent="0.2">
      <c r="B374" s="94"/>
      <c r="C374" s="62">
        <v>335</v>
      </c>
      <c r="D374" s="62">
        <v>9460.1500562916954</v>
      </c>
      <c r="E374" s="62">
        <v>0.61760159329647646</v>
      </c>
      <c r="F374" s="62">
        <v>13607.649558372115</v>
      </c>
      <c r="G374" s="62">
        <v>0.89476622993915833</v>
      </c>
      <c r="H374" s="62">
        <v>13642.924812142192</v>
      </c>
      <c r="I374" s="62">
        <v>0.89749749753187236</v>
      </c>
      <c r="J374" s="62">
        <v>13548.561529962737</v>
      </c>
      <c r="K374" s="62">
        <v>0.88981477470781867</v>
      </c>
      <c r="L374" s="62">
        <f t="shared" si="61"/>
        <v>-4147.4995020804199</v>
      </c>
      <c r="M374" s="62">
        <f t="shared" si="62"/>
        <v>-0.27716463664268187</v>
      </c>
      <c r="N374" s="62">
        <f t="shared" si="63"/>
        <v>-4182.7747558504961</v>
      </c>
      <c r="O374" s="62">
        <f t="shared" si="64"/>
        <v>-0.2798959042353959</v>
      </c>
      <c r="P374" s="62">
        <f t="shared" si="65"/>
        <v>-4088.4114736710417</v>
      </c>
      <c r="Q374" s="62">
        <f t="shared" si="66"/>
        <v>-0.27221318141134221</v>
      </c>
      <c r="R374" s="62">
        <f t="shared" si="67"/>
        <v>16123.378344421544</v>
      </c>
      <c r="S374" s="62">
        <f t="shared" si="68"/>
        <v>23457.146750627577</v>
      </c>
      <c r="T374" s="62">
        <f t="shared" si="69"/>
        <v>23535.011525618087</v>
      </c>
      <c r="U374" s="62">
        <f t="shared" si="70"/>
        <v>23311.125697533942</v>
      </c>
      <c r="V374" s="62">
        <f t="shared" si="60"/>
        <v>1</v>
      </c>
      <c r="W374" s="62">
        <f t="shared" si="60"/>
        <v>0</v>
      </c>
      <c r="X374" s="62">
        <f t="shared" si="60"/>
        <v>0</v>
      </c>
      <c r="Y374" s="62">
        <f t="shared" si="60"/>
        <v>0</v>
      </c>
      <c r="AA374" s="94"/>
    </row>
    <row r="375" spans="2:27" x14ac:dyDescent="0.2">
      <c r="B375" s="94"/>
      <c r="C375" s="62">
        <v>336</v>
      </c>
      <c r="D375" s="62">
        <v>8294.1124268265012</v>
      </c>
      <c r="E375" s="62">
        <v>0.61776559914772344</v>
      </c>
      <c r="F375" s="62">
        <v>11919.626365994849</v>
      </c>
      <c r="G375" s="62">
        <v>0.8939752924005423</v>
      </c>
      <c r="H375" s="62">
        <v>11960.188368605308</v>
      </c>
      <c r="I375" s="62">
        <v>0.89746422566133899</v>
      </c>
      <c r="J375" s="62">
        <v>11869.287277926887</v>
      </c>
      <c r="K375" s="62">
        <v>0.88921443402517997</v>
      </c>
      <c r="L375" s="62">
        <f t="shared" si="61"/>
        <v>-3625.5139391683479</v>
      </c>
      <c r="M375" s="62">
        <f t="shared" si="62"/>
        <v>-0.27620969325281886</v>
      </c>
      <c r="N375" s="62">
        <f t="shared" si="63"/>
        <v>-3666.0759417788067</v>
      </c>
      <c r="O375" s="62">
        <f t="shared" si="64"/>
        <v>-0.27969862651361554</v>
      </c>
      <c r="P375" s="62">
        <f t="shared" si="65"/>
        <v>-3575.1748511003861</v>
      </c>
      <c r="Q375" s="62">
        <f t="shared" si="66"/>
        <v>-0.27144883487745652</v>
      </c>
      <c r="R375" s="62">
        <f t="shared" si="67"/>
        <v>17296.209752268795</v>
      </c>
      <c r="S375" s="62">
        <f t="shared" si="68"/>
        <v>25112.406146405217</v>
      </c>
      <c r="T375" s="62">
        <f t="shared" si="69"/>
        <v>25216.369715190001</v>
      </c>
      <c r="U375" s="62">
        <f t="shared" si="70"/>
        <v>24965.531437132166</v>
      </c>
      <c r="V375" s="62">
        <f t="shared" si="60"/>
        <v>1</v>
      </c>
      <c r="W375" s="62">
        <f t="shared" si="60"/>
        <v>0</v>
      </c>
      <c r="X375" s="62">
        <f t="shared" si="60"/>
        <v>0</v>
      </c>
      <c r="Y375" s="62">
        <f t="shared" si="60"/>
        <v>0</v>
      </c>
      <c r="AA375" s="94"/>
    </row>
    <row r="376" spans="2:27" x14ac:dyDescent="0.2">
      <c r="B376" s="94"/>
      <c r="C376" s="62">
        <v>337</v>
      </c>
      <c r="D376" s="62">
        <v>11318.058124970819</v>
      </c>
      <c r="E376" s="62">
        <v>0.61808715335904163</v>
      </c>
      <c r="F376" s="62">
        <v>16267.105313075801</v>
      </c>
      <c r="G376" s="62">
        <v>0.89409289413205173</v>
      </c>
      <c r="H376" s="62">
        <v>16313.849786751729</v>
      </c>
      <c r="I376" s="62">
        <v>0.89695241291516681</v>
      </c>
      <c r="J376" s="62">
        <v>16205.30179343541</v>
      </c>
      <c r="K376" s="62">
        <v>0.88970577548866647</v>
      </c>
      <c r="L376" s="62">
        <f t="shared" si="61"/>
        <v>-4949.0471881049816</v>
      </c>
      <c r="M376" s="62">
        <f t="shared" si="62"/>
        <v>-0.2760057407730101</v>
      </c>
      <c r="N376" s="62">
        <f t="shared" si="63"/>
        <v>-4995.7916617809096</v>
      </c>
      <c r="O376" s="62">
        <f t="shared" si="64"/>
        <v>-0.27886525955612518</v>
      </c>
      <c r="P376" s="62">
        <f t="shared" si="65"/>
        <v>-4887.2436684645909</v>
      </c>
      <c r="Q376" s="62">
        <f t="shared" si="66"/>
        <v>-0.27161862212962484</v>
      </c>
      <c r="R376" s="62">
        <f t="shared" si="67"/>
        <v>14285.58411577412</v>
      </c>
      <c r="S376" s="62">
        <f t="shared" si="68"/>
        <v>20769.798733450312</v>
      </c>
      <c r="T376" s="62">
        <f t="shared" si="69"/>
        <v>20841.506965846143</v>
      </c>
      <c r="U376" s="62">
        <f t="shared" si="70"/>
        <v>20649.870250407108</v>
      </c>
      <c r="V376" s="62">
        <f t="shared" si="60"/>
        <v>1</v>
      </c>
      <c r="W376" s="62">
        <f t="shared" si="60"/>
        <v>0</v>
      </c>
      <c r="X376" s="62">
        <f t="shared" si="60"/>
        <v>0</v>
      </c>
      <c r="Y376" s="62">
        <f t="shared" si="60"/>
        <v>0</v>
      </c>
      <c r="AA376" s="94"/>
    </row>
    <row r="377" spans="2:27" x14ac:dyDescent="0.2">
      <c r="B377" s="94"/>
      <c r="C377" s="62">
        <v>338</v>
      </c>
      <c r="D377" s="62">
        <v>9551.2926873400538</v>
      </c>
      <c r="E377" s="62">
        <v>0.61748062034890927</v>
      </c>
      <c r="F377" s="62">
        <v>13734.280765875843</v>
      </c>
      <c r="G377" s="62">
        <v>0.89437531935329073</v>
      </c>
      <c r="H377" s="62">
        <v>13774.882512765658</v>
      </c>
      <c r="I377" s="62">
        <v>0.89732426715162317</v>
      </c>
      <c r="J377" s="62">
        <v>13677.118868883457</v>
      </c>
      <c r="K377" s="62">
        <v>0.88954482071239316</v>
      </c>
      <c r="L377" s="62">
        <f t="shared" si="61"/>
        <v>-4182.9880785357891</v>
      </c>
      <c r="M377" s="62">
        <f t="shared" si="62"/>
        <v>-0.27689469900438146</v>
      </c>
      <c r="N377" s="62">
        <f t="shared" si="63"/>
        <v>-4223.5898254256044</v>
      </c>
      <c r="O377" s="62">
        <f t="shared" si="64"/>
        <v>-0.2798436468027139</v>
      </c>
      <c r="P377" s="62">
        <f t="shared" si="65"/>
        <v>-4125.8261815434034</v>
      </c>
      <c r="Q377" s="62">
        <f t="shared" si="66"/>
        <v>-0.27206420036348389</v>
      </c>
      <c r="R377" s="62">
        <f t="shared" si="67"/>
        <v>16027.224529993164</v>
      </c>
      <c r="S377" s="62">
        <f t="shared" si="68"/>
        <v>23314.322463014872</v>
      </c>
      <c r="T377" s="62">
        <f t="shared" si="69"/>
        <v>23395.877929723181</v>
      </c>
      <c r="U377" s="62">
        <f t="shared" si="70"/>
        <v>23171.385784306716</v>
      </c>
      <c r="V377" s="62">
        <f t="shared" si="60"/>
        <v>1</v>
      </c>
      <c r="W377" s="62">
        <f t="shared" si="60"/>
        <v>0</v>
      </c>
      <c r="X377" s="62">
        <f t="shared" si="60"/>
        <v>0</v>
      </c>
      <c r="Y377" s="62">
        <f t="shared" si="60"/>
        <v>0</v>
      </c>
      <c r="AA377" s="94"/>
    </row>
    <row r="378" spans="2:27" x14ac:dyDescent="0.2">
      <c r="B378" s="94"/>
      <c r="C378" s="62">
        <v>339</v>
      </c>
      <c r="D378" s="62">
        <v>8918.3230171331688</v>
      </c>
      <c r="E378" s="62">
        <v>0.61730160426517089</v>
      </c>
      <c r="F378" s="62">
        <v>12822.682782151343</v>
      </c>
      <c r="G378" s="62">
        <v>0.89394890500908109</v>
      </c>
      <c r="H378" s="62">
        <v>12871.733568832</v>
      </c>
      <c r="I378" s="62">
        <v>0.89782703291135502</v>
      </c>
      <c r="J378" s="62">
        <v>12778.900202693394</v>
      </c>
      <c r="K378" s="62">
        <v>0.88985048580785475</v>
      </c>
      <c r="L378" s="62">
        <f t="shared" si="61"/>
        <v>-3904.3597650181746</v>
      </c>
      <c r="M378" s="62">
        <f t="shared" si="62"/>
        <v>-0.2766473007439102</v>
      </c>
      <c r="N378" s="62">
        <f t="shared" si="63"/>
        <v>-3953.4105516988311</v>
      </c>
      <c r="O378" s="62">
        <f t="shared" si="64"/>
        <v>-0.28052542864618413</v>
      </c>
      <c r="P378" s="62">
        <f t="shared" si="65"/>
        <v>-3860.5771855602252</v>
      </c>
      <c r="Q378" s="62">
        <f t="shared" si="66"/>
        <v>-0.27254888154268386</v>
      </c>
      <c r="R378" s="62">
        <f t="shared" si="67"/>
        <v>16652.778637947267</v>
      </c>
      <c r="S378" s="62">
        <f t="shared" si="68"/>
        <v>24208.256658944832</v>
      </c>
      <c r="T378" s="62">
        <f t="shared" si="69"/>
        <v>24319.853442487969</v>
      </c>
      <c r="U378" s="62">
        <f t="shared" si="70"/>
        <v>24082.266321411182</v>
      </c>
      <c r="V378" s="62">
        <f t="shared" si="60"/>
        <v>1</v>
      </c>
      <c r="W378" s="62">
        <f t="shared" si="60"/>
        <v>0</v>
      </c>
      <c r="X378" s="62">
        <f t="shared" si="60"/>
        <v>0</v>
      </c>
      <c r="Y378" s="62">
        <f t="shared" si="60"/>
        <v>0</v>
      </c>
      <c r="AA378" s="94"/>
    </row>
    <row r="379" spans="2:27" x14ac:dyDescent="0.2">
      <c r="B379" s="94"/>
      <c r="C379" s="62">
        <v>340</v>
      </c>
      <c r="D379" s="62">
        <v>10145.114735620346</v>
      </c>
      <c r="E379" s="62">
        <v>0.61746451844051853</v>
      </c>
      <c r="F379" s="62">
        <v>14585.293330721575</v>
      </c>
      <c r="G379" s="62">
        <v>0.89382299705929424</v>
      </c>
      <c r="H379" s="62">
        <v>14638.365067934006</v>
      </c>
      <c r="I379" s="62">
        <v>0.89730414600271047</v>
      </c>
      <c r="J379" s="62">
        <v>14531.469481874183</v>
      </c>
      <c r="K379" s="62">
        <v>0.88939590777555444</v>
      </c>
      <c r="L379" s="62">
        <f t="shared" si="61"/>
        <v>-4440.1785951012298</v>
      </c>
      <c r="M379" s="62">
        <f t="shared" si="62"/>
        <v>-0.27635847861877572</v>
      </c>
      <c r="N379" s="62">
        <f t="shared" si="63"/>
        <v>-4493.2503323136607</v>
      </c>
      <c r="O379" s="62">
        <f t="shared" si="64"/>
        <v>-0.27983962756219194</v>
      </c>
      <c r="P379" s="62">
        <f t="shared" si="65"/>
        <v>-4386.3547462538372</v>
      </c>
      <c r="Q379" s="62">
        <f t="shared" si="66"/>
        <v>-0.27193138933503591</v>
      </c>
      <c r="R379" s="62">
        <f t="shared" si="67"/>
        <v>15432.735476259693</v>
      </c>
      <c r="S379" s="62">
        <f t="shared" si="68"/>
        <v>22440.430499462633</v>
      </c>
      <c r="T379" s="62">
        <f t="shared" si="69"/>
        <v>22531.561876082269</v>
      </c>
      <c r="U379" s="62">
        <f t="shared" si="70"/>
        <v>22310.86660182038</v>
      </c>
      <c r="V379" s="62">
        <f t="shared" si="60"/>
        <v>1</v>
      </c>
      <c r="W379" s="62">
        <f t="shared" si="60"/>
        <v>0</v>
      </c>
      <c r="X379" s="62">
        <f t="shared" si="60"/>
        <v>0</v>
      </c>
      <c r="Y379" s="62">
        <f t="shared" si="60"/>
        <v>0</v>
      </c>
      <c r="AA379" s="94"/>
    </row>
    <row r="380" spans="2:27" x14ac:dyDescent="0.2">
      <c r="B380" s="94"/>
      <c r="C380" s="62">
        <v>341</v>
      </c>
      <c r="D380" s="62">
        <v>12586.103872444422</v>
      </c>
      <c r="E380" s="62">
        <v>0.6178816508030176</v>
      </c>
      <c r="F380" s="62">
        <v>18113.830963411925</v>
      </c>
      <c r="G380" s="62">
        <v>0.894629133150176</v>
      </c>
      <c r="H380" s="62">
        <v>18159.467651466428</v>
      </c>
      <c r="I380" s="62">
        <v>0.89720111083613063</v>
      </c>
      <c r="J380" s="62">
        <v>18025.320447044101</v>
      </c>
      <c r="K380" s="62">
        <v>0.88919381036810208</v>
      </c>
      <c r="L380" s="62">
        <f t="shared" si="61"/>
        <v>-5527.7270909675026</v>
      </c>
      <c r="M380" s="62">
        <f t="shared" si="62"/>
        <v>-0.2767474823471584</v>
      </c>
      <c r="N380" s="62">
        <f t="shared" si="63"/>
        <v>-5573.3637790220055</v>
      </c>
      <c r="O380" s="62">
        <f t="shared" si="64"/>
        <v>-0.27931946003311303</v>
      </c>
      <c r="P380" s="62">
        <f t="shared" si="65"/>
        <v>-5439.216574599679</v>
      </c>
      <c r="Q380" s="62">
        <f t="shared" si="66"/>
        <v>-0.27131215956508448</v>
      </c>
      <c r="R380" s="62">
        <f t="shared" si="67"/>
        <v>13009.025630419779</v>
      </c>
      <c r="S380" s="62">
        <f t="shared" si="68"/>
        <v>18945.286248200962</v>
      </c>
      <c r="T380" s="62">
        <f t="shared" si="69"/>
        <v>19006.19116380945</v>
      </c>
      <c r="U380" s="62">
        <f t="shared" si="70"/>
        <v>18808.643953644158</v>
      </c>
      <c r="V380" s="62">
        <f t="shared" si="60"/>
        <v>1</v>
      </c>
      <c r="W380" s="62">
        <f t="shared" si="60"/>
        <v>0</v>
      </c>
      <c r="X380" s="62">
        <f t="shared" si="60"/>
        <v>0</v>
      </c>
      <c r="Y380" s="62">
        <f t="shared" si="60"/>
        <v>0</v>
      </c>
      <c r="AA380" s="94"/>
    </row>
    <row r="381" spans="2:27" x14ac:dyDescent="0.2">
      <c r="B381" s="94"/>
      <c r="C381" s="62">
        <v>342</v>
      </c>
      <c r="D381" s="62">
        <v>8653.8052414199774</v>
      </c>
      <c r="E381" s="62">
        <v>0.61781544377906827</v>
      </c>
      <c r="F381" s="62">
        <v>12441.006792852177</v>
      </c>
      <c r="G381" s="62">
        <v>0.89468220263533682</v>
      </c>
      <c r="H381" s="62">
        <v>12472.58108160319</v>
      </c>
      <c r="I381" s="62">
        <v>0.89726877517753612</v>
      </c>
      <c r="J381" s="62">
        <v>12376.880412882474</v>
      </c>
      <c r="K381" s="62">
        <v>0.8888908159419725</v>
      </c>
      <c r="L381" s="62">
        <f t="shared" si="61"/>
        <v>-3787.2015514321993</v>
      </c>
      <c r="M381" s="62">
        <f t="shared" si="62"/>
        <v>-0.27686675885626855</v>
      </c>
      <c r="N381" s="62">
        <f t="shared" si="63"/>
        <v>-3818.7758401832125</v>
      </c>
      <c r="O381" s="62">
        <f t="shared" si="64"/>
        <v>-0.27945333139846784</v>
      </c>
      <c r="P381" s="62">
        <f t="shared" si="65"/>
        <v>-3723.0751714624967</v>
      </c>
      <c r="Q381" s="62">
        <f t="shared" si="66"/>
        <v>-0.27107537216290423</v>
      </c>
      <c r="R381" s="62">
        <f t="shared" si="67"/>
        <v>16938.581701684147</v>
      </c>
      <c r="S381" s="62">
        <f t="shared" si="68"/>
        <v>24620.308769114017</v>
      </c>
      <c r="T381" s="62">
        <f t="shared" si="69"/>
        <v>24695.880661351068</v>
      </c>
      <c r="U381" s="62">
        <f t="shared" si="70"/>
        <v>24444.532746697794</v>
      </c>
      <c r="V381" s="62">
        <f t="shared" si="60"/>
        <v>1</v>
      </c>
      <c r="W381" s="62">
        <f t="shared" si="60"/>
        <v>0</v>
      </c>
      <c r="X381" s="62">
        <f t="shared" si="60"/>
        <v>0</v>
      </c>
      <c r="Y381" s="62">
        <f t="shared" si="60"/>
        <v>0</v>
      </c>
      <c r="AA381" s="94"/>
    </row>
    <row r="382" spans="2:27" x14ac:dyDescent="0.2">
      <c r="B382" s="94"/>
      <c r="C382" s="62">
        <v>343</v>
      </c>
      <c r="D382" s="62">
        <v>8555.2906242169665</v>
      </c>
      <c r="E382" s="62">
        <v>0.61766402207698157</v>
      </c>
      <c r="F382" s="62">
        <v>12285.584763163124</v>
      </c>
      <c r="G382" s="62">
        <v>0.89443084576475296</v>
      </c>
      <c r="H382" s="62">
        <v>12326.387337753946</v>
      </c>
      <c r="I382" s="62">
        <v>0.89790674498834755</v>
      </c>
      <c r="J382" s="62">
        <v>12229.582338874054</v>
      </c>
      <c r="K382" s="62">
        <v>0.88886919387657415</v>
      </c>
      <c r="L382" s="62">
        <f t="shared" si="61"/>
        <v>-3730.2941389461575</v>
      </c>
      <c r="M382" s="62">
        <f t="shared" si="62"/>
        <v>-0.27676682368777139</v>
      </c>
      <c r="N382" s="62">
        <f t="shared" si="63"/>
        <v>-3771.0967135369792</v>
      </c>
      <c r="O382" s="62">
        <f t="shared" si="64"/>
        <v>-0.28024272291136598</v>
      </c>
      <c r="P382" s="62">
        <f t="shared" si="65"/>
        <v>-3674.2917146570871</v>
      </c>
      <c r="Q382" s="62">
        <f t="shared" si="66"/>
        <v>-0.27120517179959258</v>
      </c>
      <c r="R382" s="62">
        <f t="shared" si="67"/>
        <v>17030.823826299918</v>
      </c>
      <c r="S382" s="62">
        <f t="shared" si="68"/>
        <v>24765.318591796</v>
      </c>
      <c r="T382" s="62">
        <f t="shared" si="69"/>
        <v>24868.501666643362</v>
      </c>
      <c r="U382" s="62">
        <f t="shared" si="70"/>
        <v>24590.935148269156</v>
      </c>
      <c r="V382" s="62">
        <f t="shared" si="60"/>
        <v>1</v>
      </c>
      <c r="W382" s="62">
        <f t="shared" si="60"/>
        <v>0</v>
      </c>
      <c r="X382" s="62">
        <f t="shared" si="60"/>
        <v>0</v>
      </c>
      <c r="Y382" s="62">
        <f t="shared" si="60"/>
        <v>0</v>
      </c>
      <c r="AA382" s="94"/>
    </row>
    <row r="383" spans="2:27" x14ac:dyDescent="0.2">
      <c r="B383" s="94"/>
      <c r="C383" s="62">
        <v>344</v>
      </c>
      <c r="D383" s="62">
        <v>11682.71565637618</v>
      </c>
      <c r="E383" s="62">
        <v>0.6171981682668819</v>
      </c>
      <c r="F383" s="62">
        <v>16817.123390060722</v>
      </c>
      <c r="G383" s="62">
        <v>0.89425555366578913</v>
      </c>
      <c r="H383" s="62">
        <v>16871.120957970452</v>
      </c>
      <c r="I383" s="62">
        <v>0.89753544649806849</v>
      </c>
      <c r="J383" s="62">
        <v>16747.425414801881</v>
      </c>
      <c r="K383" s="62">
        <v>0.88944150320795978</v>
      </c>
      <c r="L383" s="62">
        <f t="shared" si="61"/>
        <v>-5134.4077336845421</v>
      </c>
      <c r="M383" s="62">
        <f t="shared" si="62"/>
        <v>-0.27705738539890723</v>
      </c>
      <c r="N383" s="62">
        <f t="shared" si="63"/>
        <v>-5188.4053015942718</v>
      </c>
      <c r="O383" s="62">
        <f t="shared" si="64"/>
        <v>-0.28033727823118659</v>
      </c>
      <c r="P383" s="62">
        <f t="shared" si="65"/>
        <v>-5064.7097584257008</v>
      </c>
      <c r="Q383" s="62">
        <f t="shared" si="66"/>
        <v>-0.27224333494107789</v>
      </c>
      <c r="R383" s="62">
        <f t="shared" si="67"/>
        <v>13884.101265911135</v>
      </c>
      <c r="S383" s="62">
        <f t="shared" si="68"/>
        <v>20226.518664990926</v>
      </c>
      <c r="T383" s="62">
        <f t="shared" si="69"/>
        <v>20308.387377765539</v>
      </c>
      <c r="U383" s="62">
        <f t="shared" si="70"/>
        <v>20096.799414084642</v>
      </c>
      <c r="V383" s="62">
        <f t="shared" si="60"/>
        <v>1</v>
      </c>
      <c r="W383" s="62">
        <f t="shared" si="60"/>
        <v>0</v>
      </c>
      <c r="X383" s="62">
        <f t="shared" si="60"/>
        <v>0</v>
      </c>
      <c r="Y383" s="62">
        <f t="shared" si="60"/>
        <v>0</v>
      </c>
      <c r="AA383" s="94"/>
    </row>
    <row r="384" spans="2:27" x14ac:dyDescent="0.2">
      <c r="B384" s="94"/>
      <c r="C384" s="62">
        <v>345</v>
      </c>
      <c r="D384" s="62">
        <v>10336.695666050524</v>
      </c>
      <c r="E384" s="62">
        <v>0.61786264719236739</v>
      </c>
      <c r="F384" s="62">
        <v>14867.134603376016</v>
      </c>
      <c r="G384" s="62">
        <v>0.89438397663105462</v>
      </c>
      <c r="H384" s="62">
        <v>14909.957477959952</v>
      </c>
      <c r="I384" s="62">
        <v>0.89722374675463745</v>
      </c>
      <c r="J384" s="62">
        <v>14790.259339081356</v>
      </c>
      <c r="K384" s="62">
        <v>0.88864321734590734</v>
      </c>
      <c r="L384" s="62">
        <f t="shared" si="61"/>
        <v>-4530.4389373254926</v>
      </c>
      <c r="M384" s="62">
        <f t="shared" si="62"/>
        <v>-0.27652132943868724</v>
      </c>
      <c r="N384" s="62">
        <f t="shared" si="63"/>
        <v>-4573.2618119094277</v>
      </c>
      <c r="O384" s="62">
        <f t="shared" si="64"/>
        <v>-0.27936109956227007</v>
      </c>
      <c r="P384" s="62">
        <f t="shared" si="65"/>
        <v>-4453.5636730308324</v>
      </c>
      <c r="Q384" s="62">
        <f t="shared" si="66"/>
        <v>-0.27078057015353996</v>
      </c>
      <c r="R384" s="62">
        <f t="shared" si="67"/>
        <v>15257.646631246102</v>
      </c>
      <c r="S384" s="62">
        <f t="shared" si="68"/>
        <v>22181.827244588789</v>
      </c>
      <c r="T384" s="62">
        <f t="shared" si="69"/>
        <v>22256.63900760415</v>
      </c>
      <c r="U384" s="62">
        <f t="shared" si="70"/>
        <v>22020.897296255513</v>
      </c>
      <c r="V384" s="62">
        <f t="shared" si="60"/>
        <v>1</v>
      </c>
      <c r="W384" s="62">
        <f t="shared" si="60"/>
        <v>0</v>
      </c>
      <c r="X384" s="62">
        <f t="shared" si="60"/>
        <v>0</v>
      </c>
      <c r="Y384" s="62">
        <f t="shared" si="60"/>
        <v>0</v>
      </c>
      <c r="AA384" s="94"/>
    </row>
    <row r="385" spans="2:27" x14ac:dyDescent="0.2">
      <c r="B385" s="94"/>
      <c r="C385" s="62">
        <v>346</v>
      </c>
      <c r="D385" s="62">
        <v>10510.29046443767</v>
      </c>
      <c r="E385" s="62">
        <v>0.61756261454352002</v>
      </c>
      <c r="F385" s="62">
        <v>15107.227090402406</v>
      </c>
      <c r="G385" s="62">
        <v>0.8939357732999611</v>
      </c>
      <c r="H385" s="62">
        <v>15161.883672993774</v>
      </c>
      <c r="I385" s="62">
        <v>0.89749600771126137</v>
      </c>
      <c r="J385" s="62">
        <v>15044.646477527825</v>
      </c>
      <c r="K385" s="62">
        <v>0.88899633067886097</v>
      </c>
      <c r="L385" s="62">
        <f t="shared" si="61"/>
        <v>-4596.9366259647359</v>
      </c>
      <c r="M385" s="62">
        <f t="shared" si="62"/>
        <v>-0.27637315875644108</v>
      </c>
      <c r="N385" s="62">
        <f t="shared" si="63"/>
        <v>-4651.5932085561035</v>
      </c>
      <c r="O385" s="62">
        <f t="shared" si="64"/>
        <v>-0.27993339316774135</v>
      </c>
      <c r="P385" s="62">
        <f t="shared" si="65"/>
        <v>-4534.3560130901551</v>
      </c>
      <c r="Q385" s="62">
        <f t="shared" si="66"/>
        <v>-0.27143371613534095</v>
      </c>
      <c r="R385" s="62">
        <f t="shared" si="67"/>
        <v>15071.623280413101</v>
      </c>
      <c r="S385" s="62">
        <f t="shared" si="68"/>
        <v>21923.168382775184</v>
      </c>
      <c r="T385" s="62">
        <f t="shared" si="69"/>
        <v>22015.990950437517</v>
      </c>
      <c r="U385" s="62">
        <f t="shared" si="70"/>
        <v>21781.137524513313</v>
      </c>
      <c r="V385" s="62">
        <f t="shared" si="60"/>
        <v>1</v>
      </c>
      <c r="W385" s="62">
        <f t="shared" si="60"/>
        <v>0</v>
      </c>
      <c r="X385" s="62">
        <f t="shared" si="60"/>
        <v>0</v>
      </c>
      <c r="Y385" s="62">
        <f t="shared" si="60"/>
        <v>0</v>
      </c>
      <c r="AA385" s="94"/>
    </row>
    <row r="386" spans="2:27" x14ac:dyDescent="0.2">
      <c r="B386" s="94"/>
      <c r="C386" s="62">
        <v>347</v>
      </c>
      <c r="D386" s="62">
        <v>13240.147280931333</v>
      </c>
      <c r="E386" s="62">
        <v>0.61827093602399574</v>
      </c>
      <c r="F386" s="62">
        <v>19043.601947834541</v>
      </c>
      <c r="G386" s="62">
        <v>0.89414273614435791</v>
      </c>
      <c r="H386" s="62">
        <v>19086.945151594216</v>
      </c>
      <c r="I386" s="62">
        <v>0.89642639423827664</v>
      </c>
      <c r="J386" s="62">
        <v>18959.014342105849</v>
      </c>
      <c r="K386" s="62">
        <v>0.8892932716732842</v>
      </c>
      <c r="L386" s="62">
        <f t="shared" si="61"/>
        <v>-5803.4546669032079</v>
      </c>
      <c r="M386" s="62">
        <f t="shared" si="62"/>
        <v>-0.27587180012036217</v>
      </c>
      <c r="N386" s="62">
        <f t="shared" si="63"/>
        <v>-5846.7978706628837</v>
      </c>
      <c r="O386" s="62">
        <f t="shared" si="64"/>
        <v>-0.27815545821428089</v>
      </c>
      <c r="P386" s="62">
        <f t="shared" si="65"/>
        <v>-5718.8670611745165</v>
      </c>
      <c r="Q386" s="62">
        <f t="shared" si="66"/>
        <v>-0.27102233564928846</v>
      </c>
      <c r="R386" s="62">
        <f t="shared" si="67"/>
        <v>12371.107972926666</v>
      </c>
      <c r="S386" s="62">
        <f t="shared" si="68"/>
        <v>17995.366754209339</v>
      </c>
      <c r="T386" s="62">
        <f t="shared" si="69"/>
        <v>18046.621803332153</v>
      </c>
      <c r="U386" s="62">
        <f t="shared" si="70"/>
        <v>17879.070143688277</v>
      </c>
      <c r="V386" s="62">
        <f t="shared" si="60"/>
        <v>1</v>
      </c>
      <c r="W386" s="62">
        <f t="shared" si="60"/>
        <v>0</v>
      </c>
      <c r="X386" s="62">
        <f t="shared" si="60"/>
        <v>0</v>
      </c>
      <c r="Y386" s="62">
        <f t="shared" si="60"/>
        <v>0</v>
      </c>
      <c r="AA386" s="94"/>
    </row>
    <row r="387" spans="2:27" x14ac:dyDescent="0.2">
      <c r="B387" s="94"/>
      <c r="C387" s="62">
        <v>348</v>
      </c>
      <c r="D387" s="62">
        <v>8263.1744107936593</v>
      </c>
      <c r="E387" s="62">
        <v>0.61761855866424353</v>
      </c>
      <c r="F387" s="62">
        <v>11870.518266946912</v>
      </c>
      <c r="G387" s="62">
        <v>0.89399853167379095</v>
      </c>
      <c r="H387" s="62">
        <v>11902.996885242053</v>
      </c>
      <c r="I387" s="62">
        <v>0.89686913269372659</v>
      </c>
      <c r="J387" s="62">
        <v>11826.000499866721</v>
      </c>
      <c r="K387" s="62">
        <v>0.88952301929753352</v>
      </c>
      <c r="L387" s="62">
        <f t="shared" si="61"/>
        <v>-3607.343856153253</v>
      </c>
      <c r="M387" s="62">
        <f t="shared" si="62"/>
        <v>-0.27637997300954742</v>
      </c>
      <c r="N387" s="62">
        <f t="shared" si="63"/>
        <v>-3639.8224744483941</v>
      </c>
      <c r="O387" s="62">
        <f t="shared" si="64"/>
        <v>-0.27925057402948306</v>
      </c>
      <c r="P387" s="62">
        <f t="shared" si="65"/>
        <v>-3562.8260890730617</v>
      </c>
      <c r="Q387" s="62">
        <f t="shared" si="66"/>
        <v>-0.27190446063328999</v>
      </c>
      <c r="R387" s="62">
        <f t="shared" si="67"/>
        <v>17321.056763313965</v>
      </c>
      <c r="S387" s="62">
        <f t="shared" si="68"/>
        <v>25162.476909108205</v>
      </c>
      <c r="T387" s="62">
        <f t="shared" si="69"/>
        <v>25248.910067462875</v>
      </c>
      <c r="U387" s="62">
        <f t="shared" si="70"/>
        <v>25021.601051514306</v>
      </c>
      <c r="V387" s="62">
        <f t="shared" si="60"/>
        <v>1</v>
      </c>
      <c r="W387" s="62">
        <f t="shared" si="60"/>
        <v>0</v>
      </c>
      <c r="X387" s="62">
        <f t="shared" si="60"/>
        <v>0</v>
      </c>
      <c r="Y387" s="62">
        <f t="shared" si="60"/>
        <v>0</v>
      </c>
      <c r="AA387" s="94"/>
    </row>
    <row r="388" spans="2:27" x14ac:dyDescent="0.2">
      <c r="B388" s="94"/>
      <c r="C388" s="62">
        <v>349</v>
      </c>
      <c r="D388" s="62">
        <v>10615.166220544255</v>
      </c>
      <c r="E388" s="62">
        <v>0.61790392447910802</v>
      </c>
      <c r="F388" s="62">
        <v>15260.176649696776</v>
      </c>
      <c r="G388" s="62">
        <v>0.89427718628554453</v>
      </c>
      <c r="H388" s="62">
        <v>15316.444850772194</v>
      </c>
      <c r="I388" s="62">
        <v>0.89795214112253319</v>
      </c>
      <c r="J388" s="62">
        <v>15210.185814688413</v>
      </c>
      <c r="K388" s="62">
        <v>0.89035124952066635</v>
      </c>
      <c r="L388" s="62">
        <f t="shared" si="61"/>
        <v>-4645.0104291525204</v>
      </c>
      <c r="M388" s="62">
        <f t="shared" si="62"/>
        <v>-0.27637326180643651</v>
      </c>
      <c r="N388" s="62">
        <f t="shared" si="63"/>
        <v>-4701.2786302279383</v>
      </c>
      <c r="O388" s="62">
        <f t="shared" si="64"/>
        <v>-0.28004821664342516</v>
      </c>
      <c r="P388" s="62">
        <f t="shared" si="65"/>
        <v>-4595.019594144158</v>
      </c>
      <c r="Q388" s="62">
        <f t="shared" si="66"/>
        <v>-0.27244732504155833</v>
      </c>
      <c r="R388" s="62">
        <f t="shared" si="67"/>
        <v>14980.885947078317</v>
      </c>
      <c r="S388" s="62">
        <f t="shared" si="68"/>
        <v>21784.361514995624</v>
      </c>
      <c r="T388" s="62">
        <f t="shared" si="69"/>
        <v>21880.324643087621</v>
      </c>
      <c r="U388" s="62">
        <f t="shared" si="70"/>
        <v>21671.724345455674</v>
      </c>
      <c r="V388" s="62">
        <f t="shared" si="60"/>
        <v>1</v>
      </c>
      <c r="W388" s="62">
        <f t="shared" si="60"/>
        <v>0</v>
      </c>
      <c r="X388" s="62">
        <f t="shared" si="60"/>
        <v>0</v>
      </c>
      <c r="Y388" s="62">
        <f t="shared" si="60"/>
        <v>0</v>
      </c>
      <c r="AA388" s="94"/>
    </row>
    <row r="389" spans="2:27" x14ac:dyDescent="0.2">
      <c r="B389" s="94"/>
      <c r="C389" s="62">
        <v>350</v>
      </c>
      <c r="D389" s="62">
        <v>9528.5904324984003</v>
      </c>
      <c r="E389" s="62">
        <v>0.6173605047761791</v>
      </c>
      <c r="F389" s="62">
        <v>13697.434403755211</v>
      </c>
      <c r="G389" s="62">
        <v>0.89401789752334571</v>
      </c>
      <c r="H389" s="62">
        <v>13735.078266992739</v>
      </c>
      <c r="I389" s="62">
        <v>0.8968755200487446</v>
      </c>
      <c r="J389" s="62">
        <v>13641.723159840574</v>
      </c>
      <c r="K389" s="62">
        <v>0.88916110284075767</v>
      </c>
      <c r="L389" s="62">
        <f t="shared" si="61"/>
        <v>-4168.8439712568106</v>
      </c>
      <c r="M389" s="62">
        <f t="shared" si="62"/>
        <v>-0.27665739274716661</v>
      </c>
      <c r="N389" s="62">
        <f t="shared" si="63"/>
        <v>-4206.487834494339</v>
      </c>
      <c r="O389" s="62">
        <f t="shared" si="64"/>
        <v>-0.2795150152725655</v>
      </c>
      <c r="P389" s="62">
        <f t="shared" si="65"/>
        <v>-4113.1327273421739</v>
      </c>
      <c r="Q389" s="62">
        <f t="shared" si="66"/>
        <v>-0.27180059806457857</v>
      </c>
      <c r="R389" s="62">
        <f t="shared" si="67"/>
        <v>16044.951117350043</v>
      </c>
      <c r="S389" s="62">
        <f t="shared" si="68"/>
        <v>23336.36298325186</v>
      </c>
      <c r="T389" s="62">
        <f t="shared" si="69"/>
        <v>23417.09327550646</v>
      </c>
      <c r="U389" s="62">
        <f t="shared" si="70"/>
        <v>23190.886364234972</v>
      </c>
      <c r="V389" s="62">
        <f t="shared" si="60"/>
        <v>1</v>
      </c>
      <c r="W389" s="62">
        <f t="shared" si="60"/>
        <v>0</v>
      </c>
      <c r="X389" s="62">
        <f t="shared" si="60"/>
        <v>0</v>
      </c>
      <c r="Y389" s="62">
        <f t="shared" si="60"/>
        <v>0</v>
      </c>
      <c r="AA389" s="94"/>
    </row>
    <row r="390" spans="2:27" x14ac:dyDescent="0.2">
      <c r="B390" s="94"/>
      <c r="C390" s="62">
        <v>351</v>
      </c>
      <c r="D390" s="62">
        <v>10582.180545962963</v>
      </c>
      <c r="E390" s="62">
        <v>0.61761259980039818</v>
      </c>
      <c r="F390" s="62">
        <v>15219.53559594089</v>
      </c>
      <c r="G390" s="62">
        <v>0.89381305089429808</v>
      </c>
      <c r="H390" s="62">
        <v>15272.569834869562</v>
      </c>
      <c r="I390" s="62">
        <v>0.89722344733468906</v>
      </c>
      <c r="J390" s="62">
        <v>15158.20588135347</v>
      </c>
      <c r="K390" s="62">
        <v>0.88922826884334061</v>
      </c>
      <c r="L390" s="62">
        <f t="shared" si="61"/>
        <v>-4637.3550499779267</v>
      </c>
      <c r="M390" s="62">
        <f t="shared" si="62"/>
        <v>-0.2762004510938999</v>
      </c>
      <c r="N390" s="62">
        <f t="shared" si="63"/>
        <v>-4690.3892889065992</v>
      </c>
      <c r="O390" s="62">
        <f t="shared" si="64"/>
        <v>-0.27961084753429089</v>
      </c>
      <c r="P390" s="62">
        <f t="shared" si="65"/>
        <v>-4576.0253353905064</v>
      </c>
      <c r="Q390" s="62">
        <f t="shared" si="66"/>
        <v>-0.27161566904294243</v>
      </c>
      <c r="R390" s="62">
        <f t="shared" si="67"/>
        <v>15001.803788168732</v>
      </c>
      <c r="S390" s="62">
        <f t="shared" si="68"/>
        <v>21805.776224304514</v>
      </c>
      <c r="T390" s="62">
        <f t="shared" si="69"/>
        <v>21894.014247522598</v>
      </c>
      <c r="U390" s="62">
        <f t="shared" si="70"/>
        <v>21677.185927213075</v>
      </c>
      <c r="V390" s="62">
        <f t="shared" si="60"/>
        <v>1</v>
      </c>
      <c r="W390" s="62">
        <f t="shared" si="60"/>
        <v>0</v>
      </c>
      <c r="X390" s="62">
        <f t="shared" si="60"/>
        <v>0</v>
      </c>
      <c r="Y390" s="62">
        <f t="shared" si="60"/>
        <v>0</v>
      </c>
      <c r="AA390" s="94"/>
    </row>
    <row r="391" spans="2:27" x14ac:dyDescent="0.2">
      <c r="B391" s="94"/>
      <c r="C391" s="62">
        <v>352</v>
      </c>
      <c r="D391" s="62">
        <v>9220.9479504688807</v>
      </c>
      <c r="E391" s="62">
        <v>0.61777224449164891</v>
      </c>
      <c r="F391" s="62">
        <v>13257.259386277403</v>
      </c>
      <c r="G391" s="62">
        <v>0.89436323967912168</v>
      </c>
      <c r="H391" s="62">
        <v>13295.341561655832</v>
      </c>
      <c r="I391" s="62">
        <v>0.89729702275298984</v>
      </c>
      <c r="J391" s="62">
        <v>13199.456198330117</v>
      </c>
      <c r="K391" s="62">
        <v>0.88951956072203231</v>
      </c>
      <c r="L391" s="62">
        <f t="shared" si="61"/>
        <v>-4036.3114358085222</v>
      </c>
      <c r="M391" s="62">
        <f t="shared" si="62"/>
        <v>-0.27659099518747277</v>
      </c>
      <c r="N391" s="62">
        <f t="shared" si="63"/>
        <v>-4074.3936111869516</v>
      </c>
      <c r="O391" s="62">
        <f t="shared" si="64"/>
        <v>-0.27952477826134092</v>
      </c>
      <c r="P391" s="62">
        <f t="shared" si="65"/>
        <v>-3978.5082478612367</v>
      </c>
      <c r="Q391" s="62">
        <f t="shared" si="66"/>
        <v>-0.2717473162303834</v>
      </c>
      <c r="R391" s="62">
        <f t="shared" si="67"/>
        <v>16369.649505353185</v>
      </c>
      <c r="S391" s="62">
        <f t="shared" si="68"/>
        <v>23790.843454190537</v>
      </c>
      <c r="T391" s="62">
        <f t="shared" si="69"/>
        <v>23874.290308864016</v>
      </c>
      <c r="U391" s="62">
        <f t="shared" si="70"/>
        <v>23648.002085019347</v>
      </c>
      <c r="V391" s="62">
        <f t="shared" si="60"/>
        <v>1</v>
      </c>
      <c r="W391" s="62">
        <f t="shared" si="60"/>
        <v>0</v>
      </c>
      <c r="X391" s="62">
        <f t="shared" si="60"/>
        <v>0</v>
      </c>
      <c r="Y391" s="62">
        <f t="shared" si="60"/>
        <v>0</v>
      </c>
      <c r="AA391" s="94"/>
    </row>
    <row r="392" spans="2:27" x14ac:dyDescent="0.2">
      <c r="B392" s="94"/>
      <c r="C392" s="62">
        <v>353</v>
      </c>
      <c r="D392" s="62">
        <v>8050.886987645682</v>
      </c>
      <c r="E392" s="62">
        <v>0.6178342181103339</v>
      </c>
      <c r="F392" s="62">
        <v>11567.987445761633</v>
      </c>
      <c r="G392" s="62">
        <v>0.89438017165771255</v>
      </c>
      <c r="H392" s="62">
        <v>11609.089359565254</v>
      </c>
      <c r="I392" s="62">
        <v>0.89801385344241969</v>
      </c>
      <c r="J392" s="62">
        <v>11523.043550380686</v>
      </c>
      <c r="K392" s="62">
        <v>0.88968320455003946</v>
      </c>
      <c r="L392" s="62">
        <f t="shared" si="61"/>
        <v>-3517.1004581159514</v>
      </c>
      <c r="M392" s="62">
        <f t="shared" si="62"/>
        <v>-0.27654595354737865</v>
      </c>
      <c r="N392" s="62">
        <f t="shared" si="63"/>
        <v>-3558.2023719195722</v>
      </c>
      <c r="O392" s="62">
        <f t="shared" si="64"/>
        <v>-0.28017963533208579</v>
      </c>
      <c r="P392" s="62">
        <f t="shared" si="65"/>
        <v>-3472.1565627350037</v>
      </c>
      <c r="Q392" s="62">
        <f t="shared" si="66"/>
        <v>-0.27184898643970556</v>
      </c>
      <c r="R392" s="62">
        <f t="shared" si="67"/>
        <v>17542.277663356792</v>
      </c>
      <c r="S392" s="62">
        <f t="shared" si="68"/>
        <v>25480.816784987452</v>
      </c>
      <c r="T392" s="62">
        <f t="shared" si="69"/>
        <v>25590.236505433539</v>
      </c>
      <c r="U392" s="62">
        <f t="shared" si="70"/>
        <v>25331.193514900144</v>
      </c>
      <c r="V392" s="62">
        <f t="shared" si="60"/>
        <v>1</v>
      </c>
      <c r="W392" s="62">
        <f t="shared" si="60"/>
        <v>0</v>
      </c>
      <c r="X392" s="62">
        <f t="shared" si="60"/>
        <v>0</v>
      </c>
      <c r="Y392" s="62">
        <f t="shared" si="60"/>
        <v>0</v>
      </c>
      <c r="AA392" s="94"/>
    </row>
    <row r="393" spans="2:27" x14ac:dyDescent="0.2">
      <c r="B393" s="94"/>
      <c r="C393" s="62">
        <v>354</v>
      </c>
      <c r="D393" s="62">
        <v>11821.832487158914</v>
      </c>
      <c r="E393" s="62">
        <v>0.61783610832970748</v>
      </c>
      <c r="F393" s="62">
        <v>17005.435474674992</v>
      </c>
      <c r="G393" s="62">
        <v>0.89438300026823292</v>
      </c>
      <c r="H393" s="62">
        <v>17068.135828554248</v>
      </c>
      <c r="I393" s="62">
        <v>0.89801775593480826</v>
      </c>
      <c r="J393" s="62">
        <v>16934.086426363872</v>
      </c>
      <c r="K393" s="62">
        <v>0.88953766685810021</v>
      </c>
      <c r="L393" s="62">
        <f t="shared" si="61"/>
        <v>-5183.6029875160784</v>
      </c>
      <c r="M393" s="62">
        <f t="shared" si="62"/>
        <v>-0.27654689193852544</v>
      </c>
      <c r="N393" s="62">
        <f t="shared" si="63"/>
        <v>-5246.3033413953344</v>
      </c>
      <c r="O393" s="62">
        <f t="shared" si="64"/>
        <v>-0.28018164760510078</v>
      </c>
      <c r="P393" s="62">
        <f t="shared" si="65"/>
        <v>-5112.2539392049584</v>
      </c>
      <c r="Q393" s="62">
        <f t="shared" si="66"/>
        <v>-0.27170155852839273</v>
      </c>
      <c r="R393" s="62">
        <f t="shared" si="67"/>
        <v>13771.41046429089</v>
      </c>
      <c r="S393" s="62">
        <f t="shared" si="68"/>
        <v>20043.485928436286</v>
      </c>
      <c r="T393" s="62">
        <f t="shared" si="69"/>
        <v>20131.351693289249</v>
      </c>
      <c r="U393" s="62">
        <f t="shared" si="70"/>
        <v>19914.12188556607</v>
      </c>
      <c r="V393" s="62">
        <f t="shared" si="60"/>
        <v>1</v>
      </c>
      <c r="W393" s="62">
        <f t="shared" si="60"/>
        <v>0</v>
      </c>
      <c r="X393" s="62">
        <f t="shared" si="60"/>
        <v>0</v>
      </c>
      <c r="Y393" s="62">
        <f t="shared" si="60"/>
        <v>0</v>
      </c>
      <c r="AA393" s="94"/>
    </row>
    <row r="394" spans="2:27" x14ac:dyDescent="0.2">
      <c r="B394" s="94"/>
      <c r="C394" s="62">
        <v>355</v>
      </c>
      <c r="D394" s="62">
        <v>9800.7149699826132</v>
      </c>
      <c r="E394" s="62">
        <v>0.61772376858688127</v>
      </c>
      <c r="F394" s="62">
        <v>14084.559992010012</v>
      </c>
      <c r="G394" s="62">
        <v>0.89433718098574799</v>
      </c>
      <c r="H394" s="62">
        <v>14112.904481043472</v>
      </c>
      <c r="I394" s="62">
        <v>0.89646764886706509</v>
      </c>
      <c r="J394" s="62">
        <v>14025.011369925111</v>
      </c>
      <c r="K394" s="62">
        <v>0.88928647591118737</v>
      </c>
      <c r="L394" s="62">
        <f t="shared" si="61"/>
        <v>-4283.845022027399</v>
      </c>
      <c r="M394" s="62">
        <f t="shared" si="62"/>
        <v>-0.27661341239886672</v>
      </c>
      <c r="N394" s="62">
        <f t="shared" si="63"/>
        <v>-4312.1895110608584</v>
      </c>
      <c r="O394" s="62">
        <f t="shared" si="64"/>
        <v>-0.27874388028018382</v>
      </c>
      <c r="P394" s="62">
        <f t="shared" si="65"/>
        <v>-4224.2963999424974</v>
      </c>
      <c r="Q394" s="62">
        <f t="shared" si="66"/>
        <v>-0.2715627073243061</v>
      </c>
      <c r="R394" s="62">
        <f t="shared" si="67"/>
        <v>15787.874419960355</v>
      </c>
      <c r="S394" s="62">
        <f t="shared" si="68"/>
        <v>22962.463393143611</v>
      </c>
      <c r="T394" s="62">
        <f t="shared" si="69"/>
        <v>23022.371405625832</v>
      </c>
      <c r="U394" s="62">
        <f t="shared" si="70"/>
        <v>22812.791608219915</v>
      </c>
      <c r="V394" s="62">
        <f t="shared" si="60"/>
        <v>1</v>
      </c>
      <c r="W394" s="62">
        <f t="shared" si="60"/>
        <v>0</v>
      </c>
      <c r="X394" s="62">
        <f t="shared" si="60"/>
        <v>0</v>
      </c>
      <c r="Y394" s="62">
        <f t="shared" si="60"/>
        <v>0</v>
      </c>
      <c r="AA394" s="94"/>
    </row>
    <row r="395" spans="2:27" x14ac:dyDescent="0.2">
      <c r="B395" s="94"/>
      <c r="C395" s="62">
        <v>356</v>
      </c>
      <c r="D395" s="62">
        <v>9461.2989668942701</v>
      </c>
      <c r="E395" s="62">
        <v>0.61762892449443652</v>
      </c>
      <c r="F395" s="62">
        <v>13595.584439213664</v>
      </c>
      <c r="G395" s="62">
        <v>0.89390103923350717</v>
      </c>
      <c r="H395" s="62">
        <v>13644.53641725094</v>
      </c>
      <c r="I395" s="62">
        <v>0.8974236166372731</v>
      </c>
      <c r="J395" s="62">
        <v>13543.756003773471</v>
      </c>
      <c r="K395" s="62">
        <v>0.88933006312033702</v>
      </c>
      <c r="L395" s="62">
        <f t="shared" si="61"/>
        <v>-4134.2854723193941</v>
      </c>
      <c r="M395" s="62">
        <f t="shared" si="62"/>
        <v>-0.27627211473907065</v>
      </c>
      <c r="N395" s="62">
        <f t="shared" si="63"/>
        <v>-4183.2374503566698</v>
      </c>
      <c r="O395" s="62">
        <f t="shared" si="64"/>
        <v>-0.27979469214283659</v>
      </c>
      <c r="P395" s="62">
        <f t="shared" si="65"/>
        <v>-4082.457036879201</v>
      </c>
      <c r="Q395" s="62">
        <f t="shared" si="66"/>
        <v>-0.27170113862590051</v>
      </c>
      <c r="R395" s="62">
        <f t="shared" si="67"/>
        <v>16123.361601363269</v>
      </c>
      <c r="S395" s="62">
        <f t="shared" si="68"/>
        <v>23433.372209995134</v>
      </c>
      <c r="T395" s="62">
        <f t="shared" si="69"/>
        <v>23530.339478331462</v>
      </c>
      <c r="U395" s="62">
        <f t="shared" si="70"/>
        <v>23295.852530923366</v>
      </c>
      <c r="V395" s="62">
        <f t="shared" si="60"/>
        <v>1</v>
      </c>
      <c r="W395" s="62">
        <f t="shared" si="60"/>
        <v>0</v>
      </c>
      <c r="X395" s="62">
        <f t="shared" si="60"/>
        <v>0</v>
      </c>
      <c r="Y395" s="62">
        <f t="shared" si="60"/>
        <v>0</v>
      </c>
      <c r="AA395" s="94"/>
    </row>
    <row r="396" spans="2:27" x14ac:dyDescent="0.2">
      <c r="B396" s="94"/>
      <c r="C396" s="62">
        <v>357</v>
      </c>
      <c r="D396" s="62">
        <v>8375.6057721697089</v>
      </c>
      <c r="E396" s="62">
        <v>0.61775279861607546</v>
      </c>
      <c r="F396" s="62">
        <v>12030.457938608537</v>
      </c>
      <c r="G396" s="62">
        <v>0.89408091895437103</v>
      </c>
      <c r="H396" s="62">
        <v>12067.957429333304</v>
      </c>
      <c r="I396" s="62">
        <v>0.89715322376293116</v>
      </c>
      <c r="J396" s="62">
        <v>11982.894310863589</v>
      </c>
      <c r="K396" s="62">
        <v>0.88928098623066965</v>
      </c>
      <c r="L396" s="62">
        <f t="shared" si="61"/>
        <v>-3654.8521664388281</v>
      </c>
      <c r="M396" s="62">
        <f t="shared" si="62"/>
        <v>-0.27632812033829557</v>
      </c>
      <c r="N396" s="62">
        <f t="shared" si="63"/>
        <v>-3692.3516571635955</v>
      </c>
      <c r="O396" s="62">
        <f t="shared" si="64"/>
        <v>-0.2794004251468557</v>
      </c>
      <c r="P396" s="62">
        <f t="shared" si="65"/>
        <v>-3607.2885386938797</v>
      </c>
      <c r="Q396" s="62">
        <f t="shared" si="66"/>
        <v>-0.27152818761459419</v>
      </c>
      <c r="R396" s="62">
        <f t="shared" si="67"/>
        <v>17214.186157702599</v>
      </c>
      <c r="S396" s="62">
        <f t="shared" si="68"/>
        <v>25005.950048157327</v>
      </c>
      <c r="T396" s="62">
        <f t="shared" si="69"/>
        <v>25095.717711822355</v>
      </c>
      <c r="U396" s="62">
        <f t="shared" si="70"/>
        <v>24854.681262755672</v>
      </c>
      <c r="V396" s="62">
        <f t="shared" si="60"/>
        <v>1</v>
      </c>
      <c r="W396" s="62">
        <f t="shared" si="60"/>
        <v>0</v>
      </c>
      <c r="X396" s="62">
        <f t="shared" si="60"/>
        <v>0</v>
      </c>
      <c r="Y396" s="62">
        <f t="shared" si="60"/>
        <v>0</v>
      </c>
      <c r="AA396" s="94"/>
    </row>
    <row r="397" spans="2:27" x14ac:dyDescent="0.2">
      <c r="B397" s="94"/>
      <c r="C397" s="62">
        <v>358</v>
      </c>
      <c r="D397" s="62">
        <v>9465.7644791486236</v>
      </c>
      <c r="E397" s="62">
        <v>0.61738731272986347</v>
      </c>
      <c r="F397" s="62">
        <v>13614.005728994171</v>
      </c>
      <c r="G397" s="62">
        <v>0.89404227751987941</v>
      </c>
      <c r="H397" s="62">
        <v>13655.546845414821</v>
      </c>
      <c r="I397" s="62">
        <v>0.89700712823578865</v>
      </c>
      <c r="J397" s="62">
        <v>13572.868426276931</v>
      </c>
      <c r="K397" s="62">
        <v>0.89034877395485246</v>
      </c>
      <c r="L397" s="62">
        <f t="shared" si="61"/>
        <v>-4148.2412498455469</v>
      </c>
      <c r="M397" s="62">
        <f t="shared" si="62"/>
        <v>-0.27665496479001594</v>
      </c>
      <c r="N397" s="62">
        <f t="shared" si="63"/>
        <v>-4189.7823662661976</v>
      </c>
      <c r="O397" s="62">
        <f t="shared" si="64"/>
        <v>-0.27961981550592518</v>
      </c>
      <c r="P397" s="62">
        <f t="shared" si="65"/>
        <v>-4107.1039471283075</v>
      </c>
      <c r="Q397" s="62">
        <f t="shared" si="66"/>
        <v>-0.27296146122498899</v>
      </c>
      <c r="R397" s="62">
        <f t="shared" si="67"/>
        <v>16108.887563373242</v>
      </c>
      <c r="S397" s="62">
        <f t="shared" si="68"/>
        <v>23420.801574989317</v>
      </c>
      <c r="T397" s="62">
        <f t="shared" si="69"/>
        <v>23502.076434624491</v>
      </c>
      <c r="U397" s="62">
        <f t="shared" si="70"/>
        <v>23308.939186028874</v>
      </c>
      <c r="V397" s="62">
        <f t="shared" si="60"/>
        <v>1</v>
      </c>
      <c r="W397" s="62">
        <f t="shared" si="60"/>
        <v>0</v>
      </c>
      <c r="X397" s="62">
        <f t="shared" si="60"/>
        <v>0</v>
      </c>
      <c r="Y397" s="62">
        <f t="shared" si="60"/>
        <v>0</v>
      </c>
      <c r="AA397" s="94"/>
    </row>
    <row r="398" spans="2:27" x14ac:dyDescent="0.2">
      <c r="B398" s="94"/>
      <c r="C398" s="62">
        <v>359</v>
      </c>
      <c r="D398" s="62">
        <v>10883.647738907086</v>
      </c>
      <c r="E398" s="62">
        <v>0.6176987169768503</v>
      </c>
      <c r="F398" s="62">
        <v>15656.979660415005</v>
      </c>
      <c r="G398" s="62">
        <v>0.89377972223339153</v>
      </c>
      <c r="H398" s="62">
        <v>15713.025717413208</v>
      </c>
      <c r="I398" s="62">
        <v>0.89729221164800366</v>
      </c>
      <c r="J398" s="62">
        <v>15592.910178667129</v>
      </c>
      <c r="K398" s="62">
        <v>0.88921976266424207</v>
      </c>
      <c r="L398" s="62">
        <f t="shared" si="61"/>
        <v>-4773.3319215079191</v>
      </c>
      <c r="M398" s="62">
        <f t="shared" si="62"/>
        <v>-0.27608100525654122</v>
      </c>
      <c r="N398" s="62">
        <f t="shared" si="63"/>
        <v>-4829.3779785061215</v>
      </c>
      <c r="O398" s="62">
        <f t="shared" si="64"/>
        <v>-0.27959349467115335</v>
      </c>
      <c r="P398" s="62">
        <f t="shared" si="65"/>
        <v>-4709.262439760043</v>
      </c>
      <c r="Q398" s="62">
        <f t="shared" si="66"/>
        <v>-0.27152104568739177</v>
      </c>
      <c r="R398" s="62">
        <f t="shared" si="67"/>
        <v>14703.903913141959</v>
      </c>
      <c r="S398" s="62">
        <f t="shared" si="68"/>
        <v>21366.951553381004</v>
      </c>
      <c r="T398" s="62">
        <f t="shared" si="69"/>
        <v>21456.4068578937</v>
      </c>
      <c r="U398" s="62">
        <f t="shared" si="70"/>
        <v>21242.129269936435</v>
      </c>
      <c r="V398" s="62">
        <f t="shared" si="60"/>
        <v>1</v>
      </c>
      <c r="W398" s="62">
        <f t="shared" si="60"/>
        <v>0</v>
      </c>
      <c r="X398" s="62">
        <f t="shared" si="60"/>
        <v>0</v>
      </c>
      <c r="Y398" s="62">
        <f t="shared" si="60"/>
        <v>0</v>
      </c>
      <c r="AA398" s="94"/>
    </row>
    <row r="399" spans="2:27" x14ac:dyDescent="0.2">
      <c r="B399" s="94"/>
      <c r="C399" s="62">
        <v>360</v>
      </c>
      <c r="D399" s="62">
        <v>9147.2116224265301</v>
      </c>
      <c r="E399" s="62">
        <v>0.61785422980413618</v>
      </c>
      <c r="F399" s="62">
        <v>13124.703267102064</v>
      </c>
      <c r="G399" s="62">
        <v>0.89308608819164381</v>
      </c>
      <c r="H399" s="62">
        <v>13170.283510275322</v>
      </c>
      <c r="I399" s="62">
        <v>0.89662899439468391</v>
      </c>
      <c r="J399" s="62">
        <v>13079.141425095988</v>
      </c>
      <c r="K399" s="62">
        <v>0.88887536939472811</v>
      </c>
      <c r="L399" s="62">
        <f t="shared" si="61"/>
        <v>-3977.4916446755342</v>
      </c>
      <c r="M399" s="62">
        <f t="shared" si="62"/>
        <v>-0.27523185838750763</v>
      </c>
      <c r="N399" s="62">
        <f t="shared" si="63"/>
        <v>-4023.0718878487914</v>
      </c>
      <c r="O399" s="62">
        <f t="shared" si="64"/>
        <v>-0.27877476459054773</v>
      </c>
      <c r="P399" s="62">
        <f t="shared" si="65"/>
        <v>-3931.9298026694578</v>
      </c>
      <c r="Q399" s="62">
        <f t="shared" si="66"/>
        <v>-0.27102113959059193</v>
      </c>
      <c r="R399" s="62">
        <f t="shared" si="67"/>
        <v>16446.781992980006</v>
      </c>
      <c r="S399" s="62">
        <f t="shared" si="68"/>
        <v>23870.494850148592</v>
      </c>
      <c r="T399" s="62">
        <f t="shared" si="69"/>
        <v>23971.675953530066</v>
      </c>
      <c r="U399" s="62">
        <f t="shared" si="70"/>
        <v>23741.631876711232</v>
      </c>
      <c r="V399" s="62">
        <f t="shared" si="60"/>
        <v>1</v>
      </c>
      <c r="W399" s="62">
        <f t="shared" si="60"/>
        <v>0</v>
      </c>
      <c r="X399" s="62">
        <f t="shared" si="60"/>
        <v>0</v>
      </c>
      <c r="Y399" s="62">
        <f t="shared" si="60"/>
        <v>0</v>
      </c>
      <c r="AA399" s="94"/>
    </row>
    <row r="400" spans="2:27" x14ac:dyDescent="0.2">
      <c r="B400" s="94"/>
      <c r="C400" s="62">
        <v>361</v>
      </c>
      <c r="D400" s="62">
        <v>10253.708954733374</v>
      </c>
      <c r="E400" s="62">
        <v>0.61796631888155107</v>
      </c>
      <c r="F400" s="62">
        <v>14720.083948880081</v>
      </c>
      <c r="G400" s="62">
        <v>0.89331570934079096</v>
      </c>
      <c r="H400" s="62">
        <v>14774.323691582207</v>
      </c>
      <c r="I400" s="62">
        <v>0.89700785646237813</v>
      </c>
      <c r="J400" s="62">
        <v>14669.26263347804</v>
      </c>
      <c r="K400" s="62">
        <v>0.88913185288686925</v>
      </c>
      <c r="L400" s="62">
        <f t="shared" si="61"/>
        <v>-4466.3749941467067</v>
      </c>
      <c r="M400" s="62">
        <f t="shared" si="62"/>
        <v>-0.2753493904592399</v>
      </c>
      <c r="N400" s="62">
        <f t="shared" si="63"/>
        <v>-4520.6147368488328</v>
      </c>
      <c r="O400" s="62">
        <f t="shared" si="64"/>
        <v>-0.27904153758082706</v>
      </c>
      <c r="P400" s="62">
        <f t="shared" si="65"/>
        <v>-4415.5536787446654</v>
      </c>
      <c r="Q400" s="62">
        <f t="shared" si="66"/>
        <v>-0.27116553400531818</v>
      </c>
      <c r="R400" s="62">
        <f t="shared" si="67"/>
        <v>15344.927838615997</v>
      </c>
      <c r="S400" s="62">
        <f t="shared" si="68"/>
        <v>22284.625994852842</v>
      </c>
      <c r="T400" s="62">
        <f t="shared" si="69"/>
        <v>22383.329754515347</v>
      </c>
      <c r="U400" s="62">
        <f t="shared" si="70"/>
        <v>22162.135240507629</v>
      </c>
      <c r="V400" s="62">
        <f t="shared" si="60"/>
        <v>1</v>
      </c>
      <c r="W400" s="62">
        <f t="shared" si="60"/>
        <v>0</v>
      </c>
      <c r="X400" s="62">
        <f t="shared" si="60"/>
        <v>0</v>
      </c>
      <c r="Y400" s="62">
        <f t="shared" si="60"/>
        <v>0</v>
      </c>
      <c r="AA400" s="94"/>
    </row>
    <row r="401" spans="2:27" x14ac:dyDescent="0.2">
      <c r="B401" s="94"/>
      <c r="C401" s="62">
        <v>362</v>
      </c>
      <c r="D401" s="62">
        <v>9195.5449333800461</v>
      </c>
      <c r="E401" s="62">
        <v>0.6174784552239555</v>
      </c>
      <c r="F401" s="62">
        <v>13209.082615621193</v>
      </c>
      <c r="G401" s="62">
        <v>0.893813182858198</v>
      </c>
      <c r="H401" s="62">
        <v>13250.847369402003</v>
      </c>
      <c r="I401" s="62">
        <v>0.89700514382456265</v>
      </c>
      <c r="J401" s="62">
        <v>13160.511726991997</v>
      </c>
      <c r="K401" s="62">
        <v>0.88937441248114113</v>
      </c>
      <c r="L401" s="62">
        <f t="shared" si="61"/>
        <v>-4013.5376822411472</v>
      </c>
      <c r="M401" s="62">
        <f t="shared" si="62"/>
        <v>-0.27633472763424249</v>
      </c>
      <c r="N401" s="62">
        <f t="shared" si="63"/>
        <v>-4055.302436021957</v>
      </c>
      <c r="O401" s="62">
        <f t="shared" si="64"/>
        <v>-0.27952668860060714</v>
      </c>
      <c r="P401" s="62">
        <f t="shared" si="65"/>
        <v>-3964.9667936119513</v>
      </c>
      <c r="Q401" s="62">
        <f t="shared" si="66"/>
        <v>-0.27189595725718563</v>
      </c>
      <c r="R401" s="62">
        <f t="shared" si="67"/>
        <v>16382.882595817086</v>
      </c>
      <c r="S401" s="62">
        <f t="shared" si="68"/>
        <v>23816.234671096805</v>
      </c>
      <c r="T401" s="62">
        <f t="shared" si="69"/>
        <v>23906.693708386683</v>
      </c>
      <c r="U401" s="62">
        <f t="shared" si="70"/>
        <v>23680.933935626792</v>
      </c>
      <c r="V401" s="62">
        <f t="shared" si="60"/>
        <v>1</v>
      </c>
      <c r="W401" s="62">
        <f t="shared" si="60"/>
        <v>0</v>
      </c>
      <c r="X401" s="62">
        <f t="shared" si="60"/>
        <v>0</v>
      </c>
      <c r="Y401" s="62">
        <f t="shared" si="60"/>
        <v>0</v>
      </c>
      <c r="AA401" s="94"/>
    </row>
    <row r="402" spans="2:27" x14ac:dyDescent="0.2">
      <c r="B402" s="94"/>
      <c r="C402" s="62">
        <v>363</v>
      </c>
      <c r="D402" s="62">
        <v>9139.3447047456666</v>
      </c>
      <c r="E402" s="62">
        <v>0.61739427883323783</v>
      </c>
      <c r="F402" s="62">
        <v>13130.389585637644</v>
      </c>
      <c r="G402" s="62">
        <v>0.89328172914707094</v>
      </c>
      <c r="H402" s="62">
        <v>13184.290877966796</v>
      </c>
      <c r="I402" s="62">
        <v>0.8974161064160131</v>
      </c>
      <c r="J402" s="62">
        <v>13085.432796318872</v>
      </c>
      <c r="K402" s="62">
        <v>0.88917745180654029</v>
      </c>
      <c r="L402" s="62">
        <f t="shared" si="61"/>
        <v>-3991.0448808919773</v>
      </c>
      <c r="M402" s="62">
        <f t="shared" si="62"/>
        <v>-0.2758874503138331</v>
      </c>
      <c r="N402" s="62">
        <f t="shared" si="63"/>
        <v>-4044.9461732211294</v>
      </c>
      <c r="O402" s="62">
        <f t="shared" si="64"/>
        <v>-0.28002182758277527</v>
      </c>
      <c r="P402" s="62">
        <f t="shared" si="65"/>
        <v>-3946.088091573205</v>
      </c>
      <c r="Q402" s="62">
        <f t="shared" si="66"/>
        <v>-0.27178317297330246</v>
      </c>
      <c r="R402" s="62">
        <f t="shared" si="67"/>
        <v>16435.59590164238</v>
      </c>
      <c r="S402" s="62">
        <f t="shared" si="68"/>
        <v>23872.912762550619</v>
      </c>
      <c r="T402" s="62">
        <f t="shared" si="69"/>
        <v>23990.273914210131</v>
      </c>
      <c r="U402" s="62">
        <f t="shared" si="70"/>
        <v>23747.853967315255</v>
      </c>
      <c r="V402" s="62">
        <f t="shared" si="60"/>
        <v>1</v>
      </c>
      <c r="W402" s="62">
        <f t="shared" si="60"/>
        <v>0</v>
      </c>
      <c r="X402" s="62">
        <f t="shared" si="60"/>
        <v>0</v>
      </c>
      <c r="Y402" s="62">
        <f t="shared" si="60"/>
        <v>0</v>
      </c>
      <c r="AA402" s="94"/>
    </row>
    <row r="403" spans="2:27" x14ac:dyDescent="0.2">
      <c r="B403" s="94"/>
      <c r="C403" s="62">
        <v>364</v>
      </c>
      <c r="D403" s="62">
        <v>8348.6729961174369</v>
      </c>
      <c r="E403" s="62">
        <v>0.617384017097514</v>
      </c>
      <c r="F403" s="62">
        <v>11996.760944631713</v>
      </c>
      <c r="G403" s="62">
        <v>0.89358576896684261</v>
      </c>
      <c r="H403" s="62">
        <v>12052.265088084579</v>
      </c>
      <c r="I403" s="62">
        <v>0.89826570230567304</v>
      </c>
      <c r="J403" s="62">
        <v>11960.528906733127</v>
      </c>
      <c r="K403" s="62">
        <v>0.88984943798361882</v>
      </c>
      <c r="L403" s="62">
        <f t="shared" si="61"/>
        <v>-3648.0879485142759</v>
      </c>
      <c r="M403" s="62">
        <f t="shared" si="62"/>
        <v>-0.2762017518693286</v>
      </c>
      <c r="N403" s="62">
        <f t="shared" si="63"/>
        <v>-3703.5920919671426</v>
      </c>
      <c r="O403" s="62">
        <f t="shared" si="64"/>
        <v>-0.28088168520815904</v>
      </c>
      <c r="P403" s="62">
        <f t="shared" si="65"/>
        <v>-3611.8559106156899</v>
      </c>
      <c r="Q403" s="62">
        <f t="shared" si="66"/>
        <v>-0.27246542088610481</v>
      </c>
      <c r="R403" s="62">
        <f t="shared" si="67"/>
        <v>17225.842528129986</v>
      </c>
      <c r="S403" s="62">
        <f t="shared" si="68"/>
        <v>25019.135949050775</v>
      </c>
      <c r="T403" s="62">
        <f t="shared" si="69"/>
        <v>25157.493364225618</v>
      </c>
      <c r="U403" s="62">
        <f t="shared" si="70"/>
        <v>24900.594212300304</v>
      </c>
      <c r="V403" s="62">
        <f t="shared" si="60"/>
        <v>1</v>
      </c>
      <c r="W403" s="62">
        <f t="shared" si="60"/>
        <v>0</v>
      </c>
      <c r="X403" s="62">
        <f t="shared" si="60"/>
        <v>0</v>
      </c>
      <c r="Y403" s="62">
        <f t="shared" si="60"/>
        <v>0</v>
      </c>
      <c r="AA403" s="94"/>
    </row>
    <row r="404" spans="2:27" x14ac:dyDescent="0.2">
      <c r="B404" s="94"/>
      <c r="C404" s="62">
        <v>365</v>
      </c>
      <c r="D404" s="62">
        <v>10265.985323089571</v>
      </c>
      <c r="E404" s="62">
        <v>0.61771662892610391</v>
      </c>
      <c r="F404" s="62">
        <v>14758.215187406438</v>
      </c>
      <c r="G404" s="62">
        <v>0.89442538871080124</v>
      </c>
      <c r="H404" s="62">
        <v>14800.822580414911</v>
      </c>
      <c r="I404" s="62">
        <v>0.89723386327177013</v>
      </c>
      <c r="J404" s="62">
        <v>14712.006659094375</v>
      </c>
      <c r="K404" s="62">
        <v>0.89056057411520051</v>
      </c>
      <c r="L404" s="62">
        <f t="shared" si="61"/>
        <v>-4492.229864316867</v>
      </c>
      <c r="M404" s="62">
        <f t="shared" si="62"/>
        <v>-0.27670875978469733</v>
      </c>
      <c r="N404" s="62">
        <f t="shared" si="63"/>
        <v>-4534.83725732534</v>
      </c>
      <c r="O404" s="62">
        <f t="shared" si="64"/>
        <v>-0.27951723434566622</v>
      </c>
      <c r="P404" s="62">
        <f t="shared" si="65"/>
        <v>-4446.0213360048037</v>
      </c>
      <c r="Q404" s="62">
        <f t="shared" si="66"/>
        <v>-0.2728439451890966</v>
      </c>
      <c r="R404" s="62">
        <f t="shared" si="67"/>
        <v>15322.308313545356</v>
      </c>
      <c r="S404" s="62">
        <f t="shared" si="68"/>
        <v>22292.462114549795</v>
      </c>
      <c r="T404" s="62">
        <f t="shared" si="69"/>
        <v>22366.192971754892</v>
      </c>
      <c r="U404" s="62">
        <f t="shared" si="70"/>
        <v>22178.574563053691</v>
      </c>
      <c r="V404" s="62">
        <f t="shared" si="60"/>
        <v>1</v>
      </c>
      <c r="W404" s="62">
        <f t="shared" si="60"/>
        <v>0</v>
      </c>
      <c r="X404" s="62">
        <f t="shared" si="60"/>
        <v>0</v>
      </c>
      <c r="Y404" s="62">
        <f t="shared" si="60"/>
        <v>0</v>
      </c>
      <c r="AA404" s="94"/>
    </row>
    <row r="405" spans="2:27" x14ac:dyDescent="0.2">
      <c r="B405" s="94"/>
      <c r="C405" s="62">
        <v>366</v>
      </c>
      <c r="D405" s="62">
        <v>11421.134889222556</v>
      </c>
      <c r="E405" s="62">
        <v>0.61783571362726097</v>
      </c>
      <c r="F405" s="62">
        <v>16443.184516787922</v>
      </c>
      <c r="G405" s="62">
        <v>0.89529483371317342</v>
      </c>
      <c r="H405" s="62">
        <v>16461.792078603095</v>
      </c>
      <c r="I405" s="62">
        <v>0.8963817424022883</v>
      </c>
      <c r="J405" s="62">
        <v>16359.840437909081</v>
      </c>
      <c r="K405" s="62">
        <v>0.88963317924943131</v>
      </c>
      <c r="L405" s="62">
        <f t="shared" si="61"/>
        <v>-5022.0496275653659</v>
      </c>
      <c r="M405" s="62">
        <f t="shared" si="62"/>
        <v>-0.27745912008591245</v>
      </c>
      <c r="N405" s="62">
        <f t="shared" si="63"/>
        <v>-5040.6571893805394</v>
      </c>
      <c r="O405" s="62">
        <f t="shared" si="64"/>
        <v>-0.27854602877502732</v>
      </c>
      <c r="P405" s="62">
        <f t="shared" si="65"/>
        <v>-4938.7055486865247</v>
      </c>
      <c r="Q405" s="62">
        <f t="shared" si="66"/>
        <v>-0.27179746562217033</v>
      </c>
      <c r="R405" s="62">
        <f t="shared" si="67"/>
        <v>14172.091712073101</v>
      </c>
      <c r="S405" s="62">
        <f t="shared" si="68"/>
        <v>20643.508674946577</v>
      </c>
      <c r="T405" s="62">
        <f t="shared" si="69"/>
        <v>20669.925218669297</v>
      </c>
      <c r="U405" s="62">
        <f t="shared" si="70"/>
        <v>20492.324379319361</v>
      </c>
      <c r="V405" s="62">
        <f t="shared" si="60"/>
        <v>1</v>
      </c>
      <c r="W405" s="62">
        <f t="shared" si="60"/>
        <v>0</v>
      </c>
      <c r="X405" s="62">
        <f t="shared" si="60"/>
        <v>0</v>
      </c>
      <c r="Y405" s="62">
        <f t="shared" si="60"/>
        <v>0</v>
      </c>
      <c r="AA405" s="94"/>
    </row>
    <row r="406" spans="2:27" x14ac:dyDescent="0.2">
      <c r="B406" s="94"/>
      <c r="C406" s="62">
        <v>367</v>
      </c>
      <c r="D406" s="62">
        <v>8749.5906044476505</v>
      </c>
      <c r="E406" s="62">
        <v>0.61738537713711172</v>
      </c>
      <c r="F406" s="62">
        <v>12580.255889803046</v>
      </c>
      <c r="G406" s="62">
        <v>0.89397223293640815</v>
      </c>
      <c r="H406" s="62">
        <v>12625.180972872911</v>
      </c>
      <c r="I406" s="62">
        <v>0.89762949482823384</v>
      </c>
      <c r="J406" s="62">
        <v>12538.275183075677</v>
      </c>
      <c r="K406" s="62">
        <v>0.88998540186081232</v>
      </c>
      <c r="L406" s="62">
        <f t="shared" si="61"/>
        <v>-3830.6652853553951</v>
      </c>
      <c r="M406" s="62">
        <f t="shared" si="62"/>
        <v>-0.27658685579929643</v>
      </c>
      <c r="N406" s="62">
        <f t="shared" si="63"/>
        <v>-3875.5903684252607</v>
      </c>
      <c r="O406" s="62">
        <f t="shared" si="64"/>
        <v>-0.28024411769112212</v>
      </c>
      <c r="P406" s="62">
        <f t="shared" si="65"/>
        <v>-3788.6845786280264</v>
      </c>
      <c r="Q406" s="62">
        <f t="shared" si="66"/>
        <v>-0.2726000247237006</v>
      </c>
      <c r="R406" s="62">
        <f t="shared" si="67"/>
        <v>16824.981258080064</v>
      </c>
      <c r="S406" s="62">
        <f t="shared" si="68"/>
        <v>24451.649887354724</v>
      </c>
      <c r="T406" s="62">
        <f t="shared" si="69"/>
        <v>24558.223220891843</v>
      </c>
      <c r="U406" s="62">
        <f t="shared" si="70"/>
        <v>24328.480103606613</v>
      </c>
      <c r="V406" s="62">
        <f t="shared" si="60"/>
        <v>1</v>
      </c>
      <c r="W406" s="62">
        <f t="shared" si="60"/>
        <v>0</v>
      </c>
      <c r="X406" s="62">
        <f t="shared" si="60"/>
        <v>0</v>
      </c>
      <c r="Y406" s="62">
        <f t="shared" si="60"/>
        <v>0</v>
      </c>
      <c r="AA406" s="94"/>
    </row>
    <row r="407" spans="2:27" x14ac:dyDescent="0.2">
      <c r="B407" s="94"/>
      <c r="C407" s="62">
        <v>368</v>
      </c>
      <c r="D407" s="62">
        <v>8151.3426037803256</v>
      </c>
      <c r="E407" s="62">
        <v>0.61749772355086119</v>
      </c>
      <c r="F407" s="62">
        <v>11707.851190068612</v>
      </c>
      <c r="G407" s="62">
        <v>0.89426526032809484</v>
      </c>
      <c r="H407" s="62">
        <v>11747.120225482568</v>
      </c>
      <c r="I407" s="62">
        <v>0.89769151832249405</v>
      </c>
      <c r="J407" s="62">
        <v>11659.71389672751</v>
      </c>
      <c r="K407" s="62">
        <v>0.88926899674045456</v>
      </c>
      <c r="L407" s="62">
        <f t="shared" si="61"/>
        <v>-3556.5085862882861</v>
      </c>
      <c r="M407" s="62">
        <f t="shared" si="62"/>
        <v>-0.27676753677723365</v>
      </c>
      <c r="N407" s="62">
        <f t="shared" si="63"/>
        <v>-3595.777621702242</v>
      </c>
      <c r="O407" s="62">
        <f t="shared" si="64"/>
        <v>-0.28019379477163286</v>
      </c>
      <c r="P407" s="62">
        <f t="shared" si="65"/>
        <v>-3508.371292947184</v>
      </c>
      <c r="Q407" s="62">
        <f t="shared" si="66"/>
        <v>-0.27177127318959338</v>
      </c>
      <c r="R407" s="62">
        <f t="shared" si="67"/>
        <v>17427.883096590547</v>
      </c>
      <c r="S407" s="62">
        <f t="shared" si="68"/>
        <v>25336.192953762387</v>
      </c>
      <c r="T407" s="62">
        <f t="shared" si="69"/>
        <v>25438.853229508422</v>
      </c>
      <c r="U407" s="62">
        <f t="shared" si="70"/>
        <v>25177.365024249084</v>
      </c>
      <c r="V407" s="62">
        <f t="shared" si="60"/>
        <v>1</v>
      </c>
      <c r="W407" s="62">
        <f t="shared" si="60"/>
        <v>0</v>
      </c>
      <c r="X407" s="62">
        <f t="shared" si="60"/>
        <v>0</v>
      </c>
      <c r="Y407" s="62">
        <f t="shared" si="60"/>
        <v>0</v>
      </c>
      <c r="AA407" s="94"/>
    </row>
    <row r="408" spans="2:27" x14ac:dyDescent="0.2">
      <c r="B408" s="94"/>
      <c r="C408" s="62">
        <v>369</v>
      </c>
      <c r="D408" s="62">
        <v>9014.0421969290201</v>
      </c>
      <c r="E408" s="62">
        <v>0.6175819144505531</v>
      </c>
      <c r="F408" s="62">
        <v>12958.329325258916</v>
      </c>
      <c r="G408" s="62">
        <v>0.89446893297000374</v>
      </c>
      <c r="H408" s="62">
        <v>12980.693910864849</v>
      </c>
      <c r="I408" s="62">
        <v>0.89625106303091306</v>
      </c>
      <c r="J408" s="62">
        <v>12906.380176530014</v>
      </c>
      <c r="K408" s="62">
        <v>0.88964787181868998</v>
      </c>
      <c r="L408" s="62">
        <f t="shared" si="61"/>
        <v>-3944.2871283298955</v>
      </c>
      <c r="M408" s="62">
        <f t="shared" si="62"/>
        <v>-0.27688701851945063</v>
      </c>
      <c r="N408" s="62">
        <f t="shared" si="63"/>
        <v>-3966.6517139358293</v>
      </c>
      <c r="O408" s="62">
        <f t="shared" si="64"/>
        <v>-0.27866914858035996</v>
      </c>
      <c r="P408" s="62">
        <f t="shared" si="65"/>
        <v>-3892.337979600994</v>
      </c>
      <c r="Q408" s="62">
        <f t="shared" si="66"/>
        <v>-0.27206595736813688</v>
      </c>
      <c r="R408" s="62">
        <f t="shared" si="67"/>
        <v>16568.671027270691</v>
      </c>
      <c r="S408" s="62">
        <f t="shared" si="68"/>
        <v>24094.151754090519</v>
      </c>
      <c r="T408" s="62">
        <f t="shared" si="69"/>
        <v>24145.610124127692</v>
      </c>
      <c r="U408" s="62">
        <f t="shared" si="70"/>
        <v>23946.393265687395</v>
      </c>
      <c r="V408" s="62">
        <f t="shared" si="60"/>
        <v>1</v>
      </c>
      <c r="W408" s="62">
        <f t="shared" si="60"/>
        <v>0</v>
      </c>
      <c r="X408" s="62">
        <f t="shared" si="60"/>
        <v>0</v>
      </c>
      <c r="Y408" s="62">
        <f t="shared" si="60"/>
        <v>0</v>
      </c>
      <c r="AA408" s="94"/>
    </row>
    <row r="409" spans="2:27" x14ac:dyDescent="0.2">
      <c r="B409" s="94"/>
      <c r="C409" s="62">
        <v>370</v>
      </c>
      <c r="D409" s="62">
        <v>10926.737756877079</v>
      </c>
      <c r="E409" s="62">
        <v>0.61804656296889027</v>
      </c>
      <c r="F409" s="62">
        <v>15704.495966296334</v>
      </c>
      <c r="G409" s="62">
        <v>0.89437156396189765</v>
      </c>
      <c r="H409" s="62">
        <v>15750.326535820219</v>
      </c>
      <c r="I409" s="62">
        <v>0.89735811075440097</v>
      </c>
      <c r="J409" s="62">
        <v>15636.504036586222</v>
      </c>
      <c r="K409" s="62">
        <v>0.88936611812510047</v>
      </c>
      <c r="L409" s="62">
        <f t="shared" si="61"/>
        <v>-4777.7582094192549</v>
      </c>
      <c r="M409" s="62">
        <f t="shared" si="62"/>
        <v>-0.27632500099300739</v>
      </c>
      <c r="N409" s="62">
        <f t="shared" si="63"/>
        <v>-4823.5887789431399</v>
      </c>
      <c r="O409" s="62">
        <f t="shared" si="64"/>
        <v>-0.27931154778551071</v>
      </c>
      <c r="P409" s="62">
        <f t="shared" si="65"/>
        <v>-4709.7662797091434</v>
      </c>
      <c r="Q409" s="62">
        <f t="shared" si="66"/>
        <v>-0.2713195551562102</v>
      </c>
      <c r="R409" s="62">
        <f t="shared" si="67"/>
        <v>14675.223067546231</v>
      </c>
      <c r="S409" s="62">
        <f t="shared" si="68"/>
        <v>21343.951699261317</v>
      </c>
      <c r="T409" s="62">
        <f t="shared" si="69"/>
        <v>21421.83584407009</v>
      </c>
      <c r="U409" s="62">
        <f t="shared" si="70"/>
        <v>21204.598040627941</v>
      </c>
      <c r="V409" s="62">
        <f t="shared" si="60"/>
        <v>1</v>
      </c>
      <c r="W409" s="62">
        <f t="shared" si="60"/>
        <v>0</v>
      </c>
      <c r="X409" s="62">
        <f t="shared" si="60"/>
        <v>0</v>
      </c>
      <c r="Y409" s="62">
        <f t="shared" si="60"/>
        <v>0</v>
      </c>
      <c r="AA409" s="94"/>
    </row>
    <row r="410" spans="2:27" x14ac:dyDescent="0.2">
      <c r="B410" s="94"/>
      <c r="C410" s="62">
        <v>371</v>
      </c>
      <c r="D410" s="62">
        <v>9949.680770110177</v>
      </c>
      <c r="E410" s="62">
        <v>0.6177054786062075</v>
      </c>
      <c r="F410" s="62">
        <v>14302.757130461921</v>
      </c>
      <c r="G410" s="62">
        <v>0.8944552963745106</v>
      </c>
      <c r="H410" s="62">
        <v>14334.786717482137</v>
      </c>
      <c r="I410" s="62">
        <v>0.89667842875314596</v>
      </c>
      <c r="J410" s="62">
        <v>14240.600462133443</v>
      </c>
      <c r="K410" s="62">
        <v>0.88938722619983035</v>
      </c>
      <c r="L410" s="62">
        <f t="shared" si="61"/>
        <v>-4353.0763603517444</v>
      </c>
      <c r="M410" s="62">
        <f t="shared" si="62"/>
        <v>-0.2767498177683031</v>
      </c>
      <c r="N410" s="62">
        <f t="shared" si="63"/>
        <v>-4385.1059473719597</v>
      </c>
      <c r="O410" s="62">
        <f t="shared" si="64"/>
        <v>-0.27897295014693846</v>
      </c>
      <c r="P410" s="62">
        <f t="shared" si="65"/>
        <v>-4290.9196920232662</v>
      </c>
      <c r="Q410" s="62">
        <f t="shared" si="66"/>
        <v>-0.27168174759362285</v>
      </c>
      <c r="R410" s="62">
        <f t="shared" si="67"/>
        <v>15638.150975673363</v>
      </c>
      <c r="S410" s="62">
        <f t="shared" si="68"/>
        <v>22749.159066555811</v>
      </c>
      <c r="T410" s="62">
        <f t="shared" si="69"/>
        <v>22809.220515188179</v>
      </c>
      <c r="U410" s="62">
        <f t="shared" si="70"/>
        <v>22601.37599596833</v>
      </c>
      <c r="V410" s="62">
        <f t="shared" si="60"/>
        <v>1</v>
      </c>
      <c r="W410" s="62">
        <f t="shared" si="60"/>
        <v>0</v>
      </c>
      <c r="X410" s="62">
        <f t="shared" si="60"/>
        <v>0</v>
      </c>
      <c r="Y410" s="62">
        <f t="shared" si="60"/>
        <v>0</v>
      </c>
      <c r="AA410" s="94"/>
    </row>
    <row r="411" spans="2:27" x14ac:dyDescent="0.2">
      <c r="B411" s="94"/>
      <c r="C411" s="62">
        <v>372</v>
      </c>
      <c r="D411" s="62">
        <v>10688.384528699795</v>
      </c>
      <c r="E411" s="62">
        <v>0.61758689571532288</v>
      </c>
      <c r="F411" s="62">
        <v>15375.093153489799</v>
      </c>
      <c r="G411" s="62">
        <v>0.89448349600389454</v>
      </c>
      <c r="H411" s="62">
        <v>15418.205766324574</v>
      </c>
      <c r="I411" s="62">
        <v>0.89731130894997491</v>
      </c>
      <c r="J411" s="62">
        <v>15311.41705360686</v>
      </c>
      <c r="K411" s="62">
        <v>0.88969910549893794</v>
      </c>
      <c r="L411" s="62">
        <f t="shared" si="61"/>
        <v>-4686.7086247900043</v>
      </c>
      <c r="M411" s="62">
        <f t="shared" si="62"/>
        <v>-0.27689660028857166</v>
      </c>
      <c r="N411" s="62">
        <f t="shared" si="63"/>
        <v>-4729.8212376247793</v>
      </c>
      <c r="O411" s="62">
        <f t="shared" si="64"/>
        <v>-0.27972441323465203</v>
      </c>
      <c r="P411" s="62">
        <f t="shared" si="65"/>
        <v>-4623.0325249070647</v>
      </c>
      <c r="Q411" s="62">
        <f t="shared" si="66"/>
        <v>-0.27211220978361506</v>
      </c>
      <c r="R411" s="62">
        <f t="shared" si="67"/>
        <v>14894.535039411739</v>
      </c>
      <c r="S411" s="62">
        <f t="shared" si="68"/>
        <v>21677.99118497553</v>
      </c>
      <c r="T411" s="62">
        <f t="shared" si="69"/>
        <v>21752.017895619188</v>
      </c>
      <c r="U411" s="62">
        <f t="shared" si="70"/>
        <v>21543.478692581146</v>
      </c>
      <c r="V411" s="62">
        <f t="shared" si="60"/>
        <v>1</v>
      </c>
      <c r="W411" s="62">
        <f t="shared" si="60"/>
        <v>0</v>
      </c>
      <c r="X411" s="62">
        <f t="shared" si="60"/>
        <v>0</v>
      </c>
      <c r="Y411" s="62">
        <f t="shared" si="60"/>
        <v>0</v>
      </c>
      <c r="AA411" s="94"/>
    </row>
    <row r="412" spans="2:27" x14ac:dyDescent="0.2">
      <c r="B412" s="94"/>
      <c r="C412" s="62">
        <v>373</v>
      </c>
      <c r="D412" s="62">
        <v>13006.361566277998</v>
      </c>
      <c r="E412" s="62">
        <v>0.6175011918436355</v>
      </c>
      <c r="F412" s="62">
        <v>18723.787108917728</v>
      </c>
      <c r="G412" s="62">
        <v>0.89441396428251196</v>
      </c>
      <c r="H412" s="62">
        <v>18773.878067162033</v>
      </c>
      <c r="I412" s="62">
        <v>0.89696952924709716</v>
      </c>
      <c r="J412" s="62">
        <v>18640.734210347044</v>
      </c>
      <c r="K412" s="62">
        <v>0.88926941102510193</v>
      </c>
      <c r="L412" s="62">
        <f t="shared" si="61"/>
        <v>-5717.4255426397303</v>
      </c>
      <c r="M412" s="62">
        <f t="shared" si="62"/>
        <v>-0.27691277243887646</v>
      </c>
      <c r="N412" s="62">
        <f t="shared" si="63"/>
        <v>-5767.5165008840358</v>
      </c>
      <c r="O412" s="62">
        <f t="shared" si="64"/>
        <v>-0.27946833740346166</v>
      </c>
      <c r="P412" s="62">
        <f t="shared" si="65"/>
        <v>-5634.3726440690461</v>
      </c>
      <c r="Q412" s="62">
        <f t="shared" si="66"/>
        <v>-0.27176821918146643</v>
      </c>
      <c r="R412" s="62">
        <f t="shared" si="67"/>
        <v>12573.007804652758</v>
      </c>
      <c r="S412" s="62">
        <f t="shared" si="68"/>
        <v>18326.416947521051</v>
      </c>
      <c r="T412" s="62">
        <f t="shared" si="69"/>
        <v>18382.18771236972</v>
      </c>
      <c r="U412" s="62">
        <f t="shared" si="70"/>
        <v>18196.361871956782</v>
      </c>
      <c r="V412" s="62">
        <f t="shared" si="60"/>
        <v>1</v>
      </c>
      <c r="W412" s="62">
        <f t="shared" si="60"/>
        <v>0</v>
      </c>
      <c r="X412" s="62">
        <f t="shared" si="60"/>
        <v>0</v>
      </c>
      <c r="Y412" s="62">
        <f t="shared" si="60"/>
        <v>0</v>
      </c>
      <c r="AA412" s="94"/>
    </row>
    <row r="413" spans="2:27" x14ac:dyDescent="0.2">
      <c r="B413" s="94"/>
      <c r="C413" s="62">
        <v>374</v>
      </c>
      <c r="D413" s="62">
        <v>9133.776681824098</v>
      </c>
      <c r="E413" s="62">
        <v>0.6175908050560569</v>
      </c>
      <c r="F413" s="62">
        <v>13130.03643686336</v>
      </c>
      <c r="G413" s="62">
        <v>0.89461636535917832</v>
      </c>
      <c r="H413" s="62">
        <v>13163.79526363759</v>
      </c>
      <c r="I413" s="62">
        <v>0.89725559806281052</v>
      </c>
      <c r="J413" s="62">
        <v>13065.776317918593</v>
      </c>
      <c r="K413" s="62">
        <v>0.88892569734076221</v>
      </c>
      <c r="L413" s="62">
        <f t="shared" si="61"/>
        <v>-3996.259755039262</v>
      </c>
      <c r="M413" s="62">
        <f t="shared" si="62"/>
        <v>-0.27702556030312142</v>
      </c>
      <c r="N413" s="62">
        <f t="shared" si="63"/>
        <v>-4030.0185818134923</v>
      </c>
      <c r="O413" s="62">
        <f t="shared" si="64"/>
        <v>-0.27966479300675362</v>
      </c>
      <c r="P413" s="62">
        <f t="shared" si="65"/>
        <v>-3931.9996360944951</v>
      </c>
      <c r="Q413" s="62">
        <f t="shared" si="66"/>
        <v>-0.27133489228470531</v>
      </c>
      <c r="R413" s="62">
        <f t="shared" si="67"/>
        <v>16449.304826818006</v>
      </c>
      <c r="S413" s="62">
        <f t="shared" si="68"/>
        <v>23928.551881775245</v>
      </c>
      <c r="T413" s="62">
        <f t="shared" si="69"/>
        <v>24004.12063051627</v>
      </c>
      <c r="U413" s="62">
        <f t="shared" si="70"/>
        <v>23757.08176872514</v>
      </c>
      <c r="V413" s="62">
        <f t="shared" si="60"/>
        <v>1</v>
      </c>
      <c r="W413" s="62">
        <f t="shared" si="60"/>
        <v>0</v>
      </c>
      <c r="X413" s="62">
        <f t="shared" si="60"/>
        <v>0</v>
      </c>
      <c r="Y413" s="62">
        <f t="shared" si="60"/>
        <v>0</v>
      </c>
      <c r="AA413" s="94"/>
    </row>
    <row r="414" spans="2:27" x14ac:dyDescent="0.2">
      <c r="B414" s="94"/>
      <c r="C414" s="62">
        <v>375</v>
      </c>
      <c r="D414" s="62">
        <v>12859.951634551531</v>
      </c>
      <c r="E414" s="62">
        <v>0.6176136447735453</v>
      </c>
      <c r="F414" s="62">
        <v>18506.229965219412</v>
      </c>
      <c r="G414" s="62">
        <v>0.8938324038032488</v>
      </c>
      <c r="H414" s="62">
        <v>18581.350688764538</v>
      </c>
      <c r="I414" s="62">
        <v>0.89780042991085707</v>
      </c>
      <c r="J414" s="62">
        <v>18446.742898748616</v>
      </c>
      <c r="K414" s="62">
        <v>0.89004966411812925</v>
      </c>
      <c r="L414" s="62">
        <f t="shared" si="61"/>
        <v>-5646.2783306678812</v>
      </c>
      <c r="M414" s="62">
        <f t="shared" si="62"/>
        <v>-0.2762187590297035</v>
      </c>
      <c r="N414" s="62">
        <f t="shared" si="63"/>
        <v>-5721.3990542130068</v>
      </c>
      <c r="O414" s="62">
        <f t="shared" si="64"/>
        <v>-0.28018678513731177</v>
      </c>
      <c r="P414" s="62">
        <f t="shared" si="65"/>
        <v>-5586.7912641970852</v>
      </c>
      <c r="Q414" s="62">
        <f t="shared" si="66"/>
        <v>-0.27243601934458395</v>
      </c>
      <c r="R414" s="62">
        <f t="shared" si="67"/>
        <v>12724.075986547808</v>
      </c>
      <c r="S414" s="62">
        <f t="shared" si="68"/>
        <v>18519.883529926366</v>
      </c>
      <c r="T414" s="62">
        <f t="shared" si="69"/>
        <v>18609.134319862806</v>
      </c>
      <c r="U414" s="62">
        <f t="shared" si="70"/>
        <v>18422.67438768077</v>
      </c>
      <c r="V414" s="62">
        <f t="shared" si="60"/>
        <v>1</v>
      </c>
      <c r="W414" s="62">
        <f t="shared" si="60"/>
        <v>0</v>
      </c>
      <c r="X414" s="62">
        <f t="shared" si="60"/>
        <v>0</v>
      </c>
      <c r="Y414" s="62">
        <f t="shared" si="60"/>
        <v>0</v>
      </c>
      <c r="AA414" s="94"/>
    </row>
    <row r="415" spans="2:27" x14ac:dyDescent="0.2">
      <c r="B415" s="94"/>
      <c r="C415" s="62">
        <v>376</v>
      </c>
      <c r="D415" s="62">
        <v>10000.209684468493</v>
      </c>
      <c r="E415" s="62">
        <v>0.61771576348835433</v>
      </c>
      <c r="F415" s="62">
        <v>14374.184996149183</v>
      </c>
      <c r="G415" s="62">
        <v>0.89432051260828227</v>
      </c>
      <c r="H415" s="62">
        <v>14416.440989418768</v>
      </c>
      <c r="I415" s="62">
        <v>0.89721792619006413</v>
      </c>
      <c r="J415" s="62">
        <v>14306.062876907967</v>
      </c>
      <c r="K415" s="62">
        <v>0.88889086160820652</v>
      </c>
      <c r="L415" s="62">
        <f t="shared" si="61"/>
        <v>-4373.9753116806896</v>
      </c>
      <c r="M415" s="62">
        <f t="shared" si="62"/>
        <v>-0.27660474911992794</v>
      </c>
      <c r="N415" s="62">
        <f t="shared" si="63"/>
        <v>-4416.2313049502754</v>
      </c>
      <c r="O415" s="62">
        <f t="shared" si="64"/>
        <v>-0.2795021627017098</v>
      </c>
      <c r="P415" s="62">
        <f t="shared" si="65"/>
        <v>-4305.8531924394738</v>
      </c>
      <c r="Q415" s="62">
        <f t="shared" si="66"/>
        <v>-0.27117509811985219</v>
      </c>
      <c r="R415" s="62">
        <f t="shared" si="67"/>
        <v>15588.048102273096</v>
      </c>
      <c r="S415" s="62">
        <f t="shared" si="68"/>
        <v>22672.147918136303</v>
      </c>
      <c r="T415" s="62">
        <f t="shared" si="69"/>
        <v>22749.914385078446</v>
      </c>
      <c r="U415" s="62">
        <f t="shared" si="70"/>
        <v>22515.352174350377</v>
      </c>
      <c r="V415" s="62">
        <f t="shared" si="60"/>
        <v>1</v>
      </c>
      <c r="W415" s="62">
        <f t="shared" si="60"/>
        <v>0</v>
      </c>
      <c r="X415" s="62">
        <f t="shared" si="60"/>
        <v>0</v>
      </c>
      <c r="Y415" s="62">
        <f t="shared" si="60"/>
        <v>0</v>
      </c>
      <c r="AA415" s="94"/>
    </row>
    <row r="416" spans="2:27" x14ac:dyDescent="0.2">
      <c r="B416" s="94"/>
      <c r="C416" s="62">
        <v>377</v>
      </c>
      <c r="D416" s="62">
        <v>11826.315216439434</v>
      </c>
      <c r="E416" s="62">
        <v>0.617809805289808</v>
      </c>
      <c r="F416" s="62">
        <v>16998.212848331463</v>
      </c>
      <c r="G416" s="62">
        <v>0.89391731234982041</v>
      </c>
      <c r="H416" s="62">
        <v>17054.274800917912</v>
      </c>
      <c r="I416" s="62">
        <v>0.89705468099079166</v>
      </c>
      <c r="J416" s="62">
        <v>16935.097048027277</v>
      </c>
      <c r="K416" s="62">
        <v>0.88940969395183445</v>
      </c>
      <c r="L416" s="62">
        <f t="shared" si="61"/>
        <v>-5171.8976318920286</v>
      </c>
      <c r="M416" s="62">
        <f t="shared" si="62"/>
        <v>-0.27610750706001241</v>
      </c>
      <c r="N416" s="62">
        <f t="shared" si="63"/>
        <v>-5227.9595844784781</v>
      </c>
      <c r="O416" s="62">
        <f t="shared" si="64"/>
        <v>-0.27924487570098366</v>
      </c>
      <c r="P416" s="62">
        <f t="shared" si="65"/>
        <v>-5108.781831587843</v>
      </c>
      <c r="Q416" s="62">
        <f t="shared" si="66"/>
        <v>-0.27159988866202645</v>
      </c>
      <c r="R416" s="62">
        <f t="shared" si="67"/>
        <v>13765.838157885573</v>
      </c>
      <c r="S416" s="62">
        <f t="shared" si="68"/>
        <v>20031.417898447497</v>
      </c>
      <c r="T416" s="62">
        <f t="shared" si="69"/>
        <v>20105.318304444641</v>
      </c>
      <c r="U416" s="62">
        <f t="shared" si="70"/>
        <v>19907.810114233511</v>
      </c>
      <c r="V416" s="62">
        <f t="shared" si="60"/>
        <v>1</v>
      </c>
      <c r="W416" s="62">
        <f t="shared" si="60"/>
        <v>0</v>
      </c>
      <c r="X416" s="62">
        <f t="shared" si="60"/>
        <v>0</v>
      </c>
      <c r="Y416" s="62">
        <f t="shared" si="60"/>
        <v>0</v>
      </c>
      <c r="AA416" s="94"/>
    </row>
    <row r="417" spans="2:27" x14ac:dyDescent="0.2">
      <c r="B417" s="94"/>
      <c r="C417" s="62">
        <v>378</v>
      </c>
      <c r="D417" s="62">
        <v>10559.594885953338</v>
      </c>
      <c r="E417" s="62">
        <v>0.61806375215534792</v>
      </c>
      <c r="F417" s="62">
        <v>15184.674461756569</v>
      </c>
      <c r="G417" s="62">
        <v>0.89460904192168944</v>
      </c>
      <c r="H417" s="62">
        <v>15221.355782555092</v>
      </c>
      <c r="I417" s="62">
        <v>0.89696939154275812</v>
      </c>
      <c r="J417" s="62">
        <v>15118.033943784354</v>
      </c>
      <c r="K417" s="62">
        <v>0.88951620012585619</v>
      </c>
      <c r="L417" s="62">
        <f t="shared" si="61"/>
        <v>-4625.0795758032309</v>
      </c>
      <c r="M417" s="62">
        <f t="shared" si="62"/>
        <v>-0.27654528976634152</v>
      </c>
      <c r="N417" s="62">
        <f t="shared" si="63"/>
        <v>-4661.7608966017542</v>
      </c>
      <c r="O417" s="62">
        <f t="shared" si="64"/>
        <v>-0.2789056393874102</v>
      </c>
      <c r="P417" s="62">
        <f t="shared" si="65"/>
        <v>-4558.4390578310158</v>
      </c>
      <c r="Q417" s="62">
        <f t="shared" si="66"/>
        <v>-0.27145244797050827</v>
      </c>
      <c r="R417" s="62">
        <f t="shared" si="67"/>
        <v>15043.077983329793</v>
      </c>
      <c r="S417" s="62">
        <f t="shared" si="68"/>
        <v>21873.610490807492</v>
      </c>
      <c r="T417" s="62">
        <f t="shared" si="69"/>
        <v>21934.704292712118</v>
      </c>
      <c r="U417" s="62">
        <f t="shared" si="70"/>
        <v>21729.285130229113</v>
      </c>
      <c r="V417" s="62">
        <f t="shared" si="60"/>
        <v>1</v>
      </c>
      <c r="W417" s="62">
        <f t="shared" si="60"/>
        <v>0</v>
      </c>
      <c r="X417" s="62">
        <f t="shared" si="60"/>
        <v>0</v>
      </c>
      <c r="Y417" s="62">
        <f t="shared" si="60"/>
        <v>0</v>
      </c>
      <c r="AA417" s="94"/>
    </row>
    <row r="418" spans="2:27" x14ac:dyDescent="0.2">
      <c r="B418" s="94"/>
      <c r="C418" s="62">
        <v>379</v>
      </c>
      <c r="D418" s="62">
        <v>10172.585003546761</v>
      </c>
      <c r="E418" s="62">
        <v>0.61747523844446495</v>
      </c>
      <c r="F418" s="62">
        <v>14625.077321464569</v>
      </c>
      <c r="G418" s="62">
        <v>0.89427903240578999</v>
      </c>
      <c r="H418" s="62">
        <v>14659.851952762065</v>
      </c>
      <c r="I418" s="62">
        <v>0.8966169682682501</v>
      </c>
      <c r="J418" s="62">
        <v>14564.158502157827</v>
      </c>
      <c r="K418" s="62">
        <v>0.88924242481495108</v>
      </c>
      <c r="L418" s="62">
        <f t="shared" si="61"/>
        <v>-4452.4923179178077</v>
      </c>
      <c r="M418" s="62">
        <f t="shared" si="62"/>
        <v>-0.27680379396132504</v>
      </c>
      <c r="N418" s="62">
        <f t="shared" si="63"/>
        <v>-4487.2669492153036</v>
      </c>
      <c r="O418" s="62">
        <f t="shared" si="64"/>
        <v>-0.27914172982378516</v>
      </c>
      <c r="P418" s="62">
        <f t="shared" si="65"/>
        <v>-4391.5734986110656</v>
      </c>
      <c r="Q418" s="62">
        <f t="shared" si="66"/>
        <v>-0.27176718637048614</v>
      </c>
      <c r="R418" s="62">
        <f t="shared" si="67"/>
        <v>15405.709273776754</v>
      </c>
      <c r="S418" s="62">
        <f t="shared" si="68"/>
        <v>22419.53731691288</v>
      </c>
      <c r="T418" s="62">
        <f t="shared" si="69"/>
        <v>22481.609340781928</v>
      </c>
      <c r="U418" s="62">
        <f t="shared" si="70"/>
        <v>22271.819703376706</v>
      </c>
      <c r="V418" s="62">
        <f t="shared" si="60"/>
        <v>1</v>
      </c>
      <c r="W418" s="62">
        <f t="shared" si="60"/>
        <v>0</v>
      </c>
      <c r="X418" s="62">
        <f t="shared" si="60"/>
        <v>0</v>
      </c>
      <c r="Y418" s="62">
        <f t="shared" si="60"/>
        <v>0</v>
      </c>
      <c r="AA418" s="94"/>
    </row>
    <row r="419" spans="2:27" x14ac:dyDescent="0.2">
      <c r="B419" s="94"/>
      <c r="C419" s="62">
        <v>380</v>
      </c>
      <c r="D419" s="62">
        <v>10685.887585457058</v>
      </c>
      <c r="E419" s="62">
        <v>0.61763965857805314</v>
      </c>
      <c r="F419" s="62">
        <v>15371.626813059074</v>
      </c>
      <c r="G419" s="62">
        <v>0.89449582264764838</v>
      </c>
      <c r="H419" s="62">
        <v>15411.048809092397</v>
      </c>
      <c r="I419" s="62">
        <v>0.89707952748280984</v>
      </c>
      <c r="J419" s="62">
        <v>15314.090561060128</v>
      </c>
      <c r="K419" s="62">
        <v>0.89007255375172756</v>
      </c>
      <c r="L419" s="62">
        <f t="shared" si="61"/>
        <v>-4685.7392276020164</v>
      </c>
      <c r="M419" s="62">
        <f t="shared" si="62"/>
        <v>-0.27685616406959523</v>
      </c>
      <c r="N419" s="62">
        <f t="shared" si="63"/>
        <v>-4725.1612236353394</v>
      </c>
      <c r="O419" s="62">
        <f t="shared" si="64"/>
        <v>-0.27943986890475669</v>
      </c>
      <c r="P419" s="62">
        <f t="shared" si="65"/>
        <v>-4628.2029756030697</v>
      </c>
      <c r="Q419" s="62">
        <f t="shared" si="66"/>
        <v>-0.27243289517367442</v>
      </c>
      <c r="R419" s="62">
        <f t="shared" si="67"/>
        <v>14899.217631480216</v>
      </c>
      <c r="S419" s="62">
        <f t="shared" si="68"/>
        <v>21681.968144297112</v>
      </c>
      <c r="T419" s="62">
        <f t="shared" si="69"/>
        <v>21749.573537355514</v>
      </c>
      <c r="U419" s="62">
        <f t="shared" si="70"/>
        <v>21556.274905551436</v>
      </c>
      <c r="V419" s="62">
        <f t="shared" si="60"/>
        <v>1</v>
      </c>
      <c r="W419" s="62">
        <f t="shared" si="60"/>
        <v>0</v>
      </c>
      <c r="X419" s="62">
        <f t="shared" si="60"/>
        <v>0</v>
      </c>
      <c r="Y419" s="62">
        <f t="shared" si="60"/>
        <v>0</v>
      </c>
      <c r="AA419" s="94"/>
    </row>
    <row r="420" spans="2:27" x14ac:dyDescent="0.2">
      <c r="B420" s="94"/>
      <c r="C420" s="62">
        <v>381</v>
      </c>
      <c r="D420" s="62">
        <v>11098.891844355057</v>
      </c>
      <c r="E420" s="62">
        <v>0.61800689878994164</v>
      </c>
      <c r="F420" s="62">
        <v>15944.26784395809</v>
      </c>
      <c r="G420" s="62">
        <v>0.89395559275573422</v>
      </c>
      <c r="H420" s="62">
        <v>16012.413440979208</v>
      </c>
      <c r="I420" s="62">
        <v>0.8981211942216083</v>
      </c>
      <c r="J420" s="62">
        <v>15877.110971509457</v>
      </c>
      <c r="K420" s="62">
        <v>0.88899421236711229</v>
      </c>
      <c r="L420" s="62">
        <f t="shared" si="61"/>
        <v>-4845.3759996030331</v>
      </c>
      <c r="M420" s="62">
        <f t="shared" si="62"/>
        <v>-0.27594869396579258</v>
      </c>
      <c r="N420" s="62">
        <f t="shared" si="63"/>
        <v>-4913.5215966241503</v>
      </c>
      <c r="O420" s="62">
        <f t="shared" si="64"/>
        <v>-0.28011429543166666</v>
      </c>
      <c r="P420" s="62">
        <f t="shared" si="65"/>
        <v>-4778.2191271543998</v>
      </c>
      <c r="Q420" s="62">
        <f t="shared" si="66"/>
        <v>-0.27098731357717065</v>
      </c>
      <c r="R420" s="62">
        <f t="shared" si="67"/>
        <v>14501.425931119484</v>
      </c>
      <c r="S420" s="62">
        <f t="shared" si="68"/>
        <v>21086.948630355444</v>
      </c>
      <c r="T420" s="62">
        <f t="shared" si="69"/>
        <v>21191.358908456692</v>
      </c>
      <c r="U420" s="62">
        <f t="shared" si="70"/>
        <v>20948.585281585802</v>
      </c>
      <c r="V420" s="62">
        <f t="shared" si="60"/>
        <v>1</v>
      </c>
      <c r="W420" s="62">
        <f t="shared" si="60"/>
        <v>0</v>
      </c>
      <c r="X420" s="62">
        <f t="shared" si="60"/>
        <v>0</v>
      </c>
      <c r="Y420" s="62">
        <f t="shared" si="60"/>
        <v>0</v>
      </c>
      <c r="AA420" s="94"/>
    </row>
    <row r="421" spans="2:27" x14ac:dyDescent="0.2">
      <c r="B421" s="94"/>
      <c r="C421" s="62">
        <v>382</v>
      </c>
      <c r="D421" s="62">
        <v>10622.521374356966</v>
      </c>
      <c r="E421" s="62">
        <v>0.61721304273068722</v>
      </c>
      <c r="F421" s="62">
        <v>15285.849657880508</v>
      </c>
      <c r="G421" s="62">
        <v>0.89373994230592313</v>
      </c>
      <c r="H421" s="62">
        <v>15333.189260125526</v>
      </c>
      <c r="I421" s="62">
        <v>0.8968396207762287</v>
      </c>
      <c r="J421" s="62">
        <v>15235.554178283714</v>
      </c>
      <c r="K421" s="62">
        <v>0.88979813219943227</v>
      </c>
      <c r="L421" s="62">
        <f t="shared" si="61"/>
        <v>-4663.3282835235423</v>
      </c>
      <c r="M421" s="62">
        <f t="shared" si="62"/>
        <v>-0.27652689957523591</v>
      </c>
      <c r="N421" s="62">
        <f t="shared" si="63"/>
        <v>-4710.6678857685602</v>
      </c>
      <c r="O421" s="62">
        <f t="shared" si="64"/>
        <v>-0.27962657804554147</v>
      </c>
      <c r="P421" s="62">
        <f t="shared" si="65"/>
        <v>-4613.0328039267479</v>
      </c>
      <c r="Q421" s="62">
        <f t="shared" si="66"/>
        <v>-0.27258508946874505</v>
      </c>
      <c r="R421" s="62">
        <f t="shared" si="67"/>
        <v>14944.91170771902</v>
      </c>
      <c r="S421" s="62">
        <f t="shared" si="68"/>
        <v>21736.433712200051</v>
      </c>
      <c r="T421" s="62">
        <f t="shared" si="69"/>
        <v>21817.495190908972</v>
      </c>
      <c r="U421" s="62">
        <f t="shared" si="70"/>
        <v>21623.443649945566</v>
      </c>
      <c r="V421" s="62">
        <f t="shared" si="60"/>
        <v>1</v>
      </c>
      <c r="W421" s="62">
        <f t="shared" si="60"/>
        <v>0</v>
      </c>
      <c r="X421" s="62">
        <f t="shared" si="60"/>
        <v>0</v>
      </c>
      <c r="Y421" s="62">
        <f t="shared" si="60"/>
        <v>0</v>
      </c>
      <c r="AA421" s="94"/>
    </row>
    <row r="422" spans="2:27" x14ac:dyDescent="0.2">
      <c r="B422" s="94"/>
      <c r="C422" s="62">
        <v>383</v>
      </c>
      <c r="D422" s="62">
        <v>10761.795588364992</v>
      </c>
      <c r="E422" s="62">
        <v>0.61732578079892608</v>
      </c>
      <c r="F422" s="62">
        <v>15491.899558770829</v>
      </c>
      <c r="G422" s="62">
        <v>0.89438034703209446</v>
      </c>
      <c r="H422" s="62">
        <v>15530.409943376573</v>
      </c>
      <c r="I422" s="62">
        <v>0.8968988360215091</v>
      </c>
      <c r="J422" s="62">
        <v>15415.35600541585</v>
      </c>
      <c r="K422" s="62">
        <v>0.88887186384144556</v>
      </c>
      <c r="L422" s="62">
        <f t="shared" si="61"/>
        <v>-4730.1039704058367</v>
      </c>
      <c r="M422" s="62">
        <f t="shared" si="62"/>
        <v>-0.27705456623316838</v>
      </c>
      <c r="N422" s="62">
        <f t="shared" si="63"/>
        <v>-4768.6143550115812</v>
      </c>
      <c r="O422" s="62">
        <f t="shared" si="64"/>
        <v>-0.27957305522258302</v>
      </c>
      <c r="P422" s="62">
        <f t="shared" si="65"/>
        <v>-4653.5604170508577</v>
      </c>
      <c r="Q422" s="62">
        <f t="shared" si="66"/>
        <v>-0.27154608304251948</v>
      </c>
      <c r="R422" s="62">
        <f t="shared" si="67"/>
        <v>14810.307555449723</v>
      </c>
      <c r="S422" s="62">
        <f t="shared" si="68"/>
        <v>21556.911936686651</v>
      </c>
      <c r="T422" s="62">
        <f t="shared" si="69"/>
        <v>21622.727439978422</v>
      </c>
      <c r="U422" s="62">
        <f t="shared" si="70"/>
        <v>21405.272082352189</v>
      </c>
      <c r="V422" s="62">
        <f t="shared" si="60"/>
        <v>1</v>
      </c>
      <c r="W422" s="62">
        <f t="shared" si="60"/>
        <v>0</v>
      </c>
      <c r="X422" s="62">
        <f t="shared" si="60"/>
        <v>0</v>
      </c>
      <c r="Y422" s="62">
        <f t="shared" ref="Y422:Y485" si="71">IF(MIN($R422:$U422)=U422,1,0)</f>
        <v>0</v>
      </c>
      <c r="AA422" s="94"/>
    </row>
    <row r="423" spans="2:27" x14ac:dyDescent="0.2">
      <c r="B423" s="94"/>
      <c r="C423" s="62">
        <v>384</v>
      </c>
      <c r="D423" s="62">
        <v>11808.837673210614</v>
      </c>
      <c r="E423" s="62">
        <v>0.61765327039976059</v>
      </c>
      <c r="F423" s="62">
        <v>17008.86245640599</v>
      </c>
      <c r="G423" s="62">
        <v>0.89500484987569406</v>
      </c>
      <c r="H423" s="62">
        <v>17042.013993889985</v>
      </c>
      <c r="I423" s="62">
        <v>0.89689150992065203</v>
      </c>
      <c r="J423" s="62">
        <v>16921.617870414244</v>
      </c>
      <c r="K423" s="62">
        <v>0.8893244166753328</v>
      </c>
      <c r="L423" s="62">
        <f t="shared" si="61"/>
        <v>-5200.0247831953766</v>
      </c>
      <c r="M423" s="62">
        <f t="shared" si="62"/>
        <v>-0.27735157947593347</v>
      </c>
      <c r="N423" s="62">
        <f t="shared" si="63"/>
        <v>-5233.1763206793712</v>
      </c>
      <c r="O423" s="62">
        <f t="shared" si="64"/>
        <v>-0.27923823952089144</v>
      </c>
      <c r="P423" s="62">
        <f t="shared" si="65"/>
        <v>-5112.7801972036305</v>
      </c>
      <c r="Q423" s="62">
        <f t="shared" si="66"/>
        <v>-0.27167114627557221</v>
      </c>
      <c r="R423" s="62">
        <f t="shared" si="67"/>
        <v>13776.831399829071</v>
      </c>
      <c r="S423" s="62">
        <f t="shared" si="68"/>
        <v>20065.818444844761</v>
      </c>
      <c r="T423" s="62">
        <f t="shared" si="69"/>
        <v>20110.819913063107</v>
      </c>
      <c r="U423" s="62">
        <f t="shared" si="70"/>
        <v>19917.756765944745</v>
      </c>
      <c r="V423" s="62">
        <f t="shared" ref="V423:Y486" si="72">IF(MIN($R423:$U423)=R423,1,0)</f>
        <v>1</v>
      </c>
      <c r="W423" s="62">
        <f t="shared" si="72"/>
        <v>0</v>
      </c>
      <c r="X423" s="62">
        <f t="shared" si="72"/>
        <v>0</v>
      </c>
      <c r="Y423" s="62">
        <f t="shared" si="71"/>
        <v>0</v>
      </c>
      <c r="AA423" s="94"/>
    </row>
    <row r="424" spans="2:27" x14ac:dyDescent="0.2">
      <c r="B424" s="94"/>
      <c r="C424" s="62">
        <v>385</v>
      </c>
      <c r="D424" s="62">
        <v>8341.4707662272449</v>
      </c>
      <c r="E424" s="62">
        <v>0.61788714542956535</v>
      </c>
      <c r="F424" s="62">
        <v>11974.532924916186</v>
      </c>
      <c r="G424" s="62">
        <v>0.89376967342822422</v>
      </c>
      <c r="H424" s="62">
        <v>12010.694901150882</v>
      </c>
      <c r="I424" s="62">
        <v>0.89695825142981667</v>
      </c>
      <c r="J424" s="62">
        <v>11934.367144320186</v>
      </c>
      <c r="K424" s="62">
        <v>0.88968158417051768</v>
      </c>
      <c r="L424" s="62">
        <f t="shared" ref="L424:L487" si="73">IF($C424&lt;=No_of_iterations_PSA,D424-$F424,"")</f>
        <v>-3633.0621586889411</v>
      </c>
      <c r="M424" s="62">
        <f t="shared" ref="M424:M487" si="74">IF($C424&lt;=No_of_iterations_PSA,E424-$G424,"")</f>
        <v>-0.27588252799865887</v>
      </c>
      <c r="N424" s="62">
        <f t="shared" ref="N424:N487" si="75">IF($C424&lt;=No_of_iterations_PSA,D424-$H424,"")</f>
        <v>-3669.2241349236374</v>
      </c>
      <c r="O424" s="62">
        <f t="shared" ref="O424:O487" si="76">IF($C424&lt;=No_of_iterations_PSA,E424-$I424,"")</f>
        <v>-0.27907110600025131</v>
      </c>
      <c r="P424" s="62">
        <f t="shared" ref="P424:P487" si="77">IF($C424&lt;=No_of_iterations_PSA,D424-$J424,"")</f>
        <v>-3592.8963780929407</v>
      </c>
      <c r="Q424" s="62">
        <f t="shared" ref="Q424:Q487" si="78">IF($C424&lt;=No_of_iterations_PSA,E424-$K424,"")</f>
        <v>-0.27179443874095233</v>
      </c>
      <c r="R424" s="62">
        <f t="shared" ref="R424:R487" si="79">IF($C424&lt;=No_of_iterations_PSA,E424*c_WTP-D424,"")</f>
        <v>17253.886346047071</v>
      </c>
      <c r="S424" s="62">
        <f t="shared" ref="S424:S487" si="80">IF($C424&lt;=No_of_iterations_PSA,G424*c_WTP-F424,"")</f>
        <v>25048.98202717457</v>
      </c>
      <c r="T424" s="62">
        <f t="shared" ref="T424:T487" si="81">IF($C424&lt;=No_of_iterations_PSA,I424*c_WTP-H424,"")</f>
        <v>25144.903706077843</v>
      </c>
      <c r="U424" s="62">
        <f t="shared" ref="U424:U487" si="82">IF($C424&lt;=No_of_iterations_PSA,K424*c_WTP-J424,"")</f>
        <v>24919.802798359338</v>
      </c>
      <c r="V424" s="62">
        <f t="shared" si="72"/>
        <v>1</v>
      </c>
      <c r="W424" s="62">
        <f t="shared" si="72"/>
        <v>0</v>
      </c>
      <c r="X424" s="62">
        <f t="shared" si="72"/>
        <v>0</v>
      </c>
      <c r="Y424" s="62">
        <f t="shared" si="71"/>
        <v>0</v>
      </c>
      <c r="AA424" s="94"/>
    </row>
    <row r="425" spans="2:27" x14ac:dyDescent="0.2">
      <c r="B425" s="94"/>
      <c r="C425" s="62">
        <v>386</v>
      </c>
      <c r="D425" s="62">
        <v>10583.470622857049</v>
      </c>
      <c r="E425" s="62">
        <v>0.61731965607366568</v>
      </c>
      <c r="F425" s="62">
        <v>15225.609802604036</v>
      </c>
      <c r="G425" s="62">
        <v>0.89430711894267856</v>
      </c>
      <c r="H425" s="62">
        <v>15278.686257643491</v>
      </c>
      <c r="I425" s="62">
        <v>0.89780892709135673</v>
      </c>
      <c r="J425" s="62">
        <v>15159.707158029467</v>
      </c>
      <c r="K425" s="62">
        <v>0.88933216076144062</v>
      </c>
      <c r="L425" s="62">
        <f t="shared" si="73"/>
        <v>-4642.1391797469878</v>
      </c>
      <c r="M425" s="62">
        <f t="shared" si="74"/>
        <v>-0.27698746286901288</v>
      </c>
      <c r="N425" s="62">
        <f t="shared" si="75"/>
        <v>-4695.215634786442</v>
      </c>
      <c r="O425" s="62">
        <f t="shared" si="76"/>
        <v>-0.28048927101769106</v>
      </c>
      <c r="P425" s="62">
        <f t="shared" si="77"/>
        <v>-4576.2365351724184</v>
      </c>
      <c r="Q425" s="62">
        <f t="shared" si="78"/>
        <v>-0.27201250468777494</v>
      </c>
      <c r="R425" s="62">
        <f t="shared" si="79"/>
        <v>14988.378810338478</v>
      </c>
      <c r="S425" s="62">
        <f t="shared" si="80"/>
        <v>21820.16829247748</v>
      </c>
      <c r="T425" s="62">
        <f t="shared" si="81"/>
        <v>21912.15073818887</v>
      </c>
      <c r="U425" s="62">
        <f t="shared" si="82"/>
        <v>21679.988269352449</v>
      </c>
      <c r="V425" s="62">
        <f t="shared" si="72"/>
        <v>1</v>
      </c>
      <c r="W425" s="62">
        <f t="shared" si="72"/>
        <v>0</v>
      </c>
      <c r="X425" s="62">
        <f t="shared" si="72"/>
        <v>0</v>
      </c>
      <c r="Y425" s="62">
        <f t="shared" si="71"/>
        <v>0</v>
      </c>
      <c r="AA425" s="94"/>
    </row>
    <row r="426" spans="2:27" x14ac:dyDescent="0.2">
      <c r="B426" s="94"/>
      <c r="C426" s="62">
        <v>387</v>
      </c>
      <c r="D426" s="62">
        <v>8389.4956712446728</v>
      </c>
      <c r="E426" s="62">
        <v>0.61758779638029682</v>
      </c>
      <c r="F426" s="62">
        <v>12059.384217441699</v>
      </c>
      <c r="G426" s="62">
        <v>0.89402230655778958</v>
      </c>
      <c r="H426" s="62">
        <v>12090.619403982566</v>
      </c>
      <c r="I426" s="62">
        <v>0.89675720682196647</v>
      </c>
      <c r="J426" s="62">
        <v>12008.471468267717</v>
      </c>
      <c r="K426" s="62">
        <v>0.88931677400058762</v>
      </c>
      <c r="L426" s="62">
        <f t="shared" si="73"/>
        <v>-3669.8885461970258</v>
      </c>
      <c r="M426" s="62">
        <f t="shared" si="74"/>
        <v>-0.27643451017749276</v>
      </c>
      <c r="N426" s="62">
        <f t="shared" si="75"/>
        <v>-3701.1237327378931</v>
      </c>
      <c r="O426" s="62">
        <f t="shared" si="76"/>
        <v>-0.27916941044166965</v>
      </c>
      <c r="P426" s="62">
        <f t="shared" si="77"/>
        <v>-3618.9757970230439</v>
      </c>
      <c r="Q426" s="62">
        <f t="shared" si="78"/>
        <v>-0.2717289776202908</v>
      </c>
      <c r="R426" s="62">
        <f t="shared" si="79"/>
        <v>17193.461206012744</v>
      </c>
      <c r="S426" s="62">
        <f t="shared" si="80"/>
        <v>24974.595809408172</v>
      </c>
      <c r="T426" s="62">
        <f t="shared" si="81"/>
        <v>25056.651131410574</v>
      </c>
      <c r="U426" s="62">
        <f t="shared" si="82"/>
        <v>24830.586577932627</v>
      </c>
      <c r="V426" s="62">
        <f t="shared" si="72"/>
        <v>1</v>
      </c>
      <c r="W426" s="62">
        <f t="shared" si="72"/>
        <v>0</v>
      </c>
      <c r="X426" s="62">
        <f t="shared" si="72"/>
        <v>0</v>
      </c>
      <c r="Y426" s="62">
        <f t="shared" si="71"/>
        <v>0</v>
      </c>
      <c r="AA426" s="94"/>
    </row>
    <row r="427" spans="2:27" x14ac:dyDescent="0.2">
      <c r="B427" s="94"/>
      <c r="C427" s="62">
        <v>388</v>
      </c>
      <c r="D427" s="62">
        <v>9825.7130384636821</v>
      </c>
      <c r="E427" s="62">
        <v>0.61735423842134263</v>
      </c>
      <c r="F427" s="62">
        <v>14134.500329509445</v>
      </c>
      <c r="G427" s="62">
        <v>0.89410264292750552</v>
      </c>
      <c r="H427" s="62">
        <v>14171.497016017809</v>
      </c>
      <c r="I427" s="62">
        <v>0.89678567529402342</v>
      </c>
      <c r="J427" s="62">
        <v>14079.578749172264</v>
      </c>
      <c r="K427" s="62">
        <v>0.88960649195714048</v>
      </c>
      <c r="L427" s="62">
        <f t="shared" si="73"/>
        <v>-4308.7872910457627</v>
      </c>
      <c r="M427" s="62">
        <f t="shared" si="74"/>
        <v>-0.27674840450616289</v>
      </c>
      <c r="N427" s="62">
        <f t="shared" si="75"/>
        <v>-4345.783977554127</v>
      </c>
      <c r="O427" s="62">
        <f t="shared" si="76"/>
        <v>-0.27943143687268079</v>
      </c>
      <c r="P427" s="62">
        <f t="shared" si="77"/>
        <v>-4253.8657107085819</v>
      </c>
      <c r="Q427" s="62">
        <f t="shared" si="78"/>
        <v>-0.27225225353579785</v>
      </c>
      <c r="R427" s="62">
        <f t="shared" si="79"/>
        <v>15747.568933902015</v>
      </c>
      <c r="S427" s="62">
        <f t="shared" si="80"/>
        <v>22902.807551119549</v>
      </c>
      <c r="T427" s="62">
        <f t="shared" si="81"/>
        <v>22976.952797361821</v>
      </c>
      <c r="U427" s="62">
        <f t="shared" si="82"/>
        <v>22771.480573660323</v>
      </c>
      <c r="V427" s="62">
        <f t="shared" si="72"/>
        <v>1</v>
      </c>
      <c r="W427" s="62">
        <f t="shared" si="72"/>
        <v>0</v>
      </c>
      <c r="X427" s="62">
        <f t="shared" si="72"/>
        <v>0</v>
      </c>
      <c r="Y427" s="62">
        <f t="shared" si="71"/>
        <v>0</v>
      </c>
      <c r="AA427" s="94"/>
    </row>
    <row r="428" spans="2:27" x14ac:dyDescent="0.2">
      <c r="B428" s="94"/>
      <c r="C428" s="62">
        <v>389</v>
      </c>
      <c r="D428" s="62">
        <v>10888.169331797317</v>
      </c>
      <c r="E428" s="62">
        <v>0.61775299153118757</v>
      </c>
      <c r="F428" s="62">
        <v>15659.610273439794</v>
      </c>
      <c r="G428" s="62">
        <v>0.89408900412214187</v>
      </c>
      <c r="H428" s="62">
        <v>15710.019109638457</v>
      </c>
      <c r="I428" s="62">
        <v>0.89727983984724691</v>
      </c>
      <c r="J428" s="62">
        <v>15595.285956705184</v>
      </c>
      <c r="K428" s="62">
        <v>0.88945578139578552</v>
      </c>
      <c r="L428" s="62">
        <f t="shared" si="73"/>
        <v>-4771.4409416424769</v>
      </c>
      <c r="M428" s="62">
        <f t="shared" si="74"/>
        <v>-0.27633601259095431</v>
      </c>
      <c r="N428" s="62">
        <f t="shared" si="75"/>
        <v>-4821.8497778411402</v>
      </c>
      <c r="O428" s="62">
        <f t="shared" si="76"/>
        <v>-0.27952684831605934</v>
      </c>
      <c r="P428" s="62">
        <f t="shared" si="77"/>
        <v>-4707.1166249078669</v>
      </c>
      <c r="Q428" s="62">
        <f t="shared" si="78"/>
        <v>-0.27170278986459795</v>
      </c>
      <c r="R428" s="62">
        <f t="shared" si="79"/>
        <v>14701.630589390597</v>
      </c>
      <c r="S428" s="62">
        <f t="shared" si="80"/>
        <v>21377.132633315814</v>
      </c>
      <c r="T428" s="62">
        <f t="shared" si="81"/>
        <v>21458.900976193894</v>
      </c>
      <c r="U428" s="62">
        <f t="shared" si="82"/>
        <v>21249.530331833834</v>
      </c>
      <c r="V428" s="62">
        <f t="shared" si="72"/>
        <v>1</v>
      </c>
      <c r="W428" s="62">
        <f t="shared" si="72"/>
        <v>0</v>
      </c>
      <c r="X428" s="62">
        <f t="shared" si="72"/>
        <v>0</v>
      </c>
      <c r="Y428" s="62">
        <f t="shared" si="71"/>
        <v>0</v>
      </c>
      <c r="AA428" s="94"/>
    </row>
    <row r="429" spans="2:27" x14ac:dyDescent="0.2">
      <c r="B429" s="94"/>
      <c r="C429" s="62">
        <v>390</v>
      </c>
      <c r="D429" s="62">
        <v>9512.0508855442131</v>
      </c>
      <c r="E429" s="62">
        <v>0.61740392839808689</v>
      </c>
      <c r="F429" s="62">
        <v>13686.456083217088</v>
      </c>
      <c r="G429" s="62">
        <v>0.89450920106799536</v>
      </c>
      <c r="H429" s="62">
        <v>13726.943608098696</v>
      </c>
      <c r="I429" s="62">
        <v>0.89751096853632406</v>
      </c>
      <c r="J429" s="62">
        <v>13620.933318939893</v>
      </c>
      <c r="K429" s="62">
        <v>0.88920697210288935</v>
      </c>
      <c r="L429" s="62">
        <f t="shared" si="73"/>
        <v>-4174.4051976728751</v>
      </c>
      <c r="M429" s="62">
        <f t="shared" si="74"/>
        <v>-0.27710527266990848</v>
      </c>
      <c r="N429" s="62">
        <f t="shared" si="75"/>
        <v>-4214.892722554483</v>
      </c>
      <c r="O429" s="62">
        <f t="shared" si="76"/>
        <v>-0.28010704013823717</v>
      </c>
      <c r="P429" s="62">
        <f t="shared" si="77"/>
        <v>-4108.88243339568</v>
      </c>
      <c r="Q429" s="62">
        <f t="shared" si="78"/>
        <v>-0.27180304370480246</v>
      </c>
      <c r="R429" s="62">
        <f t="shared" si="79"/>
        <v>16063.289444418137</v>
      </c>
      <c r="S429" s="62">
        <f t="shared" si="80"/>
        <v>23367.693061823549</v>
      </c>
      <c r="T429" s="62">
        <f t="shared" si="81"/>
        <v>23451.550752549989</v>
      </c>
      <c r="U429" s="62">
        <f t="shared" si="82"/>
        <v>23213.576293450194</v>
      </c>
      <c r="V429" s="62">
        <f t="shared" si="72"/>
        <v>1</v>
      </c>
      <c r="W429" s="62">
        <f t="shared" si="72"/>
        <v>0</v>
      </c>
      <c r="X429" s="62">
        <f t="shared" si="72"/>
        <v>0</v>
      </c>
      <c r="Y429" s="62">
        <f t="shared" si="71"/>
        <v>0</v>
      </c>
      <c r="AA429" s="94"/>
    </row>
    <row r="430" spans="2:27" x14ac:dyDescent="0.2">
      <c r="B430" s="94"/>
      <c r="C430" s="62">
        <v>391</v>
      </c>
      <c r="D430" s="62">
        <v>12937.148791039031</v>
      </c>
      <c r="E430" s="62">
        <v>0.61723325948852914</v>
      </c>
      <c r="F430" s="62">
        <v>18615.76955720333</v>
      </c>
      <c r="G430" s="62">
        <v>0.89355946916184914</v>
      </c>
      <c r="H430" s="62">
        <v>18678.436458816475</v>
      </c>
      <c r="I430" s="62">
        <v>0.89683082422922211</v>
      </c>
      <c r="J430" s="62">
        <v>18558.69178991413</v>
      </c>
      <c r="K430" s="62">
        <v>0.88971121956044374</v>
      </c>
      <c r="L430" s="62">
        <f t="shared" si="73"/>
        <v>-5678.6207661642984</v>
      </c>
      <c r="M430" s="62">
        <f t="shared" si="74"/>
        <v>-0.27632620967332</v>
      </c>
      <c r="N430" s="62">
        <f t="shared" si="75"/>
        <v>-5741.2876677774439</v>
      </c>
      <c r="O430" s="62">
        <f t="shared" si="76"/>
        <v>-0.27959756474069297</v>
      </c>
      <c r="P430" s="62">
        <f t="shared" si="77"/>
        <v>-5621.5429988750984</v>
      </c>
      <c r="Q430" s="62">
        <f t="shared" si="78"/>
        <v>-0.2724779600719146</v>
      </c>
      <c r="R430" s="62">
        <f t="shared" si="79"/>
        <v>12631.121750013801</v>
      </c>
      <c r="S430" s="62">
        <f t="shared" si="80"/>
        <v>18399.037893357108</v>
      </c>
      <c r="T430" s="62">
        <f t="shared" si="81"/>
        <v>18471.883604054819</v>
      </c>
      <c r="U430" s="62">
        <f t="shared" si="82"/>
        <v>18296.705769157688</v>
      </c>
      <c r="V430" s="62">
        <f t="shared" si="72"/>
        <v>1</v>
      </c>
      <c r="W430" s="62">
        <f t="shared" si="72"/>
        <v>0</v>
      </c>
      <c r="X430" s="62">
        <f t="shared" si="72"/>
        <v>0</v>
      </c>
      <c r="Y430" s="62">
        <f t="shared" si="71"/>
        <v>0</v>
      </c>
      <c r="AA430" s="94"/>
    </row>
    <row r="431" spans="2:27" x14ac:dyDescent="0.2">
      <c r="B431" s="94"/>
      <c r="C431" s="62">
        <v>392</v>
      </c>
      <c r="D431" s="62">
        <v>9301.5146229193961</v>
      </c>
      <c r="E431" s="62">
        <v>0.61791586366055817</v>
      </c>
      <c r="F431" s="62">
        <v>13360.450230835282</v>
      </c>
      <c r="G431" s="62">
        <v>0.89457990135270471</v>
      </c>
      <c r="H431" s="62">
        <v>13404.401732143644</v>
      </c>
      <c r="I431" s="62">
        <v>0.89795047468932876</v>
      </c>
      <c r="J431" s="62">
        <v>13300.426945354506</v>
      </c>
      <c r="K431" s="62">
        <v>0.88922802550517577</v>
      </c>
      <c r="L431" s="62">
        <f t="shared" si="73"/>
        <v>-4058.9356079158861</v>
      </c>
      <c r="M431" s="62">
        <f t="shared" si="74"/>
        <v>-0.27666403769214654</v>
      </c>
      <c r="N431" s="62">
        <f t="shared" si="75"/>
        <v>-4102.887109224248</v>
      </c>
      <c r="O431" s="62">
        <f t="shared" si="76"/>
        <v>-0.28003461102877059</v>
      </c>
      <c r="P431" s="62">
        <f t="shared" si="77"/>
        <v>-3998.9123224351097</v>
      </c>
      <c r="Q431" s="62">
        <f t="shared" si="78"/>
        <v>-0.27131216184461759</v>
      </c>
      <c r="R431" s="62">
        <f t="shared" si="79"/>
        <v>16295.032113355566</v>
      </c>
      <c r="S431" s="62">
        <f t="shared" si="80"/>
        <v>23696.627602799155</v>
      </c>
      <c r="T431" s="62">
        <f t="shared" si="81"/>
        <v>23792.298731387109</v>
      </c>
      <c r="U431" s="62">
        <f t="shared" si="82"/>
        <v>23534.954783171896</v>
      </c>
      <c r="V431" s="62">
        <f t="shared" si="72"/>
        <v>1</v>
      </c>
      <c r="W431" s="62">
        <f t="shared" si="72"/>
        <v>0</v>
      </c>
      <c r="X431" s="62">
        <f t="shared" si="72"/>
        <v>0</v>
      </c>
      <c r="Y431" s="62">
        <f t="shared" si="71"/>
        <v>0</v>
      </c>
      <c r="AA431" s="94"/>
    </row>
    <row r="432" spans="2:27" x14ac:dyDescent="0.2">
      <c r="B432" s="94"/>
      <c r="C432" s="62">
        <v>393</v>
      </c>
      <c r="D432" s="62">
        <v>9738.2835421436921</v>
      </c>
      <c r="E432" s="62">
        <v>0.6175895408301264</v>
      </c>
      <c r="F432" s="62">
        <v>14005.523175437522</v>
      </c>
      <c r="G432" s="62">
        <v>0.89477075916125015</v>
      </c>
      <c r="H432" s="62">
        <v>14050.012186183336</v>
      </c>
      <c r="I432" s="62">
        <v>0.89793937063024121</v>
      </c>
      <c r="J432" s="62">
        <v>13944.574512160698</v>
      </c>
      <c r="K432" s="62">
        <v>0.88965554226588239</v>
      </c>
      <c r="L432" s="62">
        <f t="shared" si="73"/>
        <v>-4267.2396332938297</v>
      </c>
      <c r="M432" s="62">
        <f t="shared" si="74"/>
        <v>-0.27718121833112375</v>
      </c>
      <c r="N432" s="62">
        <f t="shared" si="75"/>
        <v>-4311.7286440396438</v>
      </c>
      <c r="O432" s="62">
        <f t="shared" si="76"/>
        <v>-0.2803498298001148</v>
      </c>
      <c r="P432" s="62">
        <f t="shared" si="77"/>
        <v>-4206.2909700170057</v>
      </c>
      <c r="Q432" s="62">
        <f t="shared" si="78"/>
        <v>-0.27206600143575599</v>
      </c>
      <c r="R432" s="62">
        <f t="shared" si="79"/>
        <v>15844.745597203464</v>
      </c>
      <c r="S432" s="62">
        <f t="shared" si="80"/>
        <v>23059.460752058105</v>
      </c>
      <c r="T432" s="62">
        <f t="shared" si="81"/>
        <v>23146.228302803775</v>
      </c>
      <c r="U432" s="62">
        <f t="shared" si="82"/>
        <v>22908.516670661214</v>
      </c>
      <c r="V432" s="62">
        <f t="shared" si="72"/>
        <v>1</v>
      </c>
      <c r="W432" s="62">
        <f t="shared" si="72"/>
        <v>0</v>
      </c>
      <c r="X432" s="62">
        <f t="shared" si="72"/>
        <v>0</v>
      </c>
      <c r="Y432" s="62">
        <f t="shared" si="71"/>
        <v>0</v>
      </c>
      <c r="AA432" s="94"/>
    </row>
    <row r="433" spans="2:27" x14ac:dyDescent="0.2">
      <c r="B433" s="94"/>
      <c r="C433" s="62">
        <v>394</v>
      </c>
      <c r="D433" s="62">
        <v>9935.3465441852568</v>
      </c>
      <c r="E433" s="62">
        <v>0.61740984843443636</v>
      </c>
      <c r="F433" s="62">
        <v>14285.82601112701</v>
      </c>
      <c r="G433" s="62">
        <v>0.89421325652109984</v>
      </c>
      <c r="H433" s="62">
        <v>14334.262830516229</v>
      </c>
      <c r="I433" s="62">
        <v>0.8975211819867549</v>
      </c>
      <c r="J433" s="62">
        <v>14236.56555288828</v>
      </c>
      <c r="K433" s="62">
        <v>0.89003326368796987</v>
      </c>
      <c r="L433" s="62">
        <f t="shared" si="73"/>
        <v>-4350.4794669417533</v>
      </c>
      <c r="M433" s="62">
        <f t="shared" si="74"/>
        <v>-0.27680340808666348</v>
      </c>
      <c r="N433" s="62">
        <f t="shared" si="75"/>
        <v>-4398.9162863309721</v>
      </c>
      <c r="O433" s="62">
        <f t="shared" si="76"/>
        <v>-0.28011133355231854</v>
      </c>
      <c r="P433" s="62">
        <f t="shared" si="77"/>
        <v>-4301.2190087030231</v>
      </c>
      <c r="Q433" s="62">
        <f t="shared" si="78"/>
        <v>-0.27262341525353351</v>
      </c>
      <c r="R433" s="62">
        <f t="shared" si="79"/>
        <v>15640.239017362834</v>
      </c>
      <c r="S433" s="62">
        <f t="shared" si="80"/>
        <v>22756.063927003033</v>
      </c>
      <c r="T433" s="62">
        <f t="shared" si="81"/>
        <v>22844.654612103106</v>
      </c>
      <c r="U433" s="62">
        <f t="shared" si="82"/>
        <v>22632.172362122183</v>
      </c>
      <c r="V433" s="62">
        <f t="shared" si="72"/>
        <v>1</v>
      </c>
      <c r="W433" s="62">
        <f t="shared" si="72"/>
        <v>0</v>
      </c>
      <c r="X433" s="62">
        <f t="shared" si="72"/>
        <v>0</v>
      </c>
      <c r="Y433" s="62">
        <f t="shared" si="71"/>
        <v>0</v>
      </c>
      <c r="AA433" s="94"/>
    </row>
    <row r="434" spans="2:27" x14ac:dyDescent="0.2">
      <c r="B434" s="94"/>
      <c r="C434" s="62">
        <v>395</v>
      </c>
      <c r="D434" s="62">
        <v>8416.6205452481372</v>
      </c>
      <c r="E434" s="62">
        <v>0.61747897179142874</v>
      </c>
      <c r="F434" s="62">
        <v>12107.781483834131</v>
      </c>
      <c r="G434" s="62">
        <v>0.89496969898945566</v>
      </c>
      <c r="H434" s="62">
        <v>12131.133374414956</v>
      </c>
      <c r="I434" s="62">
        <v>0.89700597467621135</v>
      </c>
      <c r="J434" s="62">
        <v>12042.644174507635</v>
      </c>
      <c r="K434" s="62">
        <v>0.88891304695934559</v>
      </c>
      <c r="L434" s="62">
        <f t="shared" si="73"/>
        <v>-3691.1609385859938</v>
      </c>
      <c r="M434" s="62">
        <f t="shared" si="74"/>
        <v>-0.27749072719802692</v>
      </c>
      <c r="N434" s="62">
        <f t="shared" si="75"/>
        <v>-3714.5128291668188</v>
      </c>
      <c r="O434" s="62">
        <f t="shared" si="76"/>
        <v>-0.2795270028847826</v>
      </c>
      <c r="P434" s="62">
        <f t="shared" si="77"/>
        <v>-3626.0236292594982</v>
      </c>
      <c r="Q434" s="62">
        <f t="shared" si="78"/>
        <v>-0.27143407516791684</v>
      </c>
      <c r="R434" s="62">
        <f t="shared" si="79"/>
        <v>17161.828382240008</v>
      </c>
      <c r="S434" s="62">
        <f t="shared" si="80"/>
        <v>24965.44332710508</v>
      </c>
      <c r="T434" s="62">
        <f t="shared" si="81"/>
        <v>25026.442120572425</v>
      </c>
      <c r="U434" s="62">
        <f t="shared" si="82"/>
        <v>24779.689882736297</v>
      </c>
      <c r="V434" s="62">
        <f t="shared" si="72"/>
        <v>1</v>
      </c>
      <c r="W434" s="62">
        <f t="shared" si="72"/>
        <v>0</v>
      </c>
      <c r="X434" s="62">
        <f t="shared" si="72"/>
        <v>0</v>
      </c>
      <c r="Y434" s="62">
        <f t="shared" si="71"/>
        <v>0</v>
      </c>
      <c r="AA434" s="94"/>
    </row>
    <row r="435" spans="2:27" x14ac:dyDescent="0.2">
      <c r="B435" s="94"/>
      <c r="C435" s="62">
        <v>396</v>
      </c>
      <c r="D435" s="62">
        <v>11228.626055271423</v>
      </c>
      <c r="E435" s="62">
        <v>0.6171613877791714</v>
      </c>
      <c r="F435" s="62">
        <v>16159.998105759014</v>
      </c>
      <c r="G435" s="62">
        <v>0.8937552537333191</v>
      </c>
      <c r="H435" s="62">
        <v>16207.909985232811</v>
      </c>
      <c r="I435" s="62">
        <v>0.89667565312074482</v>
      </c>
      <c r="J435" s="62">
        <v>16106.634988031523</v>
      </c>
      <c r="K435" s="62">
        <v>0.88986480566199633</v>
      </c>
      <c r="L435" s="62">
        <f t="shared" si="73"/>
        <v>-4931.372050487591</v>
      </c>
      <c r="M435" s="62">
        <f t="shared" si="74"/>
        <v>-0.2765938659541477</v>
      </c>
      <c r="N435" s="62">
        <f t="shared" si="75"/>
        <v>-4979.2839299613879</v>
      </c>
      <c r="O435" s="62">
        <f t="shared" si="76"/>
        <v>-0.27951426534157342</v>
      </c>
      <c r="P435" s="62">
        <f t="shared" si="77"/>
        <v>-4878.0089327600999</v>
      </c>
      <c r="Q435" s="62">
        <f t="shared" si="78"/>
        <v>-0.27270341788282493</v>
      </c>
      <c r="R435" s="62">
        <f t="shared" si="79"/>
        <v>14336.667272092975</v>
      </c>
      <c r="S435" s="62">
        <f t="shared" si="80"/>
        <v>20862.91952489</v>
      </c>
      <c r="T435" s="62">
        <f t="shared" si="81"/>
        <v>20935.982269640921</v>
      </c>
      <c r="U435" s="62">
        <f t="shared" si="82"/>
        <v>20755.124721711014</v>
      </c>
      <c r="V435" s="62">
        <f t="shared" si="72"/>
        <v>1</v>
      </c>
      <c r="W435" s="62">
        <f t="shared" si="72"/>
        <v>0</v>
      </c>
      <c r="X435" s="62">
        <f t="shared" si="72"/>
        <v>0</v>
      </c>
      <c r="Y435" s="62">
        <f t="shared" si="71"/>
        <v>0</v>
      </c>
      <c r="AA435" s="94"/>
    </row>
    <row r="436" spans="2:27" x14ac:dyDescent="0.2">
      <c r="B436" s="94"/>
      <c r="C436" s="62">
        <v>397</v>
      </c>
      <c r="D436" s="62">
        <v>11329.659318682074</v>
      </c>
      <c r="E436" s="62">
        <v>0.61723440355742909</v>
      </c>
      <c r="F436" s="62">
        <v>16308.872431506235</v>
      </c>
      <c r="G436" s="62">
        <v>0.89423927913822487</v>
      </c>
      <c r="H436" s="62">
        <v>16362.983421081912</v>
      </c>
      <c r="I436" s="62">
        <v>0.89750709249797822</v>
      </c>
      <c r="J436" s="62">
        <v>16257.150535322025</v>
      </c>
      <c r="K436" s="62">
        <v>0.89047088339197056</v>
      </c>
      <c r="L436" s="62">
        <f t="shared" si="73"/>
        <v>-4979.2131128241617</v>
      </c>
      <c r="M436" s="62">
        <f t="shared" si="74"/>
        <v>-0.27700487558079578</v>
      </c>
      <c r="N436" s="62">
        <f t="shared" si="75"/>
        <v>-5033.324102399838</v>
      </c>
      <c r="O436" s="62">
        <f t="shared" si="76"/>
        <v>-0.28027268894054913</v>
      </c>
      <c r="P436" s="62">
        <f t="shared" si="77"/>
        <v>-4927.4912166399517</v>
      </c>
      <c r="Q436" s="62">
        <f t="shared" si="78"/>
        <v>-0.27323647983454147</v>
      </c>
      <c r="R436" s="62">
        <f t="shared" si="79"/>
        <v>14238.658614280868</v>
      </c>
      <c r="S436" s="62">
        <f t="shared" si="80"/>
        <v>20734.095467515588</v>
      </c>
      <c r="T436" s="62">
        <f t="shared" si="81"/>
        <v>20815.350378554343</v>
      </c>
      <c r="U436" s="62">
        <f t="shared" si="82"/>
        <v>20629.71533830696</v>
      </c>
      <c r="V436" s="62">
        <f t="shared" si="72"/>
        <v>1</v>
      </c>
      <c r="W436" s="62">
        <f t="shared" si="72"/>
        <v>0</v>
      </c>
      <c r="X436" s="62">
        <f t="shared" si="72"/>
        <v>0</v>
      </c>
      <c r="Y436" s="62">
        <f t="shared" si="71"/>
        <v>0</v>
      </c>
      <c r="AA436" s="94"/>
    </row>
    <row r="437" spans="2:27" x14ac:dyDescent="0.2">
      <c r="B437" s="94"/>
      <c r="C437" s="62">
        <v>398</v>
      </c>
      <c r="D437" s="62">
        <v>13991.301870108278</v>
      </c>
      <c r="E437" s="62">
        <v>0.61728668623215543</v>
      </c>
      <c r="F437" s="62">
        <v>20151.36866452347</v>
      </c>
      <c r="G437" s="62">
        <v>0.89439546503420986</v>
      </c>
      <c r="H437" s="62">
        <v>20217.33364829886</v>
      </c>
      <c r="I437" s="62">
        <v>0.89754128083390428</v>
      </c>
      <c r="J437" s="62">
        <v>20060.338737385246</v>
      </c>
      <c r="K437" s="62">
        <v>0.88916395663508407</v>
      </c>
      <c r="L437" s="62">
        <f t="shared" si="73"/>
        <v>-6160.0667944151919</v>
      </c>
      <c r="M437" s="62">
        <f t="shared" si="74"/>
        <v>-0.27710877880205442</v>
      </c>
      <c r="N437" s="62">
        <f t="shared" si="75"/>
        <v>-6226.0317781905815</v>
      </c>
      <c r="O437" s="62">
        <f t="shared" si="76"/>
        <v>-0.28025459460174884</v>
      </c>
      <c r="P437" s="62">
        <f t="shared" si="77"/>
        <v>-6069.0368672769673</v>
      </c>
      <c r="Q437" s="62">
        <f t="shared" si="78"/>
        <v>-0.27187727040292864</v>
      </c>
      <c r="R437" s="62">
        <f t="shared" si="79"/>
        <v>11579.181820372529</v>
      </c>
      <c r="S437" s="62">
        <f t="shared" si="80"/>
        <v>16898.069079053639</v>
      </c>
      <c r="T437" s="62">
        <f t="shared" si="81"/>
        <v>16962.41636896479</v>
      </c>
      <c r="U437" s="62">
        <f t="shared" si="82"/>
        <v>16772.389002266478</v>
      </c>
      <c r="V437" s="62">
        <f t="shared" si="72"/>
        <v>1</v>
      </c>
      <c r="W437" s="62">
        <f t="shared" si="72"/>
        <v>0</v>
      </c>
      <c r="X437" s="62">
        <f t="shared" si="72"/>
        <v>0</v>
      </c>
      <c r="Y437" s="62">
        <f t="shared" si="71"/>
        <v>0</v>
      </c>
      <c r="AA437" s="94"/>
    </row>
    <row r="438" spans="2:27" x14ac:dyDescent="0.2">
      <c r="B438" s="94"/>
      <c r="C438" s="62">
        <v>399</v>
      </c>
      <c r="D438" s="62">
        <v>8744.5155713828299</v>
      </c>
      <c r="E438" s="62">
        <v>0.61755289840146321</v>
      </c>
      <c r="F438" s="62">
        <v>12554.533992213584</v>
      </c>
      <c r="G438" s="62">
        <v>0.8934296633039317</v>
      </c>
      <c r="H438" s="62">
        <v>12606.118101847578</v>
      </c>
      <c r="I438" s="62">
        <v>0.89758985040544204</v>
      </c>
      <c r="J438" s="62">
        <v>12515.467499650462</v>
      </c>
      <c r="K438" s="62">
        <v>0.88960113609233948</v>
      </c>
      <c r="L438" s="62">
        <f t="shared" si="73"/>
        <v>-3810.0184208307546</v>
      </c>
      <c r="M438" s="62">
        <f t="shared" si="74"/>
        <v>-0.27587676490246849</v>
      </c>
      <c r="N438" s="62">
        <f t="shared" si="75"/>
        <v>-3861.6025304647483</v>
      </c>
      <c r="O438" s="62">
        <f t="shared" si="76"/>
        <v>-0.28003695200397882</v>
      </c>
      <c r="P438" s="62">
        <f t="shared" si="77"/>
        <v>-3770.951928267632</v>
      </c>
      <c r="Q438" s="62">
        <f t="shared" si="78"/>
        <v>-0.27204823769087627</v>
      </c>
      <c r="R438" s="62">
        <f t="shared" si="79"/>
        <v>16836.995691999386</v>
      </c>
      <c r="S438" s="62">
        <f t="shared" si="80"/>
        <v>24454.896380488484</v>
      </c>
      <c r="T438" s="62">
        <f t="shared" si="81"/>
        <v>24575.643861347453</v>
      </c>
      <c r="U438" s="62">
        <f t="shared" si="82"/>
        <v>24335.369961838609</v>
      </c>
      <c r="V438" s="62">
        <f t="shared" si="72"/>
        <v>1</v>
      </c>
      <c r="W438" s="62">
        <f t="shared" si="72"/>
        <v>0</v>
      </c>
      <c r="X438" s="62">
        <f t="shared" si="72"/>
        <v>0</v>
      </c>
      <c r="Y438" s="62">
        <f t="shared" si="71"/>
        <v>0</v>
      </c>
      <c r="AA438" s="94"/>
    </row>
    <row r="439" spans="2:27" x14ac:dyDescent="0.2">
      <c r="B439" s="94"/>
      <c r="C439" s="62">
        <v>400</v>
      </c>
      <c r="D439" s="62">
        <v>10595.584894089501</v>
      </c>
      <c r="E439" s="62">
        <v>0.61777998405668821</v>
      </c>
      <c r="F439" s="62">
        <v>15224.054672709288</v>
      </c>
      <c r="G439" s="62">
        <v>0.89408215974641614</v>
      </c>
      <c r="H439" s="62">
        <v>15274.984021664715</v>
      </c>
      <c r="I439" s="62">
        <v>0.897348658581957</v>
      </c>
      <c r="J439" s="62">
        <v>15167.538979258983</v>
      </c>
      <c r="K439" s="62">
        <v>0.88959538815119699</v>
      </c>
      <c r="L439" s="62">
        <f t="shared" si="73"/>
        <v>-4628.4697786197867</v>
      </c>
      <c r="M439" s="62">
        <f t="shared" si="74"/>
        <v>-0.27630217568972792</v>
      </c>
      <c r="N439" s="62">
        <f t="shared" si="75"/>
        <v>-4679.3991275752142</v>
      </c>
      <c r="O439" s="62">
        <f t="shared" si="76"/>
        <v>-0.27956867452526879</v>
      </c>
      <c r="P439" s="62">
        <f t="shared" si="77"/>
        <v>-4571.9540851694819</v>
      </c>
      <c r="Q439" s="62">
        <f t="shared" si="78"/>
        <v>-0.27181540409450877</v>
      </c>
      <c r="R439" s="62">
        <f t="shared" si="79"/>
        <v>14995.333165474753</v>
      </c>
      <c r="S439" s="62">
        <f t="shared" si="80"/>
        <v>21812.404712626252</v>
      </c>
      <c r="T439" s="62">
        <f t="shared" si="81"/>
        <v>21896.786811434271</v>
      </c>
      <c r="U439" s="62">
        <f t="shared" si="82"/>
        <v>21683.060379516202</v>
      </c>
      <c r="V439" s="62">
        <f t="shared" si="72"/>
        <v>1</v>
      </c>
      <c r="W439" s="62">
        <f t="shared" si="72"/>
        <v>0</v>
      </c>
      <c r="X439" s="62">
        <f t="shared" si="72"/>
        <v>0</v>
      </c>
      <c r="Y439" s="62">
        <f t="shared" si="71"/>
        <v>0</v>
      </c>
      <c r="AA439" s="94"/>
    </row>
    <row r="440" spans="2:27" x14ac:dyDescent="0.2">
      <c r="B440" s="94"/>
      <c r="C440" s="62">
        <v>401</v>
      </c>
      <c r="D440" s="62">
        <v>10722.906448221509</v>
      </c>
      <c r="E440" s="62">
        <v>0.61780551893019864</v>
      </c>
      <c r="F440" s="62">
        <v>15417.569465728082</v>
      </c>
      <c r="G440" s="62">
        <v>0.89442115706804404</v>
      </c>
      <c r="H440" s="62">
        <v>15445.807273680108</v>
      </c>
      <c r="I440" s="62">
        <v>0.89623159252826101</v>
      </c>
      <c r="J440" s="62">
        <v>15355.094757939029</v>
      </c>
      <c r="K440" s="62">
        <v>0.8897217066173797</v>
      </c>
      <c r="L440" s="62">
        <f t="shared" si="73"/>
        <v>-4694.6630175065729</v>
      </c>
      <c r="M440" s="62">
        <f t="shared" si="74"/>
        <v>-0.2766156381378454</v>
      </c>
      <c r="N440" s="62">
        <f t="shared" si="75"/>
        <v>-4722.9008254585988</v>
      </c>
      <c r="O440" s="62">
        <f t="shared" si="76"/>
        <v>-0.27842607359806237</v>
      </c>
      <c r="P440" s="62">
        <f t="shared" si="77"/>
        <v>-4632.1883097175196</v>
      </c>
      <c r="Q440" s="62">
        <f t="shared" si="78"/>
        <v>-0.27191618768718107</v>
      </c>
      <c r="R440" s="62">
        <f t="shared" si="79"/>
        <v>14869.069367943039</v>
      </c>
      <c r="S440" s="62">
        <f t="shared" si="80"/>
        <v>21632.932544658572</v>
      </c>
      <c r="T440" s="62">
        <f t="shared" si="81"/>
        <v>21679.690215210579</v>
      </c>
      <c r="U440" s="62">
        <f t="shared" si="82"/>
        <v>21500.737216979309</v>
      </c>
      <c r="V440" s="62">
        <f t="shared" si="72"/>
        <v>1</v>
      </c>
      <c r="W440" s="62">
        <f t="shared" si="72"/>
        <v>0</v>
      </c>
      <c r="X440" s="62">
        <f t="shared" si="72"/>
        <v>0</v>
      </c>
      <c r="Y440" s="62">
        <f t="shared" si="71"/>
        <v>0</v>
      </c>
      <c r="AA440" s="94"/>
    </row>
    <row r="441" spans="2:27" x14ac:dyDescent="0.2">
      <c r="B441" s="94"/>
      <c r="C441" s="62">
        <v>402</v>
      </c>
      <c r="D441" s="62">
        <v>11684.920904511042</v>
      </c>
      <c r="E441" s="62">
        <v>0.61752613970018888</v>
      </c>
      <c r="F441" s="62">
        <v>16800.583017296951</v>
      </c>
      <c r="G441" s="62">
        <v>0.89397266929684316</v>
      </c>
      <c r="H441" s="62">
        <v>16871.133775035789</v>
      </c>
      <c r="I441" s="62">
        <v>0.89806040751024796</v>
      </c>
      <c r="J441" s="62">
        <v>16725.712001197768</v>
      </c>
      <c r="K441" s="62">
        <v>0.88883690455093178</v>
      </c>
      <c r="L441" s="62">
        <f t="shared" si="73"/>
        <v>-5115.6621127859089</v>
      </c>
      <c r="M441" s="62">
        <f t="shared" si="74"/>
        <v>-0.27644652959665428</v>
      </c>
      <c r="N441" s="62">
        <f t="shared" si="75"/>
        <v>-5186.2128705247469</v>
      </c>
      <c r="O441" s="62">
        <f t="shared" si="76"/>
        <v>-0.28053426781005908</v>
      </c>
      <c r="P441" s="62">
        <f t="shared" si="77"/>
        <v>-5040.7910966867257</v>
      </c>
      <c r="Q441" s="62">
        <f t="shared" si="78"/>
        <v>-0.2713107648507429</v>
      </c>
      <c r="R441" s="62">
        <f t="shared" si="79"/>
        <v>13895.481906429583</v>
      </c>
      <c r="S441" s="62">
        <f t="shared" si="80"/>
        <v>20231.340835655479</v>
      </c>
      <c r="T441" s="62">
        <f t="shared" si="81"/>
        <v>20330.12054566872</v>
      </c>
      <c r="U441" s="62">
        <f t="shared" si="82"/>
        <v>20093.46793292003</v>
      </c>
      <c r="V441" s="62">
        <f t="shared" si="72"/>
        <v>1</v>
      </c>
      <c r="W441" s="62">
        <f t="shared" si="72"/>
        <v>0</v>
      </c>
      <c r="X441" s="62">
        <f t="shared" si="72"/>
        <v>0</v>
      </c>
      <c r="Y441" s="62">
        <f t="shared" si="71"/>
        <v>0</v>
      </c>
      <c r="AA441" s="94"/>
    </row>
    <row r="442" spans="2:27" x14ac:dyDescent="0.2">
      <c r="B442" s="94"/>
      <c r="C442" s="62">
        <v>403</v>
      </c>
      <c r="D442" s="62">
        <v>11340.466559469132</v>
      </c>
      <c r="E442" s="62">
        <v>0.61729506332412898</v>
      </c>
      <c r="F442" s="62">
        <v>16322.977299847345</v>
      </c>
      <c r="G442" s="62">
        <v>0.89393175785556367</v>
      </c>
      <c r="H442" s="62">
        <v>16359.988763663145</v>
      </c>
      <c r="I442" s="62">
        <v>0.89626445399528154</v>
      </c>
      <c r="J442" s="62">
        <v>16247.018576751299</v>
      </c>
      <c r="K442" s="62">
        <v>0.88877658976199192</v>
      </c>
      <c r="L442" s="62">
        <f t="shared" si="73"/>
        <v>-4982.5107403782131</v>
      </c>
      <c r="M442" s="62">
        <f t="shared" si="74"/>
        <v>-0.27663669453143469</v>
      </c>
      <c r="N442" s="62">
        <f t="shared" si="75"/>
        <v>-5019.5222041940124</v>
      </c>
      <c r="O442" s="62">
        <f t="shared" si="76"/>
        <v>-0.27896939067115256</v>
      </c>
      <c r="P442" s="62">
        <f t="shared" si="77"/>
        <v>-4906.5520172821671</v>
      </c>
      <c r="Q442" s="62">
        <f t="shared" si="78"/>
        <v>-0.27148152643786294</v>
      </c>
      <c r="R442" s="62">
        <f t="shared" si="79"/>
        <v>14230.364143669587</v>
      </c>
      <c r="S442" s="62">
        <f t="shared" si="80"/>
        <v>20707.251837561522</v>
      </c>
      <c r="T442" s="62">
        <f t="shared" si="81"/>
        <v>20766.869978637398</v>
      </c>
      <c r="U442" s="62">
        <f t="shared" si="82"/>
        <v>20569.662877549457</v>
      </c>
      <c r="V442" s="62">
        <f t="shared" si="72"/>
        <v>1</v>
      </c>
      <c r="W442" s="62">
        <f t="shared" si="72"/>
        <v>0</v>
      </c>
      <c r="X442" s="62">
        <f t="shared" si="72"/>
        <v>0</v>
      </c>
      <c r="Y442" s="62">
        <f t="shared" si="71"/>
        <v>0</v>
      </c>
      <c r="AA442" s="94"/>
    </row>
    <row r="443" spans="2:27" x14ac:dyDescent="0.2">
      <c r="B443" s="94"/>
      <c r="C443" s="62">
        <v>404</v>
      </c>
      <c r="D443" s="62">
        <v>11286.668403937338</v>
      </c>
      <c r="E443" s="62">
        <v>0.61765021302529421</v>
      </c>
      <c r="F443" s="62">
        <v>16238.983748050397</v>
      </c>
      <c r="G443" s="62">
        <v>0.89433923574072383</v>
      </c>
      <c r="H443" s="62">
        <v>16280.77239732399</v>
      </c>
      <c r="I443" s="62">
        <v>0.89686348941428806</v>
      </c>
      <c r="J443" s="62">
        <v>16162.305098336225</v>
      </c>
      <c r="K443" s="62">
        <v>0.88909243383519942</v>
      </c>
      <c r="L443" s="62">
        <f t="shared" si="73"/>
        <v>-4952.3153441130598</v>
      </c>
      <c r="M443" s="62">
        <f t="shared" si="74"/>
        <v>-0.27668902271542961</v>
      </c>
      <c r="N443" s="62">
        <f t="shared" si="75"/>
        <v>-4994.1039933866523</v>
      </c>
      <c r="O443" s="62">
        <f t="shared" si="76"/>
        <v>-0.27921327638899385</v>
      </c>
      <c r="P443" s="62">
        <f t="shared" si="77"/>
        <v>-4875.6366943988869</v>
      </c>
      <c r="Q443" s="62">
        <f t="shared" si="78"/>
        <v>-0.27144222080990521</v>
      </c>
      <c r="R443" s="62">
        <f t="shared" si="79"/>
        <v>14298.87402042245</v>
      </c>
      <c r="S443" s="62">
        <f t="shared" si="80"/>
        <v>20808.124753273347</v>
      </c>
      <c r="T443" s="62">
        <f t="shared" si="81"/>
        <v>20870.90078817348</v>
      </c>
      <c r="U443" s="62">
        <f t="shared" si="82"/>
        <v>20667.459880853072</v>
      </c>
      <c r="V443" s="62">
        <f t="shared" si="72"/>
        <v>1</v>
      </c>
      <c r="W443" s="62">
        <f t="shared" si="72"/>
        <v>0</v>
      </c>
      <c r="X443" s="62">
        <f t="shared" si="72"/>
        <v>0</v>
      </c>
      <c r="Y443" s="62">
        <f t="shared" si="71"/>
        <v>0</v>
      </c>
      <c r="AA443" s="94"/>
    </row>
    <row r="444" spans="2:27" x14ac:dyDescent="0.2">
      <c r="B444" s="94"/>
      <c r="C444" s="62">
        <v>405</v>
      </c>
      <c r="D444" s="62">
        <v>12331.039610546859</v>
      </c>
      <c r="E444" s="62">
        <v>0.61760832522081932</v>
      </c>
      <c r="F444" s="62">
        <v>17755.909972150363</v>
      </c>
      <c r="G444" s="62">
        <v>0.89487620691180259</v>
      </c>
      <c r="H444" s="62">
        <v>17797.789971450493</v>
      </c>
      <c r="I444" s="62">
        <v>0.89725495139894373</v>
      </c>
      <c r="J444" s="62">
        <v>17678.457496652034</v>
      </c>
      <c r="K444" s="62">
        <v>0.8899471277128489</v>
      </c>
      <c r="L444" s="62">
        <f t="shared" si="73"/>
        <v>-5424.8703616035036</v>
      </c>
      <c r="M444" s="62">
        <f t="shared" si="74"/>
        <v>-0.27726788169098326</v>
      </c>
      <c r="N444" s="62">
        <f t="shared" si="75"/>
        <v>-5466.7503609036339</v>
      </c>
      <c r="O444" s="62">
        <f t="shared" si="76"/>
        <v>-0.27964662617812441</v>
      </c>
      <c r="P444" s="62">
        <f t="shared" si="77"/>
        <v>-5347.4178861051751</v>
      </c>
      <c r="Q444" s="62">
        <f t="shared" si="78"/>
        <v>-0.27233880249202957</v>
      </c>
      <c r="R444" s="62">
        <f t="shared" si="79"/>
        <v>13252.76765340036</v>
      </c>
      <c r="S444" s="62">
        <f t="shared" si="80"/>
        <v>19313.442022964151</v>
      </c>
      <c r="T444" s="62">
        <f t="shared" si="81"/>
        <v>19370.099135299355</v>
      </c>
      <c r="U444" s="62">
        <f t="shared" si="82"/>
        <v>19186.712321725015</v>
      </c>
      <c r="V444" s="62">
        <f t="shared" si="72"/>
        <v>1</v>
      </c>
      <c r="W444" s="62">
        <f t="shared" si="72"/>
        <v>0</v>
      </c>
      <c r="X444" s="62">
        <f t="shared" si="72"/>
        <v>0</v>
      </c>
      <c r="Y444" s="62">
        <f t="shared" si="71"/>
        <v>0</v>
      </c>
      <c r="AA444" s="94"/>
    </row>
    <row r="445" spans="2:27" x14ac:dyDescent="0.2">
      <c r="B445" s="94"/>
      <c r="C445" s="62">
        <v>406</v>
      </c>
      <c r="D445" s="62">
        <v>9058.0476375337112</v>
      </c>
      <c r="E445" s="62">
        <v>0.61777571696643796</v>
      </c>
      <c r="F445" s="62">
        <v>13020.834891765213</v>
      </c>
      <c r="G445" s="62">
        <v>0.89436226741475178</v>
      </c>
      <c r="H445" s="62">
        <v>13059.335351143796</v>
      </c>
      <c r="I445" s="62">
        <v>0.89741872789815991</v>
      </c>
      <c r="J445" s="62">
        <v>12966.951335528796</v>
      </c>
      <c r="K445" s="62">
        <v>0.8895851446819858</v>
      </c>
      <c r="L445" s="62">
        <f t="shared" si="73"/>
        <v>-3962.7872542315017</v>
      </c>
      <c r="M445" s="62">
        <f t="shared" si="74"/>
        <v>-0.27658655044831382</v>
      </c>
      <c r="N445" s="62">
        <f t="shared" si="75"/>
        <v>-4001.2877136100851</v>
      </c>
      <c r="O445" s="62">
        <f t="shared" si="76"/>
        <v>-0.27964301093172195</v>
      </c>
      <c r="P445" s="62">
        <f t="shared" si="77"/>
        <v>-3908.9036979950852</v>
      </c>
      <c r="Q445" s="62">
        <f t="shared" si="78"/>
        <v>-0.27180942771554784</v>
      </c>
      <c r="R445" s="62">
        <f t="shared" si="79"/>
        <v>16532.693662084013</v>
      </c>
      <c r="S445" s="62">
        <f t="shared" si="80"/>
        <v>24027.227673623463</v>
      </c>
      <c r="T445" s="62">
        <f t="shared" si="81"/>
        <v>24115.338033309577</v>
      </c>
      <c r="U445" s="62">
        <f t="shared" si="82"/>
        <v>23883.223697777783</v>
      </c>
      <c r="V445" s="62">
        <f t="shared" si="72"/>
        <v>1</v>
      </c>
      <c r="W445" s="62">
        <f t="shared" si="72"/>
        <v>0</v>
      </c>
      <c r="X445" s="62">
        <f t="shared" si="72"/>
        <v>0</v>
      </c>
      <c r="Y445" s="62">
        <f t="shared" si="71"/>
        <v>0</v>
      </c>
      <c r="AA445" s="94"/>
    </row>
    <row r="446" spans="2:27" x14ac:dyDescent="0.2">
      <c r="B446" s="94"/>
      <c r="C446" s="62">
        <v>407</v>
      </c>
      <c r="D446" s="62">
        <v>11575.259313334049</v>
      </c>
      <c r="E446" s="62">
        <v>0.61829039458815893</v>
      </c>
      <c r="F446" s="62">
        <v>16624.850043857128</v>
      </c>
      <c r="G446" s="62">
        <v>0.89350676326143408</v>
      </c>
      <c r="H446" s="62">
        <v>16695.358095494303</v>
      </c>
      <c r="I446" s="62">
        <v>0.89767241128257447</v>
      </c>
      <c r="J446" s="62">
        <v>16567.214514374042</v>
      </c>
      <c r="K446" s="62">
        <v>0.88944395615475236</v>
      </c>
      <c r="L446" s="62">
        <f t="shared" si="73"/>
        <v>-5049.5907305230794</v>
      </c>
      <c r="M446" s="62">
        <f t="shared" si="74"/>
        <v>-0.27521636867327515</v>
      </c>
      <c r="N446" s="62">
        <f t="shared" si="75"/>
        <v>-5120.0987821602539</v>
      </c>
      <c r="O446" s="62">
        <f t="shared" si="76"/>
        <v>-0.27938201669441554</v>
      </c>
      <c r="P446" s="62">
        <f t="shared" si="77"/>
        <v>-4991.955201039993</v>
      </c>
      <c r="Q446" s="62">
        <f t="shared" si="78"/>
        <v>-0.27115356156659343</v>
      </c>
      <c r="R446" s="62">
        <f t="shared" si="79"/>
        <v>14036.801992085846</v>
      </c>
      <c r="S446" s="62">
        <f t="shared" si="80"/>
        <v>20387.774117484514</v>
      </c>
      <c r="T446" s="62">
        <f t="shared" si="81"/>
        <v>20489.823869475062</v>
      </c>
      <c r="U446" s="62">
        <f t="shared" si="82"/>
        <v>20277.111925380421</v>
      </c>
      <c r="V446" s="62">
        <f t="shared" si="72"/>
        <v>1</v>
      </c>
      <c r="W446" s="62">
        <f t="shared" si="72"/>
        <v>0</v>
      </c>
      <c r="X446" s="62">
        <f t="shared" si="72"/>
        <v>0</v>
      </c>
      <c r="Y446" s="62">
        <f t="shared" si="71"/>
        <v>0</v>
      </c>
      <c r="AA446" s="94"/>
    </row>
    <row r="447" spans="2:27" x14ac:dyDescent="0.2">
      <c r="B447" s="94"/>
      <c r="C447" s="62">
        <v>408</v>
      </c>
      <c r="D447" s="62">
        <v>10819.006598077089</v>
      </c>
      <c r="E447" s="62">
        <v>0.61802949902658066</v>
      </c>
      <c r="F447" s="62">
        <v>15548.100230401649</v>
      </c>
      <c r="G447" s="62">
        <v>0.8940940492095677</v>
      </c>
      <c r="H447" s="62">
        <v>15597.15459689397</v>
      </c>
      <c r="I447" s="62">
        <v>0.89714189170025538</v>
      </c>
      <c r="J447" s="62">
        <v>15489.379693070232</v>
      </c>
      <c r="K447" s="62">
        <v>0.88955736183064593</v>
      </c>
      <c r="L447" s="62">
        <f t="shared" si="73"/>
        <v>-4729.0936323245605</v>
      </c>
      <c r="M447" s="62">
        <f t="shared" si="74"/>
        <v>-0.27606455018298703</v>
      </c>
      <c r="N447" s="62">
        <f t="shared" si="75"/>
        <v>-4778.1479988168812</v>
      </c>
      <c r="O447" s="62">
        <f t="shared" si="76"/>
        <v>-0.27911239267367471</v>
      </c>
      <c r="P447" s="62">
        <f t="shared" si="77"/>
        <v>-4670.3730949931432</v>
      </c>
      <c r="Q447" s="62">
        <f t="shared" si="78"/>
        <v>-0.27152786280406527</v>
      </c>
      <c r="R447" s="62">
        <f t="shared" si="79"/>
        <v>14782.247369599987</v>
      </c>
      <c r="S447" s="62">
        <f t="shared" si="80"/>
        <v>21488.851664055481</v>
      </c>
      <c r="T447" s="62">
        <f t="shared" si="81"/>
        <v>21566.051124897407</v>
      </c>
      <c r="U447" s="62">
        <f t="shared" si="82"/>
        <v>21359.644463402445</v>
      </c>
      <c r="V447" s="62">
        <f t="shared" si="72"/>
        <v>1</v>
      </c>
      <c r="W447" s="62">
        <f t="shared" si="72"/>
        <v>0</v>
      </c>
      <c r="X447" s="62">
        <f t="shared" si="72"/>
        <v>0</v>
      </c>
      <c r="Y447" s="62">
        <f t="shared" si="71"/>
        <v>0</v>
      </c>
      <c r="AA447" s="94"/>
    </row>
    <row r="448" spans="2:27" x14ac:dyDescent="0.2">
      <c r="B448" s="94"/>
      <c r="C448" s="62">
        <v>409</v>
      </c>
      <c r="D448" s="62">
        <v>9219.2005412348244</v>
      </c>
      <c r="E448" s="62">
        <v>0.6174651595605638</v>
      </c>
      <c r="F448" s="62">
        <v>13256.856185501299</v>
      </c>
      <c r="G448" s="62">
        <v>0.89408748178721043</v>
      </c>
      <c r="H448" s="62">
        <v>13295.570452295886</v>
      </c>
      <c r="I448" s="62">
        <v>0.89706419483474187</v>
      </c>
      <c r="J448" s="62">
        <v>13204.720545989227</v>
      </c>
      <c r="K448" s="62">
        <v>0.8895161706150464</v>
      </c>
      <c r="L448" s="62">
        <f t="shared" si="73"/>
        <v>-4037.6556442664751</v>
      </c>
      <c r="M448" s="62">
        <f t="shared" si="74"/>
        <v>-0.27662232222664662</v>
      </c>
      <c r="N448" s="62">
        <f t="shared" si="75"/>
        <v>-4076.3699110610614</v>
      </c>
      <c r="O448" s="62">
        <f t="shared" si="76"/>
        <v>-0.27959903527417806</v>
      </c>
      <c r="P448" s="62">
        <f t="shared" si="77"/>
        <v>-3985.5200047544022</v>
      </c>
      <c r="Q448" s="62">
        <f t="shared" si="78"/>
        <v>-0.27205101105448259</v>
      </c>
      <c r="R448" s="62">
        <f t="shared" si="79"/>
        <v>16358.67622840197</v>
      </c>
      <c r="S448" s="62">
        <f t="shared" si="80"/>
        <v>23779.823660052109</v>
      </c>
      <c r="T448" s="62">
        <f t="shared" si="81"/>
        <v>23864.416754538463</v>
      </c>
      <c r="U448" s="62">
        <f t="shared" si="82"/>
        <v>23642.597305568452</v>
      </c>
      <c r="V448" s="62">
        <f t="shared" si="72"/>
        <v>1</v>
      </c>
      <c r="W448" s="62">
        <f t="shared" si="72"/>
        <v>0</v>
      </c>
      <c r="X448" s="62">
        <f t="shared" si="72"/>
        <v>0</v>
      </c>
      <c r="Y448" s="62">
        <f t="shared" si="71"/>
        <v>0</v>
      </c>
      <c r="AA448" s="94"/>
    </row>
    <row r="449" spans="2:27" x14ac:dyDescent="0.2">
      <c r="B449" s="94"/>
      <c r="C449" s="62">
        <v>410</v>
      </c>
      <c r="D449" s="62">
        <v>9178.4399712416634</v>
      </c>
      <c r="E449" s="62">
        <v>0.61794439255861511</v>
      </c>
      <c r="F449" s="62">
        <v>13198.413809545953</v>
      </c>
      <c r="G449" s="62">
        <v>0.89504678067321386</v>
      </c>
      <c r="H449" s="62">
        <v>13229.194251100267</v>
      </c>
      <c r="I449" s="62">
        <v>0.89734264215128501</v>
      </c>
      <c r="J449" s="62">
        <v>13125.432591027509</v>
      </c>
      <c r="K449" s="62">
        <v>0.88877914465538554</v>
      </c>
      <c r="L449" s="62">
        <f t="shared" si="73"/>
        <v>-4019.9738383042895</v>
      </c>
      <c r="M449" s="62">
        <f t="shared" si="74"/>
        <v>-0.27710238811459875</v>
      </c>
      <c r="N449" s="62">
        <f t="shared" si="75"/>
        <v>-4050.7542798586037</v>
      </c>
      <c r="O449" s="62">
        <f t="shared" si="76"/>
        <v>-0.2793982495926699</v>
      </c>
      <c r="P449" s="62">
        <f t="shared" si="77"/>
        <v>-3946.9926197858458</v>
      </c>
      <c r="Q449" s="62">
        <f t="shared" si="78"/>
        <v>-0.27083475209677044</v>
      </c>
      <c r="R449" s="62">
        <f t="shared" si="79"/>
        <v>16419.288546106407</v>
      </c>
      <c r="S449" s="62">
        <f t="shared" si="80"/>
        <v>23878.004033061257</v>
      </c>
      <c r="T449" s="62">
        <f t="shared" si="81"/>
        <v>23942.327357374565</v>
      </c>
      <c r="U449" s="62">
        <f t="shared" si="82"/>
        <v>23691.354697177187</v>
      </c>
      <c r="V449" s="62">
        <f t="shared" si="72"/>
        <v>1</v>
      </c>
      <c r="W449" s="62">
        <f t="shared" si="72"/>
        <v>0</v>
      </c>
      <c r="X449" s="62">
        <f t="shared" si="72"/>
        <v>0</v>
      </c>
      <c r="Y449" s="62">
        <f t="shared" si="71"/>
        <v>0</v>
      </c>
      <c r="AA449" s="94"/>
    </row>
    <row r="450" spans="2:27" x14ac:dyDescent="0.2">
      <c r="B450" s="94"/>
      <c r="C450" s="62">
        <v>411</v>
      </c>
      <c r="D450" s="62">
        <v>11707.04555460867</v>
      </c>
      <c r="E450" s="62">
        <v>0.61712282230268412</v>
      </c>
      <c r="F450" s="62">
        <v>16862.470268556062</v>
      </c>
      <c r="G450" s="62">
        <v>0.89454014551349403</v>
      </c>
      <c r="H450" s="62">
        <v>16913.543727327484</v>
      </c>
      <c r="I450" s="62">
        <v>0.89750056835282233</v>
      </c>
      <c r="J450" s="62">
        <v>16781.281854285487</v>
      </c>
      <c r="K450" s="62">
        <v>0.8891762486910012</v>
      </c>
      <c r="L450" s="62">
        <f t="shared" si="73"/>
        <v>-5155.4247139473919</v>
      </c>
      <c r="M450" s="62">
        <f t="shared" si="74"/>
        <v>-0.27741732321080992</v>
      </c>
      <c r="N450" s="62">
        <f t="shared" si="75"/>
        <v>-5206.4981727188133</v>
      </c>
      <c r="O450" s="62">
        <f t="shared" si="76"/>
        <v>-0.28037774605013821</v>
      </c>
      <c r="P450" s="62">
        <f t="shared" si="77"/>
        <v>-5074.236299676817</v>
      </c>
      <c r="Q450" s="62">
        <f t="shared" si="78"/>
        <v>-0.27205342638831709</v>
      </c>
      <c r="R450" s="62">
        <f t="shared" si="79"/>
        <v>13856.650236457717</v>
      </c>
      <c r="S450" s="62">
        <f t="shared" si="80"/>
        <v>20192.960719194918</v>
      </c>
      <c r="T450" s="62">
        <f t="shared" si="81"/>
        <v>20264.519816119831</v>
      </c>
      <c r="U450" s="62">
        <f t="shared" si="82"/>
        <v>20051.955071490549</v>
      </c>
      <c r="V450" s="62">
        <f t="shared" si="72"/>
        <v>1</v>
      </c>
      <c r="W450" s="62">
        <f t="shared" si="72"/>
        <v>0</v>
      </c>
      <c r="X450" s="62">
        <f t="shared" si="72"/>
        <v>0</v>
      </c>
      <c r="Y450" s="62">
        <f t="shared" si="71"/>
        <v>0</v>
      </c>
      <c r="AA450" s="94"/>
    </row>
    <row r="451" spans="2:27" x14ac:dyDescent="0.2">
      <c r="B451" s="94"/>
      <c r="C451" s="62">
        <v>412</v>
      </c>
      <c r="D451" s="62">
        <v>11342.477853275157</v>
      </c>
      <c r="E451" s="62">
        <v>0.61746584136628124</v>
      </c>
      <c r="F451" s="62">
        <v>16318.700248015024</v>
      </c>
      <c r="G451" s="62">
        <v>0.8940610131163651</v>
      </c>
      <c r="H451" s="62">
        <v>16366.408796966445</v>
      </c>
      <c r="I451" s="62">
        <v>0.89695824806604563</v>
      </c>
      <c r="J451" s="62">
        <v>16254.662945730015</v>
      </c>
      <c r="K451" s="62">
        <v>0.88960107298748448</v>
      </c>
      <c r="L451" s="62">
        <f t="shared" si="73"/>
        <v>-4976.222394739867</v>
      </c>
      <c r="M451" s="62">
        <f t="shared" si="74"/>
        <v>-0.27659517175008386</v>
      </c>
      <c r="N451" s="62">
        <f t="shared" si="75"/>
        <v>-5023.9309436912881</v>
      </c>
      <c r="O451" s="62">
        <f t="shared" si="76"/>
        <v>-0.27949240669976438</v>
      </c>
      <c r="P451" s="62">
        <f t="shared" si="77"/>
        <v>-4912.185092454858</v>
      </c>
      <c r="Q451" s="62">
        <f t="shared" si="78"/>
        <v>-0.27213523162120323</v>
      </c>
      <c r="R451" s="62">
        <f t="shared" si="79"/>
        <v>14235.427159481676</v>
      </c>
      <c r="S451" s="62">
        <f t="shared" si="80"/>
        <v>20716.88315931728</v>
      </c>
      <c r="T451" s="62">
        <f t="shared" si="81"/>
        <v>20789.189670921427</v>
      </c>
      <c r="U451" s="62">
        <f t="shared" si="82"/>
        <v>20596.171901703543</v>
      </c>
      <c r="V451" s="62">
        <f t="shared" si="72"/>
        <v>1</v>
      </c>
      <c r="W451" s="62">
        <f t="shared" si="72"/>
        <v>0</v>
      </c>
      <c r="X451" s="62">
        <f t="shared" si="72"/>
        <v>0</v>
      </c>
      <c r="Y451" s="62">
        <f t="shared" si="71"/>
        <v>0</v>
      </c>
      <c r="AA451" s="94"/>
    </row>
    <row r="452" spans="2:27" x14ac:dyDescent="0.2">
      <c r="B452" s="94"/>
      <c r="C452" s="62">
        <v>413</v>
      </c>
      <c r="D452" s="62">
        <v>8511.5256445036339</v>
      </c>
      <c r="E452" s="62">
        <v>0.61771297690878246</v>
      </c>
      <c r="F452" s="62">
        <v>12234.242805179827</v>
      </c>
      <c r="G452" s="62">
        <v>0.89411469196039595</v>
      </c>
      <c r="H452" s="62">
        <v>12274.678811451904</v>
      </c>
      <c r="I452" s="62">
        <v>0.89755216573628105</v>
      </c>
      <c r="J452" s="62">
        <v>12177.746045362908</v>
      </c>
      <c r="K452" s="62">
        <v>0.88895300322249382</v>
      </c>
      <c r="L452" s="62">
        <f t="shared" si="73"/>
        <v>-3722.7171606761931</v>
      </c>
      <c r="M452" s="62">
        <f t="shared" si="74"/>
        <v>-0.27640171505161348</v>
      </c>
      <c r="N452" s="62">
        <f t="shared" si="75"/>
        <v>-3763.1531669482702</v>
      </c>
      <c r="O452" s="62">
        <f t="shared" si="76"/>
        <v>-0.27983918882749859</v>
      </c>
      <c r="P452" s="62">
        <f t="shared" si="77"/>
        <v>-3666.2204008592744</v>
      </c>
      <c r="Q452" s="62">
        <f t="shared" si="78"/>
        <v>-0.27124002631371136</v>
      </c>
      <c r="R452" s="62">
        <f t="shared" si="79"/>
        <v>17076.616710965769</v>
      </c>
      <c r="S452" s="62">
        <f t="shared" si="80"/>
        <v>24803.564194587612</v>
      </c>
      <c r="T452" s="62">
        <f t="shared" si="81"/>
        <v>24905.522102007799</v>
      </c>
      <c r="U452" s="62">
        <f t="shared" si="82"/>
        <v>24646.243160125676</v>
      </c>
      <c r="V452" s="62">
        <f t="shared" si="72"/>
        <v>1</v>
      </c>
      <c r="W452" s="62">
        <f t="shared" si="72"/>
        <v>0</v>
      </c>
      <c r="X452" s="62">
        <f t="shared" si="72"/>
        <v>0</v>
      </c>
      <c r="Y452" s="62">
        <f t="shared" si="71"/>
        <v>0</v>
      </c>
      <c r="AA452" s="94"/>
    </row>
    <row r="453" spans="2:27" x14ac:dyDescent="0.2">
      <c r="B453" s="94"/>
      <c r="C453" s="62">
        <v>414</v>
      </c>
      <c r="D453" s="62">
        <v>8126.7321093197415</v>
      </c>
      <c r="E453" s="62">
        <v>0.61799757678292067</v>
      </c>
      <c r="F453" s="62">
        <v>11676.082093117775</v>
      </c>
      <c r="G453" s="62">
        <v>0.89427067887210299</v>
      </c>
      <c r="H453" s="62">
        <v>11710.00335799447</v>
      </c>
      <c r="I453" s="62">
        <v>0.8973734352189382</v>
      </c>
      <c r="J453" s="62">
        <v>11630.333279621338</v>
      </c>
      <c r="K453" s="62">
        <v>0.88973856140605279</v>
      </c>
      <c r="L453" s="62">
        <f t="shared" si="73"/>
        <v>-3549.3499837980335</v>
      </c>
      <c r="M453" s="62">
        <f t="shared" si="74"/>
        <v>-0.27627310208918232</v>
      </c>
      <c r="N453" s="62">
        <f t="shared" si="75"/>
        <v>-3583.2712486747287</v>
      </c>
      <c r="O453" s="62">
        <f t="shared" si="76"/>
        <v>-0.27937585843601753</v>
      </c>
      <c r="P453" s="62">
        <f t="shared" si="77"/>
        <v>-3503.6011703015965</v>
      </c>
      <c r="Q453" s="62">
        <f t="shared" si="78"/>
        <v>-0.27174098462313212</v>
      </c>
      <c r="R453" s="62">
        <f t="shared" si="79"/>
        <v>17473.199511335963</v>
      </c>
      <c r="S453" s="62">
        <f t="shared" si="80"/>
        <v>25368.186508480219</v>
      </c>
      <c r="T453" s="62">
        <f t="shared" si="81"/>
        <v>25462.793822514825</v>
      </c>
      <c r="U453" s="62">
        <f t="shared" si="82"/>
        <v>25226.196888062994</v>
      </c>
      <c r="V453" s="62">
        <f t="shared" si="72"/>
        <v>1</v>
      </c>
      <c r="W453" s="62">
        <f t="shared" si="72"/>
        <v>0</v>
      </c>
      <c r="X453" s="62">
        <f t="shared" si="72"/>
        <v>0</v>
      </c>
      <c r="Y453" s="62">
        <f t="shared" si="71"/>
        <v>0</v>
      </c>
      <c r="AA453" s="94"/>
    </row>
    <row r="454" spans="2:27" x14ac:dyDescent="0.2">
      <c r="B454" s="94"/>
      <c r="C454" s="62">
        <v>415</v>
      </c>
      <c r="D454" s="62">
        <v>10020.765185224351</v>
      </c>
      <c r="E454" s="62">
        <v>0.61774331800227222</v>
      </c>
      <c r="F454" s="62">
        <v>14415.980149892022</v>
      </c>
      <c r="G454" s="62">
        <v>0.89482556378991673</v>
      </c>
      <c r="H454" s="62">
        <v>14456.507457488546</v>
      </c>
      <c r="I454" s="62">
        <v>0.89773110336467743</v>
      </c>
      <c r="J454" s="62">
        <v>14353.114734317351</v>
      </c>
      <c r="K454" s="62">
        <v>0.8899558682447436</v>
      </c>
      <c r="L454" s="62">
        <f t="shared" si="73"/>
        <v>-4395.2149646676717</v>
      </c>
      <c r="M454" s="62">
        <f t="shared" si="74"/>
        <v>-0.27708224578764451</v>
      </c>
      <c r="N454" s="62">
        <f t="shared" si="75"/>
        <v>-4435.742272264195</v>
      </c>
      <c r="O454" s="62">
        <f t="shared" si="76"/>
        <v>-0.27998778536240521</v>
      </c>
      <c r="P454" s="62">
        <f t="shared" si="77"/>
        <v>-4332.349549093</v>
      </c>
      <c r="Q454" s="62">
        <f t="shared" si="78"/>
        <v>-0.27221255024247137</v>
      </c>
      <c r="R454" s="62">
        <f t="shared" si="79"/>
        <v>15568.634019701774</v>
      </c>
      <c r="S454" s="62">
        <f t="shared" si="80"/>
        <v>22651.27400454149</v>
      </c>
      <c r="T454" s="62">
        <f t="shared" si="81"/>
        <v>22731.105768289854</v>
      </c>
      <c r="U454" s="62">
        <f t="shared" si="82"/>
        <v>22512.417151852911</v>
      </c>
      <c r="V454" s="62">
        <f t="shared" si="72"/>
        <v>1</v>
      </c>
      <c r="W454" s="62">
        <f t="shared" si="72"/>
        <v>0</v>
      </c>
      <c r="X454" s="62">
        <f t="shared" si="72"/>
        <v>0</v>
      </c>
      <c r="Y454" s="62">
        <f t="shared" si="71"/>
        <v>0</v>
      </c>
      <c r="AA454" s="94"/>
    </row>
    <row r="455" spans="2:27" x14ac:dyDescent="0.2">
      <c r="B455" s="94"/>
      <c r="C455" s="62">
        <v>416</v>
      </c>
      <c r="D455" s="62">
        <v>9004.2986049061492</v>
      </c>
      <c r="E455" s="62">
        <v>0.61795961983479075</v>
      </c>
      <c r="F455" s="62">
        <v>12930.517310194868</v>
      </c>
      <c r="G455" s="62">
        <v>0.89391837881679181</v>
      </c>
      <c r="H455" s="62">
        <v>12963.464633450412</v>
      </c>
      <c r="I455" s="62">
        <v>0.89659667904784857</v>
      </c>
      <c r="J455" s="62">
        <v>12889.43410087257</v>
      </c>
      <c r="K455" s="62">
        <v>0.89013504165538038</v>
      </c>
      <c r="L455" s="62">
        <f t="shared" si="73"/>
        <v>-3926.2187052887184</v>
      </c>
      <c r="M455" s="62">
        <f t="shared" si="74"/>
        <v>-0.27595875898200106</v>
      </c>
      <c r="N455" s="62">
        <f t="shared" si="75"/>
        <v>-3959.1660285442631</v>
      </c>
      <c r="O455" s="62">
        <f t="shared" si="76"/>
        <v>-0.27863705921305781</v>
      </c>
      <c r="P455" s="62">
        <f t="shared" si="77"/>
        <v>-3885.1354959664204</v>
      </c>
      <c r="Q455" s="62">
        <f t="shared" si="78"/>
        <v>-0.27217542182058962</v>
      </c>
      <c r="R455" s="62">
        <f t="shared" si="79"/>
        <v>16594.060687130223</v>
      </c>
      <c r="S455" s="62">
        <f t="shared" si="80"/>
        <v>24099.157613911913</v>
      </c>
      <c r="T455" s="62">
        <f t="shared" si="81"/>
        <v>24177.156199427664</v>
      </c>
      <c r="U455" s="62">
        <f t="shared" si="82"/>
        <v>23983.519864659909</v>
      </c>
      <c r="V455" s="62">
        <f t="shared" si="72"/>
        <v>1</v>
      </c>
      <c r="W455" s="62">
        <f t="shared" si="72"/>
        <v>0</v>
      </c>
      <c r="X455" s="62">
        <f t="shared" si="72"/>
        <v>0</v>
      </c>
      <c r="Y455" s="62">
        <f t="shared" si="71"/>
        <v>0</v>
      </c>
      <c r="AA455" s="94"/>
    </row>
    <row r="456" spans="2:27" x14ac:dyDescent="0.2">
      <c r="B456" s="94"/>
      <c r="C456" s="62">
        <v>417</v>
      </c>
      <c r="D456" s="62">
        <v>11665.290093756241</v>
      </c>
      <c r="E456" s="62">
        <v>0.61759358342570214</v>
      </c>
      <c r="F456" s="62">
        <v>16769.372607758622</v>
      </c>
      <c r="G456" s="62">
        <v>0.89321301535912334</v>
      </c>
      <c r="H456" s="62">
        <v>16824.039897725306</v>
      </c>
      <c r="I456" s="62">
        <v>0.8964930960621269</v>
      </c>
      <c r="J456" s="62">
        <v>16712.354804474158</v>
      </c>
      <c r="K456" s="62">
        <v>0.88927046860159875</v>
      </c>
      <c r="L456" s="62">
        <f t="shared" si="73"/>
        <v>-5104.0825140023808</v>
      </c>
      <c r="M456" s="62">
        <f t="shared" si="74"/>
        <v>-0.2756194319334212</v>
      </c>
      <c r="N456" s="62">
        <f t="shared" si="75"/>
        <v>-5158.7498039690654</v>
      </c>
      <c r="O456" s="62">
        <f t="shared" si="76"/>
        <v>-0.27889951263642476</v>
      </c>
      <c r="P456" s="62">
        <f t="shared" si="77"/>
        <v>-5047.0647107179175</v>
      </c>
      <c r="Q456" s="62">
        <f t="shared" si="78"/>
        <v>-0.27167688517589661</v>
      </c>
      <c r="R456" s="62">
        <f t="shared" si="79"/>
        <v>13917.906506070045</v>
      </c>
      <c r="S456" s="62">
        <f t="shared" si="80"/>
        <v>20231.083340477704</v>
      </c>
      <c r="T456" s="62">
        <f t="shared" si="81"/>
        <v>20312.290113552241</v>
      </c>
      <c r="U456" s="62">
        <f t="shared" si="82"/>
        <v>20124.78508687847</v>
      </c>
      <c r="V456" s="62">
        <f t="shared" si="72"/>
        <v>1</v>
      </c>
      <c r="W456" s="62">
        <f t="shared" si="72"/>
        <v>0</v>
      </c>
      <c r="X456" s="62">
        <f t="shared" si="72"/>
        <v>0</v>
      </c>
      <c r="Y456" s="62">
        <f t="shared" si="71"/>
        <v>0</v>
      </c>
      <c r="AA456" s="94"/>
    </row>
    <row r="457" spans="2:27" x14ac:dyDescent="0.2">
      <c r="B457" s="94"/>
      <c r="C457" s="62">
        <v>418</v>
      </c>
      <c r="D457" s="62">
        <v>7968.6552836448145</v>
      </c>
      <c r="E457" s="62">
        <v>0.61793258883823476</v>
      </c>
      <c r="F457" s="62">
        <v>11438.274933910498</v>
      </c>
      <c r="G457" s="62">
        <v>0.89442126182998527</v>
      </c>
      <c r="H457" s="62">
        <v>11465.038376238017</v>
      </c>
      <c r="I457" s="62">
        <v>0.89688552822990897</v>
      </c>
      <c r="J457" s="62">
        <v>11395.077586015193</v>
      </c>
      <c r="K457" s="62">
        <v>0.88972029360236005</v>
      </c>
      <c r="L457" s="62">
        <f t="shared" si="73"/>
        <v>-3469.619650265683</v>
      </c>
      <c r="M457" s="62">
        <f t="shared" si="74"/>
        <v>-0.27648867299175051</v>
      </c>
      <c r="N457" s="62">
        <f t="shared" si="75"/>
        <v>-3496.3830925932025</v>
      </c>
      <c r="O457" s="62">
        <f t="shared" si="76"/>
        <v>-0.2789529393916742</v>
      </c>
      <c r="P457" s="62">
        <f t="shared" si="77"/>
        <v>-3426.4223023703789</v>
      </c>
      <c r="Q457" s="62">
        <f t="shared" si="78"/>
        <v>-0.27178770476412528</v>
      </c>
      <c r="R457" s="62">
        <f t="shared" si="79"/>
        <v>17628.584276390222</v>
      </c>
      <c r="S457" s="62">
        <f t="shared" si="80"/>
        <v>25612.231416134811</v>
      </c>
      <c r="T457" s="62">
        <f t="shared" si="81"/>
        <v>25687.547745157732</v>
      </c>
      <c r="U457" s="62">
        <f t="shared" si="82"/>
        <v>25460.695856168968</v>
      </c>
      <c r="V457" s="62">
        <f t="shared" si="72"/>
        <v>1</v>
      </c>
      <c r="W457" s="62">
        <f t="shared" si="72"/>
        <v>0</v>
      </c>
      <c r="X457" s="62">
        <f t="shared" si="72"/>
        <v>0</v>
      </c>
      <c r="Y457" s="62">
        <f t="shared" si="71"/>
        <v>0</v>
      </c>
      <c r="AA457" s="94"/>
    </row>
    <row r="458" spans="2:27" x14ac:dyDescent="0.2">
      <c r="B458" s="94"/>
      <c r="C458" s="62">
        <v>419</v>
      </c>
      <c r="D458" s="62">
        <v>8883.4977149612478</v>
      </c>
      <c r="E458" s="62">
        <v>0.61713192519056326</v>
      </c>
      <c r="F458" s="62">
        <v>12785.522749363336</v>
      </c>
      <c r="G458" s="62">
        <v>0.89487939215217116</v>
      </c>
      <c r="H458" s="62">
        <v>12814.79744617351</v>
      </c>
      <c r="I458" s="62">
        <v>0.89738743504604912</v>
      </c>
      <c r="J458" s="62">
        <v>12718.533819816184</v>
      </c>
      <c r="K458" s="62">
        <v>0.88897267850037853</v>
      </c>
      <c r="L458" s="62">
        <f t="shared" si="73"/>
        <v>-3902.0250344020878</v>
      </c>
      <c r="M458" s="62">
        <f t="shared" si="74"/>
        <v>-0.2777474669616079</v>
      </c>
      <c r="N458" s="62">
        <f t="shared" si="75"/>
        <v>-3931.2997312122625</v>
      </c>
      <c r="O458" s="62">
        <f t="shared" si="76"/>
        <v>-0.28025550985548586</v>
      </c>
      <c r="P458" s="62">
        <f t="shared" si="77"/>
        <v>-3835.0361048549366</v>
      </c>
      <c r="Q458" s="62">
        <f t="shared" si="78"/>
        <v>-0.27184075330981528</v>
      </c>
      <c r="R458" s="62">
        <f t="shared" si="79"/>
        <v>16680.575154132646</v>
      </c>
      <c r="S458" s="62">
        <f t="shared" si="80"/>
        <v>24283.961191148206</v>
      </c>
      <c r="T458" s="62">
        <f t="shared" si="81"/>
        <v>24358.579663174027</v>
      </c>
      <c r="U458" s="62">
        <f t="shared" si="82"/>
        <v>24106.270414383493</v>
      </c>
      <c r="V458" s="62">
        <f t="shared" si="72"/>
        <v>1</v>
      </c>
      <c r="W458" s="62">
        <f t="shared" si="72"/>
        <v>0</v>
      </c>
      <c r="X458" s="62">
        <f t="shared" si="72"/>
        <v>0</v>
      </c>
      <c r="Y458" s="62">
        <f t="shared" si="71"/>
        <v>0</v>
      </c>
      <c r="AA458" s="94"/>
    </row>
    <row r="459" spans="2:27" x14ac:dyDescent="0.2">
      <c r="B459" s="94"/>
      <c r="C459" s="62">
        <v>420</v>
      </c>
      <c r="D459" s="62">
        <v>10235.166414589759</v>
      </c>
      <c r="E459" s="62">
        <v>0.61777487354867544</v>
      </c>
      <c r="F459" s="62">
        <v>14711.205809427003</v>
      </c>
      <c r="G459" s="62">
        <v>0.89424813921971147</v>
      </c>
      <c r="H459" s="62">
        <v>14764.439071823814</v>
      </c>
      <c r="I459" s="62">
        <v>0.89790056553903597</v>
      </c>
      <c r="J459" s="62">
        <v>14649.845833633884</v>
      </c>
      <c r="K459" s="62">
        <v>0.88930709860079027</v>
      </c>
      <c r="L459" s="62">
        <f t="shared" si="73"/>
        <v>-4476.0393948372439</v>
      </c>
      <c r="M459" s="62">
        <f t="shared" si="74"/>
        <v>-0.27647326567103603</v>
      </c>
      <c r="N459" s="62">
        <f t="shared" si="75"/>
        <v>-4529.2726572340543</v>
      </c>
      <c r="O459" s="62">
        <f t="shared" si="76"/>
        <v>-0.28012569199036053</v>
      </c>
      <c r="P459" s="62">
        <f t="shared" si="77"/>
        <v>-4414.6794190441251</v>
      </c>
      <c r="Q459" s="62">
        <f t="shared" si="78"/>
        <v>-0.27153222505211483</v>
      </c>
      <c r="R459" s="62">
        <f t="shared" si="79"/>
        <v>15355.539947290574</v>
      </c>
      <c r="S459" s="62">
        <f t="shared" si="80"/>
        <v>22332.129109610323</v>
      </c>
      <c r="T459" s="62">
        <f t="shared" si="81"/>
        <v>22430.19395506521</v>
      </c>
      <c r="U459" s="62">
        <f t="shared" si="82"/>
        <v>22188.811418805253</v>
      </c>
      <c r="V459" s="62">
        <f t="shared" si="72"/>
        <v>1</v>
      </c>
      <c r="W459" s="62">
        <f t="shared" si="72"/>
        <v>0</v>
      </c>
      <c r="X459" s="62">
        <f t="shared" si="72"/>
        <v>0</v>
      </c>
      <c r="Y459" s="62">
        <f t="shared" si="71"/>
        <v>0</v>
      </c>
      <c r="AA459" s="94"/>
    </row>
    <row r="460" spans="2:27" x14ac:dyDescent="0.2">
      <c r="B460" s="94"/>
      <c r="C460" s="62">
        <v>421</v>
      </c>
      <c r="D460" s="62">
        <v>10998.840389752273</v>
      </c>
      <c r="E460" s="62">
        <v>0.61775787543779082</v>
      </c>
      <c r="F460" s="62">
        <v>15811.324169543193</v>
      </c>
      <c r="G460" s="62">
        <v>0.89421975013578536</v>
      </c>
      <c r="H460" s="62">
        <v>15838.720275974256</v>
      </c>
      <c r="I460" s="62">
        <v>0.89582299954661504</v>
      </c>
      <c r="J460" s="62">
        <v>15744.778320264575</v>
      </c>
      <c r="K460" s="62">
        <v>0.88934078489525781</v>
      </c>
      <c r="L460" s="62">
        <f t="shared" si="73"/>
        <v>-4812.4837797909204</v>
      </c>
      <c r="M460" s="62">
        <f t="shared" si="74"/>
        <v>-0.27646187469799455</v>
      </c>
      <c r="N460" s="62">
        <f t="shared" si="75"/>
        <v>-4839.8798862219828</v>
      </c>
      <c r="O460" s="62">
        <f t="shared" si="76"/>
        <v>-0.27806512410882422</v>
      </c>
      <c r="P460" s="62">
        <f t="shared" si="77"/>
        <v>-4745.937930512302</v>
      </c>
      <c r="Q460" s="62">
        <f t="shared" si="78"/>
        <v>-0.27158290945746699</v>
      </c>
      <c r="R460" s="62">
        <f t="shared" si="79"/>
        <v>14591.161842382775</v>
      </c>
      <c r="S460" s="62">
        <f t="shared" si="80"/>
        <v>21230.834760081576</v>
      </c>
      <c r="T460" s="62">
        <f t="shared" si="81"/>
        <v>21269.851657244726</v>
      </c>
      <c r="U460" s="62">
        <f t="shared" si="82"/>
        <v>21095.274353236586</v>
      </c>
      <c r="V460" s="62">
        <f t="shared" si="72"/>
        <v>1</v>
      </c>
      <c r="W460" s="62">
        <f t="shared" si="72"/>
        <v>0</v>
      </c>
      <c r="X460" s="62">
        <f t="shared" si="72"/>
        <v>0</v>
      </c>
      <c r="Y460" s="62">
        <f t="shared" si="71"/>
        <v>0</v>
      </c>
      <c r="AA460" s="94"/>
    </row>
    <row r="461" spans="2:27" x14ac:dyDescent="0.2">
      <c r="B461" s="94"/>
      <c r="C461" s="62">
        <v>422</v>
      </c>
      <c r="D461" s="62">
        <v>11513.181427080779</v>
      </c>
      <c r="E461" s="62">
        <v>0.61769407576725788</v>
      </c>
      <c r="F461" s="62">
        <v>16588.735305514059</v>
      </c>
      <c r="G461" s="62">
        <v>0.89584530886886771</v>
      </c>
      <c r="H461" s="62">
        <v>16608.36978388502</v>
      </c>
      <c r="I461" s="62">
        <v>0.89701951972781402</v>
      </c>
      <c r="J461" s="62">
        <v>16491.375958558863</v>
      </c>
      <c r="K461" s="62">
        <v>0.88938424682903072</v>
      </c>
      <c r="L461" s="62">
        <f t="shared" si="73"/>
        <v>-5075.5538784332803</v>
      </c>
      <c r="M461" s="62">
        <f t="shared" si="74"/>
        <v>-0.27815123310160983</v>
      </c>
      <c r="N461" s="62">
        <f t="shared" si="75"/>
        <v>-5095.1883568042413</v>
      </c>
      <c r="O461" s="62">
        <f t="shared" si="76"/>
        <v>-0.27932544396055614</v>
      </c>
      <c r="P461" s="62">
        <f t="shared" si="77"/>
        <v>-4978.1945314780842</v>
      </c>
      <c r="Q461" s="62">
        <f t="shared" si="78"/>
        <v>-0.27169017106177284</v>
      </c>
      <c r="R461" s="62">
        <f t="shared" si="79"/>
        <v>14074.177967502112</v>
      </c>
      <c r="S461" s="62">
        <f t="shared" si="80"/>
        <v>20520.760769069919</v>
      </c>
      <c r="T461" s="62">
        <f t="shared" si="81"/>
        <v>20549.766801319951</v>
      </c>
      <c r="U461" s="62">
        <f t="shared" si="82"/>
        <v>20350.477082086909</v>
      </c>
      <c r="V461" s="62">
        <f t="shared" si="72"/>
        <v>1</v>
      </c>
      <c r="W461" s="62">
        <f t="shared" si="72"/>
        <v>0</v>
      </c>
      <c r="X461" s="62">
        <f t="shared" si="72"/>
        <v>0</v>
      </c>
      <c r="Y461" s="62">
        <f t="shared" si="71"/>
        <v>0</v>
      </c>
      <c r="AA461" s="94"/>
    </row>
    <row r="462" spans="2:27" x14ac:dyDescent="0.2">
      <c r="B462" s="94"/>
      <c r="C462" s="62">
        <v>423</v>
      </c>
      <c r="D462" s="62">
        <v>9292.3824546893647</v>
      </c>
      <c r="E462" s="62">
        <v>0.61742595459166183</v>
      </c>
      <c r="F462" s="62">
        <v>13347.605809276463</v>
      </c>
      <c r="G462" s="62">
        <v>0.89391307673248122</v>
      </c>
      <c r="H462" s="62">
        <v>13389.261452776458</v>
      </c>
      <c r="I462" s="62">
        <v>0.89707258150248115</v>
      </c>
      <c r="J462" s="62">
        <v>13293.691890734839</v>
      </c>
      <c r="K462" s="62">
        <v>0.88888806821840805</v>
      </c>
      <c r="L462" s="62">
        <f t="shared" si="73"/>
        <v>-4055.2233545870986</v>
      </c>
      <c r="M462" s="62">
        <f t="shared" si="74"/>
        <v>-0.27648712214081939</v>
      </c>
      <c r="N462" s="62">
        <f t="shared" si="75"/>
        <v>-4096.8789980870934</v>
      </c>
      <c r="O462" s="62">
        <f t="shared" si="76"/>
        <v>-0.27964662691081932</v>
      </c>
      <c r="P462" s="62">
        <f t="shared" si="77"/>
        <v>-4001.3094360454743</v>
      </c>
      <c r="Q462" s="62">
        <f t="shared" si="78"/>
        <v>-0.27146211362674622</v>
      </c>
      <c r="R462" s="62">
        <f t="shared" si="79"/>
        <v>16283.870288315635</v>
      </c>
      <c r="S462" s="62">
        <f t="shared" si="80"/>
        <v>23681.849481289835</v>
      </c>
      <c r="T462" s="62">
        <f t="shared" si="81"/>
        <v>23771.073163382316</v>
      </c>
      <c r="U462" s="62">
        <f t="shared" si="82"/>
        <v>23527.607447144495</v>
      </c>
      <c r="V462" s="62">
        <f t="shared" si="72"/>
        <v>1</v>
      </c>
      <c r="W462" s="62">
        <f t="shared" si="72"/>
        <v>0</v>
      </c>
      <c r="X462" s="62">
        <f t="shared" si="72"/>
        <v>0</v>
      </c>
      <c r="Y462" s="62">
        <f t="shared" si="71"/>
        <v>0</v>
      </c>
      <c r="AA462" s="94"/>
    </row>
    <row r="463" spans="2:27" x14ac:dyDescent="0.2">
      <c r="B463" s="94"/>
      <c r="C463" s="62">
        <v>424</v>
      </c>
      <c r="D463" s="62">
        <v>8569.024663553635</v>
      </c>
      <c r="E463" s="62">
        <v>0.61752974568540564</v>
      </c>
      <c r="F463" s="62">
        <v>12311.433980992259</v>
      </c>
      <c r="G463" s="62">
        <v>0.89405240539043362</v>
      </c>
      <c r="H463" s="62">
        <v>12352.141051027707</v>
      </c>
      <c r="I463" s="62">
        <v>0.89752038118490896</v>
      </c>
      <c r="J463" s="62">
        <v>12257.992481708385</v>
      </c>
      <c r="K463" s="62">
        <v>0.88895143397492604</v>
      </c>
      <c r="L463" s="62">
        <f t="shared" si="73"/>
        <v>-3742.4093174386235</v>
      </c>
      <c r="M463" s="62">
        <f t="shared" si="74"/>
        <v>-0.27652265970502798</v>
      </c>
      <c r="N463" s="62">
        <f t="shared" si="75"/>
        <v>-3783.1163874740723</v>
      </c>
      <c r="O463" s="62">
        <f t="shared" si="76"/>
        <v>-0.27999063549950332</v>
      </c>
      <c r="P463" s="62">
        <f t="shared" si="77"/>
        <v>-3688.9678181547497</v>
      </c>
      <c r="Q463" s="62">
        <f t="shared" si="78"/>
        <v>-0.2714216882895204</v>
      </c>
      <c r="R463" s="62">
        <f t="shared" si="79"/>
        <v>17011.52752171861</v>
      </c>
      <c r="S463" s="62">
        <f t="shared" si="80"/>
        <v>24723.792859901063</v>
      </c>
      <c r="T463" s="62">
        <f t="shared" si="81"/>
        <v>24826.743219175965</v>
      </c>
      <c r="U463" s="62">
        <f t="shared" si="82"/>
        <v>24565.931719268952</v>
      </c>
      <c r="V463" s="62">
        <f t="shared" si="72"/>
        <v>1</v>
      </c>
      <c r="W463" s="62">
        <f t="shared" si="72"/>
        <v>0</v>
      </c>
      <c r="X463" s="62">
        <f t="shared" si="72"/>
        <v>0</v>
      </c>
      <c r="Y463" s="62">
        <f t="shared" si="71"/>
        <v>0</v>
      </c>
      <c r="AA463" s="94"/>
    </row>
    <row r="464" spans="2:27" x14ac:dyDescent="0.2">
      <c r="B464" s="94"/>
      <c r="C464" s="62">
        <v>425</v>
      </c>
      <c r="D464" s="62">
        <v>9386.7463733122513</v>
      </c>
      <c r="E464" s="62">
        <v>0.61767647610620635</v>
      </c>
      <c r="F464" s="62">
        <v>13508.421688403363</v>
      </c>
      <c r="G464" s="62">
        <v>0.89540646357910092</v>
      </c>
      <c r="H464" s="62">
        <v>13533.691414291232</v>
      </c>
      <c r="I464" s="62">
        <v>0.89754506956682445</v>
      </c>
      <c r="J464" s="62">
        <v>13434.802565644139</v>
      </c>
      <c r="K464" s="62">
        <v>0.88932707411812029</v>
      </c>
      <c r="L464" s="62">
        <f t="shared" si="73"/>
        <v>-4121.6753150911118</v>
      </c>
      <c r="M464" s="62">
        <f t="shared" si="74"/>
        <v>-0.27772998747289457</v>
      </c>
      <c r="N464" s="62">
        <f t="shared" si="75"/>
        <v>-4146.9450409789806</v>
      </c>
      <c r="O464" s="62">
        <f t="shared" si="76"/>
        <v>-0.2798685934606181</v>
      </c>
      <c r="P464" s="62">
        <f t="shared" si="77"/>
        <v>-4048.0561923318874</v>
      </c>
      <c r="Q464" s="62">
        <f t="shared" si="78"/>
        <v>-0.27165059801191394</v>
      </c>
      <c r="R464" s="62">
        <f t="shared" si="79"/>
        <v>16199.883972911242</v>
      </c>
      <c r="S464" s="62">
        <f t="shared" si="80"/>
        <v>23582.895658897312</v>
      </c>
      <c r="T464" s="62">
        <f t="shared" si="81"/>
        <v>23646.215547444906</v>
      </c>
      <c r="U464" s="62">
        <f t="shared" si="82"/>
        <v>23404.682152624875</v>
      </c>
      <c r="V464" s="62">
        <f t="shared" si="72"/>
        <v>1</v>
      </c>
      <c r="W464" s="62">
        <f t="shared" si="72"/>
        <v>0</v>
      </c>
      <c r="X464" s="62">
        <f t="shared" si="72"/>
        <v>0</v>
      </c>
      <c r="Y464" s="62">
        <f t="shared" si="71"/>
        <v>0</v>
      </c>
      <c r="AA464" s="94"/>
    </row>
    <row r="465" spans="2:27" x14ac:dyDescent="0.2">
      <c r="B465" s="94"/>
      <c r="C465" s="62">
        <v>426</v>
      </c>
      <c r="D465" s="62">
        <v>9112.5966104473373</v>
      </c>
      <c r="E465" s="62">
        <v>0.6175227947375912</v>
      </c>
      <c r="F465" s="62">
        <v>13100.997795663734</v>
      </c>
      <c r="G465" s="62">
        <v>0.89418587106626779</v>
      </c>
      <c r="H465" s="62">
        <v>13145.63643019697</v>
      </c>
      <c r="I465" s="62">
        <v>0.89762196882290846</v>
      </c>
      <c r="J465" s="62">
        <v>13041.270290085133</v>
      </c>
      <c r="K465" s="62">
        <v>0.8889888189645121</v>
      </c>
      <c r="L465" s="62">
        <f t="shared" si="73"/>
        <v>-3988.4011852163967</v>
      </c>
      <c r="M465" s="62">
        <f t="shared" si="74"/>
        <v>-0.27666307632867659</v>
      </c>
      <c r="N465" s="62">
        <f t="shared" si="75"/>
        <v>-4033.0398197496324</v>
      </c>
      <c r="O465" s="62">
        <f t="shared" si="76"/>
        <v>-0.28009917408531726</v>
      </c>
      <c r="P465" s="62">
        <f t="shared" si="77"/>
        <v>-3928.6736796377954</v>
      </c>
      <c r="Q465" s="62">
        <f t="shared" si="78"/>
        <v>-0.2714660242269209</v>
      </c>
      <c r="R465" s="62">
        <f t="shared" si="79"/>
        <v>16467.667638762639</v>
      </c>
      <c r="S465" s="62">
        <f t="shared" si="80"/>
        <v>23939.757727385342</v>
      </c>
      <c r="T465" s="62">
        <f t="shared" si="81"/>
        <v>24037.456006323187</v>
      </c>
      <c r="U465" s="62">
        <f t="shared" si="82"/>
        <v>23784.202546700817</v>
      </c>
      <c r="V465" s="62">
        <f t="shared" si="72"/>
        <v>1</v>
      </c>
      <c r="W465" s="62">
        <f t="shared" si="72"/>
        <v>0</v>
      </c>
      <c r="X465" s="62">
        <f t="shared" si="72"/>
        <v>0</v>
      </c>
      <c r="Y465" s="62">
        <f t="shared" si="71"/>
        <v>0</v>
      </c>
      <c r="AA465" s="94"/>
    </row>
    <row r="466" spans="2:27" x14ac:dyDescent="0.2">
      <c r="B466" s="94"/>
      <c r="C466" s="62">
        <v>427</v>
      </c>
      <c r="D466" s="62">
        <v>11047.876774397802</v>
      </c>
      <c r="E466" s="62">
        <v>0.61809359946081366</v>
      </c>
      <c r="F466" s="62">
        <v>15873.038639034252</v>
      </c>
      <c r="G466" s="62">
        <v>0.89392010163448266</v>
      </c>
      <c r="H466" s="62">
        <v>15929.285868914067</v>
      </c>
      <c r="I466" s="62">
        <v>0.89743462659828643</v>
      </c>
      <c r="J466" s="62">
        <v>15811.787041502253</v>
      </c>
      <c r="K466" s="62">
        <v>0.8893824863048041</v>
      </c>
      <c r="L466" s="62">
        <f t="shared" si="73"/>
        <v>-4825.1618646364495</v>
      </c>
      <c r="M466" s="62">
        <f t="shared" si="74"/>
        <v>-0.275826502173669</v>
      </c>
      <c r="N466" s="62">
        <f t="shared" si="75"/>
        <v>-4881.4090945162643</v>
      </c>
      <c r="O466" s="62">
        <f t="shared" si="76"/>
        <v>-0.27934102713747277</v>
      </c>
      <c r="P466" s="62">
        <f t="shared" si="77"/>
        <v>-4763.9102671044511</v>
      </c>
      <c r="Q466" s="62">
        <f t="shared" si="78"/>
        <v>-0.27128888684399044</v>
      </c>
      <c r="R466" s="62">
        <f t="shared" si="79"/>
        <v>14556.032489666941</v>
      </c>
      <c r="S466" s="62">
        <f t="shared" si="80"/>
        <v>21156.707651072553</v>
      </c>
      <c r="T466" s="62">
        <f t="shared" si="81"/>
        <v>21246.046103293349</v>
      </c>
      <c r="U466" s="62">
        <f t="shared" si="82"/>
        <v>21029.99307118795</v>
      </c>
      <c r="V466" s="62">
        <f t="shared" si="72"/>
        <v>1</v>
      </c>
      <c r="W466" s="62">
        <f t="shared" si="72"/>
        <v>0</v>
      </c>
      <c r="X466" s="62">
        <f t="shared" si="72"/>
        <v>0</v>
      </c>
      <c r="Y466" s="62">
        <f t="shared" si="71"/>
        <v>0</v>
      </c>
      <c r="AA466" s="94"/>
    </row>
    <row r="467" spans="2:27" x14ac:dyDescent="0.2">
      <c r="B467" s="94"/>
      <c r="C467" s="62">
        <v>428</v>
      </c>
      <c r="D467" s="62">
        <v>12385.437871203985</v>
      </c>
      <c r="E467" s="62">
        <v>0.61812080741689157</v>
      </c>
      <c r="F467" s="62">
        <v>17812.206446590993</v>
      </c>
      <c r="G467" s="62">
        <v>0.89418450328647292</v>
      </c>
      <c r="H467" s="62">
        <v>17869.210900100607</v>
      </c>
      <c r="I467" s="62">
        <v>0.89733708418444391</v>
      </c>
      <c r="J467" s="62">
        <v>17743.979138411247</v>
      </c>
      <c r="K467" s="62">
        <v>0.88984079812946704</v>
      </c>
      <c r="L467" s="62">
        <f t="shared" si="73"/>
        <v>-5426.7685753870082</v>
      </c>
      <c r="M467" s="62">
        <f t="shared" si="74"/>
        <v>-0.27606369586958135</v>
      </c>
      <c r="N467" s="62">
        <f t="shared" si="75"/>
        <v>-5483.7730288966213</v>
      </c>
      <c r="O467" s="62">
        <f t="shared" si="76"/>
        <v>-0.27921627676755234</v>
      </c>
      <c r="P467" s="62">
        <f t="shared" si="77"/>
        <v>-5358.5412672072616</v>
      </c>
      <c r="Q467" s="62">
        <f t="shared" si="78"/>
        <v>-0.27171999071257547</v>
      </c>
      <c r="R467" s="62">
        <f t="shared" si="79"/>
        <v>13219.59845523333</v>
      </c>
      <c r="S467" s="62">
        <f t="shared" si="80"/>
        <v>19228.492417547859</v>
      </c>
      <c r="T467" s="62">
        <f t="shared" si="81"/>
        <v>19302.080475155799</v>
      </c>
      <c r="U467" s="62">
        <f t="shared" si="82"/>
        <v>19116.786083303792</v>
      </c>
      <c r="V467" s="62">
        <f t="shared" si="72"/>
        <v>1</v>
      </c>
      <c r="W467" s="62">
        <f t="shared" si="72"/>
        <v>0</v>
      </c>
      <c r="X467" s="62">
        <f t="shared" si="72"/>
        <v>0</v>
      </c>
      <c r="Y467" s="62">
        <f t="shared" si="71"/>
        <v>0</v>
      </c>
      <c r="AA467" s="94"/>
    </row>
    <row r="468" spans="2:27" x14ac:dyDescent="0.2">
      <c r="B468" s="94"/>
      <c r="C468" s="62">
        <v>429</v>
      </c>
      <c r="D468" s="62">
        <v>8349.895168741883</v>
      </c>
      <c r="E468" s="62">
        <v>0.61787997146414797</v>
      </c>
      <c r="F468" s="62">
        <v>11991.181312476709</v>
      </c>
      <c r="G468" s="62">
        <v>0.89411928907362448</v>
      </c>
      <c r="H468" s="62">
        <v>12032.007086428137</v>
      </c>
      <c r="I468" s="62">
        <v>0.89764109529033231</v>
      </c>
      <c r="J468" s="62">
        <v>11944.26777512539</v>
      </c>
      <c r="K468" s="62">
        <v>0.88954681535437796</v>
      </c>
      <c r="L468" s="62">
        <f t="shared" si="73"/>
        <v>-3641.2861437348256</v>
      </c>
      <c r="M468" s="62">
        <f t="shared" si="74"/>
        <v>-0.27623931760947651</v>
      </c>
      <c r="N468" s="62">
        <f t="shared" si="75"/>
        <v>-3682.1119176862539</v>
      </c>
      <c r="O468" s="62">
        <f t="shared" si="76"/>
        <v>-0.27976112382618434</v>
      </c>
      <c r="P468" s="62">
        <f t="shared" si="77"/>
        <v>-3594.3726063835074</v>
      </c>
      <c r="Q468" s="62">
        <f t="shared" si="78"/>
        <v>-0.27166684389022999</v>
      </c>
      <c r="R468" s="62">
        <f t="shared" si="79"/>
        <v>17245.164769188981</v>
      </c>
      <c r="S468" s="62">
        <f t="shared" si="80"/>
        <v>25046.816118109113</v>
      </c>
      <c r="T468" s="62">
        <f t="shared" si="81"/>
        <v>25151.877644878587</v>
      </c>
      <c r="U468" s="62">
        <f t="shared" si="82"/>
        <v>24904.319504114359</v>
      </c>
      <c r="V468" s="62">
        <f t="shared" si="72"/>
        <v>1</v>
      </c>
      <c r="W468" s="62">
        <f t="shared" si="72"/>
        <v>0</v>
      </c>
      <c r="X468" s="62">
        <f t="shared" si="72"/>
        <v>0</v>
      </c>
      <c r="Y468" s="62">
        <f t="shared" si="71"/>
        <v>0</v>
      </c>
      <c r="AA468" s="94"/>
    </row>
    <row r="469" spans="2:27" x14ac:dyDescent="0.2">
      <c r="B469" s="94"/>
      <c r="C469" s="62">
        <v>430</v>
      </c>
      <c r="D469" s="62">
        <v>10420.343585460878</v>
      </c>
      <c r="E469" s="62">
        <v>0.61811112704477489</v>
      </c>
      <c r="F469" s="62">
        <v>14974.547425567831</v>
      </c>
      <c r="G469" s="62">
        <v>0.89402332444960531</v>
      </c>
      <c r="H469" s="62">
        <v>15019.447511690858</v>
      </c>
      <c r="I469" s="62">
        <v>0.89698434248038894</v>
      </c>
      <c r="J469" s="62">
        <v>14902.292363964925</v>
      </c>
      <c r="K469" s="62">
        <v>0.88868275300554733</v>
      </c>
      <c r="L469" s="62">
        <f t="shared" si="73"/>
        <v>-4554.2038401069531</v>
      </c>
      <c r="M469" s="62">
        <f t="shared" si="74"/>
        <v>-0.27591219740483042</v>
      </c>
      <c r="N469" s="62">
        <f t="shared" si="75"/>
        <v>-4599.1039262299801</v>
      </c>
      <c r="O469" s="62">
        <f t="shared" si="76"/>
        <v>-0.27887321543561405</v>
      </c>
      <c r="P469" s="62">
        <f t="shared" si="77"/>
        <v>-4481.9487785040474</v>
      </c>
      <c r="Q469" s="62">
        <f t="shared" si="78"/>
        <v>-0.27057162596077244</v>
      </c>
      <c r="R469" s="62">
        <f t="shared" si="79"/>
        <v>15184.291741241877</v>
      </c>
      <c r="S469" s="62">
        <f t="shared" si="80"/>
        <v>22059.474766432617</v>
      </c>
      <c r="T469" s="62">
        <f t="shared" si="81"/>
        <v>22137.231891216776</v>
      </c>
      <c r="U469" s="62">
        <f t="shared" si="82"/>
        <v>21910.50199653687</v>
      </c>
      <c r="V469" s="62">
        <f t="shared" si="72"/>
        <v>1</v>
      </c>
      <c r="W469" s="62">
        <f t="shared" si="72"/>
        <v>0</v>
      </c>
      <c r="X469" s="62">
        <f t="shared" si="72"/>
        <v>0</v>
      </c>
      <c r="Y469" s="62">
        <f t="shared" si="71"/>
        <v>0</v>
      </c>
      <c r="AA469" s="94"/>
    </row>
    <row r="470" spans="2:27" x14ac:dyDescent="0.2">
      <c r="B470" s="94"/>
      <c r="C470" s="62">
        <v>431</v>
      </c>
      <c r="D470" s="62">
        <v>9382.5465998551663</v>
      </c>
      <c r="E470" s="62">
        <v>0.6178938273217236</v>
      </c>
      <c r="F470" s="62">
        <v>13475.037553838927</v>
      </c>
      <c r="G470" s="62">
        <v>0.89423651943272253</v>
      </c>
      <c r="H470" s="62">
        <v>13514.24394331881</v>
      </c>
      <c r="I470" s="62">
        <v>0.89713397491216862</v>
      </c>
      <c r="J470" s="62">
        <v>13412.025170200201</v>
      </c>
      <c r="K470" s="62">
        <v>0.88872726120577794</v>
      </c>
      <c r="L470" s="62">
        <f t="shared" si="73"/>
        <v>-4092.4909539837608</v>
      </c>
      <c r="M470" s="62">
        <f t="shared" si="74"/>
        <v>-0.27634269211099893</v>
      </c>
      <c r="N470" s="62">
        <f t="shared" si="75"/>
        <v>-4131.6973434636438</v>
      </c>
      <c r="O470" s="62">
        <f t="shared" si="76"/>
        <v>-0.27924014759044502</v>
      </c>
      <c r="P470" s="62">
        <f t="shared" si="77"/>
        <v>-4029.4785703450343</v>
      </c>
      <c r="Q470" s="62">
        <f t="shared" si="78"/>
        <v>-0.27083343388405434</v>
      </c>
      <c r="R470" s="62">
        <f t="shared" si="79"/>
        <v>16213.087303119912</v>
      </c>
      <c r="S470" s="62">
        <f t="shared" si="80"/>
        <v>23567.816027142173</v>
      </c>
      <c r="T470" s="62">
        <f t="shared" si="81"/>
        <v>23648.633833442858</v>
      </c>
      <c r="U470" s="62">
        <f t="shared" si="82"/>
        <v>23402.612897987943</v>
      </c>
      <c r="V470" s="62">
        <f t="shared" si="72"/>
        <v>1</v>
      </c>
      <c r="W470" s="62">
        <f t="shared" si="72"/>
        <v>0</v>
      </c>
      <c r="X470" s="62">
        <f t="shared" si="72"/>
        <v>0</v>
      </c>
      <c r="Y470" s="62">
        <f t="shared" si="71"/>
        <v>0</v>
      </c>
      <c r="AA470" s="94"/>
    </row>
    <row r="471" spans="2:27" x14ac:dyDescent="0.2">
      <c r="B471" s="94"/>
      <c r="C471" s="62">
        <v>432</v>
      </c>
      <c r="D471" s="62">
        <v>11433.404028035862</v>
      </c>
      <c r="E471" s="62">
        <v>0.61782967685406598</v>
      </c>
      <c r="F471" s="62">
        <v>16452.440106886035</v>
      </c>
      <c r="G471" s="62">
        <v>0.89476398036868166</v>
      </c>
      <c r="H471" s="62">
        <v>16505.532373769049</v>
      </c>
      <c r="I471" s="62">
        <v>0.8977635182397552</v>
      </c>
      <c r="J471" s="62">
        <v>16380.594960969675</v>
      </c>
      <c r="K471" s="62">
        <v>0.88972135558884113</v>
      </c>
      <c r="L471" s="62">
        <f t="shared" si="73"/>
        <v>-5019.036078850173</v>
      </c>
      <c r="M471" s="62">
        <f t="shared" si="74"/>
        <v>-0.27693430351461568</v>
      </c>
      <c r="N471" s="62">
        <f t="shared" si="75"/>
        <v>-5072.1283457331865</v>
      </c>
      <c r="O471" s="62">
        <f t="shared" si="76"/>
        <v>-0.27993384138568922</v>
      </c>
      <c r="P471" s="62">
        <f t="shared" si="77"/>
        <v>-4947.1909329338123</v>
      </c>
      <c r="Q471" s="62">
        <f t="shared" si="78"/>
        <v>-0.27189167873477516</v>
      </c>
      <c r="R471" s="62">
        <f t="shared" si="79"/>
        <v>14159.572505966966</v>
      </c>
      <c r="S471" s="62">
        <f t="shared" si="80"/>
        <v>20612.263015906236</v>
      </c>
      <c r="T471" s="62">
        <f t="shared" si="81"/>
        <v>20683.423605794567</v>
      </c>
      <c r="U471" s="62">
        <f t="shared" si="82"/>
        <v>20475.222472942478</v>
      </c>
      <c r="V471" s="62">
        <f t="shared" si="72"/>
        <v>1</v>
      </c>
      <c r="W471" s="62">
        <f t="shared" si="72"/>
        <v>0</v>
      </c>
      <c r="X471" s="62">
        <f t="shared" si="72"/>
        <v>0</v>
      </c>
      <c r="Y471" s="62">
        <f t="shared" si="71"/>
        <v>0</v>
      </c>
      <c r="AA471" s="94"/>
    </row>
    <row r="472" spans="2:27" x14ac:dyDescent="0.2">
      <c r="B472" s="94"/>
      <c r="C472" s="62">
        <v>433</v>
      </c>
      <c r="D472" s="62">
        <v>8505.4337614502292</v>
      </c>
      <c r="E472" s="62">
        <v>0.61820597954047374</v>
      </c>
      <c r="F472" s="62">
        <v>12213.615648474735</v>
      </c>
      <c r="G472" s="62">
        <v>0.89439990592823726</v>
      </c>
      <c r="H472" s="62">
        <v>12251.470158141656</v>
      </c>
      <c r="I472" s="62">
        <v>0.89767758599830039</v>
      </c>
      <c r="J472" s="62">
        <v>12162.142507158844</v>
      </c>
      <c r="K472" s="62">
        <v>0.88951577935675263</v>
      </c>
      <c r="L472" s="62">
        <f t="shared" si="73"/>
        <v>-3708.1818870245061</v>
      </c>
      <c r="M472" s="62">
        <f t="shared" si="74"/>
        <v>-0.27619392638776352</v>
      </c>
      <c r="N472" s="62">
        <f t="shared" si="75"/>
        <v>-3746.0363966914265</v>
      </c>
      <c r="O472" s="62">
        <f t="shared" si="76"/>
        <v>-0.27947160645782665</v>
      </c>
      <c r="P472" s="62">
        <f t="shared" si="77"/>
        <v>-3656.7087457086145</v>
      </c>
      <c r="Q472" s="62">
        <f t="shared" si="78"/>
        <v>-0.2713097998162789</v>
      </c>
      <c r="R472" s="62">
        <f t="shared" si="79"/>
        <v>17103.130735034356</v>
      </c>
      <c r="S472" s="62">
        <f t="shared" si="80"/>
        <v>24836.006054696569</v>
      </c>
      <c r="T472" s="62">
        <f t="shared" si="81"/>
        <v>24933.926164251938</v>
      </c>
      <c r="U472" s="62">
        <f t="shared" si="82"/>
        <v>24685.159136915274</v>
      </c>
      <c r="V472" s="62">
        <f t="shared" si="72"/>
        <v>1</v>
      </c>
      <c r="W472" s="62">
        <f t="shared" si="72"/>
        <v>0</v>
      </c>
      <c r="X472" s="62">
        <f t="shared" si="72"/>
        <v>0</v>
      </c>
      <c r="Y472" s="62">
        <f t="shared" si="71"/>
        <v>0</v>
      </c>
      <c r="AA472" s="94"/>
    </row>
    <row r="473" spans="2:27" x14ac:dyDescent="0.2">
      <c r="B473" s="94"/>
      <c r="C473" s="62">
        <v>434</v>
      </c>
      <c r="D473" s="62">
        <v>10392.179442756093</v>
      </c>
      <c r="E473" s="62">
        <v>0.61772030504127129</v>
      </c>
      <c r="F473" s="62">
        <v>14949.117529584326</v>
      </c>
      <c r="G473" s="62">
        <v>0.89434543909043662</v>
      </c>
      <c r="H473" s="62">
        <v>14986.310325438775</v>
      </c>
      <c r="I473" s="62">
        <v>0.89684893128913645</v>
      </c>
      <c r="J473" s="62">
        <v>14881.181878069003</v>
      </c>
      <c r="K473" s="62">
        <v>0.88921993691359635</v>
      </c>
      <c r="L473" s="62">
        <f t="shared" si="73"/>
        <v>-4556.9380868282333</v>
      </c>
      <c r="M473" s="62">
        <f t="shared" si="74"/>
        <v>-0.27662513404916533</v>
      </c>
      <c r="N473" s="62">
        <f t="shared" si="75"/>
        <v>-4594.1308826826826</v>
      </c>
      <c r="O473" s="62">
        <f t="shared" si="76"/>
        <v>-0.27912862624786516</v>
      </c>
      <c r="P473" s="62">
        <f t="shared" si="77"/>
        <v>-4489.0024353129102</v>
      </c>
      <c r="Q473" s="62">
        <f t="shared" si="78"/>
        <v>-0.27149963187232506</v>
      </c>
      <c r="R473" s="62">
        <f t="shared" si="79"/>
        <v>15196.266473273528</v>
      </c>
      <c r="S473" s="62">
        <f t="shared" si="80"/>
        <v>22098.247939297922</v>
      </c>
      <c r="T473" s="62">
        <f t="shared" si="81"/>
        <v>22164.75980428241</v>
      </c>
      <c r="U473" s="62">
        <f t="shared" si="82"/>
        <v>21953.864788639818</v>
      </c>
      <c r="V473" s="62">
        <f t="shared" si="72"/>
        <v>1</v>
      </c>
      <c r="W473" s="62">
        <f t="shared" si="72"/>
        <v>0</v>
      </c>
      <c r="X473" s="62">
        <f t="shared" si="72"/>
        <v>0</v>
      </c>
      <c r="Y473" s="62">
        <f t="shared" si="71"/>
        <v>0</v>
      </c>
      <c r="AA473" s="94"/>
    </row>
    <row r="474" spans="2:27" x14ac:dyDescent="0.2">
      <c r="B474" s="94"/>
      <c r="C474" s="62">
        <v>435</v>
      </c>
      <c r="D474" s="62">
        <v>9913.9085504360391</v>
      </c>
      <c r="E474" s="62">
        <v>0.6178055866584049</v>
      </c>
      <c r="F474" s="62">
        <v>14248.086850739661</v>
      </c>
      <c r="G474" s="62">
        <v>0.89451254535600611</v>
      </c>
      <c r="H474" s="62">
        <v>14295.075223445743</v>
      </c>
      <c r="I474" s="62">
        <v>0.89777305878603508</v>
      </c>
      <c r="J474" s="62">
        <v>14177.442037611547</v>
      </c>
      <c r="K474" s="62">
        <v>0.88889418667941944</v>
      </c>
      <c r="L474" s="62">
        <f t="shared" si="73"/>
        <v>-4334.1783003036217</v>
      </c>
      <c r="M474" s="62">
        <f t="shared" si="74"/>
        <v>-0.2767069586976012</v>
      </c>
      <c r="N474" s="62">
        <f t="shared" si="75"/>
        <v>-4381.166673009704</v>
      </c>
      <c r="O474" s="62">
        <f t="shared" si="76"/>
        <v>-0.27996747212763018</v>
      </c>
      <c r="P474" s="62">
        <f t="shared" si="77"/>
        <v>-4263.5334871755076</v>
      </c>
      <c r="Q474" s="62">
        <f t="shared" si="78"/>
        <v>-0.27108860002101454</v>
      </c>
      <c r="R474" s="62">
        <f t="shared" si="79"/>
        <v>15678.070071301727</v>
      </c>
      <c r="S474" s="62">
        <f t="shared" si="80"/>
        <v>22806.200828087538</v>
      </c>
      <c r="T474" s="62">
        <f t="shared" si="81"/>
        <v>22894.275963706972</v>
      </c>
      <c r="U474" s="62">
        <f t="shared" si="82"/>
        <v>22644.110751396729</v>
      </c>
      <c r="V474" s="62">
        <f t="shared" si="72"/>
        <v>1</v>
      </c>
      <c r="W474" s="62">
        <f t="shared" si="72"/>
        <v>0</v>
      </c>
      <c r="X474" s="62">
        <f t="shared" si="72"/>
        <v>0</v>
      </c>
      <c r="Y474" s="62">
        <f t="shared" si="71"/>
        <v>0</v>
      </c>
      <c r="AA474" s="94"/>
    </row>
    <row r="475" spans="2:27" x14ac:dyDescent="0.2">
      <c r="B475" s="94"/>
      <c r="C475" s="62">
        <v>436</v>
      </c>
      <c r="D475" s="62">
        <v>9867.4264958400217</v>
      </c>
      <c r="E475" s="62">
        <v>0.61793673792864556</v>
      </c>
      <c r="F475" s="62">
        <v>14183.303903373293</v>
      </c>
      <c r="G475" s="62">
        <v>0.89447341446156137</v>
      </c>
      <c r="H475" s="62">
        <v>14216.271156064557</v>
      </c>
      <c r="I475" s="62">
        <v>0.89698499122241626</v>
      </c>
      <c r="J475" s="62">
        <v>14124.972177994199</v>
      </c>
      <c r="K475" s="62">
        <v>0.88978796429615881</v>
      </c>
      <c r="L475" s="62">
        <f t="shared" si="73"/>
        <v>-4315.8774075332713</v>
      </c>
      <c r="M475" s="62">
        <f t="shared" si="74"/>
        <v>-0.2765366765329158</v>
      </c>
      <c r="N475" s="62">
        <f t="shared" si="75"/>
        <v>-4348.8446602245349</v>
      </c>
      <c r="O475" s="62">
        <f t="shared" si="76"/>
        <v>-0.2790482532937707</v>
      </c>
      <c r="P475" s="62">
        <f t="shared" si="77"/>
        <v>-4257.5456821541775</v>
      </c>
      <c r="Q475" s="62">
        <f t="shared" si="78"/>
        <v>-0.27185122636751324</v>
      </c>
      <c r="R475" s="62">
        <f t="shared" si="79"/>
        <v>15729.984936116192</v>
      </c>
      <c r="S475" s="62">
        <f t="shared" si="80"/>
        <v>22869.362817282425</v>
      </c>
      <c r="T475" s="62">
        <f t="shared" si="81"/>
        <v>22940.435120332819</v>
      </c>
      <c r="U475" s="62">
        <f t="shared" si="82"/>
        <v>22733.604455009889</v>
      </c>
      <c r="V475" s="62">
        <f t="shared" si="72"/>
        <v>1</v>
      </c>
      <c r="W475" s="62">
        <f t="shared" si="72"/>
        <v>0</v>
      </c>
      <c r="X475" s="62">
        <f t="shared" si="72"/>
        <v>0</v>
      </c>
      <c r="Y475" s="62">
        <f t="shared" si="71"/>
        <v>0</v>
      </c>
      <c r="AA475" s="94"/>
    </row>
    <row r="476" spans="2:27" x14ac:dyDescent="0.2">
      <c r="B476" s="94"/>
      <c r="C476" s="62">
        <v>437</v>
      </c>
      <c r="D476" s="62">
        <v>11120.322652280842</v>
      </c>
      <c r="E476" s="62">
        <v>0.61791750864723927</v>
      </c>
      <c r="F476" s="62">
        <v>15986.153058979822</v>
      </c>
      <c r="G476" s="62">
        <v>0.89393130176615976</v>
      </c>
      <c r="H476" s="62">
        <v>16026.609402737431</v>
      </c>
      <c r="I476" s="62">
        <v>0.89654608504843569</v>
      </c>
      <c r="J476" s="62">
        <v>15927.387965289437</v>
      </c>
      <c r="K476" s="62">
        <v>0.8896372895921334</v>
      </c>
      <c r="L476" s="62">
        <f t="shared" si="73"/>
        <v>-4865.8304066989804</v>
      </c>
      <c r="M476" s="62">
        <f t="shared" si="74"/>
        <v>-0.27601379311892049</v>
      </c>
      <c r="N476" s="62">
        <f t="shared" si="75"/>
        <v>-4906.2867504565893</v>
      </c>
      <c r="O476" s="62">
        <f t="shared" si="76"/>
        <v>-0.27862857640119643</v>
      </c>
      <c r="P476" s="62">
        <f t="shared" si="77"/>
        <v>-4807.0653130085957</v>
      </c>
      <c r="Q476" s="62">
        <f t="shared" si="78"/>
        <v>-0.27171978094489413</v>
      </c>
      <c r="R476" s="62">
        <f t="shared" si="79"/>
        <v>14476.292225922398</v>
      </c>
      <c r="S476" s="62">
        <f t="shared" si="80"/>
        <v>21044.057185381578</v>
      </c>
      <c r="T476" s="62">
        <f t="shared" si="81"/>
        <v>21111.915624308971</v>
      </c>
      <c r="U476" s="62">
        <f t="shared" si="82"/>
        <v>20924.947118775097</v>
      </c>
      <c r="V476" s="62">
        <f t="shared" si="72"/>
        <v>1</v>
      </c>
      <c r="W476" s="62">
        <f t="shared" si="72"/>
        <v>0</v>
      </c>
      <c r="X476" s="62">
        <f t="shared" si="72"/>
        <v>0</v>
      </c>
      <c r="Y476" s="62">
        <f t="shared" si="71"/>
        <v>0</v>
      </c>
      <c r="AA476" s="94"/>
    </row>
    <row r="477" spans="2:27" x14ac:dyDescent="0.2">
      <c r="B477" s="94"/>
      <c r="C477" s="62">
        <v>438</v>
      </c>
      <c r="D477" s="62">
        <v>11130.688313042221</v>
      </c>
      <c r="E477" s="62">
        <v>0.61814677791673123</v>
      </c>
      <c r="F477" s="62">
        <v>15995.47602354228</v>
      </c>
      <c r="G477" s="62">
        <v>0.89443776949629827</v>
      </c>
      <c r="H477" s="62">
        <v>16048.775083440116</v>
      </c>
      <c r="I477" s="62">
        <v>0.89773467607045954</v>
      </c>
      <c r="J477" s="62">
        <v>15927.581409009539</v>
      </c>
      <c r="K477" s="62">
        <v>0.88944667665617294</v>
      </c>
      <c r="L477" s="62">
        <f t="shared" si="73"/>
        <v>-4864.7877105000589</v>
      </c>
      <c r="M477" s="62">
        <f t="shared" si="74"/>
        <v>-0.27629099157956705</v>
      </c>
      <c r="N477" s="62">
        <f t="shared" si="75"/>
        <v>-4918.0867703978947</v>
      </c>
      <c r="O477" s="62">
        <f t="shared" si="76"/>
        <v>-0.27958789815372831</v>
      </c>
      <c r="P477" s="62">
        <f t="shared" si="77"/>
        <v>-4796.893095967318</v>
      </c>
      <c r="Q477" s="62">
        <f t="shared" si="78"/>
        <v>-0.27129989873944171</v>
      </c>
      <c r="R477" s="62">
        <f t="shared" si="79"/>
        <v>14475.423815380454</v>
      </c>
      <c r="S477" s="62">
        <f t="shared" si="80"/>
        <v>21055.714140072378</v>
      </c>
      <c r="T477" s="62">
        <f t="shared" si="81"/>
        <v>21138.986138102598</v>
      </c>
      <c r="U477" s="62">
        <f t="shared" si="82"/>
        <v>20916.857724795773</v>
      </c>
      <c r="V477" s="62">
        <f t="shared" si="72"/>
        <v>1</v>
      </c>
      <c r="W477" s="62">
        <f t="shared" si="72"/>
        <v>0</v>
      </c>
      <c r="X477" s="62">
        <f t="shared" si="72"/>
        <v>0</v>
      </c>
      <c r="Y477" s="62">
        <f t="shared" si="71"/>
        <v>0</v>
      </c>
      <c r="AA477" s="94"/>
    </row>
    <row r="478" spans="2:27" x14ac:dyDescent="0.2">
      <c r="B478" s="94"/>
      <c r="C478" s="62">
        <v>439</v>
      </c>
      <c r="D478" s="62">
        <v>12378.828517997572</v>
      </c>
      <c r="E478" s="62">
        <v>0.61722742211946269</v>
      </c>
      <c r="F478" s="62">
        <v>17837.184135965181</v>
      </c>
      <c r="G478" s="62">
        <v>0.89490309566319481</v>
      </c>
      <c r="H478" s="62">
        <v>17877.276873189698</v>
      </c>
      <c r="I478" s="62">
        <v>0.89716541646124703</v>
      </c>
      <c r="J478" s="62">
        <v>17751.804452989218</v>
      </c>
      <c r="K478" s="62">
        <v>0.88946523698858104</v>
      </c>
      <c r="L478" s="62">
        <f t="shared" si="73"/>
        <v>-5458.3556179676089</v>
      </c>
      <c r="M478" s="62">
        <f t="shared" si="74"/>
        <v>-0.27767567354373213</v>
      </c>
      <c r="N478" s="62">
        <f t="shared" si="75"/>
        <v>-5498.4483551921257</v>
      </c>
      <c r="O478" s="62">
        <f t="shared" si="76"/>
        <v>-0.27993799434178435</v>
      </c>
      <c r="P478" s="62">
        <f t="shared" si="77"/>
        <v>-5372.9759349916458</v>
      </c>
      <c r="Q478" s="62">
        <f t="shared" si="78"/>
        <v>-0.27223781486911836</v>
      </c>
      <c r="R478" s="62">
        <f t="shared" si="79"/>
        <v>13189.200215879049</v>
      </c>
      <c r="S478" s="62">
        <f t="shared" si="80"/>
        <v>19233.281698787003</v>
      </c>
      <c r="T478" s="62">
        <f t="shared" si="81"/>
        <v>19286.903338300999</v>
      </c>
      <c r="U478" s="62">
        <f t="shared" si="82"/>
        <v>19093.403524025762</v>
      </c>
      <c r="V478" s="62">
        <f t="shared" si="72"/>
        <v>1</v>
      </c>
      <c r="W478" s="62">
        <f t="shared" si="72"/>
        <v>0</v>
      </c>
      <c r="X478" s="62">
        <f t="shared" si="72"/>
        <v>0</v>
      </c>
      <c r="Y478" s="62">
        <f t="shared" si="71"/>
        <v>0</v>
      </c>
      <c r="AA478" s="94"/>
    </row>
    <row r="479" spans="2:27" x14ac:dyDescent="0.2">
      <c r="B479" s="94"/>
      <c r="C479" s="62">
        <v>440</v>
      </c>
      <c r="D479" s="62">
        <v>9825.9691313304829</v>
      </c>
      <c r="E479" s="62">
        <v>0.61725969238290646</v>
      </c>
      <c r="F479" s="62">
        <v>14141.875545044826</v>
      </c>
      <c r="G479" s="62">
        <v>0.89450120260206356</v>
      </c>
      <c r="H479" s="62">
        <v>14179.927461672716</v>
      </c>
      <c r="I479" s="62">
        <v>0.89730832120436832</v>
      </c>
      <c r="J479" s="62">
        <v>14081.338481133906</v>
      </c>
      <c r="K479" s="62">
        <v>0.88957381100953292</v>
      </c>
      <c r="L479" s="62">
        <f t="shared" si="73"/>
        <v>-4315.9064137143432</v>
      </c>
      <c r="M479" s="62">
        <f t="shared" si="74"/>
        <v>-0.27724151021915711</v>
      </c>
      <c r="N479" s="62">
        <f t="shared" si="75"/>
        <v>-4353.9583303422332</v>
      </c>
      <c r="O479" s="62">
        <f t="shared" si="76"/>
        <v>-0.28004862882146186</v>
      </c>
      <c r="P479" s="62">
        <f t="shared" si="77"/>
        <v>-4255.3693498034227</v>
      </c>
      <c r="Q479" s="62">
        <f t="shared" si="78"/>
        <v>-0.27231411862662647</v>
      </c>
      <c r="R479" s="62">
        <f t="shared" si="79"/>
        <v>15743.396365939036</v>
      </c>
      <c r="S479" s="62">
        <f t="shared" si="80"/>
        <v>22911.942271543052</v>
      </c>
      <c r="T479" s="62">
        <f t="shared" si="81"/>
        <v>22990.172435897035</v>
      </c>
      <c r="U479" s="62">
        <f t="shared" si="82"/>
        <v>22768.367066124985</v>
      </c>
      <c r="V479" s="62">
        <f t="shared" si="72"/>
        <v>1</v>
      </c>
      <c r="W479" s="62">
        <f t="shared" si="72"/>
        <v>0</v>
      </c>
      <c r="X479" s="62">
        <f t="shared" si="72"/>
        <v>0</v>
      </c>
      <c r="Y479" s="62">
        <f t="shared" si="71"/>
        <v>0</v>
      </c>
      <c r="AA479" s="94"/>
    </row>
    <row r="480" spans="2:27" x14ac:dyDescent="0.2">
      <c r="B480" s="94"/>
      <c r="C480" s="62">
        <v>441</v>
      </c>
      <c r="D480" s="62">
        <v>9415.7491360090935</v>
      </c>
      <c r="E480" s="62">
        <v>0.61743135216716971</v>
      </c>
      <c r="F480" s="62">
        <v>13549.393367696048</v>
      </c>
      <c r="G480" s="62">
        <v>0.89459264843503339</v>
      </c>
      <c r="H480" s="62">
        <v>13586.060658969653</v>
      </c>
      <c r="I480" s="62">
        <v>0.89739950489210385</v>
      </c>
      <c r="J480" s="62">
        <v>13487.770056368294</v>
      </c>
      <c r="K480" s="62">
        <v>0.88951426764011465</v>
      </c>
      <c r="L480" s="62">
        <f t="shared" si="73"/>
        <v>-4133.6442316869543</v>
      </c>
      <c r="M480" s="62">
        <f t="shared" si="74"/>
        <v>-0.27716129626786368</v>
      </c>
      <c r="N480" s="62">
        <f t="shared" si="75"/>
        <v>-4170.3115229605592</v>
      </c>
      <c r="O480" s="62">
        <f t="shared" si="76"/>
        <v>-0.27996815272493414</v>
      </c>
      <c r="P480" s="62">
        <f t="shared" si="77"/>
        <v>-4072.0209203592003</v>
      </c>
      <c r="Q480" s="62">
        <f t="shared" si="78"/>
        <v>-0.27208291547294494</v>
      </c>
      <c r="R480" s="62">
        <f t="shared" si="79"/>
        <v>16160.727196163745</v>
      </c>
      <c r="S480" s="62">
        <f t="shared" si="80"/>
        <v>23508.212501076774</v>
      </c>
      <c r="T480" s="62">
        <f t="shared" si="81"/>
        <v>23587.816431680854</v>
      </c>
      <c r="U480" s="62">
        <f t="shared" si="82"/>
        <v>23359.468966355817</v>
      </c>
      <c r="V480" s="62">
        <f t="shared" si="72"/>
        <v>1</v>
      </c>
      <c r="W480" s="62">
        <f t="shared" si="72"/>
        <v>0</v>
      </c>
      <c r="X480" s="62">
        <f t="shared" si="72"/>
        <v>0</v>
      </c>
      <c r="Y480" s="62">
        <f t="shared" si="71"/>
        <v>0</v>
      </c>
      <c r="AA480" s="94"/>
    </row>
    <row r="481" spans="2:27" x14ac:dyDescent="0.2">
      <c r="B481" s="94"/>
      <c r="C481" s="62">
        <v>442</v>
      </c>
      <c r="D481" s="62">
        <v>9320.6630096557019</v>
      </c>
      <c r="E481" s="62">
        <v>0.61814197275923011</v>
      </c>
      <c r="F481" s="62">
        <v>13388.711177175439</v>
      </c>
      <c r="G481" s="62">
        <v>0.89450278968255947</v>
      </c>
      <c r="H481" s="62">
        <v>13428.812410415647</v>
      </c>
      <c r="I481" s="62">
        <v>0.89751803749534032</v>
      </c>
      <c r="J481" s="62">
        <v>13333.043933331417</v>
      </c>
      <c r="K481" s="62">
        <v>0.88965299961235889</v>
      </c>
      <c r="L481" s="62">
        <f t="shared" si="73"/>
        <v>-4068.048167519737</v>
      </c>
      <c r="M481" s="62">
        <f t="shared" si="74"/>
        <v>-0.27636081692332937</v>
      </c>
      <c r="N481" s="62">
        <f t="shared" si="75"/>
        <v>-4108.1494007599449</v>
      </c>
      <c r="O481" s="62">
        <f t="shared" si="76"/>
        <v>-0.27937606473611021</v>
      </c>
      <c r="P481" s="62">
        <f t="shared" si="77"/>
        <v>-4012.3809236757152</v>
      </c>
      <c r="Q481" s="62">
        <f t="shared" si="78"/>
        <v>-0.27151102685312878</v>
      </c>
      <c r="R481" s="62">
        <f t="shared" si="79"/>
        <v>16285.250069922648</v>
      </c>
      <c r="S481" s="62">
        <f t="shared" si="80"/>
        <v>23665.172382634908</v>
      </c>
      <c r="T481" s="62">
        <f t="shared" si="81"/>
        <v>23749.974774791335</v>
      </c>
      <c r="U481" s="62">
        <f t="shared" si="82"/>
        <v>23519.941922610935</v>
      </c>
      <c r="V481" s="62">
        <f t="shared" si="72"/>
        <v>1</v>
      </c>
      <c r="W481" s="62">
        <f t="shared" si="72"/>
        <v>0</v>
      </c>
      <c r="X481" s="62">
        <f t="shared" si="72"/>
        <v>0</v>
      </c>
      <c r="Y481" s="62">
        <f t="shared" si="71"/>
        <v>0</v>
      </c>
      <c r="AA481" s="94"/>
    </row>
    <row r="482" spans="2:27" x14ac:dyDescent="0.2">
      <c r="B482" s="94"/>
      <c r="C482" s="62">
        <v>443</v>
      </c>
      <c r="D482" s="62">
        <v>8993.5553018787868</v>
      </c>
      <c r="E482" s="62">
        <v>0.61739520276206861</v>
      </c>
      <c r="F482" s="62">
        <v>12926.818136252981</v>
      </c>
      <c r="G482" s="62">
        <v>0.89375428830207815</v>
      </c>
      <c r="H482" s="62">
        <v>12968.539698003264</v>
      </c>
      <c r="I482" s="62">
        <v>0.8971474001216353</v>
      </c>
      <c r="J482" s="62">
        <v>12882.508094092129</v>
      </c>
      <c r="K482" s="62">
        <v>0.88971515170805249</v>
      </c>
      <c r="L482" s="62">
        <f t="shared" si="73"/>
        <v>-3933.2628343741944</v>
      </c>
      <c r="M482" s="62">
        <f t="shared" si="74"/>
        <v>-0.27635908554000954</v>
      </c>
      <c r="N482" s="62">
        <f t="shared" si="75"/>
        <v>-3974.9843961244769</v>
      </c>
      <c r="O482" s="62">
        <f t="shared" si="76"/>
        <v>-0.27975219735956669</v>
      </c>
      <c r="P482" s="62">
        <f t="shared" si="77"/>
        <v>-3888.952792213342</v>
      </c>
      <c r="Q482" s="62">
        <f t="shared" si="78"/>
        <v>-0.27231994894598388</v>
      </c>
      <c r="R482" s="62">
        <f t="shared" si="79"/>
        <v>16581.423577337144</v>
      </c>
      <c r="S482" s="62">
        <f t="shared" si="80"/>
        <v>24096.059502372307</v>
      </c>
      <c r="T482" s="62">
        <f t="shared" si="81"/>
        <v>24194.894204635359</v>
      </c>
      <c r="U482" s="62">
        <f t="shared" si="82"/>
        <v>23973.052350262235</v>
      </c>
      <c r="V482" s="62">
        <f t="shared" si="72"/>
        <v>1</v>
      </c>
      <c r="W482" s="62">
        <f t="shared" si="72"/>
        <v>0</v>
      </c>
      <c r="X482" s="62">
        <f t="shared" si="72"/>
        <v>0</v>
      </c>
      <c r="Y482" s="62">
        <f t="shared" si="71"/>
        <v>0</v>
      </c>
      <c r="AA482" s="94"/>
    </row>
    <row r="483" spans="2:27" x14ac:dyDescent="0.2">
      <c r="B483" s="94"/>
      <c r="C483" s="62">
        <v>444</v>
      </c>
      <c r="D483" s="62">
        <v>10903.657978896263</v>
      </c>
      <c r="E483" s="62">
        <v>0.6174768873679275</v>
      </c>
      <c r="F483" s="62">
        <v>15676.067602119565</v>
      </c>
      <c r="G483" s="62">
        <v>0.89408196292529696</v>
      </c>
      <c r="H483" s="62">
        <v>15725.227054385716</v>
      </c>
      <c r="I483" s="62">
        <v>0.89709995620015648</v>
      </c>
      <c r="J483" s="62">
        <v>15608.186498001227</v>
      </c>
      <c r="K483" s="62">
        <v>0.88899846617138689</v>
      </c>
      <c r="L483" s="62">
        <f t="shared" si="73"/>
        <v>-4772.4096232233023</v>
      </c>
      <c r="M483" s="62">
        <f t="shared" si="74"/>
        <v>-0.27660507555736946</v>
      </c>
      <c r="N483" s="62">
        <f t="shared" si="75"/>
        <v>-4821.5690754894531</v>
      </c>
      <c r="O483" s="62">
        <f t="shared" si="76"/>
        <v>-0.27962306883222898</v>
      </c>
      <c r="P483" s="62">
        <f t="shared" si="77"/>
        <v>-4704.5285191049643</v>
      </c>
      <c r="Q483" s="62">
        <f t="shared" si="78"/>
        <v>-0.2715215788034594</v>
      </c>
      <c r="R483" s="62">
        <f t="shared" si="79"/>
        <v>14674.704603432765</v>
      </c>
      <c r="S483" s="62">
        <f t="shared" si="80"/>
        <v>21360.383630097935</v>
      </c>
      <c r="T483" s="62">
        <f t="shared" si="81"/>
        <v>21436.241531249565</v>
      </c>
      <c r="U483" s="62">
        <f t="shared" si="82"/>
        <v>21217.685964682307</v>
      </c>
      <c r="V483" s="62">
        <f t="shared" si="72"/>
        <v>1</v>
      </c>
      <c r="W483" s="62">
        <f t="shared" si="72"/>
        <v>0</v>
      </c>
      <c r="X483" s="62">
        <f t="shared" si="72"/>
        <v>0</v>
      </c>
      <c r="Y483" s="62">
        <f t="shared" si="71"/>
        <v>0</v>
      </c>
      <c r="AA483" s="94"/>
    </row>
    <row r="484" spans="2:27" x14ac:dyDescent="0.2">
      <c r="B484" s="94"/>
      <c r="C484" s="62">
        <v>445</v>
      </c>
      <c r="D484" s="62">
        <v>13071.5407309904</v>
      </c>
      <c r="E484" s="62">
        <v>0.61770136342567183</v>
      </c>
      <c r="F484" s="62">
        <v>18800.100973526478</v>
      </c>
      <c r="G484" s="62">
        <v>0.89412623728406815</v>
      </c>
      <c r="H484" s="62">
        <v>18873.226718231275</v>
      </c>
      <c r="I484" s="62">
        <v>0.89780499516044143</v>
      </c>
      <c r="J484" s="62">
        <v>18710.661610360778</v>
      </c>
      <c r="K484" s="62">
        <v>0.88865199976611464</v>
      </c>
      <c r="L484" s="62">
        <f t="shared" si="73"/>
        <v>-5728.5602425360776</v>
      </c>
      <c r="M484" s="62">
        <f t="shared" si="74"/>
        <v>-0.27642487385839631</v>
      </c>
      <c r="N484" s="62">
        <f t="shared" si="75"/>
        <v>-5801.685987240875</v>
      </c>
      <c r="O484" s="62">
        <f t="shared" si="76"/>
        <v>-0.2801036317347696</v>
      </c>
      <c r="P484" s="62">
        <f t="shared" si="77"/>
        <v>-5639.1208793703772</v>
      </c>
      <c r="Q484" s="62">
        <f t="shared" si="78"/>
        <v>-0.27095063634044281</v>
      </c>
      <c r="R484" s="62">
        <f t="shared" si="79"/>
        <v>12516.12054755463</v>
      </c>
      <c r="S484" s="62">
        <f t="shared" si="80"/>
        <v>18238.184279728765</v>
      </c>
      <c r="T484" s="62">
        <f t="shared" si="81"/>
        <v>18317.447401294852</v>
      </c>
      <c r="U484" s="62">
        <f t="shared" si="82"/>
        <v>18100.858827950757</v>
      </c>
      <c r="V484" s="62">
        <f t="shared" si="72"/>
        <v>1</v>
      </c>
      <c r="W484" s="62">
        <f t="shared" si="72"/>
        <v>0</v>
      </c>
      <c r="X484" s="62">
        <f t="shared" si="72"/>
        <v>0</v>
      </c>
      <c r="Y484" s="62">
        <f t="shared" si="71"/>
        <v>0</v>
      </c>
      <c r="AA484" s="94"/>
    </row>
    <row r="485" spans="2:27" x14ac:dyDescent="0.2">
      <c r="B485" s="94"/>
      <c r="C485" s="62">
        <v>446</v>
      </c>
      <c r="D485" s="62">
        <v>10275.838410895534</v>
      </c>
      <c r="E485" s="62">
        <v>0.61762528089179003</v>
      </c>
      <c r="F485" s="62">
        <v>14774.672577119729</v>
      </c>
      <c r="G485" s="62">
        <v>0.89421643179505361</v>
      </c>
      <c r="H485" s="62">
        <v>14815.769873672361</v>
      </c>
      <c r="I485" s="62">
        <v>0.89694983342493428</v>
      </c>
      <c r="J485" s="62">
        <v>14717.434875877536</v>
      </c>
      <c r="K485" s="62">
        <v>0.88960803462028426</v>
      </c>
      <c r="L485" s="62">
        <f t="shared" si="73"/>
        <v>-4498.8341662241946</v>
      </c>
      <c r="M485" s="62">
        <f t="shared" si="74"/>
        <v>-0.27659115090326358</v>
      </c>
      <c r="N485" s="62">
        <f t="shared" si="75"/>
        <v>-4539.9314627768272</v>
      </c>
      <c r="O485" s="62">
        <f t="shared" si="76"/>
        <v>-0.27932455253314425</v>
      </c>
      <c r="P485" s="62">
        <f t="shared" si="77"/>
        <v>-4441.5964649820016</v>
      </c>
      <c r="Q485" s="62">
        <f t="shared" si="78"/>
        <v>-0.27198275372849423</v>
      </c>
      <c r="R485" s="62">
        <f t="shared" si="79"/>
        <v>15308.671224765976</v>
      </c>
      <c r="S485" s="62">
        <f t="shared" si="80"/>
        <v>22267.34889355857</v>
      </c>
      <c r="T485" s="62">
        <f t="shared" si="81"/>
        <v>22339.480026122117</v>
      </c>
      <c r="U485" s="62">
        <f t="shared" si="82"/>
        <v>22133.688350233118</v>
      </c>
      <c r="V485" s="62">
        <f t="shared" si="72"/>
        <v>1</v>
      </c>
      <c r="W485" s="62">
        <f t="shared" si="72"/>
        <v>0</v>
      </c>
      <c r="X485" s="62">
        <f t="shared" si="72"/>
        <v>0</v>
      </c>
      <c r="Y485" s="62">
        <f t="shared" si="71"/>
        <v>0</v>
      </c>
      <c r="AA485" s="94"/>
    </row>
    <row r="486" spans="2:27" x14ac:dyDescent="0.2">
      <c r="B486" s="94"/>
      <c r="C486" s="62">
        <v>447</v>
      </c>
      <c r="D486" s="62">
        <v>8803.166756053517</v>
      </c>
      <c r="E486" s="62">
        <v>0.61818118956945445</v>
      </c>
      <c r="F486" s="62">
        <v>12634.960106030985</v>
      </c>
      <c r="G486" s="62">
        <v>0.89412225415624624</v>
      </c>
      <c r="H486" s="62">
        <v>12677.336157253018</v>
      </c>
      <c r="I486" s="62">
        <v>0.89757891715842353</v>
      </c>
      <c r="J486" s="62">
        <v>12583.586480231354</v>
      </c>
      <c r="K486" s="62">
        <v>0.88926623862466447</v>
      </c>
      <c r="L486" s="62">
        <f t="shared" si="73"/>
        <v>-3831.7933499774681</v>
      </c>
      <c r="M486" s="62">
        <f t="shared" si="74"/>
        <v>-0.2759410645867918</v>
      </c>
      <c r="N486" s="62">
        <f t="shared" si="75"/>
        <v>-3874.1694011995005</v>
      </c>
      <c r="O486" s="62">
        <f t="shared" si="76"/>
        <v>-0.27939772758896908</v>
      </c>
      <c r="P486" s="62">
        <f t="shared" si="77"/>
        <v>-3780.4197241778365</v>
      </c>
      <c r="Q486" s="62">
        <f t="shared" si="78"/>
        <v>-0.27108504905521003</v>
      </c>
      <c r="R486" s="62">
        <f t="shared" si="79"/>
        <v>16804.370840671563</v>
      </c>
      <c r="S486" s="62">
        <f t="shared" si="80"/>
        <v>24403.160150137359</v>
      </c>
      <c r="T486" s="62">
        <f t="shared" si="81"/>
        <v>24503.972907117517</v>
      </c>
      <c r="U486" s="62">
        <f t="shared" si="82"/>
        <v>24253.378188556751</v>
      </c>
      <c r="V486" s="62">
        <f t="shared" si="72"/>
        <v>1</v>
      </c>
      <c r="W486" s="62">
        <f t="shared" si="72"/>
        <v>0</v>
      </c>
      <c r="X486" s="62">
        <f t="shared" si="72"/>
        <v>0</v>
      </c>
      <c r="Y486" s="62">
        <f t="shared" si="72"/>
        <v>0</v>
      </c>
      <c r="AA486" s="94"/>
    </row>
    <row r="487" spans="2:27" x14ac:dyDescent="0.2">
      <c r="B487" s="94"/>
      <c r="C487" s="62">
        <v>448</v>
      </c>
      <c r="D487" s="62">
        <v>11230.884971341768</v>
      </c>
      <c r="E487" s="62">
        <v>0.61754882571201763</v>
      </c>
      <c r="F487" s="62">
        <v>16158.920210256518</v>
      </c>
      <c r="G487" s="62">
        <v>0.89449647093160567</v>
      </c>
      <c r="H487" s="62">
        <v>16208.264217905182</v>
      </c>
      <c r="I487" s="62">
        <v>0.89750644465010243</v>
      </c>
      <c r="J487" s="62">
        <v>16083.792255442759</v>
      </c>
      <c r="K487" s="62">
        <v>0.88919036828520504</v>
      </c>
      <c r="L487" s="62">
        <f t="shared" si="73"/>
        <v>-4928.0352389147502</v>
      </c>
      <c r="M487" s="62">
        <f t="shared" si="74"/>
        <v>-0.27694764521958803</v>
      </c>
      <c r="N487" s="62">
        <f t="shared" si="75"/>
        <v>-4977.3792465634142</v>
      </c>
      <c r="O487" s="62">
        <f t="shared" si="76"/>
        <v>-0.2799576189380848</v>
      </c>
      <c r="P487" s="62">
        <f t="shared" si="77"/>
        <v>-4852.9072841009911</v>
      </c>
      <c r="Q487" s="62">
        <f t="shared" si="78"/>
        <v>-0.2716415425731874</v>
      </c>
      <c r="R487" s="62">
        <f t="shared" si="79"/>
        <v>14350.45758495285</v>
      </c>
      <c r="S487" s="62">
        <f t="shared" si="80"/>
        <v>20894.701601614317</v>
      </c>
      <c r="T487" s="62">
        <f t="shared" si="81"/>
        <v>20970.042745280662</v>
      </c>
      <c r="U487" s="62">
        <f t="shared" si="82"/>
        <v>20750.029560403578</v>
      </c>
      <c r="V487" s="62">
        <f t="shared" ref="V487:Y550" si="83">IF(MIN($R487:$U487)=R487,1,0)</f>
        <v>1</v>
      </c>
      <c r="W487" s="62">
        <f t="shared" si="83"/>
        <v>0</v>
      </c>
      <c r="X487" s="62">
        <f t="shared" si="83"/>
        <v>0</v>
      </c>
      <c r="Y487" s="62">
        <f t="shared" si="83"/>
        <v>0</v>
      </c>
      <c r="AA487" s="94"/>
    </row>
    <row r="488" spans="2:27" x14ac:dyDescent="0.2">
      <c r="B488" s="94"/>
      <c r="C488" s="62">
        <v>449</v>
      </c>
      <c r="D488" s="62">
        <v>11752.658865777888</v>
      </c>
      <c r="E488" s="62">
        <v>0.61754263816106136</v>
      </c>
      <c r="F488" s="62">
        <v>16904.080445110125</v>
      </c>
      <c r="G488" s="62">
        <v>0.89406770836687655</v>
      </c>
      <c r="H488" s="62">
        <v>16956.602391345234</v>
      </c>
      <c r="I488" s="62">
        <v>0.89708863274719508</v>
      </c>
      <c r="J488" s="62">
        <v>16842.558901651824</v>
      </c>
      <c r="K488" s="62">
        <v>0.88966169050038713</v>
      </c>
      <c r="L488" s="62">
        <f t="shared" ref="L488:L551" si="84">IF($C488&lt;=No_of_iterations_PSA,D488-$F488,"")</f>
        <v>-5151.4215793322364</v>
      </c>
      <c r="M488" s="62">
        <f t="shared" ref="M488:M551" si="85">IF($C488&lt;=No_of_iterations_PSA,E488-$G488,"")</f>
        <v>-0.27652507020581518</v>
      </c>
      <c r="N488" s="62">
        <f t="shared" ref="N488:N551" si="86">IF($C488&lt;=No_of_iterations_PSA,D488-$H488,"")</f>
        <v>-5203.9435255673452</v>
      </c>
      <c r="O488" s="62">
        <f t="shared" ref="O488:O551" si="87">IF($C488&lt;=No_of_iterations_PSA,E488-$I488,"")</f>
        <v>-0.27954599458613372</v>
      </c>
      <c r="P488" s="62">
        <f t="shared" ref="P488:P551" si="88">IF($C488&lt;=No_of_iterations_PSA,D488-$J488,"")</f>
        <v>-5089.9000358739358</v>
      </c>
      <c r="Q488" s="62">
        <f t="shared" ref="Q488:Q551" si="89">IF($C488&lt;=No_of_iterations_PSA,E488-$K488,"")</f>
        <v>-0.27211905233932576</v>
      </c>
      <c r="R488" s="62">
        <f t="shared" ref="R488:R551" si="90">IF($C488&lt;=No_of_iterations_PSA,E488*c_WTP-D488,"")</f>
        <v>13828.427377405918</v>
      </c>
      <c r="S488" s="62">
        <f t="shared" ref="S488:S551" si="91">IF($C488&lt;=No_of_iterations_PSA,G488*c_WTP-F488,"")</f>
        <v>20131.780306279372</v>
      </c>
      <c r="T488" s="62">
        <f t="shared" ref="T488:T551" si="92">IF($C488&lt;=No_of_iterations_PSA,I488*c_WTP-H488,"")</f>
        <v>20204.397131574577</v>
      </c>
      <c r="U488" s="62">
        <f t="shared" ref="U488:U551" si="93">IF($C488&lt;=No_of_iterations_PSA,K488*c_WTP-J488,"")</f>
        <v>20010.786965636213</v>
      </c>
      <c r="V488" s="62">
        <f t="shared" si="83"/>
        <v>1</v>
      </c>
      <c r="W488" s="62">
        <f t="shared" si="83"/>
        <v>0</v>
      </c>
      <c r="X488" s="62">
        <f t="shared" si="83"/>
        <v>0</v>
      </c>
      <c r="Y488" s="62">
        <f t="shared" si="83"/>
        <v>0</v>
      </c>
      <c r="AA488" s="94"/>
    </row>
    <row r="489" spans="2:27" x14ac:dyDescent="0.2">
      <c r="B489" s="94"/>
      <c r="C489" s="62">
        <v>450</v>
      </c>
      <c r="D489" s="62">
        <v>10877.841538696021</v>
      </c>
      <c r="E489" s="62">
        <v>0.61739669794457164</v>
      </c>
      <c r="F489" s="62">
        <v>15637.205050752837</v>
      </c>
      <c r="G489" s="62">
        <v>0.89320308605265974</v>
      </c>
      <c r="H489" s="62">
        <v>15705.059075600009</v>
      </c>
      <c r="I489" s="62">
        <v>0.89754771593360982</v>
      </c>
      <c r="J489" s="62">
        <v>15587.434057656747</v>
      </c>
      <c r="K489" s="62">
        <v>0.88947332906369236</v>
      </c>
      <c r="L489" s="62">
        <f t="shared" si="84"/>
        <v>-4759.363512056816</v>
      </c>
      <c r="M489" s="62">
        <f t="shared" si="85"/>
        <v>-0.27580638810808811</v>
      </c>
      <c r="N489" s="62">
        <f t="shared" si="86"/>
        <v>-4827.2175369039887</v>
      </c>
      <c r="O489" s="62">
        <f t="shared" si="87"/>
        <v>-0.28015101798903819</v>
      </c>
      <c r="P489" s="62">
        <f t="shared" si="88"/>
        <v>-4709.592518960726</v>
      </c>
      <c r="Q489" s="62">
        <f t="shared" si="89"/>
        <v>-0.27207663111912073</v>
      </c>
      <c r="R489" s="62">
        <f t="shared" si="90"/>
        <v>14697.199276959915</v>
      </c>
      <c r="S489" s="62">
        <f t="shared" si="91"/>
        <v>21362.83958589254</v>
      </c>
      <c r="T489" s="62">
        <f t="shared" si="92"/>
        <v>21474.957509233842</v>
      </c>
      <c r="U489" s="62">
        <f t="shared" si="93"/>
        <v>21258.109125477647</v>
      </c>
      <c r="V489" s="62">
        <f t="shared" si="83"/>
        <v>1</v>
      </c>
      <c r="W489" s="62">
        <f t="shared" si="83"/>
        <v>0</v>
      </c>
      <c r="X489" s="62">
        <f t="shared" si="83"/>
        <v>0</v>
      </c>
      <c r="Y489" s="62">
        <f t="shared" si="83"/>
        <v>0</v>
      </c>
      <c r="AA489" s="94"/>
    </row>
    <row r="490" spans="2:27" x14ac:dyDescent="0.2">
      <c r="B490" s="94"/>
      <c r="C490" s="62">
        <v>451</v>
      </c>
      <c r="D490" s="62">
        <v>9730.2992999839626</v>
      </c>
      <c r="E490" s="62">
        <v>0.61779666214685069</v>
      </c>
      <c r="F490" s="62">
        <v>13979.85121117199</v>
      </c>
      <c r="G490" s="62">
        <v>0.89447703071310125</v>
      </c>
      <c r="H490" s="62">
        <v>14005.029312514138</v>
      </c>
      <c r="I490" s="62">
        <v>0.89621508293789831</v>
      </c>
      <c r="J490" s="62">
        <v>13926.45314444195</v>
      </c>
      <c r="K490" s="62">
        <v>0.88974620173173646</v>
      </c>
      <c r="L490" s="62">
        <f t="shared" si="84"/>
        <v>-4249.5519111880276</v>
      </c>
      <c r="M490" s="62">
        <f t="shared" si="85"/>
        <v>-0.27668036856625056</v>
      </c>
      <c r="N490" s="62">
        <f t="shared" si="86"/>
        <v>-4274.7300125301754</v>
      </c>
      <c r="O490" s="62">
        <f t="shared" si="87"/>
        <v>-0.27841842079104762</v>
      </c>
      <c r="P490" s="62">
        <f t="shared" si="88"/>
        <v>-4196.1538444579874</v>
      </c>
      <c r="Q490" s="62">
        <f t="shared" si="89"/>
        <v>-0.27194953958488577</v>
      </c>
      <c r="R490" s="62">
        <f t="shared" si="90"/>
        <v>15861.309632787179</v>
      </c>
      <c r="S490" s="62">
        <f t="shared" si="91"/>
        <v>23072.965309087514</v>
      </c>
      <c r="T490" s="62">
        <f t="shared" si="92"/>
        <v>23119.784283105357</v>
      </c>
      <c r="U490" s="62">
        <f t="shared" si="93"/>
        <v>22930.3935160935</v>
      </c>
      <c r="V490" s="62">
        <f t="shared" si="83"/>
        <v>1</v>
      </c>
      <c r="W490" s="62">
        <f t="shared" si="83"/>
        <v>0</v>
      </c>
      <c r="X490" s="62">
        <f t="shared" si="83"/>
        <v>0</v>
      </c>
      <c r="Y490" s="62">
        <f t="shared" si="83"/>
        <v>0</v>
      </c>
      <c r="AA490" s="94"/>
    </row>
    <row r="491" spans="2:27" x14ac:dyDescent="0.2">
      <c r="B491" s="94"/>
      <c r="C491" s="62">
        <v>452</v>
      </c>
      <c r="D491" s="62">
        <v>9979.4266503218405</v>
      </c>
      <c r="E491" s="62">
        <v>0.61805668352987631</v>
      </c>
      <c r="F491" s="62">
        <v>14332.312999912148</v>
      </c>
      <c r="G491" s="62">
        <v>0.89357621515973296</v>
      </c>
      <c r="H491" s="62">
        <v>14378.264564674253</v>
      </c>
      <c r="I491" s="62">
        <v>0.89673979110725344</v>
      </c>
      <c r="J491" s="62">
        <v>14275.191810910761</v>
      </c>
      <c r="K491" s="62">
        <v>0.88886981034432688</v>
      </c>
      <c r="L491" s="62">
        <f t="shared" si="84"/>
        <v>-4352.8863495903079</v>
      </c>
      <c r="M491" s="62">
        <f t="shared" si="85"/>
        <v>-0.27551953162985665</v>
      </c>
      <c r="N491" s="62">
        <f t="shared" si="86"/>
        <v>-4398.8379143524126</v>
      </c>
      <c r="O491" s="62">
        <f t="shared" si="87"/>
        <v>-0.27868310757737713</v>
      </c>
      <c r="P491" s="62">
        <f t="shared" si="88"/>
        <v>-4295.7651605889205</v>
      </c>
      <c r="Q491" s="62">
        <f t="shared" si="89"/>
        <v>-0.27081312681445058</v>
      </c>
      <c r="R491" s="62">
        <f t="shared" si="90"/>
        <v>15622.953408219755</v>
      </c>
      <c r="S491" s="62">
        <f t="shared" si="91"/>
        <v>22683.188136864632</v>
      </c>
      <c r="T491" s="62">
        <f t="shared" si="92"/>
        <v>22768.284542152614</v>
      </c>
      <c r="U491" s="62">
        <f t="shared" si="93"/>
        <v>22545.351212792633</v>
      </c>
      <c r="V491" s="62">
        <f t="shared" si="83"/>
        <v>1</v>
      </c>
      <c r="W491" s="62">
        <f t="shared" si="83"/>
        <v>0</v>
      </c>
      <c r="X491" s="62">
        <f t="shared" si="83"/>
        <v>0</v>
      </c>
      <c r="Y491" s="62">
        <f t="shared" si="83"/>
        <v>0</v>
      </c>
      <c r="AA491" s="94"/>
    </row>
    <row r="492" spans="2:27" x14ac:dyDescent="0.2">
      <c r="B492" s="94"/>
      <c r="C492" s="62">
        <v>453</v>
      </c>
      <c r="D492" s="62">
        <v>10070.560192279407</v>
      </c>
      <c r="E492" s="62">
        <v>0.61778973519916369</v>
      </c>
      <c r="F492" s="62">
        <v>14469.968353267795</v>
      </c>
      <c r="G492" s="62">
        <v>0.89368784033135251</v>
      </c>
      <c r="H492" s="62">
        <v>14518.122284570436</v>
      </c>
      <c r="I492" s="62">
        <v>0.89700169810975805</v>
      </c>
      <c r="J492" s="62">
        <v>14416.465096773842</v>
      </c>
      <c r="K492" s="62">
        <v>0.889364097379025</v>
      </c>
      <c r="L492" s="62">
        <f t="shared" si="84"/>
        <v>-4399.4081609883888</v>
      </c>
      <c r="M492" s="62">
        <f t="shared" si="85"/>
        <v>-0.27589810513218882</v>
      </c>
      <c r="N492" s="62">
        <f t="shared" si="86"/>
        <v>-4447.5620922910293</v>
      </c>
      <c r="O492" s="62">
        <f t="shared" si="87"/>
        <v>-0.27921196291059436</v>
      </c>
      <c r="P492" s="62">
        <f t="shared" si="88"/>
        <v>-4345.904904494435</v>
      </c>
      <c r="Q492" s="62">
        <f t="shared" si="89"/>
        <v>-0.27157436217986131</v>
      </c>
      <c r="R492" s="62">
        <f t="shared" si="90"/>
        <v>15520.761798610749</v>
      </c>
      <c r="S492" s="62">
        <f t="shared" si="91"/>
        <v>22550.156744618151</v>
      </c>
      <c r="T492" s="62">
        <f t="shared" si="92"/>
        <v>22639.276057928178</v>
      </c>
      <c r="U492" s="62">
        <f t="shared" si="93"/>
        <v>22424.553273054888</v>
      </c>
      <c r="V492" s="62">
        <f t="shared" si="83"/>
        <v>1</v>
      </c>
      <c r="W492" s="62">
        <f t="shared" si="83"/>
        <v>0</v>
      </c>
      <c r="X492" s="62">
        <f t="shared" si="83"/>
        <v>0</v>
      </c>
      <c r="Y492" s="62">
        <f t="shared" si="83"/>
        <v>0</v>
      </c>
      <c r="AA492" s="94"/>
    </row>
    <row r="493" spans="2:27" x14ac:dyDescent="0.2">
      <c r="B493" s="94"/>
      <c r="C493" s="62">
        <v>454</v>
      </c>
      <c r="D493" s="62">
        <v>11011.465887090812</v>
      </c>
      <c r="E493" s="62">
        <v>0.617659500715947</v>
      </c>
      <c r="F493" s="62">
        <v>15850.161612865153</v>
      </c>
      <c r="G493" s="62">
        <v>0.8947891374304362</v>
      </c>
      <c r="H493" s="62">
        <v>15890.779228382262</v>
      </c>
      <c r="I493" s="62">
        <v>0.89744204662484028</v>
      </c>
      <c r="J493" s="62">
        <v>15770.664920297462</v>
      </c>
      <c r="K493" s="62">
        <v>0.88937840947720093</v>
      </c>
      <c r="L493" s="62">
        <f t="shared" si="84"/>
        <v>-4838.6957257743416</v>
      </c>
      <c r="M493" s="62">
        <f t="shared" si="85"/>
        <v>-0.2771296367144892</v>
      </c>
      <c r="N493" s="62">
        <f t="shared" si="86"/>
        <v>-4879.3133412914503</v>
      </c>
      <c r="O493" s="62">
        <f t="shared" si="87"/>
        <v>-0.27978254590889329</v>
      </c>
      <c r="P493" s="62">
        <f t="shared" si="88"/>
        <v>-4759.1990332066507</v>
      </c>
      <c r="Q493" s="62">
        <f t="shared" si="89"/>
        <v>-0.27171890876125393</v>
      </c>
      <c r="R493" s="62">
        <f t="shared" si="90"/>
        <v>14574.461270566577</v>
      </c>
      <c r="S493" s="62">
        <f t="shared" si="91"/>
        <v>21215.583616053234</v>
      </c>
      <c r="T493" s="62">
        <f t="shared" si="92"/>
        <v>21284.860111005117</v>
      </c>
      <c r="U493" s="62">
        <f t="shared" si="93"/>
        <v>21070.946313886107</v>
      </c>
      <c r="V493" s="62">
        <f t="shared" si="83"/>
        <v>1</v>
      </c>
      <c r="W493" s="62">
        <f t="shared" si="83"/>
        <v>0</v>
      </c>
      <c r="X493" s="62">
        <f t="shared" si="83"/>
        <v>0</v>
      </c>
      <c r="Y493" s="62">
        <f t="shared" si="83"/>
        <v>0</v>
      </c>
      <c r="AA493" s="94"/>
    </row>
    <row r="494" spans="2:27" x14ac:dyDescent="0.2">
      <c r="B494" s="94"/>
      <c r="C494" s="62">
        <v>455</v>
      </c>
      <c r="D494" s="62">
        <v>10668.468239434684</v>
      </c>
      <c r="E494" s="62">
        <v>0.6171753763607134</v>
      </c>
      <c r="F494" s="62">
        <v>15354.293316147267</v>
      </c>
      <c r="G494" s="62">
        <v>0.89408382614859916</v>
      </c>
      <c r="H494" s="62">
        <v>15406.75276093785</v>
      </c>
      <c r="I494" s="62">
        <v>0.89745267630566383</v>
      </c>
      <c r="J494" s="62">
        <v>15292.357309067436</v>
      </c>
      <c r="K494" s="62">
        <v>0.88941811477946719</v>
      </c>
      <c r="L494" s="62">
        <f t="shared" si="84"/>
        <v>-4685.8250767125828</v>
      </c>
      <c r="M494" s="62">
        <f t="shared" si="85"/>
        <v>-0.27690844978788576</v>
      </c>
      <c r="N494" s="62">
        <f t="shared" si="86"/>
        <v>-4738.2845215031666</v>
      </c>
      <c r="O494" s="62">
        <f t="shared" si="87"/>
        <v>-0.28027729994495043</v>
      </c>
      <c r="P494" s="62">
        <f t="shared" si="88"/>
        <v>-4623.8890696327526</v>
      </c>
      <c r="Q494" s="62">
        <f t="shared" si="89"/>
        <v>-0.27224273841875379</v>
      </c>
      <c r="R494" s="62">
        <f t="shared" si="90"/>
        <v>14897.404550931509</v>
      </c>
      <c r="S494" s="62">
        <f t="shared" si="91"/>
        <v>21682.235098232304</v>
      </c>
      <c r="T494" s="62">
        <f t="shared" si="92"/>
        <v>21769.326902347966</v>
      </c>
      <c r="U494" s="62">
        <f t="shared" si="93"/>
        <v>21550.898677557216</v>
      </c>
      <c r="V494" s="62">
        <f t="shared" si="83"/>
        <v>1</v>
      </c>
      <c r="W494" s="62">
        <f t="shared" si="83"/>
        <v>0</v>
      </c>
      <c r="X494" s="62">
        <f t="shared" si="83"/>
        <v>0</v>
      </c>
      <c r="Y494" s="62">
        <f t="shared" si="83"/>
        <v>0</v>
      </c>
      <c r="AA494" s="94"/>
    </row>
    <row r="495" spans="2:27" x14ac:dyDescent="0.2">
      <c r="B495" s="94"/>
      <c r="C495" s="62">
        <v>456</v>
      </c>
      <c r="D495" s="62">
        <v>10511.837867427272</v>
      </c>
      <c r="E495" s="62">
        <v>0.61783641051724469</v>
      </c>
      <c r="F495" s="62">
        <v>15124.322779857517</v>
      </c>
      <c r="G495" s="62">
        <v>0.89494815192307442</v>
      </c>
      <c r="H495" s="62">
        <v>15167.131818208825</v>
      </c>
      <c r="I495" s="62">
        <v>0.89773674660958136</v>
      </c>
      <c r="J495" s="62">
        <v>15050.596331613102</v>
      </c>
      <c r="K495" s="62">
        <v>0.88932223025241064</v>
      </c>
      <c r="L495" s="62">
        <f t="shared" si="84"/>
        <v>-4612.4849124302455</v>
      </c>
      <c r="M495" s="62">
        <f t="shared" si="85"/>
        <v>-0.27711174140582973</v>
      </c>
      <c r="N495" s="62">
        <f t="shared" si="86"/>
        <v>-4655.2939507815536</v>
      </c>
      <c r="O495" s="62">
        <f t="shared" si="87"/>
        <v>-0.27990033609233667</v>
      </c>
      <c r="P495" s="62">
        <f t="shared" si="88"/>
        <v>-4538.7584641858302</v>
      </c>
      <c r="Q495" s="62">
        <f t="shared" si="89"/>
        <v>-0.27148581973516595</v>
      </c>
      <c r="R495" s="62">
        <f t="shared" si="90"/>
        <v>15081.417601839072</v>
      </c>
      <c r="S495" s="62">
        <f t="shared" si="91"/>
        <v>21948.00946540392</v>
      </c>
      <c r="T495" s="62">
        <f t="shared" si="92"/>
        <v>22020.715173346474</v>
      </c>
      <c r="U495" s="62">
        <f t="shared" si="93"/>
        <v>21788.687734362757</v>
      </c>
      <c r="V495" s="62">
        <f t="shared" si="83"/>
        <v>1</v>
      </c>
      <c r="W495" s="62">
        <f t="shared" si="83"/>
        <v>0</v>
      </c>
      <c r="X495" s="62">
        <f t="shared" si="83"/>
        <v>0</v>
      </c>
      <c r="Y495" s="62">
        <f t="shared" si="83"/>
        <v>0</v>
      </c>
      <c r="AA495" s="94"/>
    </row>
    <row r="496" spans="2:27" x14ac:dyDescent="0.2">
      <c r="B496" s="94"/>
      <c r="C496" s="62">
        <v>457</v>
      </c>
      <c r="D496" s="62">
        <v>10939.683280798556</v>
      </c>
      <c r="E496" s="62">
        <v>0.61724320903007734</v>
      </c>
      <c r="F496" s="62">
        <v>15750.692490882293</v>
      </c>
      <c r="G496" s="62">
        <v>0.89427645677606948</v>
      </c>
      <c r="H496" s="62">
        <v>15796.537280888815</v>
      </c>
      <c r="I496" s="62">
        <v>0.89709889114330499</v>
      </c>
      <c r="J496" s="62">
        <v>15685.908546001105</v>
      </c>
      <c r="K496" s="62">
        <v>0.88965812436001124</v>
      </c>
      <c r="L496" s="62">
        <f t="shared" si="84"/>
        <v>-4811.0092100837373</v>
      </c>
      <c r="M496" s="62">
        <f t="shared" si="85"/>
        <v>-0.27703324774599214</v>
      </c>
      <c r="N496" s="62">
        <f t="shared" si="86"/>
        <v>-4856.8540000902594</v>
      </c>
      <c r="O496" s="62">
        <f t="shared" si="87"/>
        <v>-0.27985568211322764</v>
      </c>
      <c r="P496" s="62">
        <f t="shared" si="88"/>
        <v>-4746.2252652025491</v>
      </c>
      <c r="Q496" s="62">
        <f t="shared" si="89"/>
        <v>-0.27241491532993389</v>
      </c>
      <c r="R496" s="62">
        <f t="shared" si="90"/>
        <v>14628.999410063367</v>
      </c>
      <c r="S496" s="62">
        <f t="shared" si="91"/>
        <v>21293.815454609612</v>
      </c>
      <c r="T496" s="62">
        <f t="shared" si="92"/>
        <v>21364.887185831452</v>
      </c>
      <c r="U496" s="62">
        <f t="shared" si="93"/>
        <v>21167.289597488001</v>
      </c>
      <c r="V496" s="62">
        <f t="shared" si="83"/>
        <v>1</v>
      </c>
      <c r="W496" s="62">
        <f t="shared" si="83"/>
        <v>0</v>
      </c>
      <c r="X496" s="62">
        <f t="shared" si="83"/>
        <v>0</v>
      </c>
      <c r="Y496" s="62">
        <f t="shared" si="83"/>
        <v>0</v>
      </c>
      <c r="AA496" s="94"/>
    </row>
    <row r="497" spans="2:27" x14ac:dyDescent="0.2">
      <c r="B497" s="94"/>
      <c r="C497" s="62">
        <v>458</v>
      </c>
      <c r="D497" s="62">
        <v>11744.661856780353</v>
      </c>
      <c r="E497" s="62">
        <v>0.617432344364233</v>
      </c>
      <c r="F497" s="62">
        <v>16905.184124665509</v>
      </c>
      <c r="G497" s="62">
        <v>0.89423191383535672</v>
      </c>
      <c r="H497" s="62">
        <v>16958.974213255664</v>
      </c>
      <c r="I497" s="62">
        <v>0.8974238621474222</v>
      </c>
      <c r="J497" s="62">
        <v>16823.337612799449</v>
      </c>
      <c r="K497" s="62">
        <v>0.88892597716357302</v>
      </c>
      <c r="L497" s="62">
        <f t="shared" si="84"/>
        <v>-5160.5222678851569</v>
      </c>
      <c r="M497" s="62">
        <f t="shared" si="85"/>
        <v>-0.27679956947112372</v>
      </c>
      <c r="N497" s="62">
        <f t="shared" si="86"/>
        <v>-5214.3123564753114</v>
      </c>
      <c r="O497" s="62">
        <f t="shared" si="87"/>
        <v>-0.2799915177831892</v>
      </c>
      <c r="P497" s="62">
        <f t="shared" si="88"/>
        <v>-5078.6757560190963</v>
      </c>
      <c r="Q497" s="62">
        <f t="shared" si="89"/>
        <v>-0.27149363279934002</v>
      </c>
      <c r="R497" s="62">
        <f t="shared" si="90"/>
        <v>13831.855576163634</v>
      </c>
      <c r="S497" s="62">
        <f t="shared" si="91"/>
        <v>20137.478674050304</v>
      </c>
      <c r="T497" s="62">
        <f t="shared" si="92"/>
        <v>20215.911852339152</v>
      </c>
      <c r="U497" s="62">
        <f t="shared" si="93"/>
        <v>19999.532065224397</v>
      </c>
      <c r="V497" s="62">
        <f t="shared" si="83"/>
        <v>1</v>
      </c>
      <c r="W497" s="62">
        <f t="shared" si="83"/>
        <v>0</v>
      </c>
      <c r="X497" s="62">
        <f t="shared" si="83"/>
        <v>0</v>
      </c>
      <c r="Y497" s="62">
        <f t="shared" si="83"/>
        <v>0</v>
      </c>
      <c r="AA497" s="94"/>
    </row>
    <row r="498" spans="2:27" x14ac:dyDescent="0.2">
      <c r="B498" s="94"/>
      <c r="C498" s="62">
        <v>459</v>
      </c>
      <c r="D498" s="62">
        <v>9257.7066046458349</v>
      </c>
      <c r="E498" s="62">
        <v>0.61772733733478136</v>
      </c>
      <c r="F498" s="62">
        <v>13294.391173798193</v>
      </c>
      <c r="G498" s="62">
        <v>0.89349279940275128</v>
      </c>
      <c r="H498" s="62">
        <v>13336.082910354753</v>
      </c>
      <c r="I498" s="62">
        <v>0.89657827871230722</v>
      </c>
      <c r="J498" s="62">
        <v>13252.870028512534</v>
      </c>
      <c r="K498" s="62">
        <v>0.8895783164516865</v>
      </c>
      <c r="L498" s="62">
        <f t="shared" si="84"/>
        <v>-4036.6845691523577</v>
      </c>
      <c r="M498" s="62">
        <f t="shared" si="85"/>
        <v>-0.27576546206796992</v>
      </c>
      <c r="N498" s="62">
        <f t="shared" si="86"/>
        <v>-4078.3763057089182</v>
      </c>
      <c r="O498" s="62">
        <f t="shared" si="87"/>
        <v>-0.27885094137752586</v>
      </c>
      <c r="P498" s="62">
        <f t="shared" si="88"/>
        <v>-3995.1634238666993</v>
      </c>
      <c r="Q498" s="62">
        <f t="shared" si="89"/>
        <v>-0.27185097911690514</v>
      </c>
      <c r="R498" s="62">
        <f t="shared" si="90"/>
        <v>16331.030617110147</v>
      </c>
      <c r="S498" s="62">
        <f t="shared" si="91"/>
        <v>23717.654548661376</v>
      </c>
      <c r="T498" s="62">
        <f t="shared" si="92"/>
        <v>23803.775707023866</v>
      </c>
      <c r="U498" s="62">
        <f t="shared" si="93"/>
        <v>23597.022152182126</v>
      </c>
      <c r="V498" s="62">
        <f t="shared" si="83"/>
        <v>1</v>
      </c>
      <c r="W498" s="62">
        <f t="shared" si="83"/>
        <v>0</v>
      </c>
      <c r="X498" s="62">
        <f t="shared" si="83"/>
        <v>0</v>
      </c>
      <c r="Y498" s="62">
        <f t="shared" si="83"/>
        <v>0</v>
      </c>
      <c r="AA498" s="94"/>
    </row>
    <row r="499" spans="2:27" x14ac:dyDescent="0.2">
      <c r="B499" s="94"/>
      <c r="C499" s="62">
        <v>460</v>
      </c>
      <c r="D499" s="62">
        <v>9403.1958118296225</v>
      </c>
      <c r="E499" s="62">
        <v>0.61780811099709176</v>
      </c>
      <c r="F499" s="62">
        <v>13515.99440512416</v>
      </c>
      <c r="G499" s="62">
        <v>0.89475693467117401</v>
      </c>
      <c r="H499" s="62">
        <v>13532.061098580105</v>
      </c>
      <c r="I499" s="62">
        <v>0.89607859196446848</v>
      </c>
      <c r="J499" s="62">
        <v>13441.353962567349</v>
      </c>
      <c r="K499" s="62">
        <v>0.88860771345666789</v>
      </c>
      <c r="L499" s="62">
        <f t="shared" si="84"/>
        <v>-4112.7985932945376</v>
      </c>
      <c r="M499" s="62">
        <f t="shared" si="85"/>
        <v>-0.27694882367408225</v>
      </c>
      <c r="N499" s="62">
        <f t="shared" si="86"/>
        <v>-4128.8652867504825</v>
      </c>
      <c r="O499" s="62">
        <f t="shared" si="87"/>
        <v>-0.27827048096737672</v>
      </c>
      <c r="P499" s="62">
        <f t="shared" si="88"/>
        <v>-4038.1581507377268</v>
      </c>
      <c r="Q499" s="62">
        <f t="shared" si="89"/>
        <v>-0.27079960245957613</v>
      </c>
      <c r="R499" s="62">
        <f t="shared" si="90"/>
        <v>16188.887378113906</v>
      </c>
      <c r="S499" s="62">
        <f t="shared" si="91"/>
        <v>23548.416856694552</v>
      </c>
      <c r="T499" s="62">
        <f t="shared" si="92"/>
        <v>23587.098494956037</v>
      </c>
      <c r="U499" s="62">
        <f t="shared" si="93"/>
        <v>23368.331959661657</v>
      </c>
      <c r="V499" s="62">
        <f t="shared" si="83"/>
        <v>1</v>
      </c>
      <c r="W499" s="62">
        <f t="shared" si="83"/>
        <v>0</v>
      </c>
      <c r="X499" s="62">
        <f t="shared" si="83"/>
        <v>0</v>
      </c>
      <c r="Y499" s="62">
        <f t="shared" si="83"/>
        <v>0</v>
      </c>
      <c r="AA499" s="94"/>
    </row>
    <row r="500" spans="2:27" x14ac:dyDescent="0.2">
      <c r="B500" s="94"/>
      <c r="C500" s="62">
        <v>461</v>
      </c>
      <c r="D500" s="62">
        <v>10574.852387303525</v>
      </c>
      <c r="E500" s="62">
        <v>0.61782462149324702</v>
      </c>
      <c r="F500" s="62">
        <v>15194.569265967442</v>
      </c>
      <c r="G500" s="62">
        <v>0.89344987160314249</v>
      </c>
      <c r="H500" s="62">
        <v>15250.959925478475</v>
      </c>
      <c r="I500" s="62">
        <v>0.89724874359352269</v>
      </c>
      <c r="J500" s="62">
        <v>15142.645714656986</v>
      </c>
      <c r="K500" s="62">
        <v>0.88942591482221334</v>
      </c>
      <c r="L500" s="62">
        <f t="shared" si="84"/>
        <v>-4619.7168786639177</v>
      </c>
      <c r="M500" s="62">
        <f t="shared" si="85"/>
        <v>-0.27562525010989547</v>
      </c>
      <c r="N500" s="62">
        <f t="shared" si="86"/>
        <v>-4676.1075381749506</v>
      </c>
      <c r="O500" s="62">
        <f t="shared" si="87"/>
        <v>-0.27942412210027567</v>
      </c>
      <c r="P500" s="62">
        <f t="shared" si="88"/>
        <v>-4567.7933273534618</v>
      </c>
      <c r="Q500" s="62">
        <f t="shared" si="89"/>
        <v>-0.27160129332896632</v>
      </c>
      <c r="R500" s="62">
        <f t="shared" si="90"/>
        <v>15017.914733432741</v>
      </c>
      <c r="S500" s="62">
        <f t="shared" si="91"/>
        <v>21815.698215321132</v>
      </c>
      <c r="T500" s="62">
        <f t="shared" si="92"/>
        <v>21916.672029139605</v>
      </c>
      <c r="U500" s="62">
        <f t="shared" si="93"/>
        <v>21700.933380938375</v>
      </c>
      <c r="V500" s="62">
        <f t="shared" si="83"/>
        <v>1</v>
      </c>
      <c r="W500" s="62">
        <f t="shared" si="83"/>
        <v>0</v>
      </c>
      <c r="X500" s="62">
        <f t="shared" si="83"/>
        <v>0</v>
      </c>
      <c r="Y500" s="62">
        <f t="shared" si="83"/>
        <v>0</v>
      </c>
      <c r="AA500" s="94"/>
    </row>
    <row r="501" spans="2:27" x14ac:dyDescent="0.2">
      <c r="B501" s="94"/>
      <c r="C501" s="62">
        <v>462</v>
      </c>
      <c r="D501" s="62">
        <v>10750.785775354783</v>
      </c>
      <c r="E501" s="62">
        <v>0.61753109885961843</v>
      </c>
      <c r="F501" s="62">
        <v>15475.689271658583</v>
      </c>
      <c r="G501" s="62">
        <v>0.89459423650950409</v>
      </c>
      <c r="H501" s="62">
        <v>15514.005305509001</v>
      </c>
      <c r="I501" s="62">
        <v>0.89712057304753245</v>
      </c>
      <c r="J501" s="62">
        <v>15394.510421977491</v>
      </c>
      <c r="K501" s="62">
        <v>0.88886210818179945</v>
      </c>
      <c r="L501" s="62">
        <f t="shared" si="84"/>
        <v>-4724.9034963037993</v>
      </c>
      <c r="M501" s="62">
        <f t="shared" si="85"/>
        <v>-0.27706313764988566</v>
      </c>
      <c r="N501" s="62">
        <f t="shared" si="86"/>
        <v>-4763.2195301542179</v>
      </c>
      <c r="O501" s="62">
        <f t="shared" si="87"/>
        <v>-0.27958947418791402</v>
      </c>
      <c r="P501" s="62">
        <f t="shared" si="88"/>
        <v>-4643.724646622708</v>
      </c>
      <c r="Q501" s="62">
        <f t="shared" si="89"/>
        <v>-0.27133100932218102</v>
      </c>
      <c r="R501" s="62">
        <f t="shared" si="90"/>
        <v>14829.822463806049</v>
      </c>
      <c r="S501" s="62">
        <f t="shared" si="91"/>
        <v>21581.982381511112</v>
      </c>
      <c r="T501" s="62">
        <f t="shared" si="92"/>
        <v>21648.317312411978</v>
      </c>
      <c r="U501" s="62">
        <f t="shared" si="93"/>
        <v>21425.713547345371</v>
      </c>
      <c r="V501" s="62">
        <f t="shared" si="83"/>
        <v>1</v>
      </c>
      <c r="W501" s="62">
        <f t="shared" si="83"/>
        <v>0</v>
      </c>
      <c r="X501" s="62">
        <f t="shared" si="83"/>
        <v>0</v>
      </c>
      <c r="Y501" s="62">
        <f t="shared" si="83"/>
        <v>0</v>
      </c>
      <c r="AA501" s="94"/>
    </row>
    <row r="502" spans="2:27" x14ac:dyDescent="0.2">
      <c r="B502" s="94"/>
      <c r="C502" s="62">
        <v>463</v>
      </c>
      <c r="D502" s="62">
        <v>9013.954159670775</v>
      </c>
      <c r="E502" s="62">
        <v>0.61817344693823872</v>
      </c>
      <c r="F502" s="62">
        <v>12937.46578634383</v>
      </c>
      <c r="G502" s="62">
        <v>0.89374439682193185</v>
      </c>
      <c r="H502" s="62">
        <v>12982.16712632346</v>
      </c>
      <c r="I502" s="62">
        <v>0.89718378909606689</v>
      </c>
      <c r="J502" s="62">
        <v>12891.229690073795</v>
      </c>
      <c r="K502" s="62">
        <v>0.88935674027757494</v>
      </c>
      <c r="L502" s="62">
        <f t="shared" si="84"/>
        <v>-3923.5116266730547</v>
      </c>
      <c r="M502" s="62">
        <f t="shared" si="85"/>
        <v>-0.27557094988369313</v>
      </c>
      <c r="N502" s="62">
        <f t="shared" si="86"/>
        <v>-3968.2129666526853</v>
      </c>
      <c r="O502" s="62">
        <f t="shared" si="87"/>
        <v>-0.27901034215782816</v>
      </c>
      <c r="P502" s="62">
        <f t="shared" si="88"/>
        <v>-3877.2755304030197</v>
      </c>
      <c r="Q502" s="62">
        <f t="shared" si="89"/>
        <v>-0.27118329333933622</v>
      </c>
      <c r="R502" s="62">
        <f t="shared" si="90"/>
        <v>16593.262706298825</v>
      </c>
      <c r="S502" s="62">
        <f t="shared" si="91"/>
        <v>24085.002107607874</v>
      </c>
      <c r="T502" s="62">
        <f t="shared" si="92"/>
        <v>24182.774153192011</v>
      </c>
      <c r="U502" s="62">
        <f t="shared" si="93"/>
        <v>23949.483919184473</v>
      </c>
      <c r="V502" s="62">
        <f t="shared" si="83"/>
        <v>1</v>
      </c>
      <c r="W502" s="62">
        <f t="shared" si="83"/>
        <v>0</v>
      </c>
      <c r="X502" s="62">
        <f t="shared" si="83"/>
        <v>0</v>
      </c>
      <c r="Y502" s="62">
        <f t="shared" si="83"/>
        <v>0</v>
      </c>
      <c r="AA502" s="94"/>
    </row>
    <row r="503" spans="2:27" x14ac:dyDescent="0.2">
      <c r="B503" s="94"/>
      <c r="C503" s="62">
        <v>464</v>
      </c>
      <c r="D503" s="62">
        <v>10636.982957717299</v>
      </c>
      <c r="E503" s="62">
        <v>0.61712399613321267</v>
      </c>
      <c r="F503" s="62">
        <v>15311.342687980259</v>
      </c>
      <c r="G503" s="62">
        <v>0.89419515040981545</v>
      </c>
      <c r="H503" s="62">
        <v>15367.592773280832</v>
      </c>
      <c r="I503" s="62">
        <v>0.89783923143595912</v>
      </c>
      <c r="J503" s="62">
        <v>15246.7955941989</v>
      </c>
      <c r="K503" s="62">
        <v>0.88931511631899074</v>
      </c>
      <c r="L503" s="62">
        <f t="shared" si="84"/>
        <v>-4674.3597302629605</v>
      </c>
      <c r="M503" s="62">
        <f t="shared" si="85"/>
        <v>-0.27707115427660278</v>
      </c>
      <c r="N503" s="62">
        <f t="shared" si="86"/>
        <v>-4730.6098155635336</v>
      </c>
      <c r="O503" s="62">
        <f t="shared" si="87"/>
        <v>-0.28071523530274645</v>
      </c>
      <c r="P503" s="62">
        <f t="shared" si="88"/>
        <v>-4609.8126364816017</v>
      </c>
      <c r="Q503" s="62">
        <f t="shared" si="89"/>
        <v>-0.27219112018577807</v>
      </c>
      <c r="R503" s="62">
        <f t="shared" si="90"/>
        <v>14926.761458104904</v>
      </c>
      <c r="S503" s="62">
        <f t="shared" si="91"/>
        <v>21729.797222595938</v>
      </c>
      <c r="T503" s="62">
        <f t="shared" si="92"/>
        <v>21824.499549722335</v>
      </c>
      <c r="U503" s="62">
        <f t="shared" si="93"/>
        <v>21592.193784198971</v>
      </c>
      <c r="V503" s="62">
        <f t="shared" si="83"/>
        <v>1</v>
      </c>
      <c r="W503" s="62">
        <f t="shared" si="83"/>
        <v>0</v>
      </c>
      <c r="X503" s="62">
        <f t="shared" si="83"/>
        <v>0</v>
      </c>
      <c r="Y503" s="62">
        <f t="shared" si="83"/>
        <v>0</v>
      </c>
      <c r="AA503" s="94"/>
    </row>
    <row r="504" spans="2:27" x14ac:dyDescent="0.2">
      <c r="B504" s="94"/>
      <c r="C504" s="62">
        <v>465</v>
      </c>
      <c r="D504" s="62">
        <v>7586.5833692185934</v>
      </c>
      <c r="E504" s="62">
        <v>0.61746660346031323</v>
      </c>
      <c r="F504" s="62">
        <v>10891.8531850907</v>
      </c>
      <c r="G504" s="62">
        <v>0.8941142632494985</v>
      </c>
      <c r="H504" s="62">
        <v>10934.627038369359</v>
      </c>
      <c r="I504" s="62">
        <v>0.89808387643752363</v>
      </c>
      <c r="J504" s="62">
        <v>10856.226562333357</v>
      </c>
      <c r="K504" s="62">
        <v>0.88992970799259175</v>
      </c>
      <c r="L504" s="62">
        <f t="shared" si="84"/>
        <v>-3305.2698158721068</v>
      </c>
      <c r="M504" s="62">
        <f t="shared" si="85"/>
        <v>-0.27664765978918526</v>
      </c>
      <c r="N504" s="62">
        <f t="shared" si="86"/>
        <v>-3348.0436691507657</v>
      </c>
      <c r="O504" s="62">
        <f t="shared" si="87"/>
        <v>-0.2806172729772104</v>
      </c>
      <c r="P504" s="62">
        <f t="shared" si="88"/>
        <v>-3269.6431931147636</v>
      </c>
      <c r="Q504" s="62">
        <f t="shared" si="89"/>
        <v>-0.27246310453227851</v>
      </c>
      <c r="R504" s="62">
        <f t="shared" si="90"/>
        <v>17991.353212521419</v>
      </c>
      <c r="S504" s="62">
        <f t="shared" si="91"/>
        <v>26145.936055756523</v>
      </c>
      <c r="T504" s="62">
        <f t="shared" si="92"/>
        <v>26267.599459178618</v>
      </c>
      <c r="U504" s="62">
        <f t="shared" si="93"/>
        <v>26008.221661551761</v>
      </c>
      <c r="V504" s="62">
        <f t="shared" si="83"/>
        <v>1</v>
      </c>
      <c r="W504" s="62">
        <f t="shared" si="83"/>
        <v>0</v>
      </c>
      <c r="X504" s="62">
        <f t="shared" si="83"/>
        <v>0</v>
      </c>
      <c r="Y504" s="62">
        <f t="shared" si="83"/>
        <v>0</v>
      </c>
      <c r="AA504" s="94"/>
    </row>
    <row r="505" spans="2:27" x14ac:dyDescent="0.2">
      <c r="B505" s="94"/>
      <c r="C505" s="62">
        <v>466</v>
      </c>
      <c r="D505" s="62">
        <v>8928.8660476617406</v>
      </c>
      <c r="E505" s="62">
        <v>0.61745779763589181</v>
      </c>
      <c r="F505" s="62">
        <v>12833.612309852057</v>
      </c>
      <c r="G505" s="62">
        <v>0.89407992348552512</v>
      </c>
      <c r="H505" s="62">
        <v>12880.728074295674</v>
      </c>
      <c r="I505" s="62">
        <v>0.89779575385062516</v>
      </c>
      <c r="J505" s="62">
        <v>12781.589809052875</v>
      </c>
      <c r="K505" s="62">
        <v>0.88929380936965918</v>
      </c>
      <c r="L505" s="62">
        <f t="shared" si="84"/>
        <v>-3904.746262190316</v>
      </c>
      <c r="M505" s="62">
        <f t="shared" si="85"/>
        <v>-0.2766221258496333</v>
      </c>
      <c r="N505" s="62">
        <f t="shared" si="86"/>
        <v>-3951.8620266339331</v>
      </c>
      <c r="O505" s="62">
        <f t="shared" si="87"/>
        <v>-0.28033795621473334</v>
      </c>
      <c r="P505" s="62">
        <f t="shared" si="88"/>
        <v>-3852.7237613911348</v>
      </c>
      <c r="Q505" s="62">
        <f t="shared" si="89"/>
        <v>-0.27183601173376737</v>
      </c>
      <c r="R505" s="62">
        <f t="shared" si="90"/>
        <v>16648.705761607442</v>
      </c>
      <c r="S505" s="62">
        <f t="shared" si="91"/>
        <v>24202.754440612334</v>
      </c>
      <c r="T505" s="62">
        <f t="shared" si="92"/>
        <v>24309.563233212626</v>
      </c>
      <c r="U505" s="62">
        <f t="shared" si="93"/>
        <v>24056.516950275884</v>
      </c>
      <c r="V505" s="62">
        <f t="shared" si="83"/>
        <v>1</v>
      </c>
      <c r="W505" s="62">
        <f t="shared" si="83"/>
        <v>0</v>
      </c>
      <c r="X505" s="62">
        <f t="shared" si="83"/>
        <v>0</v>
      </c>
      <c r="Y505" s="62">
        <f t="shared" si="83"/>
        <v>0</v>
      </c>
      <c r="AA505" s="94"/>
    </row>
    <row r="506" spans="2:27" x14ac:dyDescent="0.2">
      <c r="B506" s="94"/>
      <c r="C506" s="62">
        <v>467</v>
      </c>
      <c r="D506" s="62">
        <v>9882.0730108364678</v>
      </c>
      <c r="E506" s="62">
        <v>0.61752550306699217</v>
      </c>
      <c r="F506" s="62">
        <v>14209.072292232942</v>
      </c>
      <c r="G506" s="62">
        <v>0.8940558105416333</v>
      </c>
      <c r="H506" s="62">
        <v>14252.182464638756</v>
      </c>
      <c r="I506" s="62">
        <v>0.89710601137077961</v>
      </c>
      <c r="J506" s="62">
        <v>14156.559555933267</v>
      </c>
      <c r="K506" s="62">
        <v>0.88962760858239165</v>
      </c>
      <c r="L506" s="62">
        <f t="shared" si="84"/>
        <v>-4326.9992813964745</v>
      </c>
      <c r="M506" s="62">
        <f t="shared" si="85"/>
        <v>-0.27653030747464113</v>
      </c>
      <c r="N506" s="62">
        <f t="shared" si="86"/>
        <v>-4370.109453802288</v>
      </c>
      <c r="O506" s="62">
        <f t="shared" si="87"/>
        <v>-0.27958050830378745</v>
      </c>
      <c r="P506" s="62">
        <f t="shared" si="88"/>
        <v>-4274.4865450967991</v>
      </c>
      <c r="Q506" s="62">
        <f t="shared" si="89"/>
        <v>-0.27210210551539948</v>
      </c>
      <c r="R506" s="62">
        <f t="shared" si="90"/>
        <v>15698.303428210615</v>
      </c>
      <c r="S506" s="62">
        <f t="shared" si="91"/>
        <v>22826.295603643674</v>
      </c>
      <c r="T506" s="62">
        <f t="shared" si="92"/>
        <v>22909.536950384419</v>
      </c>
      <c r="U506" s="62">
        <f t="shared" si="93"/>
        <v>22695.37450198373</v>
      </c>
      <c r="V506" s="62">
        <f t="shared" si="83"/>
        <v>1</v>
      </c>
      <c r="W506" s="62">
        <f t="shared" si="83"/>
        <v>0</v>
      </c>
      <c r="X506" s="62">
        <f t="shared" si="83"/>
        <v>0</v>
      </c>
      <c r="Y506" s="62">
        <f t="shared" si="83"/>
        <v>0</v>
      </c>
      <c r="AA506" s="94"/>
    </row>
    <row r="507" spans="2:27" x14ac:dyDescent="0.2">
      <c r="B507" s="94"/>
      <c r="C507" s="62">
        <v>468</v>
      </c>
      <c r="D507" s="62">
        <v>9699.0601418143215</v>
      </c>
      <c r="E507" s="62">
        <v>0.61768976010345289</v>
      </c>
      <c r="F507" s="62">
        <v>13944.695574093359</v>
      </c>
      <c r="G507" s="62">
        <v>0.89431373330814956</v>
      </c>
      <c r="H507" s="62">
        <v>13977.273917242019</v>
      </c>
      <c r="I507" s="62">
        <v>0.89667540936714751</v>
      </c>
      <c r="J507" s="62">
        <v>13885.686744034423</v>
      </c>
      <c r="K507" s="62">
        <v>0.88930665817558074</v>
      </c>
      <c r="L507" s="62">
        <f t="shared" si="84"/>
        <v>-4245.6354322790376</v>
      </c>
      <c r="M507" s="62">
        <f t="shared" si="85"/>
        <v>-0.27662397320469667</v>
      </c>
      <c r="N507" s="62">
        <f t="shared" si="86"/>
        <v>-4278.2137754276973</v>
      </c>
      <c r="O507" s="62">
        <f t="shared" si="87"/>
        <v>-0.27898564926369462</v>
      </c>
      <c r="P507" s="62">
        <f t="shared" si="88"/>
        <v>-4186.6266022201016</v>
      </c>
      <c r="Q507" s="62">
        <f t="shared" si="89"/>
        <v>-0.27161689807212785</v>
      </c>
      <c r="R507" s="62">
        <f t="shared" si="90"/>
        <v>15888.120480711112</v>
      </c>
      <c r="S507" s="62">
        <f t="shared" si="91"/>
        <v>23101.35651446343</v>
      </c>
      <c r="T507" s="62">
        <f t="shared" si="92"/>
        <v>23166.608240382702</v>
      </c>
      <c r="U507" s="62">
        <f t="shared" si="93"/>
        <v>22952.952264230837</v>
      </c>
      <c r="V507" s="62">
        <f t="shared" si="83"/>
        <v>1</v>
      </c>
      <c r="W507" s="62">
        <f t="shared" si="83"/>
        <v>0</v>
      </c>
      <c r="X507" s="62">
        <f t="shared" si="83"/>
        <v>0</v>
      </c>
      <c r="Y507" s="62">
        <f t="shared" si="83"/>
        <v>0</v>
      </c>
      <c r="AA507" s="94"/>
    </row>
    <row r="508" spans="2:27" x14ac:dyDescent="0.2">
      <c r="B508" s="94"/>
      <c r="C508" s="62">
        <v>469</v>
      </c>
      <c r="D508" s="62">
        <v>9559.0095546464581</v>
      </c>
      <c r="E508" s="62">
        <v>0.6174166349246476</v>
      </c>
      <c r="F508" s="62">
        <v>13747.101418435008</v>
      </c>
      <c r="G508" s="62">
        <v>0.89400449110154778</v>
      </c>
      <c r="H508" s="62">
        <v>13782.914847340508</v>
      </c>
      <c r="I508" s="62">
        <v>0.89660890622365796</v>
      </c>
      <c r="J508" s="62">
        <v>13689.165644551465</v>
      </c>
      <c r="K508" s="62">
        <v>0.88913284141800208</v>
      </c>
      <c r="L508" s="62">
        <f t="shared" si="84"/>
        <v>-4188.0918637885497</v>
      </c>
      <c r="M508" s="62">
        <f t="shared" si="85"/>
        <v>-0.27658785617690018</v>
      </c>
      <c r="N508" s="62">
        <f t="shared" si="86"/>
        <v>-4223.9052926940494</v>
      </c>
      <c r="O508" s="62">
        <f t="shared" si="87"/>
        <v>-0.27919227129901036</v>
      </c>
      <c r="P508" s="62">
        <f t="shared" si="88"/>
        <v>-4130.1560899050073</v>
      </c>
      <c r="Q508" s="62">
        <f t="shared" si="89"/>
        <v>-0.27171620649335448</v>
      </c>
      <c r="R508" s="62">
        <f t="shared" si="90"/>
        <v>16016.857130472144</v>
      </c>
      <c r="S508" s="62">
        <f t="shared" si="91"/>
        <v>23286.140620955506</v>
      </c>
      <c r="T508" s="62">
        <f t="shared" si="92"/>
        <v>23358.212484068303</v>
      </c>
      <c r="U508" s="62">
        <f t="shared" si="93"/>
        <v>23142.273178347852</v>
      </c>
      <c r="V508" s="62">
        <f t="shared" si="83"/>
        <v>1</v>
      </c>
      <c r="W508" s="62">
        <f t="shared" si="83"/>
        <v>0</v>
      </c>
      <c r="X508" s="62">
        <f t="shared" si="83"/>
        <v>0</v>
      </c>
      <c r="Y508" s="62">
        <f t="shared" si="83"/>
        <v>0</v>
      </c>
      <c r="AA508" s="94"/>
    </row>
    <row r="509" spans="2:27" x14ac:dyDescent="0.2">
      <c r="B509" s="94"/>
      <c r="C509" s="62">
        <v>470</v>
      </c>
      <c r="D509" s="62">
        <v>12269.371954110231</v>
      </c>
      <c r="E509" s="62">
        <v>0.61689062941692496</v>
      </c>
      <c r="F509" s="62">
        <v>17671.611214213935</v>
      </c>
      <c r="G509" s="62">
        <v>0.89373209718467705</v>
      </c>
      <c r="H509" s="62">
        <v>17740.777080542815</v>
      </c>
      <c r="I509" s="62">
        <v>0.89760991978876026</v>
      </c>
      <c r="J509" s="62">
        <v>17594.558173524565</v>
      </c>
      <c r="K509" s="62">
        <v>0.88878743231385227</v>
      </c>
      <c r="L509" s="62">
        <f t="shared" si="84"/>
        <v>-5402.2392601037045</v>
      </c>
      <c r="M509" s="62">
        <f t="shared" si="85"/>
        <v>-0.27684146776775209</v>
      </c>
      <c r="N509" s="62">
        <f t="shared" si="86"/>
        <v>-5471.4051264325844</v>
      </c>
      <c r="O509" s="62">
        <f t="shared" si="87"/>
        <v>-0.28071929037183529</v>
      </c>
      <c r="P509" s="62">
        <f t="shared" si="88"/>
        <v>-5325.1862194143341</v>
      </c>
      <c r="Q509" s="62">
        <f t="shared" si="89"/>
        <v>-0.2718968028969273</v>
      </c>
      <c r="R509" s="62">
        <f t="shared" si="90"/>
        <v>13284.705478856469</v>
      </c>
      <c r="S509" s="62">
        <f t="shared" si="91"/>
        <v>19350.347179564127</v>
      </c>
      <c r="T509" s="62">
        <f t="shared" si="92"/>
        <v>19441.816236786792</v>
      </c>
      <c r="U509" s="62">
        <f t="shared" si="93"/>
        <v>19222.572422644451</v>
      </c>
      <c r="V509" s="62">
        <f t="shared" si="83"/>
        <v>1</v>
      </c>
      <c r="W509" s="62">
        <f t="shared" si="83"/>
        <v>0</v>
      </c>
      <c r="X509" s="62">
        <f t="shared" si="83"/>
        <v>0</v>
      </c>
      <c r="Y509" s="62">
        <f t="shared" si="83"/>
        <v>0</v>
      </c>
      <c r="AA509" s="94"/>
    </row>
    <row r="510" spans="2:27" x14ac:dyDescent="0.2">
      <c r="B510" s="94"/>
      <c r="C510" s="62">
        <v>471</v>
      </c>
      <c r="D510" s="62">
        <v>8422.3475538026578</v>
      </c>
      <c r="E510" s="62">
        <v>0.61748561047259409</v>
      </c>
      <c r="F510" s="62">
        <v>12101.794972455244</v>
      </c>
      <c r="G510" s="62">
        <v>0.89409552018974714</v>
      </c>
      <c r="H510" s="62">
        <v>12138.249912392208</v>
      </c>
      <c r="I510" s="62">
        <v>0.89711099492996171</v>
      </c>
      <c r="J510" s="62">
        <v>12052.059336851658</v>
      </c>
      <c r="K510" s="62">
        <v>0.88929585881273143</v>
      </c>
      <c r="L510" s="62">
        <f t="shared" si="84"/>
        <v>-3679.4474186525858</v>
      </c>
      <c r="M510" s="62">
        <f t="shared" si="85"/>
        <v>-0.27660990971715305</v>
      </c>
      <c r="N510" s="62">
        <f t="shared" si="86"/>
        <v>-3715.9023585895502</v>
      </c>
      <c r="O510" s="62">
        <f t="shared" si="87"/>
        <v>-0.27962538445736762</v>
      </c>
      <c r="P510" s="62">
        <f t="shared" si="88"/>
        <v>-3629.7117830490006</v>
      </c>
      <c r="Q510" s="62">
        <f t="shared" si="89"/>
        <v>-0.27181024834013734</v>
      </c>
      <c r="R510" s="62">
        <f t="shared" si="90"/>
        <v>17156.376374414082</v>
      </c>
      <c r="S510" s="62">
        <f t="shared" si="91"/>
        <v>24935.217855884839</v>
      </c>
      <c r="T510" s="62">
        <f t="shared" si="92"/>
        <v>25023.675941586524</v>
      </c>
      <c r="U510" s="62">
        <f t="shared" si="93"/>
        <v>24786.132318606928</v>
      </c>
      <c r="V510" s="62">
        <f t="shared" si="83"/>
        <v>1</v>
      </c>
      <c r="W510" s="62">
        <f t="shared" si="83"/>
        <v>0</v>
      </c>
      <c r="X510" s="62">
        <f t="shared" si="83"/>
        <v>0</v>
      </c>
      <c r="Y510" s="62">
        <f t="shared" si="83"/>
        <v>0</v>
      </c>
      <c r="AA510" s="94"/>
    </row>
    <row r="511" spans="2:27" x14ac:dyDescent="0.2">
      <c r="B511" s="94"/>
      <c r="C511" s="62">
        <v>472</v>
      </c>
      <c r="D511" s="62">
        <v>9506.3327199223895</v>
      </c>
      <c r="E511" s="62">
        <v>0.61759676593638202</v>
      </c>
      <c r="F511" s="62">
        <v>13675.370403167057</v>
      </c>
      <c r="G511" s="62">
        <v>0.89440391609227354</v>
      </c>
      <c r="H511" s="62">
        <v>13709.053545340776</v>
      </c>
      <c r="I511" s="62">
        <v>0.89688843258775919</v>
      </c>
      <c r="J511" s="62">
        <v>13613.557464818779</v>
      </c>
      <c r="K511" s="62">
        <v>0.8892865850349797</v>
      </c>
      <c r="L511" s="62">
        <f t="shared" si="84"/>
        <v>-4169.0376832446673</v>
      </c>
      <c r="M511" s="62">
        <f t="shared" si="85"/>
        <v>-0.27680715015589152</v>
      </c>
      <c r="N511" s="62">
        <f t="shared" si="86"/>
        <v>-4202.7208254183861</v>
      </c>
      <c r="O511" s="62">
        <f t="shared" si="87"/>
        <v>-0.27929166665137717</v>
      </c>
      <c r="P511" s="62">
        <f t="shared" si="88"/>
        <v>-4107.2247448963899</v>
      </c>
      <c r="Q511" s="62">
        <f t="shared" si="89"/>
        <v>-0.27168981909859768</v>
      </c>
      <c r="R511" s="62">
        <f t="shared" si="90"/>
        <v>16076.9957122263</v>
      </c>
      <c r="S511" s="62">
        <f t="shared" si="91"/>
        <v>23374.41741703928</v>
      </c>
      <c r="T511" s="62">
        <f t="shared" si="92"/>
        <v>23443.652886174565</v>
      </c>
      <c r="U511" s="62">
        <f t="shared" si="93"/>
        <v>23224.250033670218</v>
      </c>
      <c r="V511" s="62">
        <f t="shared" si="83"/>
        <v>1</v>
      </c>
      <c r="W511" s="62">
        <f t="shared" si="83"/>
        <v>0</v>
      </c>
      <c r="X511" s="62">
        <f t="shared" si="83"/>
        <v>0</v>
      </c>
      <c r="Y511" s="62">
        <f t="shared" si="83"/>
        <v>0</v>
      </c>
      <c r="AA511" s="94"/>
    </row>
    <row r="512" spans="2:27" x14ac:dyDescent="0.2">
      <c r="B512" s="94"/>
      <c r="C512" s="62">
        <v>473</v>
      </c>
      <c r="D512" s="62">
        <v>8865.5164936504498</v>
      </c>
      <c r="E512" s="62">
        <v>0.61788042470371907</v>
      </c>
      <c r="F512" s="62">
        <v>12742.921446272458</v>
      </c>
      <c r="G512" s="62">
        <v>0.89446047595225864</v>
      </c>
      <c r="H512" s="62">
        <v>12782.168217485505</v>
      </c>
      <c r="I512" s="62">
        <v>0.89762589951948868</v>
      </c>
      <c r="J512" s="62">
        <v>12676.529935583429</v>
      </c>
      <c r="K512" s="62">
        <v>0.88871889612701216</v>
      </c>
      <c r="L512" s="62">
        <f t="shared" si="84"/>
        <v>-3877.4049526220078</v>
      </c>
      <c r="M512" s="62">
        <f t="shared" si="85"/>
        <v>-0.27658005124853957</v>
      </c>
      <c r="N512" s="62">
        <f t="shared" si="86"/>
        <v>-3916.6517238350552</v>
      </c>
      <c r="O512" s="62">
        <f t="shared" si="87"/>
        <v>-0.27974547481576961</v>
      </c>
      <c r="P512" s="62">
        <f t="shared" si="88"/>
        <v>-3811.0134419329788</v>
      </c>
      <c r="Q512" s="62">
        <f t="shared" si="89"/>
        <v>-0.27083847142329309</v>
      </c>
      <c r="R512" s="62">
        <f t="shared" si="90"/>
        <v>16729.562219276406</v>
      </c>
      <c r="S512" s="62">
        <f t="shared" si="91"/>
        <v>24309.209309573904</v>
      </c>
      <c r="T512" s="62">
        <f t="shared" si="92"/>
        <v>24401.087044209791</v>
      </c>
      <c r="U512" s="62">
        <f t="shared" si="93"/>
        <v>24137.76161758192</v>
      </c>
      <c r="V512" s="62">
        <f t="shared" si="83"/>
        <v>1</v>
      </c>
      <c r="W512" s="62">
        <f t="shared" si="83"/>
        <v>0</v>
      </c>
      <c r="X512" s="62">
        <f t="shared" si="83"/>
        <v>0</v>
      </c>
      <c r="Y512" s="62">
        <f t="shared" si="83"/>
        <v>0</v>
      </c>
      <c r="AA512" s="94"/>
    </row>
    <row r="513" spans="2:27" x14ac:dyDescent="0.2">
      <c r="B513" s="94"/>
      <c r="C513" s="62">
        <v>474</v>
      </c>
      <c r="D513" s="62">
        <v>8929.2196365215095</v>
      </c>
      <c r="E513" s="62">
        <v>0.61749852793286431</v>
      </c>
      <c r="F513" s="62">
        <v>12835.563213280693</v>
      </c>
      <c r="G513" s="62">
        <v>0.89392973813147936</v>
      </c>
      <c r="H513" s="62">
        <v>12875.103791648957</v>
      </c>
      <c r="I513" s="62">
        <v>0.897057783502621</v>
      </c>
      <c r="J513" s="62">
        <v>12779.698334004466</v>
      </c>
      <c r="K513" s="62">
        <v>0.88900012111130478</v>
      </c>
      <c r="L513" s="62">
        <f t="shared" si="84"/>
        <v>-3906.3435767591836</v>
      </c>
      <c r="M513" s="62">
        <f t="shared" si="85"/>
        <v>-0.27643121019861505</v>
      </c>
      <c r="N513" s="62">
        <f t="shared" si="86"/>
        <v>-3945.8841551274472</v>
      </c>
      <c r="O513" s="62">
        <f t="shared" si="87"/>
        <v>-0.27955925556975669</v>
      </c>
      <c r="P513" s="62">
        <f t="shared" si="88"/>
        <v>-3850.4786974829567</v>
      </c>
      <c r="Q513" s="62">
        <f t="shared" si="89"/>
        <v>-0.27150159317844047</v>
      </c>
      <c r="R513" s="62">
        <f t="shared" si="90"/>
        <v>16650.03938456946</v>
      </c>
      <c r="S513" s="62">
        <f t="shared" si="91"/>
        <v>24194.58225907771</v>
      </c>
      <c r="T513" s="62">
        <f t="shared" si="92"/>
        <v>24284.617832163611</v>
      </c>
      <c r="U513" s="62">
        <f t="shared" si="93"/>
        <v>24046.242682910219</v>
      </c>
      <c r="V513" s="62">
        <f t="shared" si="83"/>
        <v>1</v>
      </c>
      <c r="W513" s="62">
        <f t="shared" si="83"/>
        <v>0</v>
      </c>
      <c r="X513" s="62">
        <f t="shared" si="83"/>
        <v>0</v>
      </c>
      <c r="Y513" s="62">
        <f t="shared" si="83"/>
        <v>0</v>
      </c>
      <c r="AA513" s="94"/>
    </row>
    <row r="514" spans="2:27" x14ac:dyDescent="0.2">
      <c r="B514" s="94"/>
      <c r="C514" s="62">
        <v>475</v>
      </c>
      <c r="D514" s="62">
        <v>12087.277465526862</v>
      </c>
      <c r="E514" s="62">
        <v>0.6173524243231745</v>
      </c>
      <c r="F514" s="62">
        <v>17379.455137073634</v>
      </c>
      <c r="G514" s="62">
        <v>0.89340749235035366</v>
      </c>
      <c r="H514" s="62">
        <v>17448.728521705518</v>
      </c>
      <c r="I514" s="62">
        <v>0.89738202857337301</v>
      </c>
      <c r="J514" s="62">
        <v>17314.453495610564</v>
      </c>
      <c r="K514" s="62">
        <v>0.8889456925083522</v>
      </c>
      <c r="L514" s="62">
        <f t="shared" si="84"/>
        <v>-5292.1776715467713</v>
      </c>
      <c r="M514" s="62">
        <f t="shared" si="85"/>
        <v>-0.27605506802717916</v>
      </c>
      <c r="N514" s="62">
        <f t="shared" si="86"/>
        <v>-5361.4510561786556</v>
      </c>
      <c r="O514" s="62">
        <f t="shared" si="87"/>
        <v>-0.28002960425019852</v>
      </c>
      <c r="P514" s="62">
        <f t="shared" si="88"/>
        <v>-5227.1760300837013</v>
      </c>
      <c r="Q514" s="62">
        <f t="shared" si="89"/>
        <v>-0.27159326818517771</v>
      </c>
      <c r="R514" s="62">
        <f t="shared" si="90"/>
        <v>13485.929359636317</v>
      </c>
      <c r="S514" s="62">
        <f t="shared" si="91"/>
        <v>19629.056826047414</v>
      </c>
      <c r="T514" s="62">
        <f t="shared" si="92"/>
        <v>19724.424629917885</v>
      </c>
      <c r="U514" s="62">
        <f t="shared" si="93"/>
        <v>19509.23287085542</v>
      </c>
      <c r="V514" s="62">
        <f t="shared" si="83"/>
        <v>1</v>
      </c>
      <c r="W514" s="62">
        <f t="shared" si="83"/>
        <v>0</v>
      </c>
      <c r="X514" s="62">
        <f t="shared" si="83"/>
        <v>0</v>
      </c>
      <c r="Y514" s="62">
        <f t="shared" si="83"/>
        <v>0</v>
      </c>
      <c r="AA514" s="94"/>
    </row>
    <row r="515" spans="2:27" x14ac:dyDescent="0.2">
      <c r="B515" s="94"/>
      <c r="C515" s="62">
        <v>476</v>
      </c>
      <c r="D515" s="62">
        <v>8914.9323816323104</v>
      </c>
      <c r="E515" s="62">
        <v>0.61776706034464124</v>
      </c>
      <c r="F515" s="62">
        <v>12821.312690698544</v>
      </c>
      <c r="G515" s="62">
        <v>0.89470982099536256</v>
      </c>
      <c r="H515" s="62">
        <v>12851.556892641822</v>
      </c>
      <c r="I515" s="62">
        <v>0.89710130415272926</v>
      </c>
      <c r="J515" s="62">
        <v>12757.552889575805</v>
      </c>
      <c r="K515" s="62">
        <v>0.88905196121904051</v>
      </c>
      <c r="L515" s="62">
        <f t="shared" si="84"/>
        <v>-3906.3803090662332</v>
      </c>
      <c r="M515" s="62">
        <f t="shared" si="85"/>
        <v>-0.27694276065072132</v>
      </c>
      <c r="N515" s="62">
        <f t="shared" si="86"/>
        <v>-3936.6245110095115</v>
      </c>
      <c r="O515" s="62">
        <f t="shared" si="87"/>
        <v>-0.27933424380808802</v>
      </c>
      <c r="P515" s="62">
        <f t="shared" si="88"/>
        <v>-3842.6205079434949</v>
      </c>
      <c r="Q515" s="62">
        <f t="shared" si="89"/>
        <v>-0.27128490087439927</v>
      </c>
      <c r="R515" s="62">
        <f t="shared" si="90"/>
        <v>16675.450326084108</v>
      </c>
      <c r="S515" s="62">
        <f t="shared" si="91"/>
        <v>24241.146934213357</v>
      </c>
      <c r="T515" s="62">
        <f t="shared" si="92"/>
        <v>24309.967530580834</v>
      </c>
      <c r="U515" s="62">
        <f t="shared" si="93"/>
        <v>24070.53555196173</v>
      </c>
      <c r="V515" s="62">
        <f t="shared" si="83"/>
        <v>1</v>
      </c>
      <c r="W515" s="62">
        <f t="shared" si="83"/>
        <v>0</v>
      </c>
      <c r="X515" s="62">
        <f t="shared" si="83"/>
        <v>0</v>
      </c>
      <c r="Y515" s="62">
        <f t="shared" si="83"/>
        <v>0</v>
      </c>
      <c r="AA515" s="94"/>
    </row>
    <row r="516" spans="2:27" x14ac:dyDescent="0.2">
      <c r="B516" s="94"/>
      <c r="C516" s="62">
        <v>477</v>
      </c>
      <c r="D516" s="62">
        <v>10137.491153540932</v>
      </c>
      <c r="E516" s="62">
        <v>0.61807248715183927</v>
      </c>
      <c r="F516" s="62">
        <v>14574.362492617036</v>
      </c>
      <c r="G516" s="62">
        <v>0.89457839957537566</v>
      </c>
      <c r="H516" s="62">
        <v>14598.561062920064</v>
      </c>
      <c r="I516" s="62">
        <v>0.89625599225971542</v>
      </c>
      <c r="J516" s="62">
        <v>14503.487376473557</v>
      </c>
      <c r="K516" s="62">
        <v>0.88911084141134211</v>
      </c>
      <c r="L516" s="62">
        <f t="shared" si="84"/>
        <v>-4436.8713390761041</v>
      </c>
      <c r="M516" s="62">
        <f t="shared" si="85"/>
        <v>-0.27650591242353639</v>
      </c>
      <c r="N516" s="62">
        <f t="shared" si="86"/>
        <v>-4461.0699093791318</v>
      </c>
      <c r="O516" s="62">
        <f t="shared" si="87"/>
        <v>-0.27818350510787615</v>
      </c>
      <c r="P516" s="62">
        <f t="shared" si="88"/>
        <v>-4365.9962229326247</v>
      </c>
      <c r="Q516" s="62">
        <f t="shared" si="89"/>
        <v>-0.27103835425950284</v>
      </c>
      <c r="R516" s="62">
        <f t="shared" si="90"/>
        <v>15465.54355423686</v>
      </c>
      <c r="S516" s="62">
        <f t="shared" si="91"/>
        <v>22482.653131393323</v>
      </c>
      <c r="T516" s="62">
        <f t="shared" si="92"/>
        <v>22527.947160446387</v>
      </c>
      <c r="U516" s="62">
        <f t="shared" si="93"/>
        <v>22327.040118149878</v>
      </c>
      <c r="V516" s="62">
        <f t="shared" si="83"/>
        <v>1</v>
      </c>
      <c r="W516" s="62">
        <f t="shared" si="83"/>
        <v>0</v>
      </c>
      <c r="X516" s="62">
        <f t="shared" si="83"/>
        <v>0</v>
      </c>
      <c r="Y516" s="62">
        <f t="shared" si="83"/>
        <v>0</v>
      </c>
      <c r="AA516" s="94"/>
    </row>
    <row r="517" spans="2:27" x14ac:dyDescent="0.2">
      <c r="B517" s="94"/>
      <c r="C517" s="62">
        <v>478</v>
      </c>
      <c r="D517" s="62">
        <v>10573.122866324606</v>
      </c>
      <c r="E517" s="62">
        <v>0.61729331144473965</v>
      </c>
      <c r="F517" s="62">
        <v>15195.415169382608</v>
      </c>
      <c r="G517" s="62">
        <v>0.89351559973339267</v>
      </c>
      <c r="H517" s="62">
        <v>15254.576592260044</v>
      </c>
      <c r="I517" s="62">
        <v>0.89743340348560929</v>
      </c>
      <c r="J517" s="62">
        <v>15136.799892341702</v>
      </c>
      <c r="K517" s="62">
        <v>0.88885506049828511</v>
      </c>
      <c r="L517" s="62">
        <f t="shared" si="84"/>
        <v>-4622.2923030580023</v>
      </c>
      <c r="M517" s="62">
        <f t="shared" si="85"/>
        <v>-0.27622228828865303</v>
      </c>
      <c r="N517" s="62">
        <f t="shared" si="86"/>
        <v>-4681.4537259354383</v>
      </c>
      <c r="O517" s="62">
        <f t="shared" si="87"/>
        <v>-0.28014009204086965</v>
      </c>
      <c r="P517" s="62">
        <f t="shared" si="88"/>
        <v>-4563.6770260170961</v>
      </c>
      <c r="Q517" s="62">
        <f t="shared" si="89"/>
        <v>-0.27156174905354546</v>
      </c>
      <c r="R517" s="62">
        <f t="shared" si="90"/>
        <v>14997.635266962288</v>
      </c>
      <c r="S517" s="62">
        <f t="shared" si="91"/>
        <v>21817.575033973451</v>
      </c>
      <c r="T517" s="62">
        <f t="shared" si="92"/>
        <v>21920.704713727839</v>
      </c>
      <c r="U517" s="62">
        <f t="shared" si="93"/>
        <v>21683.132133739258</v>
      </c>
      <c r="V517" s="62">
        <f t="shared" si="83"/>
        <v>1</v>
      </c>
      <c r="W517" s="62">
        <f t="shared" si="83"/>
        <v>0</v>
      </c>
      <c r="X517" s="62">
        <f t="shared" si="83"/>
        <v>0</v>
      </c>
      <c r="Y517" s="62">
        <f t="shared" si="83"/>
        <v>0</v>
      </c>
      <c r="AA517" s="94"/>
    </row>
    <row r="518" spans="2:27" x14ac:dyDescent="0.2">
      <c r="B518" s="94"/>
      <c r="C518" s="62">
        <v>479</v>
      </c>
      <c r="D518" s="62">
        <v>9248.3767314257184</v>
      </c>
      <c r="E518" s="62">
        <v>0.61799122030286424</v>
      </c>
      <c r="F518" s="62">
        <v>13285.132519174091</v>
      </c>
      <c r="G518" s="62">
        <v>0.89392783725529368</v>
      </c>
      <c r="H518" s="62">
        <v>13325.88790242532</v>
      </c>
      <c r="I518" s="62">
        <v>0.89702001617543314</v>
      </c>
      <c r="J518" s="62">
        <v>13231.15857792247</v>
      </c>
      <c r="K518" s="62">
        <v>0.88921284396121958</v>
      </c>
      <c r="L518" s="62">
        <f t="shared" si="84"/>
        <v>-4036.7557877483723</v>
      </c>
      <c r="M518" s="62">
        <f t="shared" si="85"/>
        <v>-0.27593661695242944</v>
      </c>
      <c r="N518" s="62">
        <f t="shared" si="86"/>
        <v>-4077.5111709996017</v>
      </c>
      <c r="O518" s="62">
        <f t="shared" si="87"/>
        <v>-0.2790287958725689</v>
      </c>
      <c r="P518" s="62">
        <f t="shared" si="88"/>
        <v>-3982.7818464967513</v>
      </c>
      <c r="Q518" s="62">
        <f t="shared" si="89"/>
        <v>-0.27122162365835534</v>
      </c>
      <c r="R518" s="62">
        <f t="shared" si="90"/>
        <v>16351.291578400129</v>
      </c>
      <c r="S518" s="62">
        <f t="shared" si="91"/>
        <v>23744.934211289197</v>
      </c>
      <c r="T518" s="62">
        <f t="shared" si="92"/>
        <v>23832.269247625823</v>
      </c>
      <c r="U518" s="62">
        <f t="shared" si="93"/>
        <v>23603.594270327092</v>
      </c>
      <c r="V518" s="62">
        <f t="shared" si="83"/>
        <v>1</v>
      </c>
      <c r="W518" s="62">
        <f t="shared" si="83"/>
        <v>0</v>
      </c>
      <c r="X518" s="62">
        <f t="shared" si="83"/>
        <v>0</v>
      </c>
      <c r="Y518" s="62">
        <f t="shared" si="83"/>
        <v>0</v>
      </c>
      <c r="AA518" s="94"/>
    </row>
    <row r="519" spans="2:27" x14ac:dyDescent="0.2">
      <c r="B519" s="94"/>
      <c r="C519" s="62">
        <v>480</v>
      </c>
      <c r="D519" s="62">
        <v>8910.6312489165975</v>
      </c>
      <c r="E519" s="62">
        <v>0.61775204033831943</v>
      </c>
      <c r="F519" s="62">
        <v>12806.122946044163</v>
      </c>
      <c r="G519" s="62">
        <v>0.89447092561167707</v>
      </c>
      <c r="H519" s="62">
        <v>12843.769559154902</v>
      </c>
      <c r="I519" s="62">
        <v>0.89769219086651364</v>
      </c>
      <c r="J519" s="62">
        <v>12763.37283022518</v>
      </c>
      <c r="K519" s="62">
        <v>0.89035847449237104</v>
      </c>
      <c r="L519" s="62">
        <f t="shared" si="84"/>
        <v>-3895.4916971275652</v>
      </c>
      <c r="M519" s="62">
        <f t="shared" si="85"/>
        <v>-0.27671888527335764</v>
      </c>
      <c r="N519" s="62">
        <f t="shared" si="86"/>
        <v>-3933.1383102383043</v>
      </c>
      <c r="O519" s="62">
        <f t="shared" si="87"/>
        <v>-0.27994015052819421</v>
      </c>
      <c r="P519" s="62">
        <f t="shared" si="88"/>
        <v>-3852.7415813085827</v>
      </c>
      <c r="Q519" s="62">
        <f t="shared" si="89"/>
        <v>-0.27260643415405161</v>
      </c>
      <c r="R519" s="62">
        <f t="shared" si="90"/>
        <v>16679.129270057947</v>
      </c>
      <c r="S519" s="62">
        <f t="shared" si="91"/>
        <v>24246.440676493949</v>
      </c>
      <c r="T519" s="62">
        <f t="shared" si="92"/>
        <v>24342.231755299563</v>
      </c>
      <c r="U519" s="62">
        <f t="shared" si="93"/>
        <v>24118.836617146797</v>
      </c>
      <c r="V519" s="62">
        <f t="shared" si="83"/>
        <v>1</v>
      </c>
      <c r="W519" s="62">
        <f t="shared" si="83"/>
        <v>0</v>
      </c>
      <c r="X519" s="62">
        <f t="shared" si="83"/>
        <v>0</v>
      </c>
      <c r="Y519" s="62">
        <f t="shared" si="83"/>
        <v>0</v>
      </c>
      <c r="AA519" s="94"/>
    </row>
    <row r="520" spans="2:27" x14ac:dyDescent="0.2">
      <c r="B520" s="94"/>
      <c r="C520" s="62">
        <v>481</v>
      </c>
      <c r="D520" s="62">
        <v>11556.73573342445</v>
      </c>
      <c r="E520" s="62">
        <v>0.61755839154661629</v>
      </c>
      <c r="F520" s="62">
        <v>16638.292896645675</v>
      </c>
      <c r="G520" s="62">
        <v>0.89461606036301078</v>
      </c>
      <c r="H520" s="62">
        <v>16680.864688910853</v>
      </c>
      <c r="I520" s="62">
        <v>0.89710673603602398</v>
      </c>
      <c r="J520" s="62">
        <v>16550.294456315984</v>
      </c>
      <c r="K520" s="62">
        <v>0.88883056601141952</v>
      </c>
      <c r="L520" s="62">
        <f t="shared" si="84"/>
        <v>-5081.557163221225</v>
      </c>
      <c r="M520" s="62">
        <f t="shared" si="85"/>
        <v>-0.27705766881639449</v>
      </c>
      <c r="N520" s="62">
        <f t="shared" si="86"/>
        <v>-5124.1289554864034</v>
      </c>
      <c r="O520" s="62">
        <f t="shared" si="87"/>
        <v>-0.27954834448940769</v>
      </c>
      <c r="P520" s="62">
        <f t="shared" si="88"/>
        <v>-4993.5587228915338</v>
      </c>
      <c r="Q520" s="62">
        <f t="shared" si="89"/>
        <v>-0.27127217446480323</v>
      </c>
      <c r="R520" s="62">
        <f t="shared" si="90"/>
        <v>14025.003078002583</v>
      </c>
      <c r="S520" s="62">
        <f t="shared" si="91"/>
        <v>20420.282787831682</v>
      </c>
      <c r="T520" s="62">
        <f t="shared" si="92"/>
        <v>20480.884744645406</v>
      </c>
      <c r="U520" s="62">
        <f t="shared" si="93"/>
        <v>20268.622910141057</v>
      </c>
      <c r="V520" s="62">
        <f t="shared" si="83"/>
        <v>1</v>
      </c>
      <c r="W520" s="62">
        <f t="shared" si="83"/>
        <v>0</v>
      </c>
      <c r="X520" s="62">
        <f t="shared" si="83"/>
        <v>0</v>
      </c>
      <c r="Y520" s="62">
        <f t="shared" si="83"/>
        <v>0</v>
      </c>
      <c r="AA520" s="94"/>
    </row>
    <row r="521" spans="2:27" x14ac:dyDescent="0.2">
      <c r="B521" s="94"/>
      <c r="C521" s="62">
        <v>482</v>
      </c>
      <c r="D521" s="62">
        <v>9933.8046936112623</v>
      </c>
      <c r="E521" s="62">
        <v>0.61794103030183978</v>
      </c>
      <c r="F521" s="62">
        <v>14269.129154450857</v>
      </c>
      <c r="G521" s="62">
        <v>0.89396236682464725</v>
      </c>
      <c r="H521" s="62">
        <v>14312.21306647438</v>
      </c>
      <c r="I521" s="62">
        <v>0.89691648824037618</v>
      </c>
      <c r="J521" s="62">
        <v>14221.84117743587</v>
      </c>
      <c r="K521" s="62">
        <v>0.88992545227121855</v>
      </c>
      <c r="L521" s="62">
        <f t="shared" si="84"/>
        <v>-4335.3244608395944</v>
      </c>
      <c r="M521" s="62">
        <f t="shared" si="85"/>
        <v>-0.27602133652280747</v>
      </c>
      <c r="N521" s="62">
        <f t="shared" si="86"/>
        <v>-4378.4083728631176</v>
      </c>
      <c r="O521" s="62">
        <f t="shared" si="87"/>
        <v>-0.2789754579385364</v>
      </c>
      <c r="P521" s="62">
        <f t="shared" si="88"/>
        <v>-4288.0364838246078</v>
      </c>
      <c r="Q521" s="62">
        <f t="shared" si="89"/>
        <v>-0.27198442196937878</v>
      </c>
      <c r="R521" s="62">
        <f t="shared" si="90"/>
        <v>15663.78454561215</v>
      </c>
      <c r="S521" s="62">
        <f t="shared" si="91"/>
        <v>22762.367928893334</v>
      </c>
      <c r="T521" s="62">
        <f t="shared" si="92"/>
        <v>22841.655542394961</v>
      </c>
      <c r="U521" s="62">
        <f t="shared" si="93"/>
        <v>22642.430757447088</v>
      </c>
      <c r="V521" s="62">
        <f t="shared" si="83"/>
        <v>1</v>
      </c>
      <c r="W521" s="62">
        <f t="shared" si="83"/>
        <v>0</v>
      </c>
      <c r="X521" s="62">
        <f t="shared" si="83"/>
        <v>0</v>
      </c>
      <c r="Y521" s="62">
        <f t="shared" si="83"/>
        <v>0</v>
      </c>
      <c r="AA521" s="94"/>
    </row>
    <row r="522" spans="2:27" x14ac:dyDescent="0.2">
      <c r="B522" s="94"/>
      <c r="C522" s="62">
        <v>483</v>
      </c>
      <c r="D522" s="62">
        <v>10177.885806724384</v>
      </c>
      <c r="E522" s="62">
        <v>0.61779700674726201</v>
      </c>
      <c r="F522" s="62">
        <v>14624.232269183109</v>
      </c>
      <c r="G522" s="62">
        <v>0.89385462049730091</v>
      </c>
      <c r="H522" s="62">
        <v>14675.470977157122</v>
      </c>
      <c r="I522" s="62">
        <v>0.89725280880584579</v>
      </c>
      <c r="J522" s="62">
        <v>14579.157192947867</v>
      </c>
      <c r="K522" s="62">
        <v>0.8899828105923131</v>
      </c>
      <c r="L522" s="62">
        <f t="shared" si="84"/>
        <v>-4446.346462458725</v>
      </c>
      <c r="M522" s="62">
        <f t="shared" si="85"/>
        <v>-0.2760576137500389</v>
      </c>
      <c r="N522" s="62">
        <f t="shared" si="86"/>
        <v>-4497.5851704327379</v>
      </c>
      <c r="O522" s="62">
        <f t="shared" si="87"/>
        <v>-0.27945580205858378</v>
      </c>
      <c r="P522" s="62">
        <f t="shared" si="88"/>
        <v>-4401.2713862234832</v>
      </c>
      <c r="Q522" s="62">
        <f t="shared" si="89"/>
        <v>-0.27218580384505109</v>
      </c>
      <c r="R522" s="62">
        <f t="shared" si="90"/>
        <v>15413.737400774198</v>
      </c>
      <c r="S522" s="62">
        <f t="shared" si="91"/>
        <v>22402.801530297089</v>
      </c>
      <c r="T522" s="62">
        <f t="shared" si="92"/>
        <v>22492.329374816232</v>
      </c>
      <c r="U522" s="62">
        <f t="shared" si="93"/>
        <v>22287.490753028113</v>
      </c>
      <c r="V522" s="62">
        <f t="shared" si="83"/>
        <v>1</v>
      </c>
      <c r="W522" s="62">
        <f t="shared" si="83"/>
        <v>0</v>
      </c>
      <c r="X522" s="62">
        <f t="shared" si="83"/>
        <v>0</v>
      </c>
      <c r="Y522" s="62">
        <f t="shared" si="83"/>
        <v>0</v>
      </c>
      <c r="AA522" s="94"/>
    </row>
    <row r="523" spans="2:27" x14ac:dyDescent="0.2">
      <c r="B523" s="94"/>
      <c r="C523" s="62">
        <v>484</v>
      </c>
      <c r="D523" s="62">
        <v>9822.4836568481005</v>
      </c>
      <c r="E523" s="62">
        <v>0.61781952677632301</v>
      </c>
      <c r="F523" s="62">
        <v>14105.970132667535</v>
      </c>
      <c r="G523" s="62">
        <v>0.89416072480515485</v>
      </c>
      <c r="H523" s="62">
        <v>14139.272495408994</v>
      </c>
      <c r="I523" s="62">
        <v>0.89671741703364927</v>
      </c>
      <c r="J523" s="62">
        <v>14062.181586772442</v>
      </c>
      <c r="K523" s="62">
        <v>0.89010803987222897</v>
      </c>
      <c r="L523" s="62">
        <f t="shared" si="84"/>
        <v>-4283.4864758194344</v>
      </c>
      <c r="M523" s="62">
        <f t="shared" si="85"/>
        <v>-0.27634119802883184</v>
      </c>
      <c r="N523" s="62">
        <f t="shared" si="86"/>
        <v>-4316.7888385608931</v>
      </c>
      <c r="O523" s="62">
        <f t="shared" si="87"/>
        <v>-0.27889789025732625</v>
      </c>
      <c r="P523" s="62">
        <f t="shared" si="88"/>
        <v>-4239.6979299243412</v>
      </c>
      <c r="Q523" s="62">
        <f t="shared" si="89"/>
        <v>-0.27228851309590596</v>
      </c>
      <c r="R523" s="62">
        <f t="shared" si="90"/>
        <v>15770.072420334305</v>
      </c>
      <c r="S523" s="62">
        <f t="shared" si="91"/>
        <v>22933.743731661198</v>
      </c>
      <c r="T523" s="62">
        <f t="shared" si="92"/>
        <v>23006.349787792897</v>
      </c>
      <c r="U523" s="62">
        <f t="shared" si="93"/>
        <v>22809.653856894773</v>
      </c>
      <c r="V523" s="62">
        <f t="shared" si="83"/>
        <v>1</v>
      </c>
      <c r="W523" s="62">
        <f t="shared" si="83"/>
        <v>0</v>
      </c>
      <c r="X523" s="62">
        <f t="shared" si="83"/>
        <v>0</v>
      </c>
      <c r="Y523" s="62">
        <f t="shared" si="83"/>
        <v>0</v>
      </c>
      <c r="AA523" s="94"/>
    </row>
    <row r="524" spans="2:27" x14ac:dyDescent="0.2">
      <c r="B524" s="94"/>
      <c r="C524" s="62">
        <v>485</v>
      </c>
      <c r="D524" s="62">
        <v>9986.6731948221495</v>
      </c>
      <c r="E524" s="62">
        <v>0.61801494500747456</v>
      </c>
      <c r="F524" s="62">
        <v>14343.870801253312</v>
      </c>
      <c r="G524" s="62">
        <v>0.89366526794018164</v>
      </c>
      <c r="H524" s="62">
        <v>14393.433910115231</v>
      </c>
      <c r="I524" s="62">
        <v>0.89707889213351011</v>
      </c>
      <c r="J524" s="62">
        <v>14294.894418387641</v>
      </c>
      <c r="K524" s="62">
        <v>0.88969012820502236</v>
      </c>
      <c r="L524" s="62">
        <f t="shared" si="84"/>
        <v>-4357.1976064311621</v>
      </c>
      <c r="M524" s="62">
        <f t="shared" si="85"/>
        <v>-0.27565032293270708</v>
      </c>
      <c r="N524" s="62">
        <f t="shared" si="86"/>
        <v>-4406.7607152930814</v>
      </c>
      <c r="O524" s="62">
        <f t="shared" si="87"/>
        <v>-0.27906394712603555</v>
      </c>
      <c r="P524" s="62">
        <f t="shared" si="88"/>
        <v>-4308.2212235654915</v>
      </c>
      <c r="Q524" s="62">
        <f t="shared" si="89"/>
        <v>-0.2716751831975478</v>
      </c>
      <c r="R524" s="62">
        <f t="shared" si="90"/>
        <v>15613.977887167475</v>
      </c>
      <c r="S524" s="62">
        <f t="shared" si="91"/>
        <v>22675.319257900774</v>
      </c>
      <c r="T524" s="62">
        <f t="shared" si="92"/>
        <v>22767.162117623295</v>
      </c>
      <c r="U524" s="62">
        <f t="shared" si="93"/>
        <v>22559.629452377205</v>
      </c>
      <c r="V524" s="62">
        <f t="shared" si="83"/>
        <v>1</v>
      </c>
      <c r="W524" s="62">
        <f t="shared" si="83"/>
        <v>0</v>
      </c>
      <c r="X524" s="62">
        <f t="shared" si="83"/>
        <v>0</v>
      </c>
      <c r="Y524" s="62">
        <f t="shared" si="83"/>
        <v>0</v>
      </c>
      <c r="AA524" s="94"/>
    </row>
    <row r="525" spans="2:27" x14ac:dyDescent="0.2">
      <c r="B525" s="94"/>
      <c r="C525" s="62">
        <v>486</v>
      </c>
      <c r="D525" s="62">
        <v>10537.38565417021</v>
      </c>
      <c r="E525" s="62">
        <v>0.61748829616118539</v>
      </c>
      <c r="F525" s="62">
        <v>15171.428856510029</v>
      </c>
      <c r="G525" s="62">
        <v>0.89448327625823831</v>
      </c>
      <c r="H525" s="62">
        <v>15201.483976970123</v>
      </c>
      <c r="I525" s="62">
        <v>0.89645477605473867</v>
      </c>
      <c r="J525" s="62">
        <v>15105.59971190153</v>
      </c>
      <c r="K525" s="62">
        <v>0.88959897218950945</v>
      </c>
      <c r="L525" s="62">
        <f t="shared" si="84"/>
        <v>-4634.0432023398189</v>
      </c>
      <c r="M525" s="62">
        <f t="shared" si="85"/>
        <v>-0.27699498009705292</v>
      </c>
      <c r="N525" s="62">
        <f t="shared" si="86"/>
        <v>-4664.0983227999131</v>
      </c>
      <c r="O525" s="62">
        <f t="shared" si="87"/>
        <v>-0.27896647989355328</v>
      </c>
      <c r="P525" s="62">
        <f t="shared" si="88"/>
        <v>-4568.2140577313203</v>
      </c>
      <c r="Q525" s="62">
        <f t="shared" si="89"/>
        <v>-0.27211067602832406</v>
      </c>
      <c r="R525" s="62">
        <f t="shared" si="90"/>
        <v>15041.449526010734</v>
      </c>
      <c r="S525" s="62">
        <f t="shared" si="91"/>
        <v>21881.646379211234</v>
      </c>
      <c r="T525" s="62">
        <f t="shared" si="92"/>
        <v>21933.258666321373</v>
      </c>
      <c r="U525" s="62">
        <f t="shared" si="93"/>
        <v>21745.148112076713</v>
      </c>
      <c r="V525" s="62">
        <f t="shared" si="83"/>
        <v>1</v>
      </c>
      <c r="W525" s="62">
        <f t="shared" si="83"/>
        <v>0</v>
      </c>
      <c r="X525" s="62">
        <f t="shared" si="83"/>
        <v>0</v>
      </c>
      <c r="Y525" s="62">
        <f t="shared" si="83"/>
        <v>0</v>
      </c>
      <c r="AA525" s="94"/>
    </row>
    <row r="526" spans="2:27" x14ac:dyDescent="0.2">
      <c r="B526" s="94"/>
      <c r="C526" s="62">
        <v>487</v>
      </c>
      <c r="D526" s="62">
        <v>9298.1169192466459</v>
      </c>
      <c r="E526" s="62">
        <v>0.61775897473833696</v>
      </c>
      <c r="F526" s="62">
        <v>13354.412920941324</v>
      </c>
      <c r="G526" s="62">
        <v>0.89342973390388325</v>
      </c>
      <c r="H526" s="62">
        <v>13408.630277934402</v>
      </c>
      <c r="I526" s="62">
        <v>0.89753077506699008</v>
      </c>
      <c r="J526" s="62">
        <v>13310.488505795252</v>
      </c>
      <c r="K526" s="62">
        <v>0.88946347757143851</v>
      </c>
      <c r="L526" s="62">
        <f t="shared" si="84"/>
        <v>-4056.2960016946781</v>
      </c>
      <c r="M526" s="62">
        <f t="shared" si="85"/>
        <v>-0.27567075916554629</v>
      </c>
      <c r="N526" s="62">
        <f t="shared" si="86"/>
        <v>-4110.5133586877564</v>
      </c>
      <c r="O526" s="62">
        <f t="shared" si="87"/>
        <v>-0.27977180032865312</v>
      </c>
      <c r="P526" s="62">
        <f t="shared" si="88"/>
        <v>-4012.3715865486065</v>
      </c>
      <c r="Q526" s="62">
        <f t="shared" si="89"/>
        <v>-0.27170450283310155</v>
      </c>
      <c r="R526" s="62">
        <f t="shared" si="90"/>
        <v>16291.930850314226</v>
      </c>
      <c r="S526" s="62">
        <f t="shared" si="91"/>
        <v>23655.020376293134</v>
      </c>
      <c r="T526" s="62">
        <f t="shared" si="92"/>
        <v>23770.684548440593</v>
      </c>
      <c r="U526" s="62">
        <f t="shared" si="93"/>
        <v>23534.646589124019</v>
      </c>
      <c r="V526" s="62">
        <f t="shared" si="83"/>
        <v>1</v>
      </c>
      <c r="W526" s="62">
        <f t="shared" si="83"/>
        <v>0</v>
      </c>
      <c r="X526" s="62">
        <f t="shared" si="83"/>
        <v>0</v>
      </c>
      <c r="Y526" s="62">
        <f t="shared" si="83"/>
        <v>0</v>
      </c>
      <c r="AA526" s="94"/>
    </row>
    <row r="527" spans="2:27" x14ac:dyDescent="0.2">
      <c r="B527" s="94"/>
      <c r="C527" s="62">
        <v>488</v>
      </c>
      <c r="D527" s="62">
        <v>8588.5109670562015</v>
      </c>
      <c r="E527" s="62">
        <v>0.61741145718101875</v>
      </c>
      <c r="F527" s="62">
        <v>12338.636880293165</v>
      </c>
      <c r="G527" s="62">
        <v>0.89374581256722985</v>
      </c>
      <c r="H527" s="62">
        <v>12379.767996067267</v>
      </c>
      <c r="I527" s="62">
        <v>0.89730568213294704</v>
      </c>
      <c r="J527" s="62">
        <v>12299.290117044848</v>
      </c>
      <c r="K527" s="62">
        <v>0.88977363684895194</v>
      </c>
      <c r="L527" s="62">
        <f t="shared" si="84"/>
        <v>-3750.1259132369632</v>
      </c>
      <c r="M527" s="62">
        <f t="shared" si="85"/>
        <v>-0.27633435538621109</v>
      </c>
      <c r="N527" s="62">
        <f t="shared" si="86"/>
        <v>-3791.2570290110652</v>
      </c>
      <c r="O527" s="62">
        <f t="shared" si="87"/>
        <v>-0.27989422495192828</v>
      </c>
      <c r="P527" s="62">
        <f t="shared" si="88"/>
        <v>-3710.7791499886462</v>
      </c>
      <c r="Q527" s="62">
        <f t="shared" si="89"/>
        <v>-0.27236217966793319</v>
      </c>
      <c r="R527" s="62">
        <f t="shared" si="90"/>
        <v>16987.141235210318</v>
      </c>
      <c r="S527" s="62">
        <f t="shared" si="91"/>
        <v>24683.889659491764</v>
      </c>
      <c r="T527" s="62">
        <f t="shared" si="92"/>
        <v>24790.22258060793</v>
      </c>
      <c r="U527" s="62">
        <f t="shared" si="93"/>
        <v>24558.693015786142</v>
      </c>
      <c r="V527" s="62">
        <f t="shared" si="83"/>
        <v>1</v>
      </c>
      <c r="W527" s="62">
        <f t="shared" si="83"/>
        <v>0</v>
      </c>
      <c r="X527" s="62">
        <f t="shared" si="83"/>
        <v>0</v>
      </c>
      <c r="Y527" s="62">
        <f t="shared" si="83"/>
        <v>0</v>
      </c>
      <c r="AA527" s="94"/>
    </row>
    <row r="528" spans="2:27" x14ac:dyDescent="0.2">
      <c r="B528" s="94"/>
      <c r="C528" s="62">
        <v>489</v>
      </c>
      <c r="D528" s="62">
        <v>8121.5431416898891</v>
      </c>
      <c r="E528" s="62">
        <v>0.61798319783671996</v>
      </c>
      <c r="F528" s="62">
        <v>11650.205892640572</v>
      </c>
      <c r="G528" s="62">
        <v>0.89398698771731355</v>
      </c>
      <c r="H528" s="62">
        <v>11685.686610192131</v>
      </c>
      <c r="I528" s="62">
        <v>0.89706355301681007</v>
      </c>
      <c r="J528" s="62">
        <v>11607.665936546182</v>
      </c>
      <c r="K528" s="62">
        <v>0.88938442488645164</v>
      </c>
      <c r="L528" s="62">
        <f t="shared" si="84"/>
        <v>-3528.6627509506825</v>
      </c>
      <c r="M528" s="62">
        <f t="shared" si="85"/>
        <v>-0.2760037898805936</v>
      </c>
      <c r="N528" s="62">
        <f t="shared" si="86"/>
        <v>-3564.1434685022423</v>
      </c>
      <c r="O528" s="62">
        <f t="shared" si="87"/>
        <v>-0.27908035518009011</v>
      </c>
      <c r="P528" s="62">
        <f t="shared" si="88"/>
        <v>-3486.1227948562928</v>
      </c>
      <c r="Q528" s="62">
        <f t="shared" si="89"/>
        <v>-0.27140122704973169</v>
      </c>
      <c r="R528" s="62">
        <f t="shared" si="90"/>
        <v>17477.792845498396</v>
      </c>
      <c r="S528" s="62">
        <f t="shared" si="91"/>
        <v>25382.311086561422</v>
      </c>
      <c r="T528" s="62">
        <f t="shared" si="92"/>
        <v>25474.274009976209</v>
      </c>
      <c r="U528" s="62">
        <f t="shared" si="93"/>
        <v>25234.194479950194</v>
      </c>
      <c r="V528" s="62">
        <f t="shared" si="83"/>
        <v>1</v>
      </c>
      <c r="W528" s="62">
        <f t="shared" si="83"/>
        <v>0</v>
      </c>
      <c r="X528" s="62">
        <f t="shared" si="83"/>
        <v>0</v>
      </c>
      <c r="Y528" s="62">
        <f t="shared" si="83"/>
        <v>0</v>
      </c>
      <c r="AA528" s="94"/>
    </row>
    <row r="529" spans="2:27" x14ac:dyDescent="0.2">
      <c r="B529" s="94"/>
      <c r="C529" s="62">
        <v>490</v>
      </c>
      <c r="D529" s="62">
        <v>9103.5149122044113</v>
      </c>
      <c r="E529" s="62">
        <v>0.61727416549943248</v>
      </c>
      <c r="F529" s="62">
        <v>13100.077973743882</v>
      </c>
      <c r="G529" s="62">
        <v>0.89450193999664274</v>
      </c>
      <c r="H529" s="62">
        <v>13137.461742482274</v>
      </c>
      <c r="I529" s="62">
        <v>0.89732354536029668</v>
      </c>
      <c r="J529" s="62">
        <v>13038.473561834913</v>
      </c>
      <c r="K529" s="62">
        <v>0.88920856354769306</v>
      </c>
      <c r="L529" s="62">
        <f t="shared" si="84"/>
        <v>-3996.5630615394712</v>
      </c>
      <c r="M529" s="62">
        <f t="shared" si="85"/>
        <v>-0.27722777449721026</v>
      </c>
      <c r="N529" s="62">
        <f t="shared" si="86"/>
        <v>-4033.9468302778623</v>
      </c>
      <c r="O529" s="62">
        <f t="shared" si="87"/>
        <v>-0.2800493798608642</v>
      </c>
      <c r="P529" s="62">
        <f t="shared" si="88"/>
        <v>-3934.9586496305019</v>
      </c>
      <c r="Q529" s="62">
        <f t="shared" si="89"/>
        <v>-0.27193439804826058</v>
      </c>
      <c r="R529" s="62">
        <f t="shared" si="90"/>
        <v>16466.450119444082</v>
      </c>
      <c r="S529" s="62">
        <f t="shared" si="91"/>
        <v>23953.770388677043</v>
      </c>
      <c r="T529" s="62">
        <f t="shared" si="92"/>
        <v>24033.268800522659</v>
      </c>
      <c r="U529" s="62">
        <f t="shared" si="93"/>
        <v>23796.101974564721</v>
      </c>
      <c r="V529" s="62">
        <f t="shared" si="83"/>
        <v>1</v>
      </c>
      <c r="W529" s="62">
        <f t="shared" si="83"/>
        <v>0</v>
      </c>
      <c r="X529" s="62">
        <f t="shared" si="83"/>
        <v>0</v>
      </c>
      <c r="Y529" s="62">
        <f t="shared" si="83"/>
        <v>0</v>
      </c>
      <c r="AA529" s="94"/>
    </row>
    <row r="530" spans="2:27" x14ac:dyDescent="0.2">
      <c r="B530" s="94"/>
      <c r="C530" s="62">
        <v>491</v>
      </c>
      <c r="D530" s="62">
        <v>9380.8168575737491</v>
      </c>
      <c r="E530" s="62">
        <v>0.61759175170041181</v>
      </c>
      <c r="F530" s="62">
        <v>13474.096682344394</v>
      </c>
      <c r="G530" s="62">
        <v>0.89348402268899119</v>
      </c>
      <c r="H530" s="62">
        <v>13533.992510374892</v>
      </c>
      <c r="I530" s="62">
        <v>0.89794837747018996</v>
      </c>
      <c r="J530" s="62">
        <v>13431.874278548719</v>
      </c>
      <c r="K530" s="62">
        <v>0.88953694844625875</v>
      </c>
      <c r="L530" s="62">
        <f t="shared" si="84"/>
        <v>-4093.2798247706451</v>
      </c>
      <c r="M530" s="62">
        <f t="shared" si="85"/>
        <v>-0.27589227098857938</v>
      </c>
      <c r="N530" s="62">
        <f t="shared" si="86"/>
        <v>-4153.1756528011429</v>
      </c>
      <c r="O530" s="62">
        <f t="shared" si="87"/>
        <v>-0.28035662576977816</v>
      </c>
      <c r="P530" s="62">
        <f t="shared" si="88"/>
        <v>-4051.0574209749702</v>
      </c>
      <c r="Q530" s="62">
        <f t="shared" si="89"/>
        <v>-0.27194519674584694</v>
      </c>
      <c r="R530" s="62">
        <f t="shared" si="90"/>
        <v>16202.30386486411</v>
      </c>
      <c r="S530" s="62">
        <f t="shared" si="91"/>
        <v>23537.585473524377</v>
      </c>
      <c r="T530" s="62">
        <f t="shared" si="92"/>
        <v>23662.621077950258</v>
      </c>
      <c r="U530" s="62">
        <f t="shared" si="93"/>
        <v>23416.304273889102</v>
      </c>
      <c r="V530" s="62">
        <f t="shared" si="83"/>
        <v>1</v>
      </c>
      <c r="W530" s="62">
        <f t="shared" si="83"/>
        <v>0</v>
      </c>
      <c r="X530" s="62">
        <f t="shared" si="83"/>
        <v>0</v>
      </c>
      <c r="Y530" s="62">
        <f t="shared" si="83"/>
        <v>0</v>
      </c>
      <c r="AA530" s="94"/>
    </row>
    <row r="531" spans="2:27" x14ac:dyDescent="0.2">
      <c r="B531" s="94"/>
      <c r="C531" s="62">
        <v>492</v>
      </c>
      <c r="D531" s="62">
        <v>11528.898089049135</v>
      </c>
      <c r="E531" s="62">
        <v>0.61775249654847464</v>
      </c>
      <c r="F531" s="62">
        <v>16574.371286467544</v>
      </c>
      <c r="G531" s="62">
        <v>0.89383911844243702</v>
      </c>
      <c r="H531" s="62">
        <v>16628.546092575212</v>
      </c>
      <c r="I531" s="62">
        <v>0.89707256722104556</v>
      </c>
      <c r="J531" s="62">
        <v>16504.558989892248</v>
      </c>
      <c r="K531" s="62">
        <v>0.8890031631685148</v>
      </c>
      <c r="L531" s="62">
        <f t="shared" si="84"/>
        <v>-5045.4731974184087</v>
      </c>
      <c r="M531" s="62">
        <f t="shared" si="85"/>
        <v>-0.27608662189396238</v>
      </c>
      <c r="N531" s="62">
        <f t="shared" si="86"/>
        <v>-5099.6480035260774</v>
      </c>
      <c r="O531" s="62">
        <f t="shared" si="87"/>
        <v>-0.27932007067257092</v>
      </c>
      <c r="P531" s="62">
        <f t="shared" si="88"/>
        <v>-4975.6609008431133</v>
      </c>
      <c r="Q531" s="62">
        <f t="shared" si="89"/>
        <v>-0.27125066662004016</v>
      </c>
      <c r="R531" s="62">
        <f t="shared" si="90"/>
        <v>14060.881327974877</v>
      </c>
      <c r="S531" s="62">
        <f t="shared" si="91"/>
        <v>20452.020355891971</v>
      </c>
      <c r="T531" s="62">
        <f t="shared" si="92"/>
        <v>20531.787931989376</v>
      </c>
      <c r="U531" s="62">
        <f t="shared" si="93"/>
        <v>20321.508041200308</v>
      </c>
      <c r="V531" s="62">
        <f t="shared" si="83"/>
        <v>1</v>
      </c>
      <c r="W531" s="62">
        <f t="shared" si="83"/>
        <v>0</v>
      </c>
      <c r="X531" s="62">
        <f t="shared" si="83"/>
        <v>0</v>
      </c>
      <c r="Y531" s="62">
        <f t="shared" si="83"/>
        <v>0</v>
      </c>
      <c r="AA531" s="94"/>
    </row>
    <row r="532" spans="2:27" x14ac:dyDescent="0.2">
      <c r="B532" s="94"/>
      <c r="C532" s="62">
        <v>493</v>
      </c>
      <c r="D532" s="62">
        <v>11891.729079423536</v>
      </c>
      <c r="E532" s="62">
        <v>0.61793100756304065</v>
      </c>
      <c r="F532" s="62">
        <v>17103.415962183393</v>
      </c>
      <c r="G532" s="62">
        <v>0.89414914398498557</v>
      </c>
      <c r="H532" s="62">
        <v>17171.36937660223</v>
      </c>
      <c r="I532" s="62">
        <v>0.89806032101343114</v>
      </c>
      <c r="J532" s="62">
        <v>17034.279234207392</v>
      </c>
      <c r="K532" s="62">
        <v>0.88958519117959867</v>
      </c>
      <c r="L532" s="62">
        <f t="shared" si="84"/>
        <v>-5211.6868827598573</v>
      </c>
      <c r="M532" s="62">
        <f t="shared" si="85"/>
        <v>-0.27621813642194493</v>
      </c>
      <c r="N532" s="62">
        <f t="shared" si="86"/>
        <v>-5279.6402971786938</v>
      </c>
      <c r="O532" s="62">
        <f t="shared" si="87"/>
        <v>-0.28012931345039049</v>
      </c>
      <c r="P532" s="62">
        <f t="shared" si="88"/>
        <v>-5142.5501547838558</v>
      </c>
      <c r="Q532" s="62">
        <f t="shared" si="89"/>
        <v>-0.27165418361655802</v>
      </c>
      <c r="R532" s="62">
        <f t="shared" si="90"/>
        <v>13705.444977867859</v>
      </c>
      <c r="S532" s="62">
        <f t="shared" si="91"/>
        <v>19935.818178250647</v>
      </c>
      <c r="T532" s="62">
        <f t="shared" si="92"/>
        <v>20029.881361058138</v>
      </c>
      <c r="U532" s="62">
        <f t="shared" si="93"/>
        <v>19815.897725216306</v>
      </c>
      <c r="V532" s="62">
        <f t="shared" si="83"/>
        <v>1</v>
      </c>
      <c r="W532" s="62">
        <f t="shared" si="83"/>
        <v>0</v>
      </c>
      <c r="X532" s="62">
        <f t="shared" si="83"/>
        <v>0</v>
      </c>
      <c r="Y532" s="62">
        <f t="shared" si="83"/>
        <v>0</v>
      </c>
      <c r="AA532" s="94"/>
    </row>
    <row r="533" spans="2:27" x14ac:dyDescent="0.2">
      <c r="B533" s="94"/>
      <c r="C533" s="62">
        <v>494</v>
      </c>
      <c r="D533" s="62">
        <v>9573.0362976276301</v>
      </c>
      <c r="E533" s="62">
        <v>0.61780597227709133</v>
      </c>
      <c r="F533" s="62">
        <v>13757.371760526123</v>
      </c>
      <c r="G533" s="62">
        <v>0.89437733473085157</v>
      </c>
      <c r="H533" s="62">
        <v>13788.009823444303</v>
      </c>
      <c r="I533" s="62">
        <v>0.89675278509705558</v>
      </c>
      <c r="J533" s="62">
        <v>13693.017960750207</v>
      </c>
      <c r="K533" s="62">
        <v>0.88907893647162961</v>
      </c>
      <c r="L533" s="62">
        <f t="shared" si="84"/>
        <v>-4184.3354628984926</v>
      </c>
      <c r="M533" s="62">
        <f t="shared" si="85"/>
        <v>-0.27657136245376024</v>
      </c>
      <c r="N533" s="62">
        <f t="shared" si="86"/>
        <v>-4214.9735258166729</v>
      </c>
      <c r="O533" s="62">
        <f t="shared" si="87"/>
        <v>-0.27894681281996425</v>
      </c>
      <c r="P533" s="62">
        <f t="shared" si="88"/>
        <v>-4119.9816631225767</v>
      </c>
      <c r="Q533" s="62">
        <f t="shared" si="89"/>
        <v>-0.27127296419453828</v>
      </c>
      <c r="R533" s="62">
        <f t="shared" si="90"/>
        <v>16018.958297978603</v>
      </c>
      <c r="S533" s="62">
        <f t="shared" si="91"/>
        <v>23291.314953364676</v>
      </c>
      <c r="T533" s="62">
        <f t="shared" si="92"/>
        <v>23359.077546416131</v>
      </c>
      <c r="U533" s="62">
        <f t="shared" si="93"/>
        <v>23136.187903650578</v>
      </c>
      <c r="V533" s="62">
        <f t="shared" si="83"/>
        <v>1</v>
      </c>
      <c r="W533" s="62">
        <f t="shared" si="83"/>
        <v>0</v>
      </c>
      <c r="X533" s="62">
        <f t="shared" si="83"/>
        <v>0</v>
      </c>
      <c r="Y533" s="62">
        <f t="shared" si="83"/>
        <v>0</v>
      </c>
      <c r="AA533" s="94"/>
    </row>
    <row r="534" spans="2:27" x14ac:dyDescent="0.2">
      <c r="B534" s="94"/>
      <c r="C534" s="62">
        <v>495</v>
      </c>
      <c r="D534" s="62">
        <v>10699.658345456148</v>
      </c>
      <c r="E534" s="62">
        <v>0.61763670128271198</v>
      </c>
      <c r="F534" s="62">
        <v>15387.76328707625</v>
      </c>
      <c r="G534" s="62">
        <v>0.89397932732807317</v>
      </c>
      <c r="H534" s="62">
        <v>15443.024569372516</v>
      </c>
      <c r="I534" s="62">
        <v>0.89755261905020844</v>
      </c>
      <c r="J534" s="62">
        <v>15327.778742384568</v>
      </c>
      <c r="K534" s="62">
        <v>0.88948793148928562</v>
      </c>
      <c r="L534" s="62">
        <f t="shared" si="84"/>
        <v>-4688.1049416201022</v>
      </c>
      <c r="M534" s="62">
        <f t="shared" si="85"/>
        <v>-0.27634262604536119</v>
      </c>
      <c r="N534" s="62">
        <f t="shared" si="86"/>
        <v>-4743.3662239163677</v>
      </c>
      <c r="O534" s="62">
        <f t="shared" si="87"/>
        <v>-0.27991591776749647</v>
      </c>
      <c r="P534" s="62">
        <f t="shared" si="88"/>
        <v>-4628.1203969284197</v>
      </c>
      <c r="Q534" s="62">
        <f t="shared" si="89"/>
        <v>-0.27185123020657365</v>
      </c>
      <c r="R534" s="62">
        <f t="shared" si="90"/>
        <v>14885.324368478912</v>
      </c>
      <c r="S534" s="62">
        <f t="shared" si="91"/>
        <v>21644.436368161852</v>
      </c>
      <c r="T534" s="62">
        <f t="shared" si="92"/>
        <v>21737.195122163321</v>
      </c>
      <c r="U534" s="62">
        <f t="shared" si="93"/>
        <v>21518.369331627604</v>
      </c>
      <c r="V534" s="62">
        <f t="shared" si="83"/>
        <v>1</v>
      </c>
      <c r="W534" s="62">
        <f t="shared" si="83"/>
        <v>0</v>
      </c>
      <c r="X534" s="62">
        <f t="shared" si="83"/>
        <v>0</v>
      </c>
      <c r="Y534" s="62">
        <f t="shared" si="83"/>
        <v>0</v>
      </c>
      <c r="AA534" s="94"/>
    </row>
    <row r="535" spans="2:27" x14ac:dyDescent="0.2">
      <c r="B535" s="94"/>
      <c r="C535" s="62">
        <v>496</v>
      </c>
      <c r="D535" s="62">
        <v>10875.258864186404</v>
      </c>
      <c r="E535" s="62">
        <v>0.61769902016997413</v>
      </c>
      <c r="F535" s="62">
        <v>15650.504198777198</v>
      </c>
      <c r="G535" s="62">
        <v>0.89442022600631699</v>
      </c>
      <c r="H535" s="62">
        <v>15693.560088831224</v>
      </c>
      <c r="I535" s="62">
        <v>0.89715501287769828</v>
      </c>
      <c r="J535" s="62">
        <v>15577.600296761895</v>
      </c>
      <c r="K535" s="62">
        <v>0.88925205617951353</v>
      </c>
      <c r="L535" s="62">
        <f t="shared" si="84"/>
        <v>-4775.2453345907943</v>
      </c>
      <c r="M535" s="62">
        <f t="shared" si="85"/>
        <v>-0.27672120583634285</v>
      </c>
      <c r="N535" s="62">
        <f t="shared" si="86"/>
        <v>-4818.3012246448197</v>
      </c>
      <c r="O535" s="62">
        <f t="shared" si="87"/>
        <v>-0.27945599270772414</v>
      </c>
      <c r="P535" s="62">
        <f t="shared" si="88"/>
        <v>-4702.3414325754911</v>
      </c>
      <c r="Q535" s="62">
        <f t="shared" si="89"/>
        <v>-0.27155303600953939</v>
      </c>
      <c r="R535" s="62">
        <f t="shared" si="90"/>
        <v>14712.305347334606</v>
      </c>
      <c r="S535" s="62">
        <f t="shared" si="91"/>
        <v>21399.959243308476</v>
      </c>
      <c r="T535" s="62">
        <f t="shared" si="92"/>
        <v>21470.189164614545</v>
      </c>
      <c r="U535" s="62">
        <f t="shared" si="93"/>
        <v>21258.776878418274</v>
      </c>
      <c r="V535" s="62">
        <f t="shared" si="83"/>
        <v>1</v>
      </c>
      <c r="W535" s="62">
        <f t="shared" si="83"/>
        <v>0</v>
      </c>
      <c r="X535" s="62">
        <f t="shared" si="83"/>
        <v>0</v>
      </c>
      <c r="Y535" s="62">
        <f t="shared" si="83"/>
        <v>0</v>
      </c>
      <c r="AA535" s="94"/>
    </row>
    <row r="536" spans="2:27" x14ac:dyDescent="0.2">
      <c r="B536" s="94"/>
      <c r="C536" s="62">
        <v>497</v>
      </c>
      <c r="D536" s="62">
        <v>11945.836484429528</v>
      </c>
      <c r="E536" s="62">
        <v>0.61784783286274381</v>
      </c>
      <c r="F536" s="62">
        <v>17180.584669835636</v>
      </c>
      <c r="G536" s="62">
        <v>0.89445689044401699</v>
      </c>
      <c r="H536" s="62">
        <v>17212.72214283661</v>
      </c>
      <c r="I536" s="62">
        <v>0.89626754414104681</v>
      </c>
      <c r="J536" s="62">
        <v>17117.526177821153</v>
      </c>
      <c r="K536" s="62">
        <v>0.89009471108540372</v>
      </c>
      <c r="L536" s="62">
        <f t="shared" si="84"/>
        <v>-5234.748185406108</v>
      </c>
      <c r="M536" s="62">
        <f t="shared" si="85"/>
        <v>-0.27660905758127319</v>
      </c>
      <c r="N536" s="62">
        <f t="shared" si="86"/>
        <v>-5266.8856584070818</v>
      </c>
      <c r="O536" s="62">
        <f t="shared" si="87"/>
        <v>-0.27841971127830301</v>
      </c>
      <c r="P536" s="62">
        <f t="shared" si="88"/>
        <v>-5171.689693391625</v>
      </c>
      <c r="Q536" s="62">
        <f t="shared" si="89"/>
        <v>-0.27224687822265992</v>
      </c>
      <c r="R536" s="62">
        <f t="shared" si="90"/>
        <v>13647.89214407677</v>
      </c>
      <c r="S536" s="62">
        <f t="shared" si="91"/>
        <v>19871.397559917325</v>
      </c>
      <c r="T536" s="62">
        <f t="shared" si="92"/>
        <v>19914.264605662116</v>
      </c>
      <c r="U536" s="62">
        <f t="shared" si="93"/>
        <v>19753.757134180607</v>
      </c>
      <c r="V536" s="62">
        <f t="shared" si="83"/>
        <v>1</v>
      </c>
      <c r="W536" s="62">
        <f t="shared" si="83"/>
        <v>0</v>
      </c>
      <c r="X536" s="62">
        <f t="shared" si="83"/>
        <v>0</v>
      </c>
      <c r="Y536" s="62">
        <f t="shared" si="83"/>
        <v>0</v>
      </c>
      <c r="AA536" s="94"/>
    </row>
    <row r="537" spans="2:27" x14ac:dyDescent="0.2">
      <c r="B537" s="94"/>
      <c r="C537" s="62">
        <v>498</v>
      </c>
      <c r="D537" s="62">
        <v>11531.891306822483</v>
      </c>
      <c r="E537" s="62">
        <v>0.61758712381188174</v>
      </c>
      <c r="F537" s="62">
        <v>16585.988979637179</v>
      </c>
      <c r="G537" s="62">
        <v>0.89455748746319763</v>
      </c>
      <c r="H537" s="62">
        <v>16625.636959184565</v>
      </c>
      <c r="I537" s="62">
        <v>0.89690158232528694</v>
      </c>
      <c r="J537" s="62">
        <v>16508.078923685283</v>
      </c>
      <c r="K537" s="62">
        <v>0.88909025010698428</v>
      </c>
      <c r="L537" s="62">
        <f t="shared" si="84"/>
        <v>-5054.0976728146961</v>
      </c>
      <c r="M537" s="62">
        <f t="shared" si="85"/>
        <v>-0.27697036365131589</v>
      </c>
      <c r="N537" s="62">
        <f t="shared" si="86"/>
        <v>-5093.7456523620822</v>
      </c>
      <c r="O537" s="62">
        <f t="shared" si="87"/>
        <v>-0.27931445851340519</v>
      </c>
      <c r="P537" s="62">
        <f t="shared" si="88"/>
        <v>-4976.1876168628005</v>
      </c>
      <c r="Q537" s="62">
        <f t="shared" si="89"/>
        <v>-0.27150312629510254</v>
      </c>
      <c r="R537" s="62">
        <f t="shared" si="90"/>
        <v>14051.037709960907</v>
      </c>
      <c r="S537" s="62">
        <f t="shared" si="91"/>
        <v>20470.160381038317</v>
      </c>
      <c r="T537" s="62">
        <f t="shared" si="92"/>
        <v>20527.61418705812</v>
      </c>
      <c r="U537" s="62">
        <f t="shared" si="93"/>
        <v>20321.595596746436</v>
      </c>
      <c r="V537" s="62">
        <f t="shared" si="83"/>
        <v>1</v>
      </c>
      <c r="W537" s="62">
        <f t="shared" si="83"/>
        <v>0</v>
      </c>
      <c r="X537" s="62">
        <f t="shared" si="83"/>
        <v>0</v>
      </c>
      <c r="Y537" s="62">
        <f t="shared" si="83"/>
        <v>0</v>
      </c>
      <c r="AA537" s="94"/>
    </row>
    <row r="538" spans="2:27" x14ac:dyDescent="0.2">
      <c r="B538" s="94"/>
      <c r="C538" s="62">
        <v>499</v>
      </c>
      <c r="D538" s="62">
        <v>9592.1953859053883</v>
      </c>
      <c r="E538" s="62">
        <v>0.61725715001476944</v>
      </c>
      <c r="F538" s="62">
        <v>13783.765513635044</v>
      </c>
      <c r="G538" s="62">
        <v>0.89327941678821055</v>
      </c>
      <c r="H538" s="62">
        <v>13843.681461221086</v>
      </c>
      <c r="I538" s="62">
        <v>0.89758424070184473</v>
      </c>
      <c r="J538" s="62">
        <v>13726.034339080119</v>
      </c>
      <c r="K538" s="62">
        <v>0.88840297308238003</v>
      </c>
      <c r="L538" s="62">
        <f t="shared" si="84"/>
        <v>-4191.5701277296557</v>
      </c>
      <c r="M538" s="62">
        <f t="shared" si="85"/>
        <v>-0.27602226677344111</v>
      </c>
      <c r="N538" s="62">
        <f t="shared" si="86"/>
        <v>-4251.4860753156972</v>
      </c>
      <c r="O538" s="62">
        <f t="shared" si="87"/>
        <v>-0.28032709068707529</v>
      </c>
      <c r="P538" s="62">
        <f t="shared" si="88"/>
        <v>-4133.8389531747307</v>
      </c>
      <c r="Q538" s="62">
        <f t="shared" si="89"/>
        <v>-0.27114582306761059</v>
      </c>
      <c r="R538" s="62">
        <f t="shared" si="90"/>
        <v>15977.06479630642</v>
      </c>
      <c r="S538" s="62">
        <f t="shared" si="91"/>
        <v>23219.441047399792</v>
      </c>
      <c r="T538" s="62">
        <f t="shared" si="92"/>
        <v>23337.84812561213</v>
      </c>
      <c r="U538" s="62">
        <f t="shared" si="93"/>
        <v>23075.170417884387</v>
      </c>
      <c r="V538" s="62">
        <f t="shared" si="83"/>
        <v>1</v>
      </c>
      <c r="W538" s="62">
        <f t="shared" si="83"/>
        <v>0</v>
      </c>
      <c r="X538" s="62">
        <f t="shared" si="83"/>
        <v>0</v>
      </c>
      <c r="Y538" s="62">
        <f t="shared" si="83"/>
        <v>0</v>
      </c>
      <c r="AA538" s="94"/>
    </row>
    <row r="539" spans="2:27" x14ac:dyDescent="0.2">
      <c r="B539" s="94"/>
      <c r="C539" s="62">
        <v>500</v>
      </c>
      <c r="D539" s="62">
        <v>12800.26106587695</v>
      </c>
      <c r="E539" s="62">
        <v>0.61727437170637278</v>
      </c>
      <c r="F539" s="62">
        <v>18443.817281070347</v>
      </c>
      <c r="G539" s="62">
        <v>0.89440248484201801</v>
      </c>
      <c r="H539" s="62">
        <v>18489.299619152036</v>
      </c>
      <c r="I539" s="62">
        <v>0.89691486777523954</v>
      </c>
      <c r="J539" s="62">
        <v>18356.429642609641</v>
      </c>
      <c r="K539" s="62">
        <v>0.88927807015872873</v>
      </c>
      <c r="L539" s="62">
        <f t="shared" si="84"/>
        <v>-5643.5562151933973</v>
      </c>
      <c r="M539" s="62">
        <f t="shared" si="85"/>
        <v>-0.27712811313564523</v>
      </c>
      <c r="N539" s="62">
        <f t="shared" si="86"/>
        <v>-5689.0385532750861</v>
      </c>
      <c r="O539" s="62">
        <f t="shared" si="87"/>
        <v>-0.27964049606886676</v>
      </c>
      <c r="P539" s="62">
        <f t="shared" si="88"/>
        <v>-5556.1685767326908</v>
      </c>
      <c r="Q539" s="62">
        <f t="shared" si="89"/>
        <v>-0.27200369845235595</v>
      </c>
      <c r="R539" s="62">
        <f t="shared" si="90"/>
        <v>12769.712507687835</v>
      </c>
      <c r="S539" s="62">
        <f t="shared" si="91"/>
        <v>18605.911251025405</v>
      </c>
      <c r="T539" s="62">
        <f t="shared" si="92"/>
        <v>18664.501863569487</v>
      </c>
      <c r="U539" s="62">
        <f t="shared" si="93"/>
        <v>18481.025135645541</v>
      </c>
      <c r="V539" s="62">
        <f t="shared" si="83"/>
        <v>1</v>
      </c>
      <c r="W539" s="62">
        <f t="shared" si="83"/>
        <v>0</v>
      </c>
      <c r="X539" s="62">
        <f t="shared" si="83"/>
        <v>0</v>
      </c>
      <c r="Y539" s="62">
        <f t="shared" si="83"/>
        <v>0</v>
      </c>
      <c r="AA539" s="94"/>
    </row>
    <row r="540" spans="2:27" x14ac:dyDescent="0.2">
      <c r="B540" s="94"/>
      <c r="C540" s="62">
        <v>501</v>
      </c>
      <c r="D540" s="62">
        <v>12824.654692560187</v>
      </c>
      <c r="E540" s="62">
        <v>0.61771957065081684</v>
      </c>
      <c r="F540" s="62">
        <v>18462.897578803997</v>
      </c>
      <c r="G540" s="62">
        <v>0.89462288228443343</v>
      </c>
      <c r="H540" s="62">
        <v>18506.817062179045</v>
      </c>
      <c r="I540" s="62">
        <v>0.8970167009340847</v>
      </c>
      <c r="J540" s="62">
        <v>18373.15996521839</v>
      </c>
      <c r="K540" s="62">
        <v>0.88931466218560074</v>
      </c>
      <c r="L540" s="62">
        <f t="shared" si="84"/>
        <v>-5638.2428862438101</v>
      </c>
      <c r="M540" s="62">
        <f t="shared" si="85"/>
        <v>-0.27690331163361659</v>
      </c>
      <c r="N540" s="62">
        <f t="shared" si="86"/>
        <v>-5682.1623696188581</v>
      </c>
      <c r="O540" s="62">
        <f t="shared" si="87"/>
        <v>-0.27929713028326786</v>
      </c>
      <c r="P540" s="62">
        <f t="shared" si="88"/>
        <v>-5548.5052726582035</v>
      </c>
      <c r="Q540" s="62">
        <f t="shared" si="89"/>
        <v>-0.27159509153478389</v>
      </c>
      <c r="R540" s="62">
        <f t="shared" si="90"/>
        <v>12763.76080207925</v>
      </c>
      <c r="S540" s="62">
        <f t="shared" si="91"/>
        <v>18595.960696946371</v>
      </c>
      <c r="T540" s="62">
        <f t="shared" si="92"/>
        <v>18651.202757314477</v>
      </c>
      <c r="U540" s="62">
        <f t="shared" si="93"/>
        <v>18465.810601157933</v>
      </c>
      <c r="V540" s="62">
        <f t="shared" si="83"/>
        <v>1</v>
      </c>
      <c r="W540" s="62">
        <f t="shared" si="83"/>
        <v>0</v>
      </c>
      <c r="X540" s="62">
        <f t="shared" si="83"/>
        <v>0</v>
      </c>
      <c r="Y540" s="62">
        <f t="shared" si="83"/>
        <v>0</v>
      </c>
      <c r="AA540" s="94"/>
    </row>
    <row r="541" spans="2:27" x14ac:dyDescent="0.2">
      <c r="B541" s="94"/>
      <c r="C541" s="62">
        <v>502</v>
      </c>
      <c r="D541" s="62">
        <v>8428.4990288845784</v>
      </c>
      <c r="E541" s="62">
        <v>0.61760870768724829</v>
      </c>
      <c r="F541" s="62">
        <v>12110.486652664111</v>
      </c>
      <c r="G541" s="62">
        <v>0.89423654046843915</v>
      </c>
      <c r="H541" s="62">
        <v>12149.699146014011</v>
      </c>
      <c r="I541" s="62">
        <v>0.89750101227734003</v>
      </c>
      <c r="J541" s="62">
        <v>12068.528446886521</v>
      </c>
      <c r="K541" s="62">
        <v>0.88998466571436485</v>
      </c>
      <c r="L541" s="62">
        <f t="shared" si="84"/>
        <v>-3681.9876237795324</v>
      </c>
      <c r="M541" s="62">
        <f t="shared" si="85"/>
        <v>-0.27662783278119085</v>
      </c>
      <c r="N541" s="62">
        <f t="shared" si="86"/>
        <v>-3721.2001171294323</v>
      </c>
      <c r="O541" s="62">
        <f t="shared" si="87"/>
        <v>-0.27989230459009173</v>
      </c>
      <c r="P541" s="62">
        <f t="shared" si="88"/>
        <v>-3640.0294180019428</v>
      </c>
      <c r="Q541" s="62">
        <f t="shared" si="89"/>
        <v>-0.27237595802711656</v>
      </c>
      <c r="R541" s="62">
        <f t="shared" si="90"/>
        <v>17155.324078351994</v>
      </c>
      <c r="S541" s="62">
        <f t="shared" si="91"/>
        <v>24932.367799700507</v>
      </c>
      <c r="T541" s="62">
        <f t="shared" si="92"/>
        <v>25028.382786562521</v>
      </c>
      <c r="U541" s="62">
        <f t="shared" si="93"/>
        <v>24798.196345665332</v>
      </c>
      <c r="V541" s="62">
        <f t="shared" si="83"/>
        <v>1</v>
      </c>
      <c r="W541" s="62">
        <f t="shared" si="83"/>
        <v>0</v>
      </c>
      <c r="X541" s="62">
        <f t="shared" si="83"/>
        <v>0</v>
      </c>
      <c r="Y541" s="62">
        <f t="shared" si="83"/>
        <v>0</v>
      </c>
      <c r="AA541" s="94"/>
    </row>
    <row r="542" spans="2:27" x14ac:dyDescent="0.2">
      <c r="B542" s="94"/>
      <c r="C542" s="62">
        <v>503</v>
      </c>
      <c r="D542" s="62">
        <v>9548.1940013932908</v>
      </c>
      <c r="E542" s="62">
        <v>0.61752611271702529</v>
      </c>
      <c r="F542" s="62">
        <v>13725.716491163261</v>
      </c>
      <c r="G542" s="62">
        <v>0.8943490036556303</v>
      </c>
      <c r="H542" s="62">
        <v>13768.491335325934</v>
      </c>
      <c r="I542" s="62">
        <v>0.89726413325978505</v>
      </c>
      <c r="J542" s="62">
        <v>13664.716994082681</v>
      </c>
      <c r="K542" s="62">
        <v>0.88902098048592149</v>
      </c>
      <c r="L542" s="62">
        <f t="shared" si="84"/>
        <v>-4177.52248976997</v>
      </c>
      <c r="M542" s="62">
        <f t="shared" si="85"/>
        <v>-0.27682289093860502</v>
      </c>
      <c r="N542" s="62">
        <f t="shared" si="86"/>
        <v>-4220.2973339326436</v>
      </c>
      <c r="O542" s="62">
        <f t="shared" si="87"/>
        <v>-0.27973802054275976</v>
      </c>
      <c r="P542" s="62">
        <f t="shared" si="88"/>
        <v>-4116.5229926893899</v>
      </c>
      <c r="Q542" s="62">
        <f t="shared" si="89"/>
        <v>-0.2714948677688962</v>
      </c>
      <c r="R542" s="62">
        <f t="shared" si="90"/>
        <v>16032.207691796764</v>
      </c>
      <c r="S542" s="62">
        <f t="shared" si="91"/>
        <v>23321.796636267569</v>
      </c>
      <c r="T542" s="62">
        <f t="shared" si="92"/>
        <v>23399.778120827403</v>
      </c>
      <c r="U542" s="62">
        <f t="shared" si="93"/>
        <v>23162.088101566136</v>
      </c>
      <c r="V542" s="62">
        <f t="shared" si="83"/>
        <v>1</v>
      </c>
      <c r="W542" s="62">
        <f t="shared" si="83"/>
        <v>0</v>
      </c>
      <c r="X542" s="62">
        <f t="shared" si="83"/>
        <v>0</v>
      </c>
      <c r="Y542" s="62">
        <f t="shared" si="83"/>
        <v>0</v>
      </c>
      <c r="AA542" s="94"/>
    </row>
    <row r="543" spans="2:27" x14ac:dyDescent="0.2">
      <c r="B543" s="94"/>
      <c r="C543" s="62">
        <v>504</v>
      </c>
      <c r="D543" s="62">
        <v>9475.1242794250684</v>
      </c>
      <c r="E543" s="62">
        <v>0.61765479759552644</v>
      </c>
      <c r="F543" s="62">
        <v>13618.446290551588</v>
      </c>
      <c r="G543" s="62">
        <v>0.89393260907883432</v>
      </c>
      <c r="H543" s="62">
        <v>13657.429099334684</v>
      </c>
      <c r="I543" s="62">
        <v>0.8968122646517066</v>
      </c>
      <c r="J543" s="62">
        <v>13564.651545252613</v>
      </c>
      <c r="K543" s="62">
        <v>0.8893106251257652</v>
      </c>
      <c r="L543" s="62">
        <f t="shared" si="84"/>
        <v>-4143.32201112652</v>
      </c>
      <c r="M543" s="62">
        <f t="shared" si="85"/>
        <v>-0.27627781148330788</v>
      </c>
      <c r="N543" s="62">
        <f t="shared" si="86"/>
        <v>-4182.3048199096156</v>
      </c>
      <c r="O543" s="62">
        <f t="shared" si="87"/>
        <v>-0.27915746705618016</v>
      </c>
      <c r="P543" s="62">
        <f t="shared" si="88"/>
        <v>-4089.5272658275444</v>
      </c>
      <c r="Q543" s="62">
        <f t="shared" si="89"/>
        <v>-0.27165582753023876</v>
      </c>
      <c r="R543" s="62">
        <f t="shared" si="90"/>
        <v>16110.608056172019</v>
      </c>
      <c r="S543" s="62">
        <f t="shared" si="91"/>
        <v>23411.818107930041</v>
      </c>
      <c r="T543" s="62">
        <f t="shared" si="92"/>
        <v>23492.12215159761</v>
      </c>
      <c r="U543" s="62">
        <f t="shared" si="93"/>
        <v>23274.151789957083</v>
      </c>
      <c r="V543" s="62">
        <f t="shared" si="83"/>
        <v>1</v>
      </c>
      <c r="W543" s="62">
        <f t="shared" si="83"/>
        <v>0</v>
      </c>
      <c r="X543" s="62">
        <f t="shared" si="83"/>
        <v>0</v>
      </c>
      <c r="Y543" s="62">
        <f t="shared" si="83"/>
        <v>0</v>
      </c>
      <c r="AA543" s="94"/>
    </row>
    <row r="544" spans="2:27" x14ac:dyDescent="0.2">
      <c r="B544" s="94"/>
      <c r="C544" s="62">
        <v>505</v>
      </c>
      <c r="D544" s="62">
        <v>9467.5949354047571</v>
      </c>
      <c r="E544" s="62">
        <v>0.6177690238944642</v>
      </c>
      <c r="F544" s="62">
        <v>13603.252123825585</v>
      </c>
      <c r="G544" s="62">
        <v>0.89382499617991384</v>
      </c>
      <c r="H544" s="62">
        <v>13647.49375827069</v>
      </c>
      <c r="I544" s="62">
        <v>0.89714332045223211</v>
      </c>
      <c r="J544" s="62">
        <v>13562.128871285962</v>
      </c>
      <c r="K544" s="62">
        <v>0.89008689648835615</v>
      </c>
      <c r="L544" s="62">
        <f t="shared" si="84"/>
        <v>-4135.6571884208279</v>
      </c>
      <c r="M544" s="62">
        <f t="shared" si="85"/>
        <v>-0.27605597228544965</v>
      </c>
      <c r="N544" s="62">
        <f t="shared" si="86"/>
        <v>-4179.8988228659327</v>
      </c>
      <c r="O544" s="62">
        <f t="shared" si="87"/>
        <v>-0.27937429655776791</v>
      </c>
      <c r="P544" s="62">
        <f t="shared" si="88"/>
        <v>-4094.5339358812053</v>
      </c>
      <c r="Q544" s="62">
        <f t="shared" si="89"/>
        <v>-0.27231787259389195</v>
      </c>
      <c r="R544" s="62">
        <f t="shared" si="90"/>
        <v>16122.869110399528</v>
      </c>
      <c r="S544" s="62">
        <f t="shared" si="91"/>
        <v>23422.554517931167</v>
      </c>
      <c r="T544" s="62">
        <f t="shared" si="92"/>
        <v>23515.771148142572</v>
      </c>
      <c r="U544" s="62">
        <f t="shared" si="93"/>
        <v>23308.830728847708</v>
      </c>
      <c r="V544" s="62">
        <f t="shared" si="83"/>
        <v>1</v>
      </c>
      <c r="W544" s="62">
        <f t="shared" si="83"/>
        <v>0</v>
      </c>
      <c r="X544" s="62">
        <f t="shared" si="83"/>
        <v>0</v>
      </c>
      <c r="Y544" s="62">
        <f t="shared" si="83"/>
        <v>0</v>
      </c>
      <c r="AA544" s="94"/>
    </row>
    <row r="545" spans="2:27" x14ac:dyDescent="0.2">
      <c r="B545" s="94"/>
      <c r="C545" s="62">
        <v>506</v>
      </c>
      <c r="D545" s="62">
        <v>10713.410842441275</v>
      </c>
      <c r="E545" s="62">
        <v>0.6174412100169917</v>
      </c>
      <c r="F545" s="62">
        <v>15411.765112605659</v>
      </c>
      <c r="G545" s="62">
        <v>0.89449272922772283</v>
      </c>
      <c r="H545" s="62">
        <v>15449.850613560762</v>
      </c>
      <c r="I545" s="62">
        <v>0.89676047328446884</v>
      </c>
      <c r="J545" s="62">
        <v>15346.889743824619</v>
      </c>
      <c r="K545" s="62">
        <v>0.8894825789512274</v>
      </c>
      <c r="L545" s="62">
        <f t="shared" si="84"/>
        <v>-4698.3542701643837</v>
      </c>
      <c r="M545" s="62">
        <f t="shared" si="85"/>
        <v>-0.27705151921073112</v>
      </c>
      <c r="N545" s="62">
        <f t="shared" si="86"/>
        <v>-4736.439771119487</v>
      </c>
      <c r="O545" s="62">
        <f t="shared" si="87"/>
        <v>-0.27931926326747714</v>
      </c>
      <c r="P545" s="62">
        <f t="shared" si="88"/>
        <v>-4633.4789013833433</v>
      </c>
      <c r="Q545" s="62">
        <f t="shared" si="89"/>
        <v>-0.27204136893423569</v>
      </c>
      <c r="R545" s="62">
        <f t="shared" si="90"/>
        <v>14863.47384130259</v>
      </c>
      <c r="S545" s="62">
        <f t="shared" si="91"/>
        <v>21641.701702923529</v>
      </c>
      <c r="T545" s="62">
        <f t="shared" si="92"/>
        <v>21697.555231775077</v>
      </c>
      <c r="U545" s="62">
        <f t="shared" si="93"/>
        <v>21499.036606651025</v>
      </c>
      <c r="V545" s="62">
        <f t="shared" si="83"/>
        <v>1</v>
      </c>
      <c r="W545" s="62">
        <f t="shared" si="83"/>
        <v>0</v>
      </c>
      <c r="X545" s="62">
        <f t="shared" si="83"/>
        <v>0</v>
      </c>
      <c r="Y545" s="62">
        <f t="shared" si="83"/>
        <v>0</v>
      </c>
      <c r="AA545" s="94"/>
    </row>
    <row r="546" spans="2:27" x14ac:dyDescent="0.2">
      <c r="B546" s="94"/>
      <c r="C546" s="62">
        <v>507</v>
      </c>
      <c r="D546" s="62">
        <v>11597.968393822986</v>
      </c>
      <c r="E546" s="62">
        <v>0.61755960788209341</v>
      </c>
      <c r="F546" s="62">
        <v>16685.511512242894</v>
      </c>
      <c r="G546" s="62">
        <v>0.89496365683004686</v>
      </c>
      <c r="H546" s="62">
        <v>16719.228955084422</v>
      </c>
      <c r="I546" s="62">
        <v>0.89694798380022833</v>
      </c>
      <c r="J546" s="62">
        <v>16603.427272501787</v>
      </c>
      <c r="K546" s="62">
        <v>0.88921292735366642</v>
      </c>
      <c r="L546" s="62">
        <f t="shared" si="84"/>
        <v>-5087.5431184199078</v>
      </c>
      <c r="M546" s="62">
        <f t="shared" si="85"/>
        <v>-0.27740404894795345</v>
      </c>
      <c r="N546" s="62">
        <f t="shared" si="86"/>
        <v>-5121.2605612614352</v>
      </c>
      <c r="O546" s="62">
        <f t="shared" si="87"/>
        <v>-0.27938837591813492</v>
      </c>
      <c r="P546" s="62">
        <f t="shared" si="88"/>
        <v>-5005.4588786788008</v>
      </c>
      <c r="Q546" s="62">
        <f t="shared" si="89"/>
        <v>-0.27165331947157301</v>
      </c>
      <c r="R546" s="62">
        <f t="shared" si="90"/>
        <v>13983.820803084851</v>
      </c>
      <c r="S546" s="62">
        <f t="shared" si="91"/>
        <v>20387.463008284965</v>
      </c>
      <c r="T546" s="62">
        <f t="shared" si="92"/>
        <v>20435.944325856239</v>
      </c>
      <c r="U546" s="62">
        <f t="shared" si="93"/>
        <v>20231.329030196488</v>
      </c>
      <c r="V546" s="62">
        <f t="shared" si="83"/>
        <v>1</v>
      </c>
      <c r="W546" s="62">
        <f t="shared" si="83"/>
        <v>0</v>
      </c>
      <c r="X546" s="62">
        <f t="shared" si="83"/>
        <v>0</v>
      </c>
      <c r="Y546" s="62">
        <f t="shared" si="83"/>
        <v>0</v>
      </c>
      <c r="AA546" s="94"/>
    </row>
    <row r="547" spans="2:27" x14ac:dyDescent="0.2">
      <c r="B547" s="94"/>
      <c r="C547" s="62">
        <v>508</v>
      </c>
      <c r="D547" s="62">
        <v>8976.4427215420019</v>
      </c>
      <c r="E547" s="62">
        <v>0.61766427347458497</v>
      </c>
      <c r="F547" s="62">
        <v>12910.107027370666</v>
      </c>
      <c r="G547" s="62">
        <v>0.89464061744218004</v>
      </c>
      <c r="H547" s="62">
        <v>12933.064291180006</v>
      </c>
      <c r="I547" s="62">
        <v>0.8965108481466566</v>
      </c>
      <c r="J547" s="62">
        <v>12848.052847283516</v>
      </c>
      <c r="K547" s="62">
        <v>0.88912278641119602</v>
      </c>
      <c r="L547" s="62">
        <f t="shared" si="84"/>
        <v>-3933.6643058286645</v>
      </c>
      <c r="M547" s="62">
        <f t="shared" si="85"/>
        <v>-0.27697634396759507</v>
      </c>
      <c r="N547" s="62">
        <f t="shared" si="86"/>
        <v>-3956.6215696380041</v>
      </c>
      <c r="O547" s="62">
        <f t="shared" si="87"/>
        <v>-0.27884657467207163</v>
      </c>
      <c r="P547" s="62">
        <f t="shared" si="88"/>
        <v>-3871.6101257415139</v>
      </c>
      <c r="Q547" s="62">
        <f t="shared" si="89"/>
        <v>-0.27145851293661105</v>
      </c>
      <c r="R547" s="62">
        <f t="shared" si="90"/>
        <v>16609.682142869206</v>
      </c>
      <c r="S547" s="62">
        <f t="shared" si="91"/>
        <v>24149.485909554198</v>
      </c>
      <c r="T547" s="62">
        <f t="shared" si="92"/>
        <v>24204.001082447099</v>
      </c>
      <c r="U547" s="62">
        <f t="shared" si="93"/>
        <v>23982.969457013867</v>
      </c>
      <c r="V547" s="62">
        <f t="shared" si="83"/>
        <v>1</v>
      </c>
      <c r="W547" s="62">
        <f t="shared" si="83"/>
        <v>0</v>
      </c>
      <c r="X547" s="62">
        <f t="shared" si="83"/>
        <v>0</v>
      </c>
      <c r="Y547" s="62">
        <f t="shared" si="83"/>
        <v>0</v>
      </c>
      <c r="AA547" s="94"/>
    </row>
    <row r="548" spans="2:27" x14ac:dyDescent="0.2">
      <c r="B548" s="94"/>
      <c r="C548" s="62">
        <v>509</v>
      </c>
      <c r="D548" s="62">
        <v>9185.4090638978487</v>
      </c>
      <c r="E548" s="62">
        <v>0.6179303706971857</v>
      </c>
      <c r="F548" s="62">
        <v>13186.504278304483</v>
      </c>
      <c r="G548" s="62">
        <v>0.893868896761987</v>
      </c>
      <c r="H548" s="62">
        <v>13236.026377952157</v>
      </c>
      <c r="I548" s="62">
        <v>0.89756167969655209</v>
      </c>
      <c r="J548" s="62">
        <v>13141.676987464343</v>
      </c>
      <c r="K548" s="62">
        <v>0.88946669811939982</v>
      </c>
      <c r="L548" s="62">
        <f t="shared" si="84"/>
        <v>-4001.0952144066341</v>
      </c>
      <c r="M548" s="62">
        <f t="shared" si="85"/>
        <v>-0.27593852606480129</v>
      </c>
      <c r="N548" s="62">
        <f t="shared" si="86"/>
        <v>-4050.6173140543087</v>
      </c>
      <c r="O548" s="62">
        <f t="shared" si="87"/>
        <v>-0.27963130899936639</v>
      </c>
      <c r="P548" s="62">
        <f t="shared" si="88"/>
        <v>-3956.2679235664946</v>
      </c>
      <c r="Q548" s="62">
        <f t="shared" si="89"/>
        <v>-0.27153632742221412</v>
      </c>
      <c r="R548" s="62">
        <f t="shared" si="90"/>
        <v>16411.738611862373</v>
      </c>
      <c r="S548" s="62">
        <f t="shared" si="91"/>
        <v>23841.120901164068</v>
      </c>
      <c r="T548" s="62">
        <f t="shared" si="92"/>
        <v>23944.568641797821</v>
      </c>
      <c r="U548" s="62">
        <f t="shared" si="93"/>
        <v>23703.591515433676</v>
      </c>
      <c r="V548" s="62">
        <f t="shared" si="83"/>
        <v>1</v>
      </c>
      <c r="W548" s="62">
        <f t="shared" si="83"/>
        <v>0</v>
      </c>
      <c r="X548" s="62">
        <f t="shared" si="83"/>
        <v>0</v>
      </c>
      <c r="Y548" s="62">
        <f t="shared" si="83"/>
        <v>0</v>
      </c>
      <c r="AA548" s="94"/>
    </row>
    <row r="549" spans="2:27" x14ac:dyDescent="0.2">
      <c r="B549" s="94"/>
      <c r="C549" s="62">
        <v>510</v>
      </c>
      <c r="D549" s="62">
        <v>11802.554543797993</v>
      </c>
      <c r="E549" s="62">
        <v>0.61796213745755446</v>
      </c>
      <c r="F549" s="62">
        <v>16965.18739892419</v>
      </c>
      <c r="G549" s="62">
        <v>0.89395019286076816</v>
      </c>
      <c r="H549" s="62">
        <v>17022.939188704189</v>
      </c>
      <c r="I549" s="62">
        <v>0.8973354193269405</v>
      </c>
      <c r="J549" s="62">
        <v>16895.9107363148</v>
      </c>
      <c r="K549" s="62">
        <v>0.88922719354676927</v>
      </c>
      <c r="L549" s="62">
        <f t="shared" si="84"/>
        <v>-5162.6328551261977</v>
      </c>
      <c r="M549" s="62">
        <f t="shared" si="85"/>
        <v>-0.27598805540321369</v>
      </c>
      <c r="N549" s="62">
        <f t="shared" si="86"/>
        <v>-5220.3846449061966</v>
      </c>
      <c r="O549" s="62">
        <f t="shared" si="87"/>
        <v>-0.27937328186938604</v>
      </c>
      <c r="P549" s="62">
        <f t="shared" si="88"/>
        <v>-5093.3561925168069</v>
      </c>
      <c r="Q549" s="62">
        <f t="shared" si="89"/>
        <v>-0.27126505608921481</v>
      </c>
      <c r="R549" s="62">
        <f t="shared" si="90"/>
        <v>13795.909038243743</v>
      </c>
      <c r="S549" s="62">
        <f t="shared" si="91"/>
        <v>20065.805390140271</v>
      </c>
      <c r="T549" s="62">
        <f t="shared" si="92"/>
        <v>20148.283221494992</v>
      </c>
      <c r="U549" s="62">
        <f t="shared" si="93"/>
        <v>19939.436529166567</v>
      </c>
      <c r="V549" s="62">
        <f t="shared" si="83"/>
        <v>1</v>
      </c>
      <c r="W549" s="62">
        <f t="shared" si="83"/>
        <v>0</v>
      </c>
      <c r="X549" s="62">
        <f t="shared" si="83"/>
        <v>0</v>
      </c>
      <c r="Y549" s="62">
        <f t="shared" si="83"/>
        <v>0</v>
      </c>
      <c r="AA549" s="94"/>
    </row>
    <row r="550" spans="2:27" x14ac:dyDescent="0.2">
      <c r="B550" s="94"/>
      <c r="C550" s="62">
        <v>511</v>
      </c>
      <c r="D550" s="62">
        <v>11078.484102790897</v>
      </c>
      <c r="E550" s="62">
        <v>0.61771864665068266</v>
      </c>
      <c r="F550" s="62">
        <v>15949.086251099252</v>
      </c>
      <c r="G550" s="62">
        <v>0.89475840120299976</v>
      </c>
      <c r="H550" s="62">
        <v>15997.782543053823</v>
      </c>
      <c r="I550" s="62">
        <v>0.89773582566158028</v>
      </c>
      <c r="J550" s="62">
        <v>15866.05536181696</v>
      </c>
      <c r="K550" s="62">
        <v>0.88913951689566195</v>
      </c>
      <c r="L550" s="62">
        <f t="shared" si="84"/>
        <v>-4870.602148308355</v>
      </c>
      <c r="M550" s="62">
        <f t="shared" si="85"/>
        <v>-0.27703975455231711</v>
      </c>
      <c r="N550" s="62">
        <f t="shared" si="86"/>
        <v>-4919.2984402629263</v>
      </c>
      <c r="O550" s="62">
        <f t="shared" si="87"/>
        <v>-0.28001717901089762</v>
      </c>
      <c r="P550" s="62">
        <f t="shared" si="88"/>
        <v>-4787.5712590260628</v>
      </c>
      <c r="Q550" s="62">
        <f t="shared" si="89"/>
        <v>-0.2714208702449793</v>
      </c>
      <c r="R550" s="62">
        <f t="shared" si="90"/>
        <v>14509.89311606698</v>
      </c>
      <c r="S550" s="62">
        <f t="shared" si="91"/>
        <v>21115.385760333811</v>
      </c>
      <c r="T550" s="62">
        <f t="shared" si="92"/>
        <v>21190.026299151483</v>
      </c>
      <c r="U550" s="62">
        <f t="shared" si="93"/>
        <v>20965.659986068946</v>
      </c>
      <c r="V550" s="62">
        <f t="shared" si="83"/>
        <v>1</v>
      </c>
      <c r="W550" s="62">
        <f t="shared" si="83"/>
        <v>0</v>
      </c>
      <c r="X550" s="62">
        <f t="shared" si="83"/>
        <v>0</v>
      </c>
      <c r="Y550" s="62">
        <f t="shared" ref="Y550:Y613" si="94">IF(MIN($R550:$U550)=U550,1,0)</f>
        <v>0</v>
      </c>
      <c r="AA550" s="94"/>
    </row>
    <row r="551" spans="2:27" x14ac:dyDescent="0.2">
      <c r="B551" s="94"/>
      <c r="C551" s="62">
        <v>512</v>
      </c>
      <c r="D551" s="62">
        <v>8519.7229314265369</v>
      </c>
      <c r="E551" s="62">
        <v>0.61753505693578481</v>
      </c>
      <c r="F551" s="62">
        <v>12241.214980894432</v>
      </c>
      <c r="G551" s="62">
        <v>0.89435568397267018</v>
      </c>
      <c r="H551" s="62">
        <v>12288.919590633919</v>
      </c>
      <c r="I551" s="62">
        <v>0.89836118189879544</v>
      </c>
      <c r="J551" s="62">
        <v>12183.7538686114</v>
      </c>
      <c r="K551" s="62">
        <v>0.88880687487483545</v>
      </c>
      <c r="L551" s="62">
        <f t="shared" si="84"/>
        <v>-3721.4920494678954</v>
      </c>
      <c r="M551" s="62">
        <f t="shared" si="85"/>
        <v>-0.27682062703688537</v>
      </c>
      <c r="N551" s="62">
        <f t="shared" si="86"/>
        <v>-3769.1966592073823</v>
      </c>
      <c r="O551" s="62">
        <f t="shared" si="87"/>
        <v>-0.28082612496301063</v>
      </c>
      <c r="P551" s="62">
        <f t="shared" si="88"/>
        <v>-3664.0309371848634</v>
      </c>
      <c r="Q551" s="62">
        <f t="shared" si="89"/>
        <v>-0.27127181793905064</v>
      </c>
      <c r="R551" s="62">
        <f t="shared" si="90"/>
        <v>17061.049267081413</v>
      </c>
      <c r="S551" s="62">
        <f t="shared" si="91"/>
        <v>24806.574871989462</v>
      </c>
      <c r="T551" s="62">
        <f t="shared" si="92"/>
        <v>24924.794008341782</v>
      </c>
      <c r="U551" s="62">
        <f t="shared" si="93"/>
        <v>24634.182116203789</v>
      </c>
      <c r="V551" s="62">
        <f t="shared" ref="V551:Y614" si="95">IF(MIN($R551:$U551)=R551,1,0)</f>
        <v>1</v>
      </c>
      <c r="W551" s="62">
        <f t="shared" si="95"/>
        <v>0</v>
      </c>
      <c r="X551" s="62">
        <f t="shared" si="95"/>
        <v>0</v>
      </c>
      <c r="Y551" s="62">
        <f t="shared" si="94"/>
        <v>0</v>
      </c>
      <c r="AA551" s="94"/>
    </row>
    <row r="552" spans="2:27" x14ac:dyDescent="0.2">
      <c r="B552" s="94"/>
      <c r="C552" s="62">
        <v>513</v>
      </c>
      <c r="D552" s="62">
        <v>8739.0284058653106</v>
      </c>
      <c r="E552" s="62">
        <v>0.61791513442354218</v>
      </c>
      <c r="F552" s="62">
        <v>12556.836753107031</v>
      </c>
      <c r="G552" s="62">
        <v>0.89424906116490754</v>
      </c>
      <c r="H552" s="62">
        <v>12596.927430466467</v>
      </c>
      <c r="I552" s="62">
        <v>0.89753330193013503</v>
      </c>
      <c r="J552" s="62">
        <v>12503.287420236325</v>
      </c>
      <c r="K552" s="62">
        <v>0.88937735766099701</v>
      </c>
      <c r="L552" s="62">
        <f t="shared" ref="L552:L615" si="96">IF($C552&lt;=No_of_iterations_PSA,D552-$F552,"")</f>
        <v>-3817.8083472417202</v>
      </c>
      <c r="M552" s="62">
        <f t="shared" ref="M552:M615" si="97">IF($C552&lt;=No_of_iterations_PSA,E552-$G552,"")</f>
        <v>-0.27633392674136537</v>
      </c>
      <c r="N552" s="62">
        <f t="shared" ref="N552:N615" si="98">IF($C552&lt;=No_of_iterations_PSA,D552-$H552,"")</f>
        <v>-3857.8990246011563</v>
      </c>
      <c r="O552" s="62">
        <f t="shared" ref="O552:O615" si="99">IF($C552&lt;=No_of_iterations_PSA,E552-$I552,"")</f>
        <v>-0.27961816750659285</v>
      </c>
      <c r="P552" s="62">
        <f t="shared" ref="P552:P615" si="100">IF($C552&lt;=No_of_iterations_PSA,D552-$J552,"")</f>
        <v>-3764.2590143710149</v>
      </c>
      <c r="Q552" s="62">
        <f t="shared" ref="Q552:Q615" si="101">IF($C552&lt;=No_of_iterations_PSA,E552-$K552,"")</f>
        <v>-0.27146222323745484</v>
      </c>
      <c r="R552" s="62">
        <f t="shared" ref="R552:R615" si="102">IF($C552&lt;=No_of_iterations_PSA,E552*c_WTP-D552,"")</f>
        <v>16857.488122495502</v>
      </c>
      <c r="S552" s="62">
        <f t="shared" ref="S552:S615" si="103">IF($C552&lt;=No_of_iterations_PSA,G552*c_WTP-F552,"")</f>
        <v>24486.536356588098</v>
      </c>
      <c r="T552" s="62">
        <f t="shared" ref="T552:T615" si="104">IF($C552&lt;=No_of_iterations_PSA,I552*c_WTP-H552,"")</f>
        <v>24582.492068687447</v>
      </c>
      <c r="U552" s="62">
        <f t="shared" ref="U552:U615" si="105">IF($C552&lt;=No_of_iterations_PSA,K552*c_WTP-J552,"")</f>
        <v>24338.280243512818</v>
      </c>
      <c r="V552" s="62">
        <f t="shared" si="95"/>
        <v>1</v>
      </c>
      <c r="W552" s="62">
        <f t="shared" si="95"/>
        <v>0</v>
      </c>
      <c r="X552" s="62">
        <f t="shared" si="95"/>
        <v>0</v>
      </c>
      <c r="Y552" s="62">
        <f t="shared" si="94"/>
        <v>0</v>
      </c>
      <c r="AA552" s="94"/>
    </row>
    <row r="553" spans="2:27" x14ac:dyDescent="0.2">
      <c r="B553" s="94"/>
      <c r="C553" s="62">
        <v>514</v>
      </c>
      <c r="D553" s="62">
        <v>10327.445666419355</v>
      </c>
      <c r="E553" s="62">
        <v>0.61800991071481515</v>
      </c>
      <c r="F553" s="62">
        <v>14833.139255760421</v>
      </c>
      <c r="G553" s="62">
        <v>0.89326513451564526</v>
      </c>
      <c r="H553" s="62">
        <v>14888.396404973622</v>
      </c>
      <c r="I553" s="62">
        <v>0.89707004218863562</v>
      </c>
      <c r="J553" s="62">
        <v>14769.291519341657</v>
      </c>
      <c r="K553" s="62">
        <v>0.88831665979992613</v>
      </c>
      <c r="L553" s="62">
        <f t="shared" si="96"/>
        <v>-4505.6935893410664</v>
      </c>
      <c r="M553" s="62">
        <f t="shared" si="97"/>
        <v>-0.27525522380083012</v>
      </c>
      <c r="N553" s="62">
        <f t="shared" si="98"/>
        <v>-4560.9507385542674</v>
      </c>
      <c r="O553" s="62">
        <f t="shared" si="99"/>
        <v>-0.27906013147382047</v>
      </c>
      <c r="P553" s="62">
        <f t="shared" si="100"/>
        <v>-4441.8458529223026</v>
      </c>
      <c r="Q553" s="62">
        <f t="shared" si="101"/>
        <v>-0.27030674908511099</v>
      </c>
      <c r="R553" s="62">
        <f t="shared" si="102"/>
        <v>15272.996875031147</v>
      </c>
      <c r="S553" s="62">
        <f t="shared" si="103"/>
        <v>22169.47567641567</v>
      </c>
      <c r="T553" s="62">
        <f t="shared" si="104"/>
        <v>22271.833022648418</v>
      </c>
      <c r="U553" s="62">
        <f t="shared" si="105"/>
        <v>22028.337796210486</v>
      </c>
      <c r="V553" s="62">
        <f t="shared" si="95"/>
        <v>1</v>
      </c>
      <c r="W553" s="62">
        <f t="shared" si="95"/>
        <v>0</v>
      </c>
      <c r="X553" s="62">
        <f t="shared" si="95"/>
        <v>0</v>
      </c>
      <c r="Y553" s="62">
        <f t="shared" si="94"/>
        <v>0</v>
      </c>
      <c r="AA553" s="94"/>
    </row>
    <row r="554" spans="2:27" x14ac:dyDescent="0.2">
      <c r="B554" s="94"/>
      <c r="C554" s="62">
        <v>515</v>
      </c>
      <c r="D554" s="62">
        <v>10219.414744317308</v>
      </c>
      <c r="E554" s="62">
        <v>0.61767757161553616</v>
      </c>
      <c r="F554" s="62">
        <v>14700.815903047851</v>
      </c>
      <c r="G554" s="62">
        <v>0.89455869735667393</v>
      </c>
      <c r="H554" s="62">
        <v>14746.611358850385</v>
      </c>
      <c r="I554" s="62">
        <v>0.89766351197740446</v>
      </c>
      <c r="J554" s="62">
        <v>14638.765180120179</v>
      </c>
      <c r="K554" s="62">
        <v>0.88972653914048117</v>
      </c>
      <c r="L554" s="62">
        <f t="shared" si="96"/>
        <v>-4481.4011587305431</v>
      </c>
      <c r="M554" s="62">
        <f t="shared" si="97"/>
        <v>-0.27688112574113777</v>
      </c>
      <c r="N554" s="62">
        <f t="shared" si="98"/>
        <v>-4527.1966145330771</v>
      </c>
      <c r="O554" s="62">
        <f t="shared" si="99"/>
        <v>-0.2799859403618683</v>
      </c>
      <c r="P554" s="62">
        <f t="shared" si="100"/>
        <v>-4419.3504358028713</v>
      </c>
      <c r="Q554" s="62">
        <f t="shared" si="101"/>
        <v>-0.27204896752494501</v>
      </c>
      <c r="R554" s="62">
        <f t="shared" si="102"/>
        <v>15367.260982284663</v>
      </c>
      <c r="S554" s="62">
        <f t="shared" si="103"/>
        <v>22355.383576255015</v>
      </c>
      <c r="T554" s="62">
        <f t="shared" si="104"/>
        <v>22438.201961301616</v>
      </c>
      <c r="U554" s="62">
        <f t="shared" si="105"/>
        <v>22217.266977235115</v>
      </c>
      <c r="V554" s="62">
        <f t="shared" si="95"/>
        <v>1</v>
      </c>
      <c r="W554" s="62">
        <f t="shared" si="95"/>
        <v>0</v>
      </c>
      <c r="X554" s="62">
        <f t="shared" si="95"/>
        <v>0</v>
      </c>
      <c r="Y554" s="62">
        <f t="shared" si="94"/>
        <v>0</v>
      </c>
      <c r="AA554" s="94"/>
    </row>
    <row r="555" spans="2:27" x14ac:dyDescent="0.2">
      <c r="B555" s="94"/>
      <c r="C555" s="62">
        <v>516</v>
      </c>
      <c r="D555" s="62">
        <v>11846.181718051086</v>
      </c>
      <c r="E555" s="62">
        <v>0.61740618596967622</v>
      </c>
      <c r="F555" s="62">
        <v>17029.320595082743</v>
      </c>
      <c r="G555" s="62">
        <v>0.89322254190954498</v>
      </c>
      <c r="H555" s="62">
        <v>17099.722298878452</v>
      </c>
      <c r="I555" s="62">
        <v>0.8972541502375454</v>
      </c>
      <c r="J555" s="62">
        <v>16989.607207446548</v>
      </c>
      <c r="K555" s="62">
        <v>0.89005242359754544</v>
      </c>
      <c r="L555" s="62">
        <f t="shared" si="96"/>
        <v>-5183.1388770316571</v>
      </c>
      <c r="M555" s="62">
        <f t="shared" si="97"/>
        <v>-0.27581635593986875</v>
      </c>
      <c r="N555" s="62">
        <f t="shared" si="98"/>
        <v>-5253.5405808273663</v>
      </c>
      <c r="O555" s="62">
        <f t="shared" si="99"/>
        <v>-0.27984796426786918</v>
      </c>
      <c r="P555" s="62">
        <f t="shared" si="100"/>
        <v>-5143.4254893954621</v>
      </c>
      <c r="Q555" s="62">
        <f t="shared" si="101"/>
        <v>-0.27264623762786921</v>
      </c>
      <c r="R555" s="62">
        <f t="shared" si="102"/>
        <v>13729.25212955678</v>
      </c>
      <c r="S555" s="62">
        <f t="shared" si="103"/>
        <v>19971.529980978248</v>
      </c>
      <c r="T555" s="62">
        <f t="shared" si="104"/>
        <v>20068.133620561628</v>
      </c>
      <c r="U555" s="62">
        <f t="shared" si="105"/>
        <v>19879.924387658175</v>
      </c>
      <c r="V555" s="62">
        <f t="shared" si="95"/>
        <v>1</v>
      </c>
      <c r="W555" s="62">
        <f t="shared" si="95"/>
        <v>0</v>
      </c>
      <c r="X555" s="62">
        <f t="shared" si="95"/>
        <v>0</v>
      </c>
      <c r="Y555" s="62">
        <f t="shared" si="94"/>
        <v>0</v>
      </c>
      <c r="AA555" s="94"/>
    </row>
    <row r="556" spans="2:27" x14ac:dyDescent="0.2">
      <c r="B556" s="94"/>
      <c r="C556" s="62">
        <v>517</v>
      </c>
      <c r="D556" s="62">
        <v>9777.0699340550127</v>
      </c>
      <c r="E556" s="62">
        <v>0.6175852857771057</v>
      </c>
      <c r="F556" s="62">
        <v>14056.251005969621</v>
      </c>
      <c r="G556" s="62">
        <v>0.89439416062058041</v>
      </c>
      <c r="H556" s="62">
        <v>14095.556109963269</v>
      </c>
      <c r="I556" s="62">
        <v>0.89712263539873849</v>
      </c>
      <c r="J556" s="62">
        <v>14002.957954803216</v>
      </c>
      <c r="K556" s="62">
        <v>0.88988130677892141</v>
      </c>
      <c r="L556" s="62">
        <f t="shared" si="96"/>
        <v>-4279.1810719146088</v>
      </c>
      <c r="M556" s="62">
        <f t="shared" si="97"/>
        <v>-0.27680887484347472</v>
      </c>
      <c r="N556" s="62">
        <f t="shared" si="98"/>
        <v>-4318.486175908256</v>
      </c>
      <c r="O556" s="62">
        <f t="shared" si="99"/>
        <v>-0.27953734962163279</v>
      </c>
      <c r="P556" s="62">
        <f t="shared" si="100"/>
        <v>-4225.8880207482034</v>
      </c>
      <c r="Q556" s="62">
        <f t="shared" si="101"/>
        <v>-0.27229602100181571</v>
      </c>
      <c r="R556" s="62">
        <f t="shared" si="102"/>
        <v>15805.782943975813</v>
      </c>
      <c r="S556" s="62">
        <f t="shared" si="103"/>
        <v>22993.132703577299</v>
      </c>
      <c r="T556" s="62">
        <f t="shared" si="104"/>
        <v>23066.851938794076</v>
      </c>
      <c r="U556" s="62">
        <f t="shared" si="105"/>
        <v>22859.485297206822</v>
      </c>
      <c r="V556" s="62">
        <f t="shared" si="95"/>
        <v>1</v>
      </c>
      <c r="W556" s="62">
        <f t="shared" si="95"/>
        <v>0</v>
      </c>
      <c r="X556" s="62">
        <f t="shared" si="95"/>
        <v>0</v>
      </c>
      <c r="Y556" s="62">
        <f t="shared" si="94"/>
        <v>0</v>
      </c>
      <c r="AA556" s="94"/>
    </row>
    <row r="557" spans="2:27" x14ac:dyDescent="0.2">
      <c r="B557" s="94"/>
      <c r="C557" s="62">
        <v>518</v>
      </c>
      <c r="D557" s="62">
        <v>11225.435911900177</v>
      </c>
      <c r="E557" s="62">
        <v>0.6176247742173101</v>
      </c>
      <c r="F557" s="62">
        <v>16149.037527503082</v>
      </c>
      <c r="G557" s="62">
        <v>0.89413654160743261</v>
      </c>
      <c r="H557" s="62">
        <v>16204.806108536895</v>
      </c>
      <c r="I557" s="62">
        <v>0.89749368226669879</v>
      </c>
      <c r="J557" s="62">
        <v>16092.568214081532</v>
      </c>
      <c r="K557" s="62">
        <v>0.89003243501742435</v>
      </c>
      <c r="L557" s="62">
        <f t="shared" si="96"/>
        <v>-4923.6016156029054</v>
      </c>
      <c r="M557" s="62">
        <f t="shared" si="97"/>
        <v>-0.27651176739012251</v>
      </c>
      <c r="N557" s="62">
        <f t="shared" si="98"/>
        <v>-4979.3701966367189</v>
      </c>
      <c r="O557" s="62">
        <f t="shared" si="99"/>
        <v>-0.27986890804938869</v>
      </c>
      <c r="P557" s="62">
        <f t="shared" si="100"/>
        <v>-4867.132302181355</v>
      </c>
      <c r="Q557" s="62">
        <f t="shared" si="101"/>
        <v>-0.27240766080011425</v>
      </c>
      <c r="R557" s="62">
        <f t="shared" si="102"/>
        <v>14359.052735277679</v>
      </c>
      <c r="S557" s="62">
        <f t="shared" si="103"/>
        <v>20889.674572043208</v>
      </c>
      <c r="T557" s="62">
        <f t="shared" si="104"/>
        <v>20972.972185678831</v>
      </c>
      <c r="U557" s="62">
        <f t="shared" si="105"/>
        <v>20776.135374080251</v>
      </c>
      <c r="V557" s="62">
        <f t="shared" si="95"/>
        <v>1</v>
      </c>
      <c r="W557" s="62">
        <f t="shared" si="95"/>
        <v>0</v>
      </c>
      <c r="X557" s="62">
        <f t="shared" si="95"/>
        <v>0</v>
      </c>
      <c r="Y557" s="62">
        <f t="shared" si="94"/>
        <v>0</v>
      </c>
      <c r="AA557" s="94"/>
    </row>
    <row r="558" spans="2:27" x14ac:dyDescent="0.2">
      <c r="B558" s="94"/>
      <c r="C558" s="62">
        <v>519</v>
      </c>
      <c r="D558" s="62">
        <v>8746.197874476331</v>
      </c>
      <c r="E558" s="62">
        <v>0.61794130036005901</v>
      </c>
      <c r="F558" s="62">
        <v>12556.618652749037</v>
      </c>
      <c r="G558" s="62">
        <v>0.89438967517647183</v>
      </c>
      <c r="H558" s="62">
        <v>12600.342093127592</v>
      </c>
      <c r="I558" s="62">
        <v>0.89783614205875506</v>
      </c>
      <c r="J558" s="62">
        <v>12511.736365724131</v>
      </c>
      <c r="K558" s="62">
        <v>0.88984729858775224</v>
      </c>
      <c r="L558" s="62">
        <f t="shared" si="96"/>
        <v>-3810.4207782727062</v>
      </c>
      <c r="M558" s="62">
        <f t="shared" si="97"/>
        <v>-0.27644837481641282</v>
      </c>
      <c r="N558" s="62">
        <f t="shared" si="98"/>
        <v>-3854.1442186512613</v>
      </c>
      <c r="O558" s="62">
        <f t="shared" si="99"/>
        <v>-0.27989484169869605</v>
      </c>
      <c r="P558" s="62">
        <f t="shared" si="100"/>
        <v>-3765.5384912478003</v>
      </c>
      <c r="Q558" s="62">
        <f t="shared" si="101"/>
        <v>-0.27190599822769324</v>
      </c>
      <c r="R558" s="62">
        <f t="shared" si="102"/>
        <v>16851.402551638756</v>
      </c>
      <c r="S558" s="62">
        <f t="shared" si="103"/>
        <v>24492.579251761133</v>
      </c>
      <c r="T558" s="62">
        <f t="shared" si="104"/>
        <v>24591.622255514281</v>
      </c>
      <c r="U558" s="62">
        <f t="shared" si="105"/>
        <v>24349.298130974923</v>
      </c>
      <c r="V558" s="62">
        <f t="shared" si="95"/>
        <v>1</v>
      </c>
      <c r="W558" s="62">
        <f t="shared" si="95"/>
        <v>0</v>
      </c>
      <c r="X558" s="62">
        <f t="shared" si="95"/>
        <v>0</v>
      </c>
      <c r="Y558" s="62">
        <f t="shared" si="94"/>
        <v>0</v>
      </c>
      <c r="AA558" s="94"/>
    </row>
    <row r="559" spans="2:27" x14ac:dyDescent="0.2">
      <c r="B559" s="94"/>
      <c r="C559" s="62">
        <v>520</v>
      </c>
      <c r="D559" s="62">
        <v>9498.0484233978586</v>
      </c>
      <c r="E559" s="62">
        <v>0.61769862961624045</v>
      </c>
      <c r="F559" s="62">
        <v>13647.788240216856</v>
      </c>
      <c r="G559" s="62">
        <v>0.89419443794348707</v>
      </c>
      <c r="H559" s="62">
        <v>13685.652432925333</v>
      </c>
      <c r="I559" s="62">
        <v>0.89707502412656714</v>
      </c>
      <c r="J559" s="62">
        <v>13594.900154240937</v>
      </c>
      <c r="K559" s="62">
        <v>0.88949778185170081</v>
      </c>
      <c r="L559" s="62">
        <f t="shared" si="96"/>
        <v>-4149.7398168189975</v>
      </c>
      <c r="M559" s="62">
        <f t="shared" si="97"/>
        <v>-0.27649580832724663</v>
      </c>
      <c r="N559" s="62">
        <f t="shared" si="98"/>
        <v>-4187.6040095274748</v>
      </c>
      <c r="O559" s="62">
        <f t="shared" si="99"/>
        <v>-0.2793763945103267</v>
      </c>
      <c r="P559" s="62">
        <f t="shared" si="100"/>
        <v>-4096.8517308430783</v>
      </c>
      <c r="Q559" s="62">
        <f t="shared" si="101"/>
        <v>-0.27179915223546036</v>
      </c>
      <c r="R559" s="62">
        <f t="shared" si="102"/>
        <v>16089.499609825287</v>
      </c>
      <c r="S559" s="62">
        <f t="shared" si="103"/>
        <v>23393.322157154151</v>
      </c>
      <c r="T559" s="62">
        <f t="shared" si="104"/>
        <v>23474.783366493586</v>
      </c>
      <c r="U559" s="62">
        <f t="shared" si="105"/>
        <v>23251.655961183918</v>
      </c>
      <c r="V559" s="62">
        <f t="shared" si="95"/>
        <v>1</v>
      </c>
      <c r="W559" s="62">
        <f t="shared" si="95"/>
        <v>0</v>
      </c>
      <c r="X559" s="62">
        <f t="shared" si="95"/>
        <v>0</v>
      </c>
      <c r="Y559" s="62">
        <f t="shared" si="94"/>
        <v>0</v>
      </c>
      <c r="AA559" s="94"/>
    </row>
    <row r="560" spans="2:27" x14ac:dyDescent="0.2">
      <c r="B560" s="94"/>
      <c r="C560" s="62">
        <v>521</v>
      </c>
      <c r="D560" s="62">
        <v>9452.5536276354433</v>
      </c>
      <c r="E560" s="62">
        <v>0.61746855950813373</v>
      </c>
      <c r="F560" s="62">
        <v>13587.66446303625</v>
      </c>
      <c r="G560" s="62">
        <v>0.89393203193525372</v>
      </c>
      <c r="H560" s="62">
        <v>13621.711155166759</v>
      </c>
      <c r="I560" s="62">
        <v>0.89641135111410986</v>
      </c>
      <c r="J560" s="62">
        <v>13530.941494009223</v>
      </c>
      <c r="K560" s="62">
        <v>0.88895585455500026</v>
      </c>
      <c r="L560" s="62">
        <f t="shared" si="96"/>
        <v>-4135.1108354008065</v>
      </c>
      <c r="M560" s="62">
        <f t="shared" si="97"/>
        <v>-0.27646347242711999</v>
      </c>
      <c r="N560" s="62">
        <f t="shared" si="98"/>
        <v>-4169.1575275313153</v>
      </c>
      <c r="O560" s="62">
        <f t="shared" si="99"/>
        <v>-0.27894279160597613</v>
      </c>
      <c r="P560" s="62">
        <f t="shared" si="100"/>
        <v>-4078.3878663737796</v>
      </c>
      <c r="Q560" s="62">
        <f t="shared" si="101"/>
        <v>-0.27148729504686653</v>
      </c>
      <c r="R560" s="62">
        <f t="shared" si="102"/>
        <v>16125.46398142949</v>
      </c>
      <c r="S560" s="62">
        <f t="shared" si="103"/>
        <v>23442.576027849704</v>
      </c>
      <c r="T560" s="62">
        <f t="shared" si="104"/>
        <v>23511.23265338413</v>
      </c>
      <c r="U560" s="62">
        <f t="shared" si="105"/>
        <v>23293.165825077107</v>
      </c>
      <c r="V560" s="62">
        <f t="shared" si="95"/>
        <v>1</v>
      </c>
      <c r="W560" s="62">
        <f t="shared" si="95"/>
        <v>0</v>
      </c>
      <c r="X560" s="62">
        <f t="shared" si="95"/>
        <v>0</v>
      </c>
      <c r="Y560" s="62">
        <f t="shared" si="94"/>
        <v>0</v>
      </c>
      <c r="AA560" s="94"/>
    </row>
    <row r="561" spans="2:27" x14ac:dyDescent="0.2">
      <c r="B561" s="94"/>
      <c r="C561" s="62">
        <v>522</v>
      </c>
      <c r="D561" s="62">
        <v>10411.095487836967</v>
      </c>
      <c r="E561" s="62">
        <v>0.61730747083318893</v>
      </c>
      <c r="F561" s="62">
        <v>14980.90926232078</v>
      </c>
      <c r="G561" s="62">
        <v>0.89489412499231868</v>
      </c>
      <c r="H561" s="62">
        <v>15014.197014022046</v>
      </c>
      <c r="I561" s="62">
        <v>0.897082765500409</v>
      </c>
      <c r="J561" s="62">
        <v>14904.771750514456</v>
      </c>
      <c r="K561" s="62">
        <v>0.88906664022752302</v>
      </c>
      <c r="L561" s="62">
        <f t="shared" si="96"/>
        <v>-4569.8137744838132</v>
      </c>
      <c r="M561" s="62">
        <f t="shared" si="97"/>
        <v>-0.27758665415912975</v>
      </c>
      <c r="N561" s="62">
        <f t="shared" si="98"/>
        <v>-4603.1015261850789</v>
      </c>
      <c r="O561" s="62">
        <f t="shared" si="99"/>
        <v>-0.27977529466722006</v>
      </c>
      <c r="P561" s="62">
        <f t="shared" si="100"/>
        <v>-4493.6762626774889</v>
      </c>
      <c r="Q561" s="62">
        <f t="shared" si="101"/>
        <v>-0.27175916939433409</v>
      </c>
      <c r="R561" s="62">
        <f t="shared" si="102"/>
        <v>15160.24918395705</v>
      </c>
      <c r="S561" s="62">
        <f t="shared" si="103"/>
        <v>22089.184971361032</v>
      </c>
      <c r="T561" s="62">
        <f t="shared" si="104"/>
        <v>22146.559464066901</v>
      </c>
      <c r="U561" s="62">
        <f t="shared" si="105"/>
        <v>21923.924754270462</v>
      </c>
      <c r="V561" s="62">
        <f t="shared" si="95"/>
        <v>1</v>
      </c>
      <c r="W561" s="62">
        <f t="shared" si="95"/>
        <v>0</v>
      </c>
      <c r="X561" s="62">
        <f t="shared" si="95"/>
        <v>0</v>
      </c>
      <c r="Y561" s="62">
        <f t="shared" si="94"/>
        <v>0</v>
      </c>
      <c r="AA561" s="94"/>
    </row>
    <row r="562" spans="2:27" x14ac:dyDescent="0.2">
      <c r="B562" s="94"/>
      <c r="C562" s="62">
        <v>523</v>
      </c>
      <c r="D562" s="62">
        <v>12115.700188811679</v>
      </c>
      <c r="E562" s="62">
        <v>0.61804040331675525</v>
      </c>
      <c r="F562" s="62">
        <v>17424.117621334553</v>
      </c>
      <c r="G562" s="62">
        <v>0.89455988797157882</v>
      </c>
      <c r="H562" s="62">
        <v>17469.136187441833</v>
      </c>
      <c r="I562" s="62">
        <v>0.89706362039242693</v>
      </c>
      <c r="J562" s="62">
        <v>17335.418520333813</v>
      </c>
      <c r="K562" s="62">
        <v>0.88890669784655041</v>
      </c>
      <c r="L562" s="62">
        <f t="shared" si="96"/>
        <v>-5308.4174325228742</v>
      </c>
      <c r="M562" s="62">
        <f t="shared" si="97"/>
        <v>-0.27651948465482357</v>
      </c>
      <c r="N562" s="62">
        <f t="shared" si="98"/>
        <v>-5353.4359986301533</v>
      </c>
      <c r="O562" s="62">
        <f t="shared" si="99"/>
        <v>-0.27902321707567168</v>
      </c>
      <c r="P562" s="62">
        <f t="shared" si="100"/>
        <v>-5219.7183315221337</v>
      </c>
      <c r="Q562" s="62">
        <f t="shared" si="101"/>
        <v>-0.27086629452979516</v>
      </c>
      <c r="R562" s="62">
        <f t="shared" si="102"/>
        <v>13486.005478181589</v>
      </c>
      <c r="S562" s="62">
        <f t="shared" si="103"/>
        <v>19632.131178000127</v>
      </c>
      <c r="T562" s="62">
        <f t="shared" si="104"/>
        <v>19690.827223694057</v>
      </c>
      <c r="U562" s="62">
        <f t="shared" si="105"/>
        <v>19486.652531261694</v>
      </c>
      <c r="V562" s="62">
        <f t="shared" si="95"/>
        <v>1</v>
      </c>
      <c r="W562" s="62">
        <f t="shared" si="95"/>
        <v>0</v>
      </c>
      <c r="X562" s="62">
        <f t="shared" si="95"/>
        <v>0</v>
      </c>
      <c r="Y562" s="62">
        <f t="shared" si="94"/>
        <v>0</v>
      </c>
      <c r="AA562" s="94"/>
    </row>
    <row r="563" spans="2:27" x14ac:dyDescent="0.2">
      <c r="B563" s="94"/>
      <c r="C563" s="62">
        <v>524</v>
      </c>
      <c r="D563" s="62">
        <v>9180.6149089582868</v>
      </c>
      <c r="E563" s="62">
        <v>0.61771441335367994</v>
      </c>
      <c r="F563" s="62">
        <v>13193.07793752653</v>
      </c>
      <c r="G563" s="62">
        <v>0.89440719679639935</v>
      </c>
      <c r="H563" s="62">
        <v>13225.161980309107</v>
      </c>
      <c r="I563" s="62">
        <v>0.89687654509771231</v>
      </c>
      <c r="J563" s="62">
        <v>13134.474940668244</v>
      </c>
      <c r="K563" s="62">
        <v>0.88916053502637327</v>
      </c>
      <c r="L563" s="62">
        <f t="shared" si="96"/>
        <v>-4012.4630285682433</v>
      </c>
      <c r="M563" s="62">
        <f t="shared" si="97"/>
        <v>-0.27669278344271941</v>
      </c>
      <c r="N563" s="62">
        <f t="shared" si="98"/>
        <v>-4044.5470713508203</v>
      </c>
      <c r="O563" s="62">
        <f t="shared" si="99"/>
        <v>-0.27916213174403237</v>
      </c>
      <c r="P563" s="62">
        <f t="shared" si="100"/>
        <v>-3953.8600317099572</v>
      </c>
      <c r="Q563" s="62">
        <f t="shared" si="101"/>
        <v>-0.27144612167269333</v>
      </c>
      <c r="R563" s="62">
        <f t="shared" si="102"/>
        <v>16407.58694980455</v>
      </c>
      <c r="S563" s="62">
        <f t="shared" si="103"/>
        <v>23856.845782567518</v>
      </c>
      <c r="T563" s="62">
        <f t="shared" si="104"/>
        <v>23927.052023818527</v>
      </c>
      <c r="U563" s="62">
        <f t="shared" si="105"/>
        <v>23698.111062264237</v>
      </c>
      <c r="V563" s="62">
        <f t="shared" si="95"/>
        <v>1</v>
      </c>
      <c r="W563" s="62">
        <f t="shared" si="95"/>
        <v>0</v>
      </c>
      <c r="X563" s="62">
        <f t="shared" si="95"/>
        <v>0</v>
      </c>
      <c r="Y563" s="62">
        <f t="shared" si="94"/>
        <v>0</v>
      </c>
      <c r="AA563" s="94"/>
    </row>
    <row r="564" spans="2:27" x14ac:dyDescent="0.2">
      <c r="B564" s="94"/>
      <c r="C564" s="62">
        <v>525</v>
      </c>
      <c r="D564" s="62">
        <v>10066.359980460256</v>
      </c>
      <c r="E564" s="62">
        <v>0.61770495871480491</v>
      </c>
      <c r="F564" s="62">
        <v>14462.314372674853</v>
      </c>
      <c r="G564" s="62">
        <v>0.89376722128119779</v>
      </c>
      <c r="H564" s="62">
        <v>14509.755804453505</v>
      </c>
      <c r="I564" s="62">
        <v>0.89696768292462814</v>
      </c>
      <c r="J564" s="62">
        <v>14413.342960784144</v>
      </c>
      <c r="K564" s="62">
        <v>0.88960510478978261</v>
      </c>
      <c r="L564" s="62">
        <f t="shared" si="96"/>
        <v>-4395.9543922145967</v>
      </c>
      <c r="M564" s="62">
        <f t="shared" si="97"/>
        <v>-0.27606226256639288</v>
      </c>
      <c r="N564" s="62">
        <f t="shared" si="98"/>
        <v>-4443.395823993249</v>
      </c>
      <c r="O564" s="62">
        <f t="shared" si="99"/>
        <v>-0.27926272420982323</v>
      </c>
      <c r="P564" s="62">
        <f t="shared" si="100"/>
        <v>-4346.9829803238881</v>
      </c>
      <c r="Q564" s="62">
        <f t="shared" si="101"/>
        <v>-0.2719001460749777</v>
      </c>
      <c r="R564" s="62">
        <f t="shared" si="102"/>
        <v>15521.450229341823</v>
      </c>
      <c r="S564" s="62">
        <f t="shared" si="103"/>
        <v>22561.099001677481</v>
      </c>
      <c r="T564" s="62">
        <f t="shared" si="104"/>
        <v>22646.233493016291</v>
      </c>
      <c r="U564" s="62">
        <f t="shared" si="105"/>
        <v>22437.658900027811</v>
      </c>
      <c r="V564" s="62">
        <f t="shared" si="95"/>
        <v>1</v>
      </c>
      <c r="W564" s="62">
        <f t="shared" si="95"/>
        <v>0</v>
      </c>
      <c r="X564" s="62">
        <f t="shared" si="95"/>
        <v>0</v>
      </c>
      <c r="Y564" s="62">
        <f t="shared" si="94"/>
        <v>0</v>
      </c>
      <c r="AA564" s="94"/>
    </row>
    <row r="565" spans="2:27" x14ac:dyDescent="0.2">
      <c r="B565" s="94"/>
      <c r="C565" s="62">
        <v>526</v>
      </c>
      <c r="D565" s="62">
        <v>10727.604484446103</v>
      </c>
      <c r="E565" s="62">
        <v>0.61785324100928873</v>
      </c>
      <c r="F565" s="62">
        <v>15422.754334831989</v>
      </c>
      <c r="G565" s="62">
        <v>0.89394254025351716</v>
      </c>
      <c r="H565" s="62">
        <v>15476.813306094795</v>
      </c>
      <c r="I565" s="62">
        <v>0.89740221106248874</v>
      </c>
      <c r="J565" s="62">
        <v>15360.113644411882</v>
      </c>
      <c r="K565" s="62">
        <v>0.88923925562905315</v>
      </c>
      <c r="L565" s="62">
        <f t="shared" si="96"/>
        <v>-4695.1498503858857</v>
      </c>
      <c r="M565" s="62">
        <f t="shared" si="97"/>
        <v>-0.27608929924422843</v>
      </c>
      <c r="N565" s="62">
        <f t="shared" si="98"/>
        <v>-4749.2088216486918</v>
      </c>
      <c r="O565" s="62">
        <f t="shared" si="99"/>
        <v>-0.27954897005320001</v>
      </c>
      <c r="P565" s="62">
        <f t="shared" si="100"/>
        <v>-4632.509159965779</v>
      </c>
      <c r="Q565" s="62">
        <f t="shared" si="101"/>
        <v>-0.27138601461976442</v>
      </c>
      <c r="R565" s="62">
        <f t="shared" si="102"/>
        <v>14866.348171122674</v>
      </c>
      <c r="S565" s="62">
        <f t="shared" si="103"/>
        <v>21607.921452629707</v>
      </c>
      <c r="T565" s="62">
        <f t="shared" si="104"/>
        <v>21697.175884957738</v>
      </c>
      <c r="U565" s="62">
        <f t="shared" si="105"/>
        <v>21475.733280766013</v>
      </c>
      <c r="V565" s="62">
        <f t="shared" si="95"/>
        <v>1</v>
      </c>
      <c r="W565" s="62">
        <f t="shared" si="95"/>
        <v>0</v>
      </c>
      <c r="X565" s="62">
        <f t="shared" si="95"/>
        <v>0</v>
      </c>
      <c r="Y565" s="62">
        <f t="shared" si="94"/>
        <v>0</v>
      </c>
      <c r="AA565" s="94"/>
    </row>
    <row r="566" spans="2:27" x14ac:dyDescent="0.2">
      <c r="B566" s="94"/>
      <c r="C566" s="62">
        <v>527</v>
      </c>
      <c r="D566" s="62">
        <v>10536.134724110989</v>
      </c>
      <c r="E566" s="62">
        <v>0.61765265633182542</v>
      </c>
      <c r="F566" s="62">
        <v>15162.302622323972</v>
      </c>
      <c r="G566" s="62">
        <v>0.89458113341068402</v>
      </c>
      <c r="H566" s="62">
        <v>15199.389678759127</v>
      </c>
      <c r="I566" s="62">
        <v>0.89716355948588056</v>
      </c>
      <c r="J566" s="62">
        <v>15101.815651190424</v>
      </c>
      <c r="K566" s="62">
        <v>0.89005769151655012</v>
      </c>
      <c r="L566" s="62">
        <f t="shared" si="96"/>
        <v>-4626.1678982129833</v>
      </c>
      <c r="M566" s="62">
        <f t="shared" si="97"/>
        <v>-0.27692847707885859</v>
      </c>
      <c r="N566" s="62">
        <f t="shared" si="98"/>
        <v>-4663.2549546481387</v>
      </c>
      <c r="O566" s="62">
        <f t="shared" si="99"/>
        <v>-0.27951090315405513</v>
      </c>
      <c r="P566" s="62">
        <f t="shared" si="100"/>
        <v>-4565.6809270794347</v>
      </c>
      <c r="Q566" s="62">
        <f t="shared" si="101"/>
        <v>-0.2724050351847247</v>
      </c>
      <c r="R566" s="62">
        <f t="shared" si="102"/>
        <v>15049.508911778548</v>
      </c>
      <c r="S566" s="62">
        <f t="shared" si="103"/>
        <v>21894.8262480802</v>
      </c>
      <c r="T566" s="62">
        <f t="shared" si="104"/>
        <v>21964.713609383987</v>
      </c>
      <c r="U566" s="62">
        <f t="shared" si="105"/>
        <v>21767.934162191152</v>
      </c>
      <c r="V566" s="62">
        <f t="shared" si="95"/>
        <v>1</v>
      </c>
      <c r="W566" s="62">
        <f t="shared" si="95"/>
        <v>0</v>
      </c>
      <c r="X566" s="62">
        <f t="shared" si="95"/>
        <v>0</v>
      </c>
      <c r="Y566" s="62">
        <f t="shared" si="94"/>
        <v>0</v>
      </c>
      <c r="AA566" s="94"/>
    </row>
    <row r="567" spans="2:27" x14ac:dyDescent="0.2">
      <c r="B567" s="94"/>
      <c r="C567" s="62">
        <v>528</v>
      </c>
      <c r="D567" s="62">
        <v>11158.653512048288</v>
      </c>
      <c r="E567" s="62">
        <v>0.61741989051068857</v>
      </c>
      <c r="F567" s="62">
        <v>16049.569174902977</v>
      </c>
      <c r="G567" s="62">
        <v>0.89393679974903939</v>
      </c>
      <c r="H567" s="62">
        <v>16104.324722003483</v>
      </c>
      <c r="I567" s="62">
        <v>0.89728936489852873</v>
      </c>
      <c r="J567" s="62">
        <v>15991.989153568884</v>
      </c>
      <c r="K567" s="62">
        <v>0.88968168303509387</v>
      </c>
      <c r="L567" s="62">
        <f t="shared" si="96"/>
        <v>-4890.9156628546898</v>
      </c>
      <c r="M567" s="62">
        <f t="shared" si="97"/>
        <v>-0.27651690923835082</v>
      </c>
      <c r="N567" s="62">
        <f t="shared" si="98"/>
        <v>-4945.6712099551951</v>
      </c>
      <c r="O567" s="62">
        <f t="shared" si="99"/>
        <v>-0.27986947438784016</v>
      </c>
      <c r="P567" s="62">
        <f t="shared" si="100"/>
        <v>-4833.3356415205963</v>
      </c>
      <c r="Q567" s="62">
        <f t="shared" si="101"/>
        <v>-0.2722617925244053</v>
      </c>
      <c r="R567" s="62">
        <f t="shared" si="102"/>
        <v>14417.348032466474</v>
      </c>
      <c r="S567" s="62">
        <f t="shared" si="103"/>
        <v>20980.868817901232</v>
      </c>
      <c r="T567" s="62">
        <f t="shared" si="104"/>
        <v>21064.989929553172</v>
      </c>
      <c r="U567" s="62">
        <f t="shared" si="105"/>
        <v>20862.184884476843</v>
      </c>
      <c r="V567" s="62">
        <f t="shared" si="95"/>
        <v>1</v>
      </c>
      <c r="W567" s="62">
        <f t="shared" si="95"/>
        <v>0</v>
      </c>
      <c r="X567" s="62">
        <f t="shared" si="95"/>
        <v>0</v>
      </c>
      <c r="Y567" s="62">
        <f t="shared" si="94"/>
        <v>0</v>
      </c>
      <c r="AA567" s="94"/>
    </row>
    <row r="568" spans="2:27" x14ac:dyDescent="0.2">
      <c r="B568" s="94"/>
      <c r="C568" s="62">
        <v>529</v>
      </c>
      <c r="D568" s="62">
        <v>11633.692234861226</v>
      </c>
      <c r="E568" s="62">
        <v>0.61757513451566703</v>
      </c>
      <c r="F568" s="62">
        <v>16735.787186138376</v>
      </c>
      <c r="G568" s="62">
        <v>0.89482440760492887</v>
      </c>
      <c r="H568" s="62">
        <v>16774.296290202019</v>
      </c>
      <c r="I568" s="62">
        <v>0.89704445582391457</v>
      </c>
      <c r="J568" s="62">
        <v>16650.831295770833</v>
      </c>
      <c r="K568" s="62">
        <v>0.88897104880921152</v>
      </c>
      <c r="L568" s="62">
        <f t="shared" si="96"/>
        <v>-5102.0949512771494</v>
      </c>
      <c r="M568" s="62">
        <f t="shared" si="97"/>
        <v>-0.27724927308926184</v>
      </c>
      <c r="N568" s="62">
        <f t="shared" si="98"/>
        <v>-5140.6040553407929</v>
      </c>
      <c r="O568" s="62">
        <f t="shared" si="99"/>
        <v>-0.27946932130824753</v>
      </c>
      <c r="P568" s="62">
        <f t="shared" si="100"/>
        <v>-5017.139060909607</v>
      </c>
      <c r="Q568" s="62">
        <f t="shared" si="101"/>
        <v>-0.27139591429354448</v>
      </c>
      <c r="R568" s="62">
        <f t="shared" si="102"/>
        <v>13948.740137315765</v>
      </c>
      <c r="S568" s="62">
        <f t="shared" si="103"/>
        <v>20331.4190744882</v>
      </c>
      <c r="T568" s="62">
        <f t="shared" si="104"/>
        <v>20384.873247847816</v>
      </c>
      <c r="U568" s="62">
        <f t="shared" si="105"/>
        <v>20173.905430101942</v>
      </c>
      <c r="V568" s="62">
        <f t="shared" si="95"/>
        <v>1</v>
      </c>
      <c r="W568" s="62">
        <f t="shared" si="95"/>
        <v>0</v>
      </c>
      <c r="X568" s="62">
        <f t="shared" si="95"/>
        <v>0</v>
      </c>
      <c r="Y568" s="62">
        <f t="shared" si="94"/>
        <v>0</v>
      </c>
      <c r="AA568" s="94"/>
    </row>
    <row r="569" spans="2:27" x14ac:dyDescent="0.2">
      <c r="B569" s="94"/>
      <c r="C569" s="62">
        <v>530</v>
      </c>
      <c r="D569" s="62">
        <v>10310.645407158536</v>
      </c>
      <c r="E569" s="62">
        <v>0.61790103122341611</v>
      </c>
      <c r="F569" s="62">
        <v>14819.530576067464</v>
      </c>
      <c r="G569" s="62">
        <v>0.89407921287341807</v>
      </c>
      <c r="H569" s="62">
        <v>14868.937972419095</v>
      </c>
      <c r="I569" s="62">
        <v>0.89741486358369182</v>
      </c>
      <c r="J569" s="62">
        <v>14758.506897845398</v>
      </c>
      <c r="K569" s="62">
        <v>0.88933905600734842</v>
      </c>
      <c r="L569" s="62">
        <f t="shared" si="96"/>
        <v>-4508.8851689089279</v>
      </c>
      <c r="M569" s="62">
        <f t="shared" si="97"/>
        <v>-0.27617818165000196</v>
      </c>
      <c r="N569" s="62">
        <f t="shared" si="98"/>
        <v>-4558.2925652605591</v>
      </c>
      <c r="O569" s="62">
        <f t="shared" si="99"/>
        <v>-0.27951383236027572</v>
      </c>
      <c r="P569" s="62">
        <f t="shared" si="100"/>
        <v>-4447.8614906868625</v>
      </c>
      <c r="Q569" s="62">
        <f t="shared" si="101"/>
        <v>-0.27143802478393231</v>
      </c>
      <c r="R569" s="62">
        <f t="shared" si="102"/>
        <v>15285.286910240255</v>
      </c>
      <c r="S569" s="62">
        <f t="shared" si="103"/>
        <v>22216.806738001007</v>
      </c>
      <c r="T569" s="62">
        <f t="shared" si="104"/>
        <v>22305.575336671754</v>
      </c>
      <c r="U569" s="62">
        <f t="shared" si="105"/>
        <v>22081.474158203004</v>
      </c>
      <c r="V569" s="62">
        <f t="shared" si="95"/>
        <v>1</v>
      </c>
      <c r="W569" s="62">
        <f t="shared" si="95"/>
        <v>0</v>
      </c>
      <c r="X569" s="62">
        <f t="shared" si="95"/>
        <v>0</v>
      </c>
      <c r="Y569" s="62">
        <f t="shared" si="94"/>
        <v>0</v>
      </c>
      <c r="AA569" s="94"/>
    </row>
    <row r="570" spans="2:27" x14ac:dyDescent="0.2">
      <c r="B570" s="94"/>
      <c r="C570" s="62">
        <v>531</v>
      </c>
      <c r="D570" s="62">
        <v>8246.5281479663136</v>
      </c>
      <c r="E570" s="62">
        <v>0.61752025932329813</v>
      </c>
      <c r="F570" s="62">
        <v>11843.741078345829</v>
      </c>
      <c r="G570" s="62">
        <v>0.89388995302478047</v>
      </c>
      <c r="H570" s="62">
        <v>11890.429199834878</v>
      </c>
      <c r="I570" s="62">
        <v>0.8978112090634599</v>
      </c>
      <c r="J570" s="62">
        <v>11810.929421492381</v>
      </c>
      <c r="K570" s="62">
        <v>0.89026813215946798</v>
      </c>
      <c r="L570" s="62">
        <f t="shared" si="96"/>
        <v>-3597.2129303795155</v>
      </c>
      <c r="M570" s="62">
        <f t="shared" si="97"/>
        <v>-0.27636969370148234</v>
      </c>
      <c r="N570" s="62">
        <f t="shared" si="98"/>
        <v>-3643.9010518685645</v>
      </c>
      <c r="O570" s="62">
        <f t="shared" si="99"/>
        <v>-0.28029094974016178</v>
      </c>
      <c r="P570" s="62">
        <f t="shared" si="100"/>
        <v>-3564.4012735260676</v>
      </c>
      <c r="Q570" s="62">
        <f t="shared" si="101"/>
        <v>-0.27274787283616986</v>
      </c>
      <c r="R570" s="62">
        <f t="shared" si="102"/>
        <v>17333.631074241988</v>
      </c>
      <c r="S570" s="62">
        <f t="shared" si="103"/>
        <v>25184.756335752678</v>
      </c>
      <c r="T570" s="62">
        <f t="shared" si="104"/>
        <v>25300.502324409885</v>
      </c>
      <c r="U570" s="62">
        <f t="shared" si="105"/>
        <v>25067.537685081421</v>
      </c>
      <c r="V570" s="62">
        <f t="shared" si="95"/>
        <v>1</v>
      </c>
      <c r="W570" s="62">
        <f t="shared" si="95"/>
        <v>0</v>
      </c>
      <c r="X570" s="62">
        <f t="shared" si="95"/>
        <v>0</v>
      </c>
      <c r="Y570" s="62">
        <f t="shared" si="94"/>
        <v>0</v>
      </c>
      <c r="AA570" s="94"/>
    </row>
    <row r="571" spans="2:27" x14ac:dyDescent="0.2">
      <c r="B571" s="94"/>
      <c r="C571" s="62">
        <v>532</v>
      </c>
      <c r="D571" s="62">
        <v>11408.548840864116</v>
      </c>
      <c r="E571" s="62">
        <v>0.6178345775891394</v>
      </c>
      <c r="F571" s="62">
        <v>16429.885574041371</v>
      </c>
      <c r="G571" s="62">
        <v>0.89504951977179714</v>
      </c>
      <c r="H571" s="62">
        <v>16465.609013408135</v>
      </c>
      <c r="I571" s="62">
        <v>0.89727158252791728</v>
      </c>
      <c r="J571" s="62">
        <v>16346.841164839363</v>
      </c>
      <c r="K571" s="62">
        <v>0.88957406078162471</v>
      </c>
      <c r="L571" s="62">
        <f t="shared" si="96"/>
        <v>-5021.3367331772552</v>
      </c>
      <c r="M571" s="62">
        <f t="shared" si="97"/>
        <v>-0.27721494218265774</v>
      </c>
      <c r="N571" s="62">
        <f t="shared" si="98"/>
        <v>-5057.0601725440192</v>
      </c>
      <c r="O571" s="62">
        <f t="shared" si="99"/>
        <v>-0.27943700493877788</v>
      </c>
      <c r="P571" s="62">
        <f t="shared" si="100"/>
        <v>-4938.2923239752472</v>
      </c>
      <c r="Q571" s="62">
        <f t="shared" si="101"/>
        <v>-0.27173948319248531</v>
      </c>
      <c r="R571" s="62">
        <f t="shared" si="102"/>
        <v>14184.630701188396</v>
      </c>
      <c r="S571" s="62">
        <f t="shared" si="103"/>
        <v>20646.645732985555</v>
      </c>
      <c r="T571" s="62">
        <f t="shared" si="104"/>
        <v>20702.969021228313</v>
      </c>
      <c r="U571" s="62">
        <f t="shared" si="105"/>
        <v>20502.874728978659</v>
      </c>
      <c r="V571" s="62">
        <f t="shared" si="95"/>
        <v>1</v>
      </c>
      <c r="W571" s="62">
        <f t="shared" si="95"/>
        <v>0</v>
      </c>
      <c r="X571" s="62">
        <f t="shared" si="95"/>
        <v>0</v>
      </c>
      <c r="Y571" s="62">
        <f t="shared" si="94"/>
        <v>0</v>
      </c>
      <c r="AA571" s="94"/>
    </row>
    <row r="572" spans="2:27" x14ac:dyDescent="0.2">
      <c r="B572" s="94"/>
      <c r="C572" s="62">
        <v>533</v>
      </c>
      <c r="D572" s="62">
        <v>10596.243609316934</v>
      </c>
      <c r="E572" s="62">
        <v>0.61754329762719862</v>
      </c>
      <c r="F572" s="62">
        <v>15247.100007976607</v>
      </c>
      <c r="G572" s="62">
        <v>0.8946559068829758</v>
      </c>
      <c r="H572" s="62">
        <v>15285.83646420948</v>
      </c>
      <c r="I572" s="62">
        <v>0.89712865656657348</v>
      </c>
      <c r="J572" s="62">
        <v>15174.236365553143</v>
      </c>
      <c r="K572" s="62">
        <v>0.88928762414801665</v>
      </c>
      <c r="L572" s="62">
        <f t="shared" si="96"/>
        <v>-4650.8563986596728</v>
      </c>
      <c r="M572" s="62">
        <f t="shared" si="97"/>
        <v>-0.27711260925577719</v>
      </c>
      <c r="N572" s="62">
        <f t="shared" si="98"/>
        <v>-4689.5928548925458</v>
      </c>
      <c r="O572" s="62">
        <f t="shared" si="99"/>
        <v>-0.27958535893937486</v>
      </c>
      <c r="P572" s="62">
        <f t="shared" si="100"/>
        <v>-4577.9927562362082</v>
      </c>
      <c r="Q572" s="62">
        <f t="shared" si="101"/>
        <v>-0.27174432652081804</v>
      </c>
      <c r="R572" s="62">
        <f t="shared" si="102"/>
        <v>14984.86995159214</v>
      </c>
      <c r="S572" s="62">
        <f t="shared" si="103"/>
        <v>21813.126278743781</v>
      </c>
      <c r="T572" s="62">
        <f t="shared" si="104"/>
        <v>21876.821005404257</v>
      </c>
      <c r="U572" s="62">
        <f t="shared" si="105"/>
        <v>21663.614177154297</v>
      </c>
      <c r="V572" s="62">
        <f t="shared" si="95"/>
        <v>1</v>
      </c>
      <c r="W572" s="62">
        <f t="shared" si="95"/>
        <v>0</v>
      </c>
      <c r="X572" s="62">
        <f t="shared" si="95"/>
        <v>0</v>
      </c>
      <c r="Y572" s="62">
        <f t="shared" si="94"/>
        <v>0</v>
      </c>
      <c r="AA572" s="94"/>
    </row>
    <row r="573" spans="2:27" x14ac:dyDescent="0.2">
      <c r="B573" s="94"/>
      <c r="C573" s="62">
        <v>534</v>
      </c>
      <c r="D573" s="62">
        <v>7643.3428194891585</v>
      </c>
      <c r="E573" s="62">
        <v>0.61799408629519237</v>
      </c>
      <c r="F573" s="62">
        <v>10978.372734995741</v>
      </c>
      <c r="G573" s="62">
        <v>0.89466271335091174</v>
      </c>
      <c r="H573" s="62">
        <v>11005.603800843592</v>
      </c>
      <c r="I573" s="62">
        <v>0.89726497426781715</v>
      </c>
      <c r="J573" s="62">
        <v>10937.834307051538</v>
      </c>
      <c r="K573" s="62">
        <v>0.89026566617383063</v>
      </c>
      <c r="L573" s="62">
        <f t="shared" si="96"/>
        <v>-3335.0299155065823</v>
      </c>
      <c r="M573" s="62">
        <f t="shared" si="97"/>
        <v>-0.27666862705571937</v>
      </c>
      <c r="N573" s="62">
        <f t="shared" si="98"/>
        <v>-3362.2609813544332</v>
      </c>
      <c r="O573" s="62">
        <f t="shared" si="99"/>
        <v>-0.27927088797262478</v>
      </c>
      <c r="P573" s="62">
        <f t="shared" si="100"/>
        <v>-3294.4914875623799</v>
      </c>
      <c r="Q573" s="62">
        <f t="shared" si="101"/>
        <v>-0.27227157987863826</v>
      </c>
      <c r="R573" s="62">
        <f t="shared" si="102"/>
        <v>17956.444211202892</v>
      </c>
      <c r="S573" s="62">
        <f t="shared" si="103"/>
        <v>26082.135502852427</v>
      </c>
      <c r="T573" s="62">
        <f t="shared" si="104"/>
        <v>26162.700493226461</v>
      </c>
      <c r="U573" s="62">
        <f t="shared" si="105"/>
        <v>25940.530648533218</v>
      </c>
      <c r="V573" s="62">
        <f t="shared" si="95"/>
        <v>1</v>
      </c>
      <c r="W573" s="62">
        <f t="shared" si="95"/>
        <v>0</v>
      </c>
      <c r="X573" s="62">
        <f t="shared" si="95"/>
        <v>0</v>
      </c>
      <c r="Y573" s="62">
        <f t="shared" si="94"/>
        <v>0</v>
      </c>
      <c r="AA573" s="94"/>
    </row>
    <row r="574" spans="2:27" x14ac:dyDescent="0.2">
      <c r="B574" s="94"/>
      <c r="C574" s="62">
        <v>535</v>
      </c>
      <c r="D574" s="62">
        <v>9864.9843333638037</v>
      </c>
      <c r="E574" s="62">
        <v>0.61768892193977931</v>
      </c>
      <c r="F574" s="62">
        <v>14182.016986372677</v>
      </c>
      <c r="G574" s="62">
        <v>0.89372023386866117</v>
      </c>
      <c r="H574" s="62">
        <v>14233.221671181063</v>
      </c>
      <c r="I574" s="62">
        <v>0.89728924092003515</v>
      </c>
      <c r="J574" s="62">
        <v>14134.250065890566</v>
      </c>
      <c r="K574" s="62">
        <v>0.88981779210730061</v>
      </c>
      <c r="L574" s="62">
        <f t="shared" si="96"/>
        <v>-4317.0326530088732</v>
      </c>
      <c r="M574" s="62">
        <f t="shared" si="97"/>
        <v>-0.27603131192888186</v>
      </c>
      <c r="N574" s="62">
        <f t="shared" si="98"/>
        <v>-4368.2373378172597</v>
      </c>
      <c r="O574" s="62">
        <f t="shared" si="99"/>
        <v>-0.27960031898025584</v>
      </c>
      <c r="P574" s="62">
        <f t="shared" si="100"/>
        <v>-4269.2657325267628</v>
      </c>
      <c r="Q574" s="62">
        <f t="shared" si="101"/>
        <v>-0.2721288701675213</v>
      </c>
      <c r="R574" s="62">
        <f t="shared" si="102"/>
        <v>15722.161569069614</v>
      </c>
      <c r="S574" s="62">
        <f t="shared" si="103"/>
        <v>22839.449981402744</v>
      </c>
      <c r="T574" s="62">
        <f t="shared" si="104"/>
        <v>22936.087844690475</v>
      </c>
      <c r="U574" s="62">
        <f t="shared" si="105"/>
        <v>22725.562154362251</v>
      </c>
      <c r="V574" s="62">
        <f t="shared" si="95"/>
        <v>1</v>
      </c>
      <c r="W574" s="62">
        <f t="shared" si="95"/>
        <v>0</v>
      </c>
      <c r="X574" s="62">
        <f t="shared" si="95"/>
        <v>0</v>
      </c>
      <c r="Y574" s="62">
        <f t="shared" si="94"/>
        <v>0</v>
      </c>
      <c r="AA574" s="94"/>
    </row>
    <row r="575" spans="2:27" x14ac:dyDescent="0.2">
      <c r="B575" s="94"/>
      <c r="C575" s="62">
        <v>536</v>
      </c>
      <c r="D575" s="62">
        <v>10405.117849515649</v>
      </c>
      <c r="E575" s="62">
        <v>0.61783541801126518</v>
      </c>
      <c r="F575" s="62">
        <v>14955.50088075955</v>
      </c>
      <c r="G575" s="62">
        <v>0.89386190693194922</v>
      </c>
      <c r="H575" s="62">
        <v>15002.44989964146</v>
      </c>
      <c r="I575" s="62">
        <v>0.89696995897160781</v>
      </c>
      <c r="J575" s="62">
        <v>14893.107835334673</v>
      </c>
      <c r="K575" s="62">
        <v>0.88902111957666841</v>
      </c>
      <c r="L575" s="62">
        <f t="shared" si="96"/>
        <v>-4550.3830312439004</v>
      </c>
      <c r="M575" s="62">
        <f t="shared" si="97"/>
        <v>-0.27602648892068404</v>
      </c>
      <c r="N575" s="62">
        <f t="shared" si="98"/>
        <v>-4597.3320501258113</v>
      </c>
      <c r="O575" s="62">
        <f t="shared" si="99"/>
        <v>-0.27913454096034263</v>
      </c>
      <c r="P575" s="62">
        <f t="shared" si="100"/>
        <v>-4487.9899858190238</v>
      </c>
      <c r="Q575" s="62">
        <f t="shared" si="101"/>
        <v>-0.27118570156540323</v>
      </c>
      <c r="R575" s="62">
        <f t="shared" si="102"/>
        <v>15188.096506182999</v>
      </c>
      <c r="S575" s="62">
        <f t="shared" si="103"/>
        <v>22071.834751989511</v>
      </c>
      <c r="T575" s="62">
        <f t="shared" si="104"/>
        <v>22153.633680798419</v>
      </c>
      <c r="U575" s="62">
        <f t="shared" si="105"/>
        <v>21933.703022009235</v>
      </c>
      <c r="V575" s="62">
        <f t="shared" si="95"/>
        <v>1</v>
      </c>
      <c r="W575" s="62">
        <f t="shared" si="95"/>
        <v>0</v>
      </c>
      <c r="X575" s="62">
        <f t="shared" si="95"/>
        <v>0</v>
      </c>
      <c r="Y575" s="62">
        <f t="shared" si="94"/>
        <v>0</v>
      </c>
      <c r="AA575" s="94"/>
    </row>
    <row r="576" spans="2:27" x14ac:dyDescent="0.2">
      <c r="B576" s="94"/>
      <c r="C576" s="62">
        <v>537</v>
      </c>
      <c r="D576" s="62">
        <v>8474.4520430471857</v>
      </c>
      <c r="E576" s="62">
        <v>0.61764854291019433</v>
      </c>
      <c r="F576" s="62">
        <v>12173.508576929631</v>
      </c>
      <c r="G576" s="62">
        <v>0.89378474235609162</v>
      </c>
      <c r="H576" s="62">
        <v>12220.774341105387</v>
      </c>
      <c r="I576" s="62">
        <v>0.89773354599479616</v>
      </c>
      <c r="J576" s="62">
        <v>12121.571867481611</v>
      </c>
      <c r="K576" s="62">
        <v>0.88884540904881426</v>
      </c>
      <c r="L576" s="62">
        <f t="shared" si="96"/>
        <v>-3699.0565338824454</v>
      </c>
      <c r="M576" s="62">
        <f t="shared" si="97"/>
        <v>-0.27613619944589729</v>
      </c>
      <c r="N576" s="62">
        <f t="shared" si="98"/>
        <v>-3746.3222980582013</v>
      </c>
      <c r="O576" s="62">
        <f t="shared" si="99"/>
        <v>-0.28008500308460182</v>
      </c>
      <c r="P576" s="62">
        <f t="shared" si="100"/>
        <v>-3647.119824434425</v>
      </c>
      <c r="Q576" s="62">
        <f t="shared" si="101"/>
        <v>-0.27119686613861993</v>
      </c>
      <c r="R576" s="62">
        <f t="shared" si="102"/>
        <v>17111.021198464703</v>
      </c>
      <c r="S576" s="62">
        <f t="shared" si="103"/>
        <v>24850.630590429111</v>
      </c>
      <c r="T576" s="62">
        <f t="shared" si="104"/>
        <v>24966.940068183045</v>
      </c>
      <c r="U576" s="62">
        <f t="shared" si="105"/>
        <v>24697.960356956472</v>
      </c>
      <c r="V576" s="62">
        <f t="shared" si="95"/>
        <v>1</v>
      </c>
      <c r="W576" s="62">
        <f t="shared" si="95"/>
        <v>0</v>
      </c>
      <c r="X576" s="62">
        <f t="shared" si="95"/>
        <v>0</v>
      </c>
      <c r="Y576" s="62">
        <f t="shared" si="94"/>
        <v>0</v>
      </c>
      <c r="AA576" s="94"/>
    </row>
    <row r="577" spans="2:27" x14ac:dyDescent="0.2">
      <c r="B577" s="94"/>
      <c r="C577" s="62">
        <v>538</v>
      </c>
      <c r="D577" s="62">
        <v>12194.236420736579</v>
      </c>
      <c r="E577" s="62">
        <v>0.61768512143192222</v>
      </c>
      <c r="F577" s="62">
        <v>17538.971483944635</v>
      </c>
      <c r="G577" s="62">
        <v>0.89373017846053127</v>
      </c>
      <c r="H577" s="62">
        <v>17615.208443082643</v>
      </c>
      <c r="I577" s="62">
        <v>0.89804767962064014</v>
      </c>
      <c r="J577" s="62">
        <v>17459.271955393182</v>
      </c>
      <c r="K577" s="62">
        <v>0.88874760729910762</v>
      </c>
      <c r="L577" s="62">
        <f t="shared" si="96"/>
        <v>-5344.7350632080561</v>
      </c>
      <c r="M577" s="62">
        <f t="shared" si="97"/>
        <v>-0.27604505702860904</v>
      </c>
      <c r="N577" s="62">
        <f t="shared" si="98"/>
        <v>-5420.9720223460645</v>
      </c>
      <c r="O577" s="62">
        <f t="shared" si="99"/>
        <v>-0.28036255818871791</v>
      </c>
      <c r="P577" s="62">
        <f t="shared" si="100"/>
        <v>-5265.035534656603</v>
      </c>
      <c r="Q577" s="62">
        <f t="shared" si="101"/>
        <v>-0.2710624858671854</v>
      </c>
      <c r="R577" s="62">
        <f t="shared" si="102"/>
        <v>13392.752049459366</v>
      </c>
      <c r="S577" s="62">
        <f t="shared" si="103"/>
        <v>19482.907428604409</v>
      </c>
      <c r="T577" s="62">
        <f t="shared" si="104"/>
        <v>19585.518637522757</v>
      </c>
      <c r="U577" s="62">
        <f t="shared" si="105"/>
        <v>19356.20892936505</v>
      </c>
      <c r="V577" s="62">
        <f t="shared" si="95"/>
        <v>1</v>
      </c>
      <c r="W577" s="62">
        <f t="shared" si="95"/>
        <v>0</v>
      </c>
      <c r="X577" s="62">
        <f t="shared" si="95"/>
        <v>0</v>
      </c>
      <c r="Y577" s="62">
        <f t="shared" si="94"/>
        <v>0</v>
      </c>
      <c r="AA577" s="94"/>
    </row>
    <row r="578" spans="2:27" x14ac:dyDescent="0.2">
      <c r="B578" s="94"/>
      <c r="C578" s="62">
        <v>539</v>
      </c>
      <c r="D578" s="62">
        <v>10037.936748248178</v>
      </c>
      <c r="E578" s="62">
        <v>0.61727394627307763</v>
      </c>
      <c r="F578" s="62">
        <v>14430.973370025715</v>
      </c>
      <c r="G578" s="62">
        <v>0.89395601750495701</v>
      </c>
      <c r="H578" s="62">
        <v>14479.046668965962</v>
      </c>
      <c r="I578" s="62">
        <v>0.89737377836567556</v>
      </c>
      <c r="J578" s="62">
        <v>14372.976289233791</v>
      </c>
      <c r="K578" s="62">
        <v>0.88922380479420171</v>
      </c>
      <c r="L578" s="62">
        <f t="shared" si="96"/>
        <v>-4393.0366217775372</v>
      </c>
      <c r="M578" s="62">
        <f t="shared" si="97"/>
        <v>-0.27668207123187938</v>
      </c>
      <c r="N578" s="62">
        <f t="shared" si="98"/>
        <v>-4441.1099207177849</v>
      </c>
      <c r="O578" s="62">
        <f t="shared" si="99"/>
        <v>-0.28009983209259792</v>
      </c>
      <c r="P578" s="62">
        <f t="shared" si="100"/>
        <v>-4335.0395409856137</v>
      </c>
      <c r="Q578" s="62">
        <f t="shared" si="101"/>
        <v>-0.27194985852112408</v>
      </c>
      <c r="R578" s="62">
        <f t="shared" si="102"/>
        <v>15532.019202167792</v>
      </c>
      <c r="S578" s="62">
        <f t="shared" si="103"/>
        <v>22600.260699099628</v>
      </c>
      <c r="T578" s="62">
        <f t="shared" si="104"/>
        <v>22693.764726053781</v>
      </c>
      <c r="U578" s="62">
        <f t="shared" si="105"/>
        <v>22462.230600561219</v>
      </c>
      <c r="V578" s="62">
        <f t="shared" si="95"/>
        <v>1</v>
      </c>
      <c r="W578" s="62">
        <f t="shared" si="95"/>
        <v>0</v>
      </c>
      <c r="X578" s="62">
        <f t="shared" si="95"/>
        <v>0</v>
      </c>
      <c r="Y578" s="62">
        <f t="shared" si="94"/>
        <v>0</v>
      </c>
      <c r="AA578" s="94"/>
    </row>
    <row r="579" spans="2:27" x14ac:dyDescent="0.2">
      <c r="B579" s="94"/>
      <c r="C579" s="62">
        <v>540</v>
      </c>
      <c r="D579" s="62">
        <v>12529.492203540052</v>
      </c>
      <c r="E579" s="62">
        <v>0.6178155710549148</v>
      </c>
      <c r="F579" s="62">
        <v>18021.209736297602</v>
      </c>
      <c r="G579" s="62">
        <v>0.89389737184806883</v>
      </c>
      <c r="H579" s="62">
        <v>18082.8921232838</v>
      </c>
      <c r="I579" s="62">
        <v>0.89710613886977753</v>
      </c>
      <c r="J579" s="62">
        <v>17951.965376734341</v>
      </c>
      <c r="K579" s="62">
        <v>0.88943303655221229</v>
      </c>
      <c r="L579" s="62">
        <f t="shared" si="96"/>
        <v>-5491.7175327575496</v>
      </c>
      <c r="M579" s="62">
        <f t="shared" si="97"/>
        <v>-0.27608180079315403</v>
      </c>
      <c r="N579" s="62">
        <f t="shared" si="98"/>
        <v>-5553.3999197437479</v>
      </c>
      <c r="O579" s="62">
        <f t="shared" si="99"/>
        <v>-0.27929056781486272</v>
      </c>
      <c r="P579" s="62">
        <f t="shared" si="100"/>
        <v>-5422.4731731942884</v>
      </c>
      <c r="Q579" s="62">
        <f t="shared" si="101"/>
        <v>-0.27161746549729748</v>
      </c>
      <c r="R579" s="62">
        <f t="shared" si="102"/>
        <v>13062.900011838738</v>
      </c>
      <c r="S579" s="62">
        <f t="shared" si="103"/>
        <v>19007.594995136798</v>
      </c>
      <c r="T579" s="62">
        <f t="shared" si="104"/>
        <v>19078.832573257863</v>
      </c>
      <c r="U579" s="62">
        <f t="shared" si="105"/>
        <v>18891.908729404502</v>
      </c>
      <c r="V579" s="62">
        <f t="shared" si="95"/>
        <v>1</v>
      </c>
      <c r="W579" s="62">
        <f t="shared" si="95"/>
        <v>0</v>
      </c>
      <c r="X579" s="62">
        <f t="shared" si="95"/>
        <v>0</v>
      </c>
      <c r="Y579" s="62">
        <f t="shared" si="94"/>
        <v>0</v>
      </c>
      <c r="AA579" s="94"/>
    </row>
    <row r="580" spans="2:27" x14ac:dyDescent="0.2">
      <c r="B580" s="94"/>
      <c r="C580" s="62">
        <v>541</v>
      </c>
      <c r="D580" s="62">
        <v>12131.387775029682</v>
      </c>
      <c r="E580" s="62">
        <v>0.61761631371144277</v>
      </c>
      <c r="F580" s="62">
        <v>17445.539429944289</v>
      </c>
      <c r="G580" s="62">
        <v>0.89402889424033782</v>
      </c>
      <c r="H580" s="62">
        <v>17511.698428510084</v>
      </c>
      <c r="I580" s="62">
        <v>0.89768857313691253</v>
      </c>
      <c r="J580" s="62">
        <v>17388.410976802006</v>
      </c>
      <c r="K580" s="62">
        <v>0.88994311132587489</v>
      </c>
      <c r="L580" s="62">
        <f t="shared" si="96"/>
        <v>-5314.1516549146072</v>
      </c>
      <c r="M580" s="62">
        <f t="shared" si="97"/>
        <v>-0.27641258052889506</v>
      </c>
      <c r="N580" s="62">
        <f t="shared" si="98"/>
        <v>-5380.3106534804028</v>
      </c>
      <c r="O580" s="62">
        <f t="shared" si="99"/>
        <v>-0.28007225942546976</v>
      </c>
      <c r="P580" s="62">
        <f t="shared" si="100"/>
        <v>-5257.0232017723247</v>
      </c>
      <c r="Q580" s="62">
        <f t="shared" si="101"/>
        <v>-0.27232679761443213</v>
      </c>
      <c r="R580" s="62">
        <f t="shared" si="102"/>
        <v>13452.750404153125</v>
      </c>
      <c r="S580" s="62">
        <f t="shared" si="103"/>
        <v>19588.713485067467</v>
      </c>
      <c r="T580" s="62">
        <f t="shared" si="104"/>
        <v>19674.153025113381</v>
      </c>
      <c r="U580" s="62">
        <f t="shared" si="105"/>
        <v>19476.592466761038</v>
      </c>
      <c r="V580" s="62">
        <f t="shared" si="95"/>
        <v>1</v>
      </c>
      <c r="W580" s="62">
        <f t="shared" si="95"/>
        <v>0</v>
      </c>
      <c r="X580" s="62">
        <f t="shared" si="95"/>
        <v>0</v>
      </c>
      <c r="Y580" s="62">
        <f t="shared" si="94"/>
        <v>0</v>
      </c>
      <c r="AA580" s="94"/>
    </row>
    <row r="581" spans="2:27" x14ac:dyDescent="0.2">
      <c r="B581" s="94"/>
      <c r="C581" s="62">
        <v>542</v>
      </c>
      <c r="D581" s="62">
        <v>10819.09811640121</v>
      </c>
      <c r="E581" s="62">
        <v>0.61787321505306658</v>
      </c>
      <c r="F581" s="62">
        <v>15566.895010596592</v>
      </c>
      <c r="G581" s="62">
        <v>0.89444698649989285</v>
      </c>
      <c r="H581" s="62">
        <v>15606.962992683033</v>
      </c>
      <c r="I581" s="62">
        <v>0.89706378554110311</v>
      </c>
      <c r="J581" s="62">
        <v>15494.211581186397</v>
      </c>
      <c r="K581" s="62">
        <v>0.889336290052266</v>
      </c>
      <c r="L581" s="62">
        <f t="shared" si="96"/>
        <v>-4747.7968941953823</v>
      </c>
      <c r="M581" s="62">
        <f t="shared" si="97"/>
        <v>-0.27657377144682627</v>
      </c>
      <c r="N581" s="62">
        <f t="shared" si="98"/>
        <v>-4787.8648762818229</v>
      </c>
      <c r="O581" s="62">
        <f t="shared" si="99"/>
        <v>-0.27919057048803653</v>
      </c>
      <c r="P581" s="62">
        <f t="shared" si="100"/>
        <v>-4675.1134647851868</v>
      </c>
      <c r="Q581" s="62">
        <f t="shared" si="101"/>
        <v>-0.27146307499919942</v>
      </c>
      <c r="R581" s="62">
        <f t="shared" si="102"/>
        <v>14775.681943957019</v>
      </c>
      <c r="S581" s="62">
        <f t="shared" si="103"/>
        <v>21484.676958174969</v>
      </c>
      <c r="T581" s="62">
        <f t="shared" si="104"/>
        <v>21553.007259571626</v>
      </c>
      <c r="U581" s="62">
        <f t="shared" si="105"/>
        <v>21345.654897938672</v>
      </c>
      <c r="V581" s="62">
        <f t="shared" si="95"/>
        <v>1</v>
      </c>
      <c r="W581" s="62">
        <f t="shared" si="95"/>
        <v>0</v>
      </c>
      <c r="X581" s="62">
        <f t="shared" si="95"/>
        <v>0</v>
      </c>
      <c r="Y581" s="62">
        <f t="shared" si="94"/>
        <v>0</v>
      </c>
      <c r="AA581" s="94"/>
    </row>
    <row r="582" spans="2:27" x14ac:dyDescent="0.2">
      <c r="B582" s="94"/>
      <c r="C582" s="62">
        <v>543</v>
      </c>
      <c r="D582" s="62">
        <v>12956.411036264206</v>
      </c>
      <c r="E582" s="62">
        <v>0.61777074852346936</v>
      </c>
      <c r="F582" s="62">
        <v>18638.060696279776</v>
      </c>
      <c r="G582" s="62">
        <v>0.89430539714116419</v>
      </c>
      <c r="H582" s="62">
        <v>18710.103153298624</v>
      </c>
      <c r="I582" s="62">
        <v>0.89812450593011339</v>
      </c>
      <c r="J582" s="62">
        <v>18577.911734147994</v>
      </c>
      <c r="K582" s="62">
        <v>0.89033842479606451</v>
      </c>
      <c r="L582" s="62">
        <f t="shared" si="96"/>
        <v>-5681.6496600155697</v>
      </c>
      <c r="M582" s="62">
        <f t="shared" si="97"/>
        <v>-0.27653464861769483</v>
      </c>
      <c r="N582" s="62">
        <f t="shared" si="98"/>
        <v>-5753.6921170344176</v>
      </c>
      <c r="O582" s="62">
        <f t="shared" si="99"/>
        <v>-0.28035375740664403</v>
      </c>
      <c r="P582" s="62">
        <f t="shared" si="100"/>
        <v>-5621.5006978837882</v>
      </c>
      <c r="Q582" s="62">
        <f t="shared" si="101"/>
        <v>-0.27256767627259515</v>
      </c>
      <c r="R582" s="62">
        <f t="shared" si="102"/>
        <v>12634.124450571988</v>
      </c>
      <c r="S582" s="62">
        <f t="shared" si="103"/>
        <v>18407.646074895812</v>
      </c>
      <c r="T582" s="62">
        <f t="shared" si="104"/>
        <v>18493.80638035039</v>
      </c>
      <c r="U582" s="62">
        <f t="shared" si="105"/>
        <v>18303.467174604179</v>
      </c>
      <c r="V582" s="62">
        <f t="shared" si="95"/>
        <v>1</v>
      </c>
      <c r="W582" s="62">
        <f t="shared" si="95"/>
        <v>0</v>
      </c>
      <c r="X582" s="62">
        <f t="shared" si="95"/>
        <v>0</v>
      </c>
      <c r="Y582" s="62">
        <f t="shared" si="94"/>
        <v>0</v>
      </c>
      <c r="AA582" s="94"/>
    </row>
    <row r="583" spans="2:27" x14ac:dyDescent="0.2">
      <c r="B583" s="94"/>
      <c r="C583" s="62">
        <v>544</v>
      </c>
      <c r="D583" s="62">
        <v>8760.4424168116766</v>
      </c>
      <c r="E583" s="62">
        <v>0.61768063410528151</v>
      </c>
      <c r="F583" s="62">
        <v>12586.474767876469</v>
      </c>
      <c r="G583" s="62">
        <v>0.89432004647682373</v>
      </c>
      <c r="H583" s="62">
        <v>12613.046199252061</v>
      </c>
      <c r="I583" s="62">
        <v>0.89654083360970205</v>
      </c>
      <c r="J583" s="62">
        <v>12542.029143722704</v>
      </c>
      <c r="K583" s="62">
        <v>0.88999696380849314</v>
      </c>
      <c r="L583" s="62">
        <f t="shared" si="96"/>
        <v>-3826.0323510647922</v>
      </c>
      <c r="M583" s="62">
        <f t="shared" si="97"/>
        <v>-0.27663941237154221</v>
      </c>
      <c r="N583" s="62">
        <f t="shared" si="98"/>
        <v>-3852.6037824403847</v>
      </c>
      <c r="O583" s="62">
        <f t="shared" si="99"/>
        <v>-0.27886019950442054</v>
      </c>
      <c r="P583" s="62">
        <f t="shared" si="100"/>
        <v>-3781.5867269110277</v>
      </c>
      <c r="Q583" s="62">
        <f t="shared" si="101"/>
        <v>-0.27231632970321162</v>
      </c>
      <c r="R583" s="62">
        <f t="shared" si="102"/>
        <v>16826.360170365508</v>
      </c>
      <c r="S583" s="62">
        <f t="shared" si="103"/>
        <v>24459.838837379481</v>
      </c>
      <c r="T583" s="62">
        <f t="shared" si="104"/>
        <v>24525.261292196239</v>
      </c>
      <c r="U583" s="62">
        <f t="shared" si="105"/>
        <v>24325.205085080313</v>
      </c>
      <c r="V583" s="62">
        <f t="shared" si="95"/>
        <v>1</v>
      </c>
      <c r="W583" s="62">
        <f t="shared" si="95"/>
        <v>0</v>
      </c>
      <c r="X583" s="62">
        <f t="shared" si="95"/>
        <v>0</v>
      </c>
      <c r="Y583" s="62">
        <f t="shared" si="94"/>
        <v>0</v>
      </c>
      <c r="AA583" s="94"/>
    </row>
    <row r="584" spans="2:27" x14ac:dyDescent="0.2">
      <c r="B584" s="94"/>
      <c r="C584" s="62">
        <v>545</v>
      </c>
      <c r="D584" s="62">
        <v>11462.759143872829</v>
      </c>
      <c r="E584" s="62">
        <v>0.61765606270121787</v>
      </c>
      <c r="F584" s="62">
        <v>16477.842537724056</v>
      </c>
      <c r="G584" s="62">
        <v>0.89351467001712337</v>
      </c>
      <c r="H584" s="62">
        <v>16536.858108027209</v>
      </c>
      <c r="I584" s="62">
        <v>0.89695487185728362</v>
      </c>
      <c r="J584" s="62">
        <v>16423.145261227746</v>
      </c>
      <c r="K584" s="62">
        <v>0.88945916339522291</v>
      </c>
      <c r="L584" s="62">
        <f t="shared" si="96"/>
        <v>-5015.0833938512278</v>
      </c>
      <c r="M584" s="62">
        <f t="shared" si="97"/>
        <v>-0.2758586073159055</v>
      </c>
      <c r="N584" s="62">
        <f t="shared" si="98"/>
        <v>-5074.0989641543802</v>
      </c>
      <c r="O584" s="62">
        <f t="shared" si="99"/>
        <v>-0.27929880915606575</v>
      </c>
      <c r="P584" s="62">
        <f t="shared" si="100"/>
        <v>-4960.3861173549176</v>
      </c>
      <c r="Q584" s="62">
        <f t="shared" si="101"/>
        <v>-0.27180310069400504</v>
      </c>
      <c r="R584" s="62">
        <f t="shared" si="102"/>
        <v>14123.025597462422</v>
      </c>
      <c r="S584" s="62">
        <f t="shared" si="103"/>
        <v>20535.109153065263</v>
      </c>
      <c r="T584" s="62">
        <f t="shared" si="104"/>
        <v>20618.600503788908</v>
      </c>
      <c r="U584" s="62">
        <f t="shared" si="105"/>
        <v>20421.811123255964</v>
      </c>
      <c r="V584" s="62">
        <f t="shared" si="95"/>
        <v>1</v>
      </c>
      <c r="W584" s="62">
        <f t="shared" si="95"/>
        <v>0</v>
      </c>
      <c r="X584" s="62">
        <f t="shared" si="95"/>
        <v>0</v>
      </c>
      <c r="Y584" s="62">
        <f t="shared" si="94"/>
        <v>0</v>
      </c>
      <c r="AA584" s="94"/>
    </row>
    <row r="585" spans="2:27" x14ac:dyDescent="0.2">
      <c r="B585" s="94"/>
      <c r="C585" s="62">
        <v>546</v>
      </c>
      <c r="D585" s="62">
        <v>10538.654086625218</v>
      </c>
      <c r="E585" s="62">
        <v>0.61769446364634106</v>
      </c>
      <c r="F585" s="62">
        <v>15152.72260867295</v>
      </c>
      <c r="G585" s="62">
        <v>0.89467428361639012</v>
      </c>
      <c r="H585" s="62">
        <v>15185.081481904623</v>
      </c>
      <c r="I585" s="62">
        <v>0.89667491864667415</v>
      </c>
      <c r="J585" s="62">
        <v>15077.9004963513</v>
      </c>
      <c r="K585" s="62">
        <v>0.88910963562559819</v>
      </c>
      <c r="L585" s="62">
        <f t="shared" si="96"/>
        <v>-4614.0685220477317</v>
      </c>
      <c r="M585" s="62">
        <f t="shared" si="97"/>
        <v>-0.27697981997004906</v>
      </c>
      <c r="N585" s="62">
        <f t="shared" si="98"/>
        <v>-4646.4273952794047</v>
      </c>
      <c r="O585" s="62">
        <f t="shared" si="99"/>
        <v>-0.27898045500033308</v>
      </c>
      <c r="P585" s="62">
        <f t="shared" si="100"/>
        <v>-4539.2464097260818</v>
      </c>
      <c r="Q585" s="62">
        <f t="shared" si="101"/>
        <v>-0.27141517197925713</v>
      </c>
      <c r="R585" s="62">
        <f t="shared" si="102"/>
        <v>15048.721375460813</v>
      </c>
      <c r="S585" s="62">
        <f t="shared" si="103"/>
        <v>21908.264915852393</v>
      </c>
      <c r="T585" s="62">
        <f t="shared" si="104"/>
        <v>21958.780348115208</v>
      </c>
      <c r="U585" s="62">
        <f t="shared" si="105"/>
        <v>21752.577049803476</v>
      </c>
      <c r="V585" s="62">
        <f t="shared" si="95"/>
        <v>1</v>
      </c>
      <c r="W585" s="62">
        <f t="shared" si="95"/>
        <v>0</v>
      </c>
      <c r="X585" s="62">
        <f t="shared" si="95"/>
        <v>0</v>
      </c>
      <c r="Y585" s="62">
        <f t="shared" si="94"/>
        <v>0</v>
      </c>
      <c r="AA585" s="94"/>
    </row>
    <row r="586" spans="2:27" x14ac:dyDescent="0.2">
      <c r="B586" s="94"/>
      <c r="C586" s="62">
        <v>547</v>
      </c>
      <c r="D586" s="62">
        <v>11004.871576642763</v>
      </c>
      <c r="E586" s="62">
        <v>0.61772460641389826</v>
      </c>
      <c r="F586" s="62">
        <v>15823.248816520627</v>
      </c>
      <c r="G586" s="62">
        <v>0.89414968722562227</v>
      </c>
      <c r="H586" s="62">
        <v>15882.510750522099</v>
      </c>
      <c r="I586" s="62">
        <v>0.89794242732635254</v>
      </c>
      <c r="J586" s="62">
        <v>15753.20280892514</v>
      </c>
      <c r="K586" s="62">
        <v>0.88917895126475321</v>
      </c>
      <c r="L586" s="62">
        <f t="shared" si="96"/>
        <v>-4818.3772398778638</v>
      </c>
      <c r="M586" s="62">
        <f t="shared" si="97"/>
        <v>-0.27642508081172401</v>
      </c>
      <c r="N586" s="62">
        <f t="shared" si="98"/>
        <v>-4877.6391738793354</v>
      </c>
      <c r="O586" s="62">
        <f t="shared" si="99"/>
        <v>-0.28021782091245429</v>
      </c>
      <c r="P586" s="62">
        <f t="shared" si="100"/>
        <v>-4748.3312322823767</v>
      </c>
      <c r="Q586" s="62">
        <f t="shared" si="101"/>
        <v>-0.27145434485085496</v>
      </c>
      <c r="R586" s="62">
        <f t="shared" si="102"/>
        <v>14583.75251944656</v>
      </c>
      <c r="S586" s="62">
        <f t="shared" si="103"/>
        <v>21216.007827113554</v>
      </c>
      <c r="T586" s="62">
        <f t="shared" si="104"/>
        <v>21313.856359044727</v>
      </c>
      <c r="U586" s="62">
        <f t="shared" si="105"/>
        <v>21080.146068265996</v>
      </c>
      <c r="V586" s="62">
        <f t="shared" si="95"/>
        <v>1</v>
      </c>
      <c r="W586" s="62">
        <f t="shared" si="95"/>
        <v>0</v>
      </c>
      <c r="X586" s="62">
        <f t="shared" si="95"/>
        <v>0</v>
      </c>
      <c r="Y586" s="62">
        <f t="shared" si="94"/>
        <v>0</v>
      </c>
      <c r="AA586" s="94"/>
    </row>
    <row r="587" spans="2:27" x14ac:dyDescent="0.2">
      <c r="B587" s="94"/>
      <c r="C587" s="62">
        <v>548</v>
      </c>
      <c r="D587" s="62">
        <v>9343.0002077247864</v>
      </c>
      <c r="E587" s="62">
        <v>0.61779888621724743</v>
      </c>
      <c r="F587" s="62">
        <v>13429.699735283655</v>
      </c>
      <c r="G587" s="62">
        <v>0.89421194740007126</v>
      </c>
      <c r="H587" s="62">
        <v>13463.013691019072</v>
      </c>
      <c r="I587" s="62">
        <v>0.89680540196610803</v>
      </c>
      <c r="J587" s="62">
        <v>13376.706283587353</v>
      </c>
      <c r="K587" s="62">
        <v>0.88977478823768186</v>
      </c>
      <c r="L587" s="62">
        <f t="shared" si="96"/>
        <v>-4086.6995275588688</v>
      </c>
      <c r="M587" s="62">
        <f t="shared" si="97"/>
        <v>-0.27641306118282383</v>
      </c>
      <c r="N587" s="62">
        <f t="shared" si="98"/>
        <v>-4120.0134832942858</v>
      </c>
      <c r="O587" s="62">
        <f t="shared" si="99"/>
        <v>-0.2790065157488606</v>
      </c>
      <c r="P587" s="62">
        <f t="shared" si="100"/>
        <v>-4033.7060758625666</v>
      </c>
      <c r="Q587" s="62">
        <f t="shared" si="101"/>
        <v>-0.27197590202043442</v>
      </c>
      <c r="R587" s="62">
        <f t="shared" si="102"/>
        <v>16248.700854938472</v>
      </c>
      <c r="S587" s="62">
        <f t="shared" si="103"/>
        <v>23612.135973816898</v>
      </c>
      <c r="T587" s="62">
        <f t="shared" si="104"/>
        <v>23686.25328002499</v>
      </c>
      <c r="U587" s="62">
        <f t="shared" si="105"/>
        <v>23481.324544370385</v>
      </c>
      <c r="V587" s="62">
        <f t="shared" si="95"/>
        <v>1</v>
      </c>
      <c r="W587" s="62">
        <f t="shared" si="95"/>
        <v>0</v>
      </c>
      <c r="X587" s="62">
        <f t="shared" si="95"/>
        <v>0</v>
      </c>
      <c r="Y587" s="62">
        <f t="shared" si="94"/>
        <v>0</v>
      </c>
      <c r="AA587" s="94"/>
    </row>
    <row r="588" spans="2:27" x14ac:dyDescent="0.2">
      <c r="B588" s="94"/>
      <c r="C588" s="62">
        <v>549</v>
      </c>
      <c r="D588" s="62">
        <v>10277.625931228633</v>
      </c>
      <c r="E588" s="62">
        <v>0.61796059256636049</v>
      </c>
      <c r="F588" s="62">
        <v>14771.971191126191</v>
      </c>
      <c r="G588" s="62">
        <v>0.89397754505045535</v>
      </c>
      <c r="H588" s="62">
        <v>14805.94827756099</v>
      </c>
      <c r="I588" s="62">
        <v>0.89622687478905594</v>
      </c>
      <c r="J588" s="62">
        <v>14716.542652549853</v>
      </c>
      <c r="K588" s="62">
        <v>0.88952019080216471</v>
      </c>
      <c r="L588" s="62">
        <f t="shared" si="96"/>
        <v>-4494.3452598975582</v>
      </c>
      <c r="M588" s="62">
        <f t="shared" si="97"/>
        <v>-0.27601695248409486</v>
      </c>
      <c r="N588" s="62">
        <f t="shared" si="98"/>
        <v>-4528.3223463323575</v>
      </c>
      <c r="O588" s="62">
        <f t="shared" si="99"/>
        <v>-0.27826628222269545</v>
      </c>
      <c r="P588" s="62">
        <f t="shared" si="100"/>
        <v>-4438.9167213212204</v>
      </c>
      <c r="Q588" s="62">
        <f t="shared" si="101"/>
        <v>-0.27155959823580422</v>
      </c>
      <c r="R588" s="62">
        <f t="shared" si="102"/>
        <v>15320.773655240284</v>
      </c>
      <c r="S588" s="62">
        <f t="shared" si="103"/>
        <v>22260.154635043873</v>
      </c>
      <c r="T588" s="62">
        <f t="shared" si="104"/>
        <v>22319.353783700866</v>
      </c>
      <c r="U588" s="62">
        <f t="shared" si="105"/>
        <v>22130.941731239014</v>
      </c>
      <c r="V588" s="62">
        <f t="shared" si="95"/>
        <v>1</v>
      </c>
      <c r="W588" s="62">
        <f t="shared" si="95"/>
        <v>0</v>
      </c>
      <c r="X588" s="62">
        <f t="shared" si="95"/>
        <v>0</v>
      </c>
      <c r="Y588" s="62">
        <f t="shared" si="94"/>
        <v>0</v>
      </c>
      <c r="AA588" s="94"/>
    </row>
    <row r="589" spans="2:27" x14ac:dyDescent="0.2">
      <c r="B589" s="94"/>
      <c r="C589" s="62">
        <v>550</v>
      </c>
      <c r="D589" s="62">
        <v>9875.3475538829643</v>
      </c>
      <c r="E589" s="62">
        <v>0.61724043062812117</v>
      </c>
      <c r="F589" s="62">
        <v>14210.985017032301</v>
      </c>
      <c r="G589" s="62">
        <v>0.8941994916155841</v>
      </c>
      <c r="H589" s="62">
        <v>14242.718208063916</v>
      </c>
      <c r="I589" s="62">
        <v>0.89649995103950875</v>
      </c>
      <c r="J589" s="62">
        <v>14152.306604952546</v>
      </c>
      <c r="K589" s="62">
        <v>0.88942694302669567</v>
      </c>
      <c r="L589" s="62">
        <f t="shared" si="96"/>
        <v>-4335.6374631493363</v>
      </c>
      <c r="M589" s="62">
        <f t="shared" si="97"/>
        <v>-0.27695906098746292</v>
      </c>
      <c r="N589" s="62">
        <f t="shared" si="98"/>
        <v>-4367.3706541809515</v>
      </c>
      <c r="O589" s="62">
        <f t="shared" si="99"/>
        <v>-0.27925952041138757</v>
      </c>
      <c r="P589" s="62">
        <f t="shared" si="100"/>
        <v>-4276.9590510695816</v>
      </c>
      <c r="Q589" s="62">
        <f t="shared" si="101"/>
        <v>-0.2721865123985745</v>
      </c>
      <c r="R589" s="62">
        <f t="shared" si="102"/>
        <v>15693.220044456326</v>
      </c>
      <c r="S589" s="62">
        <f t="shared" si="103"/>
        <v>22830.334723651653</v>
      </c>
      <c r="T589" s="62">
        <f t="shared" si="104"/>
        <v>22893.895763796696</v>
      </c>
      <c r="U589" s="62">
        <f t="shared" si="105"/>
        <v>22691.315082985297</v>
      </c>
      <c r="V589" s="62">
        <f t="shared" si="95"/>
        <v>1</v>
      </c>
      <c r="W589" s="62">
        <f t="shared" si="95"/>
        <v>0</v>
      </c>
      <c r="X589" s="62">
        <f t="shared" si="95"/>
        <v>0</v>
      </c>
      <c r="Y589" s="62">
        <f t="shared" si="94"/>
        <v>0</v>
      </c>
      <c r="AA589" s="94"/>
    </row>
    <row r="590" spans="2:27" x14ac:dyDescent="0.2">
      <c r="B590" s="94"/>
      <c r="C590" s="62">
        <v>551</v>
      </c>
      <c r="D590" s="62">
        <v>12597.776896035855</v>
      </c>
      <c r="E590" s="62">
        <v>0.61714983087878517</v>
      </c>
      <c r="F590" s="62">
        <v>18142.317736728684</v>
      </c>
      <c r="G590" s="62">
        <v>0.89391278844019773</v>
      </c>
      <c r="H590" s="62">
        <v>18188.683804178134</v>
      </c>
      <c r="I590" s="62">
        <v>0.89636363874016056</v>
      </c>
      <c r="J590" s="62">
        <v>18079.375341093866</v>
      </c>
      <c r="K590" s="62">
        <v>0.8899304939931667</v>
      </c>
      <c r="L590" s="62">
        <f t="shared" si="96"/>
        <v>-5544.5408406928291</v>
      </c>
      <c r="M590" s="62">
        <f t="shared" si="97"/>
        <v>-0.27676295756141256</v>
      </c>
      <c r="N590" s="62">
        <f t="shared" si="98"/>
        <v>-5590.9069081422786</v>
      </c>
      <c r="O590" s="62">
        <f t="shared" si="99"/>
        <v>-0.2792138078613754</v>
      </c>
      <c r="P590" s="62">
        <f t="shared" si="100"/>
        <v>-5481.5984450580108</v>
      </c>
      <c r="Q590" s="62">
        <f t="shared" si="101"/>
        <v>-0.27278066311438154</v>
      </c>
      <c r="R590" s="62">
        <f t="shared" si="102"/>
        <v>12967.037698286942</v>
      </c>
      <c r="S590" s="62">
        <f t="shared" si="103"/>
        <v>18887.125611618067</v>
      </c>
      <c r="T590" s="62">
        <f t="shared" si="104"/>
        <v>18942.283566994276</v>
      </c>
      <c r="U590" s="62">
        <f t="shared" si="105"/>
        <v>18785.105442079068</v>
      </c>
      <c r="V590" s="62">
        <f t="shared" si="95"/>
        <v>1</v>
      </c>
      <c r="W590" s="62">
        <f t="shared" si="95"/>
        <v>0</v>
      </c>
      <c r="X590" s="62">
        <f t="shared" si="95"/>
        <v>0</v>
      </c>
      <c r="Y590" s="62">
        <f t="shared" si="94"/>
        <v>0</v>
      </c>
      <c r="AA590" s="94"/>
    </row>
    <row r="591" spans="2:27" x14ac:dyDescent="0.2">
      <c r="B591" s="94"/>
      <c r="C591" s="62">
        <v>552</v>
      </c>
      <c r="D591" s="62">
        <v>12198.848958544149</v>
      </c>
      <c r="E591" s="62">
        <v>0.6178672117120223</v>
      </c>
      <c r="F591" s="62">
        <v>17549.980120326523</v>
      </c>
      <c r="G591" s="62">
        <v>0.89463243245735169</v>
      </c>
      <c r="H591" s="62">
        <v>17596.065832690318</v>
      </c>
      <c r="I591" s="62">
        <v>0.89723923977245967</v>
      </c>
      <c r="J591" s="62">
        <v>17470.499482627525</v>
      </c>
      <c r="K591" s="62">
        <v>0.88949354774781275</v>
      </c>
      <c r="L591" s="62">
        <f t="shared" si="96"/>
        <v>-5351.131161782374</v>
      </c>
      <c r="M591" s="62">
        <f t="shared" si="97"/>
        <v>-0.27676522074532939</v>
      </c>
      <c r="N591" s="62">
        <f t="shared" si="98"/>
        <v>-5397.2168741461683</v>
      </c>
      <c r="O591" s="62">
        <f t="shared" si="99"/>
        <v>-0.27937202806043737</v>
      </c>
      <c r="P591" s="62">
        <f t="shared" si="100"/>
        <v>-5271.6505240833758</v>
      </c>
      <c r="Q591" s="62">
        <f t="shared" si="101"/>
        <v>-0.27162633603579045</v>
      </c>
      <c r="R591" s="62">
        <f t="shared" si="102"/>
        <v>13395.682419414661</v>
      </c>
      <c r="S591" s="62">
        <f t="shared" si="103"/>
        <v>19509.273761786812</v>
      </c>
      <c r="T591" s="62">
        <f t="shared" si="104"/>
        <v>19571.17243564405</v>
      </c>
      <c r="U591" s="62">
        <f t="shared" si="105"/>
        <v>19375.881239277867</v>
      </c>
      <c r="V591" s="62">
        <f t="shared" si="95"/>
        <v>1</v>
      </c>
      <c r="W591" s="62">
        <f t="shared" si="95"/>
        <v>0</v>
      </c>
      <c r="X591" s="62">
        <f t="shared" si="95"/>
        <v>0</v>
      </c>
      <c r="Y591" s="62">
        <f t="shared" si="94"/>
        <v>0</v>
      </c>
      <c r="AA591" s="94"/>
    </row>
    <row r="592" spans="2:27" x14ac:dyDescent="0.2">
      <c r="B592" s="94"/>
      <c r="C592" s="62">
        <v>553</v>
      </c>
      <c r="D592" s="62">
        <v>7378.6918172995502</v>
      </c>
      <c r="E592" s="62">
        <v>0.61743452349119632</v>
      </c>
      <c r="F592" s="62">
        <v>10593.675526990059</v>
      </c>
      <c r="G592" s="62">
        <v>0.89363807479416124</v>
      </c>
      <c r="H592" s="62">
        <v>10628.76054545093</v>
      </c>
      <c r="I592" s="62">
        <v>0.89706563372647452</v>
      </c>
      <c r="J592" s="62">
        <v>10556.4340315105</v>
      </c>
      <c r="K592" s="62">
        <v>0.88923394438447445</v>
      </c>
      <c r="L592" s="62">
        <f t="shared" si="96"/>
        <v>-3214.9837096905085</v>
      </c>
      <c r="M592" s="62">
        <f t="shared" si="97"/>
        <v>-0.27620355130296492</v>
      </c>
      <c r="N592" s="62">
        <f t="shared" si="98"/>
        <v>-3250.0687281513801</v>
      </c>
      <c r="O592" s="62">
        <f t="shared" si="99"/>
        <v>-0.2796311102352782</v>
      </c>
      <c r="P592" s="62">
        <f t="shared" si="100"/>
        <v>-3177.7422142109499</v>
      </c>
      <c r="Q592" s="62">
        <f t="shared" si="101"/>
        <v>-0.27179942089327813</v>
      </c>
      <c r="R592" s="62">
        <f t="shared" si="102"/>
        <v>18197.915883799767</v>
      </c>
      <c r="S592" s="62">
        <f t="shared" si="103"/>
        <v>26424.388083283273</v>
      </c>
      <c r="T592" s="62">
        <f t="shared" si="104"/>
        <v>26531.286266034549</v>
      </c>
      <c r="U592" s="62">
        <f t="shared" si="105"/>
        <v>26279.192880671966</v>
      </c>
      <c r="V592" s="62">
        <f t="shared" si="95"/>
        <v>1</v>
      </c>
      <c r="W592" s="62">
        <f t="shared" si="95"/>
        <v>0</v>
      </c>
      <c r="X592" s="62">
        <f t="shared" si="95"/>
        <v>0</v>
      </c>
      <c r="Y592" s="62">
        <f t="shared" si="94"/>
        <v>0</v>
      </c>
      <c r="AA592" s="94"/>
    </row>
    <row r="593" spans="2:27" x14ac:dyDescent="0.2">
      <c r="B593" s="94"/>
      <c r="C593" s="62">
        <v>554</v>
      </c>
      <c r="D593" s="62">
        <v>8961.4123781333965</v>
      </c>
      <c r="E593" s="62">
        <v>0.61811152229809341</v>
      </c>
      <c r="F593" s="62">
        <v>12868.022440239298</v>
      </c>
      <c r="G593" s="62">
        <v>0.89403680297527066</v>
      </c>
      <c r="H593" s="62">
        <v>12910.900392058798</v>
      </c>
      <c r="I593" s="62">
        <v>0.89742691691302068</v>
      </c>
      <c r="J593" s="62">
        <v>12816.107406749434</v>
      </c>
      <c r="K593" s="62">
        <v>0.88938446967983953</v>
      </c>
      <c r="L593" s="62">
        <f t="shared" si="96"/>
        <v>-3906.6100621059013</v>
      </c>
      <c r="M593" s="62">
        <f t="shared" si="97"/>
        <v>-0.27592528067717725</v>
      </c>
      <c r="N593" s="62">
        <f t="shared" si="98"/>
        <v>-3949.4880139254019</v>
      </c>
      <c r="O593" s="62">
        <f t="shared" si="99"/>
        <v>-0.27931539461492727</v>
      </c>
      <c r="P593" s="62">
        <f t="shared" si="100"/>
        <v>-3854.6950286160372</v>
      </c>
      <c r="Q593" s="62">
        <f t="shared" si="101"/>
        <v>-0.27127294738174612</v>
      </c>
      <c r="R593" s="62">
        <f t="shared" si="102"/>
        <v>16643.239321542824</v>
      </c>
      <c r="S593" s="62">
        <f t="shared" si="103"/>
        <v>24166.558086208315</v>
      </c>
      <c r="T593" s="62">
        <f t="shared" si="104"/>
        <v>24264.112214146167</v>
      </c>
      <c r="U593" s="62">
        <f t="shared" si="105"/>
        <v>24025.754865268238</v>
      </c>
      <c r="V593" s="62">
        <f t="shared" si="95"/>
        <v>1</v>
      </c>
      <c r="W593" s="62">
        <f t="shared" si="95"/>
        <v>0</v>
      </c>
      <c r="X593" s="62">
        <f t="shared" si="95"/>
        <v>0</v>
      </c>
      <c r="Y593" s="62">
        <f t="shared" si="94"/>
        <v>0</v>
      </c>
      <c r="AA593" s="94"/>
    </row>
    <row r="594" spans="2:27" x14ac:dyDescent="0.2">
      <c r="B594" s="94"/>
      <c r="C594" s="62">
        <v>555</v>
      </c>
      <c r="D594" s="62">
        <v>10785.528846333424</v>
      </c>
      <c r="E594" s="62">
        <v>0.61772946843940379</v>
      </c>
      <c r="F594" s="62">
        <v>15520.524124676211</v>
      </c>
      <c r="G594" s="62">
        <v>0.89464358621695317</v>
      </c>
      <c r="H594" s="62">
        <v>15567.9625333196</v>
      </c>
      <c r="I594" s="62">
        <v>0.89769756347096175</v>
      </c>
      <c r="J594" s="62">
        <v>15452.462713324663</v>
      </c>
      <c r="K594" s="62">
        <v>0.8896943918050978</v>
      </c>
      <c r="L594" s="62">
        <f t="shared" si="96"/>
        <v>-4734.9952783427871</v>
      </c>
      <c r="M594" s="62">
        <f t="shared" si="97"/>
        <v>-0.27691411777754937</v>
      </c>
      <c r="N594" s="62">
        <f t="shared" si="98"/>
        <v>-4782.4336869861763</v>
      </c>
      <c r="O594" s="62">
        <f t="shared" si="99"/>
        <v>-0.27996809503155795</v>
      </c>
      <c r="P594" s="62">
        <f t="shared" si="100"/>
        <v>-4666.9338669912395</v>
      </c>
      <c r="Q594" s="62">
        <f t="shared" si="101"/>
        <v>-0.271964923365694</v>
      </c>
      <c r="R594" s="62">
        <f t="shared" si="102"/>
        <v>14803.296654300439</v>
      </c>
      <c r="S594" s="62">
        <f t="shared" si="103"/>
        <v>21539.191790774858</v>
      </c>
      <c r="T594" s="62">
        <f t="shared" si="104"/>
        <v>21618.261335901516</v>
      </c>
      <c r="U594" s="62">
        <f t="shared" si="105"/>
        <v>21402.237772809713</v>
      </c>
      <c r="V594" s="62">
        <f t="shared" si="95"/>
        <v>1</v>
      </c>
      <c r="W594" s="62">
        <f t="shared" si="95"/>
        <v>0</v>
      </c>
      <c r="X594" s="62">
        <f t="shared" si="95"/>
        <v>0</v>
      </c>
      <c r="Y594" s="62">
        <f t="shared" si="94"/>
        <v>0</v>
      </c>
      <c r="AA594" s="94"/>
    </row>
    <row r="595" spans="2:27" x14ac:dyDescent="0.2">
      <c r="B595" s="94"/>
      <c r="C595" s="62">
        <v>556</v>
      </c>
      <c r="D595" s="62">
        <v>9731.6426470800543</v>
      </c>
      <c r="E595" s="62">
        <v>0.61763997255503877</v>
      </c>
      <c r="F595" s="62">
        <v>13985.871661341071</v>
      </c>
      <c r="G595" s="62">
        <v>0.89352759105105228</v>
      </c>
      <c r="H595" s="62">
        <v>14051.369931550673</v>
      </c>
      <c r="I595" s="62">
        <v>0.89823827144466672</v>
      </c>
      <c r="J595" s="62">
        <v>13947.471726549935</v>
      </c>
      <c r="K595" s="62">
        <v>0.89013424085649195</v>
      </c>
      <c r="L595" s="62">
        <f t="shared" si="96"/>
        <v>-4254.2290142610163</v>
      </c>
      <c r="M595" s="62">
        <f t="shared" si="97"/>
        <v>-0.27588761849601351</v>
      </c>
      <c r="N595" s="62">
        <f t="shared" si="98"/>
        <v>-4319.7272844706185</v>
      </c>
      <c r="O595" s="62">
        <f t="shared" si="99"/>
        <v>-0.28059829888962795</v>
      </c>
      <c r="P595" s="62">
        <f t="shared" si="100"/>
        <v>-4215.8290794698805</v>
      </c>
      <c r="Q595" s="62">
        <f t="shared" si="101"/>
        <v>-0.27249426830145318</v>
      </c>
      <c r="R595" s="62">
        <f t="shared" si="102"/>
        <v>15853.475576039873</v>
      </c>
      <c r="S595" s="62">
        <f t="shared" si="103"/>
        <v>23027.615270357717</v>
      </c>
      <c r="T595" s="62">
        <f t="shared" si="104"/>
        <v>23157.252224773198</v>
      </c>
      <c r="U595" s="62">
        <f t="shared" si="105"/>
        <v>22925.449066689391</v>
      </c>
      <c r="V595" s="62">
        <f t="shared" si="95"/>
        <v>1</v>
      </c>
      <c r="W595" s="62">
        <f t="shared" si="95"/>
        <v>0</v>
      </c>
      <c r="X595" s="62">
        <f t="shared" si="95"/>
        <v>0</v>
      </c>
      <c r="Y595" s="62">
        <f t="shared" si="94"/>
        <v>0</v>
      </c>
      <c r="AA595" s="94"/>
    </row>
    <row r="596" spans="2:27" x14ac:dyDescent="0.2">
      <c r="B596" s="94"/>
      <c r="C596" s="62">
        <v>557</v>
      </c>
      <c r="D596" s="62">
        <v>9059.9861630596297</v>
      </c>
      <c r="E596" s="62">
        <v>0.61751740441398717</v>
      </c>
      <c r="F596" s="62">
        <v>13031.577769474172</v>
      </c>
      <c r="G596" s="62">
        <v>0.89452354698102698</v>
      </c>
      <c r="H596" s="62">
        <v>13064.075591741162</v>
      </c>
      <c r="I596" s="62">
        <v>0.89709899091347367</v>
      </c>
      <c r="J596" s="62">
        <v>12978.403229676958</v>
      </c>
      <c r="K596" s="62">
        <v>0.88974161736550161</v>
      </c>
      <c r="L596" s="62">
        <f t="shared" si="96"/>
        <v>-3971.5916064145422</v>
      </c>
      <c r="M596" s="62">
        <f t="shared" si="97"/>
        <v>-0.27700614256703981</v>
      </c>
      <c r="N596" s="62">
        <f t="shared" si="98"/>
        <v>-4004.0894286815328</v>
      </c>
      <c r="O596" s="62">
        <f t="shared" si="99"/>
        <v>-0.2795815864994865</v>
      </c>
      <c r="P596" s="62">
        <f t="shared" si="100"/>
        <v>-3918.4170666173286</v>
      </c>
      <c r="Q596" s="62">
        <f t="shared" si="101"/>
        <v>-0.27222421295151444</v>
      </c>
      <c r="R596" s="62">
        <f t="shared" si="102"/>
        <v>16520.054797385375</v>
      </c>
      <c r="S596" s="62">
        <f t="shared" si="103"/>
        <v>24023.165640667889</v>
      </c>
      <c r="T596" s="62">
        <f t="shared" si="104"/>
        <v>24097.353007858572</v>
      </c>
      <c r="U596" s="62">
        <f t="shared" si="105"/>
        <v>23878.253528071582</v>
      </c>
      <c r="V596" s="62">
        <f t="shared" si="95"/>
        <v>1</v>
      </c>
      <c r="W596" s="62">
        <f t="shared" si="95"/>
        <v>0</v>
      </c>
      <c r="X596" s="62">
        <f t="shared" si="95"/>
        <v>0</v>
      </c>
      <c r="Y596" s="62">
        <f t="shared" si="94"/>
        <v>0</v>
      </c>
      <c r="AA596" s="94"/>
    </row>
    <row r="597" spans="2:27" x14ac:dyDescent="0.2">
      <c r="B597" s="94"/>
      <c r="C597" s="62">
        <v>558</v>
      </c>
      <c r="D597" s="62">
        <v>10760.433082669433</v>
      </c>
      <c r="E597" s="62">
        <v>0.61789232814373207</v>
      </c>
      <c r="F597" s="62">
        <v>15466.855209993621</v>
      </c>
      <c r="G597" s="62">
        <v>0.89410805295088647</v>
      </c>
      <c r="H597" s="62">
        <v>15514.323438947495</v>
      </c>
      <c r="I597" s="62">
        <v>0.89704684777584653</v>
      </c>
      <c r="J597" s="62">
        <v>15400.854076535865</v>
      </c>
      <c r="K597" s="62">
        <v>0.88913770744319642</v>
      </c>
      <c r="L597" s="62">
        <f t="shared" si="96"/>
        <v>-4706.4221273241874</v>
      </c>
      <c r="M597" s="62">
        <f t="shared" si="97"/>
        <v>-0.27621572480715439</v>
      </c>
      <c r="N597" s="62">
        <f t="shared" si="98"/>
        <v>-4753.8903562780615</v>
      </c>
      <c r="O597" s="62">
        <f t="shared" si="99"/>
        <v>-0.27915451963211446</v>
      </c>
      <c r="P597" s="62">
        <f t="shared" si="100"/>
        <v>-4640.4209938664317</v>
      </c>
      <c r="Q597" s="62">
        <f t="shared" si="101"/>
        <v>-0.27124537929946435</v>
      </c>
      <c r="R597" s="62">
        <f t="shared" si="102"/>
        <v>14835.138718356526</v>
      </c>
      <c r="S597" s="62">
        <f t="shared" si="103"/>
        <v>21570.676775443899</v>
      </c>
      <c r="T597" s="62">
        <f t="shared" si="104"/>
        <v>21644.945183319171</v>
      </c>
      <c r="U597" s="62">
        <f t="shared" si="105"/>
        <v>21430.786316591104</v>
      </c>
      <c r="V597" s="62">
        <f t="shared" si="95"/>
        <v>1</v>
      </c>
      <c r="W597" s="62">
        <f t="shared" si="95"/>
        <v>0</v>
      </c>
      <c r="X597" s="62">
        <f t="shared" si="95"/>
        <v>0</v>
      </c>
      <c r="Y597" s="62">
        <f t="shared" si="94"/>
        <v>0</v>
      </c>
      <c r="AA597" s="94"/>
    </row>
    <row r="598" spans="2:27" x14ac:dyDescent="0.2">
      <c r="B598" s="94"/>
      <c r="C598" s="62">
        <v>559</v>
      </c>
      <c r="D598" s="62">
        <v>10680.092188683195</v>
      </c>
      <c r="E598" s="62">
        <v>0.61784467841022239</v>
      </c>
      <c r="F598" s="62">
        <v>15354.579961999887</v>
      </c>
      <c r="G598" s="62">
        <v>0.89424706194701686</v>
      </c>
      <c r="H598" s="62">
        <v>15399.876363941406</v>
      </c>
      <c r="I598" s="62">
        <v>0.89724093614554368</v>
      </c>
      <c r="J598" s="62">
        <v>15284.849334810669</v>
      </c>
      <c r="K598" s="62">
        <v>0.88900186611253096</v>
      </c>
      <c r="L598" s="62">
        <f t="shared" si="96"/>
        <v>-4674.4877733166923</v>
      </c>
      <c r="M598" s="62">
        <f t="shared" si="97"/>
        <v>-0.27640238353679447</v>
      </c>
      <c r="N598" s="62">
        <f t="shared" si="98"/>
        <v>-4719.7841752582117</v>
      </c>
      <c r="O598" s="62">
        <f t="shared" si="99"/>
        <v>-0.27939625773532129</v>
      </c>
      <c r="P598" s="62">
        <f t="shared" si="100"/>
        <v>-4604.7571461274747</v>
      </c>
      <c r="Q598" s="62">
        <f t="shared" si="101"/>
        <v>-0.27115718770230857</v>
      </c>
      <c r="R598" s="62">
        <f t="shared" si="102"/>
        <v>14913.505769781857</v>
      </c>
      <c r="S598" s="62">
        <f t="shared" si="103"/>
        <v>21688.710332093338</v>
      </c>
      <c r="T598" s="62">
        <f t="shared" si="104"/>
        <v>21767.432174951598</v>
      </c>
      <c r="U598" s="62">
        <f t="shared" si="105"/>
        <v>21541.163967034809</v>
      </c>
      <c r="V598" s="62">
        <f t="shared" si="95"/>
        <v>1</v>
      </c>
      <c r="W598" s="62">
        <f t="shared" si="95"/>
        <v>0</v>
      </c>
      <c r="X598" s="62">
        <f t="shared" si="95"/>
        <v>0</v>
      </c>
      <c r="Y598" s="62">
        <f t="shared" si="94"/>
        <v>0</v>
      </c>
      <c r="AA598" s="94"/>
    </row>
    <row r="599" spans="2:27" x14ac:dyDescent="0.2">
      <c r="B599" s="94"/>
      <c r="C599" s="62">
        <v>560</v>
      </c>
      <c r="D599" s="62">
        <v>10047.63214513473</v>
      </c>
      <c r="E599" s="62">
        <v>0.61742879620066327</v>
      </c>
      <c r="F599" s="62">
        <v>14447.703633629348</v>
      </c>
      <c r="G599" s="62">
        <v>0.89404295327779504</v>
      </c>
      <c r="H599" s="62">
        <v>14484.267855538148</v>
      </c>
      <c r="I599" s="62">
        <v>0.89647618630731007</v>
      </c>
      <c r="J599" s="62">
        <v>14392.830936584509</v>
      </c>
      <c r="K599" s="62">
        <v>0.889433424717327</v>
      </c>
      <c r="L599" s="62">
        <f t="shared" si="96"/>
        <v>-4400.0714884946174</v>
      </c>
      <c r="M599" s="62">
        <f t="shared" si="97"/>
        <v>-0.27661415707713177</v>
      </c>
      <c r="N599" s="62">
        <f t="shared" si="98"/>
        <v>-4436.6357104034178</v>
      </c>
      <c r="O599" s="62">
        <f t="shared" si="99"/>
        <v>-0.27904739010664681</v>
      </c>
      <c r="P599" s="62">
        <f t="shared" si="100"/>
        <v>-4345.1987914497786</v>
      </c>
      <c r="Q599" s="62">
        <f t="shared" si="101"/>
        <v>-0.27200462851666374</v>
      </c>
      <c r="R599" s="62">
        <f t="shared" si="102"/>
        <v>15528.738308681544</v>
      </c>
      <c r="S599" s="62">
        <f t="shared" si="103"/>
        <v>22587.131662950036</v>
      </c>
      <c r="T599" s="62">
        <f t="shared" si="104"/>
        <v>22651.361686055861</v>
      </c>
      <c r="U599" s="62">
        <f t="shared" si="105"/>
        <v>22451.059248906047</v>
      </c>
      <c r="V599" s="62">
        <f t="shared" si="95"/>
        <v>1</v>
      </c>
      <c r="W599" s="62">
        <f t="shared" si="95"/>
        <v>0</v>
      </c>
      <c r="X599" s="62">
        <f t="shared" si="95"/>
        <v>0</v>
      </c>
      <c r="Y599" s="62">
        <f t="shared" si="94"/>
        <v>0</v>
      </c>
      <c r="AA599" s="94"/>
    </row>
    <row r="600" spans="2:27" x14ac:dyDescent="0.2">
      <c r="B600" s="94"/>
      <c r="C600" s="62">
        <v>561</v>
      </c>
      <c r="D600" s="62">
        <v>9964.5143406946918</v>
      </c>
      <c r="E600" s="62">
        <v>0.61784121558115301</v>
      </c>
      <c r="F600" s="62">
        <v>14322.240122023433</v>
      </c>
      <c r="G600" s="62">
        <v>0.89461202703418929</v>
      </c>
      <c r="H600" s="62">
        <v>14371.893699614433</v>
      </c>
      <c r="I600" s="62">
        <v>0.89796141471855595</v>
      </c>
      <c r="J600" s="62">
        <v>14253.386800050466</v>
      </c>
      <c r="K600" s="62">
        <v>0.8889877181862692</v>
      </c>
      <c r="L600" s="62">
        <f t="shared" si="96"/>
        <v>-4357.7257813287415</v>
      </c>
      <c r="M600" s="62">
        <f t="shared" si="97"/>
        <v>-0.27677081145303628</v>
      </c>
      <c r="N600" s="62">
        <f t="shared" si="98"/>
        <v>-4407.3793589197412</v>
      </c>
      <c r="O600" s="62">
        <f t="shared" si="99"/>
        <v>-0.28012019913740294</v>
      </c>
      <c r="P600" s="62">
        <f t="shared" si="100"/>
        <v>-4288.8724593557745</v>
      </c>
      <c r="Q600" s="62">
        <f t="shared" si="101"/>
        <v>-0.27114650260511619</v>
      </c>
      <c r="R600" s="62">
        <f t="shared" si="102"/>
        <v>15628.940173538991</v>
      </c>
      <c r="S600" s="62">
        <f t="shared" si="103"/>
        <v>22736.168485840826</v>
      </c>
      <c r="T600" s="62">
        <f t="shared" si="104"/>
        <v>22825.25994368703</v>
      </c>
      <c r="U600" s="62">
        <f t="shared" si="105"/>
        <v>22572.040438097552</v>
      </c>
      <c r="V600" s="62">
        <f t="shared" si="95"/>
        <v>1</v>
      </c>
      <c r="W600" s="62">
        <f t="shared" si="95"/>
        <v>0</v>
      </c>
      <c r="X600" s="62">
        <f t="shared" si="95"/>
        <v>0</v>
      </c>
      <c r="Y600" s="62">
        <f t="shared" si="94"/>
        <v>0</v>
      </c>
      <c r="AA600" s="94"/>
    </row>
    <row r="601" spans="2:27" x14ac:dyDescent="0.2">
      <c r="B601" s="94"/>
      <c r="C601" s="62">
        <v>562</v>
      </c>
      <c r="D601" s="62">
        <v>12032.332958015973</v>
      </c>
      <c r="E601" s="62">
        <v>0.61771135413204792</v>
      </c>
      <c r="F601" s="62">
        <v>17298.656073113547</v>
      </c>
      <c r="G601" s="62">
        <v>0.89356258075981265</v>
      </c>
      <c r="H601" s="62">
        <v>17368.621660679797</v>
      </c>
      <c r="I601" s="62">
        <v>0.89756927070433901</v>
      </c>
      <c r="J601" s="62">
        <v>17220.462768769205</v>
      </c>
      <c r="K601" s="62">
        <v>0.88847777303241726</v>
      </c>
      <c r="L601" s="62">
        <f t="shared" si="96"/>
        <v>-5266.3231150975735</v>
      </c>
      <c r="M601" s="62">
        <f t="shared" si="97"/>
        <v>-0.27585122662776473</v>
      </c>
      <c r="N601" s="62">
        <f t="shared" si="98"/>
        <v>-5336.2887026638236</v>
      </c>
      <c r="O601" s="62">
        <f t="shared" si="99"/>
        <v>-0.27985791657229109</v>
      </c>
      <c r="P601" s="62">
        <f t="shared" si="100"/>
        <v>-5188.1298107532311</v>
      </c>
      <c r="Q601" s="62">
        <f t="shared" si="101"/>
        <v>-0.27076641890036934</v>
      </c>
      <c r="R601" s="62">
        <f t="shared" si="102"/>
        <v>13555.742175549978</v>
      </c>
      <c r="S601" s="62">
        <f t="shared" si="103"/>
        <v>19716.280272280936</v>
      </c>
      <c r="T601" s="62">
        <f t="shared" si="104"/>
        <v>19812.28780897674</v>
      </c>
      <c r="U601" s="62">
        <f t="shared" si="105"/>
        <v>19583.840501325649</v>
      </c>
      <c r="V601" s="62">
        <f t="shared" si="95"/>
        <v>1</v>
      </c>
      <c r="W601" s="62">
        <f t="shared" si="95"/>
        <v>0</v>
      </c>
      <c r="X601" s="62">
        <f t="shared" si="95"/>
        <v>0</v>
      </c>
      <c r="Y601" s="62">
        <f t="shared" si="94"/>
        <v>0</v>
      </c>
      <c r="AA601" s="94"/>
    </row>
    <row r="602" spans="2:27" x14ac:dyDescent="0.2">
      <c r="B602" s="94"/>
      <c r="C602" s="62">
        <v>563</v>
      </c>
      <c r="D602" s="62">
        <v>8288.335406109918</v>
      </c>
      <c r="E602" s="62">
        <v>0.61780423292309605</v>
      </c>
      <c r="F602" s="62">
        <v>11897.963445699279</v>
      </c>
      <c r="G602" s="62">
        <v>0.89413127033064443</v>
      </c>
      <c r="H602" s="62">
        <v>11934.337739360099</v>
      </c>
      <c r="I602" s="62">
        <v>0.89720754035819683</v>
      </c>
      <c r="J602" s="62">
        <v>11846.94700987002</v>
      </c>
      <c r="K602" s="62">
        <v>0.88901541111229898</v>
      </c>
      <c r="L602" s="62">
        <f t="shared" si="96"/>
        <v>-3609.6280395893609</v>
      </c>
      <c r="M602" s="62">
        <f t="shared" si="97"/>
        <v>-0.27632703740754838</v>
      </c>
      <c r="N602" s="62">
        <f t="shared" si="98"/>
        <v>-3646.0023332501805</v>
      </c>
      <c r="O602" s="62">
        <f t="shared" si="99"/>
        <v>-0.27940330743510078</v>
      </c>
      <c r="P602" s="62">
        <f t="shared" si="100"/>
        <v>-3558.6116037601023</v>
      </c>
      <c r="Q602" s="62">
        <f t="shared" si="101"/>
        <v>-0.27121117818920293</v>
      </c>
      <c r="R602" s="62">
        <f t="shared" si="102"/>
        <v>17303.587138496412</v>
      </c>
      <c r="S602" s="62">
        <f t="shared" si="103"/>
        <v>25140.530296477336</v>
      </c>
      <c r="T602" s="62">
        <f t="shared" si="104"/>
        <v>25231.587412437846</v>
      </c>
      <c r="U602" s="62">
        <f t="shared" si="105"/>
        <v>24979.627380045851</v>
      </c>
      <c r="V602" s="62">
        <f t="shared" si="95"/>
        <v>1</v>
      </c>
      <c r="W602" s="62">
        <f t="shared" si="95"/>
        <v>0</v>
      </c>
      <c r="X602" s="62">
        <f t="shared" si="95"/>
        <v>0</v>
      </c>
      <c r="Y602" s="62">
        <f t="shared" si="94"/>
        <v>0</v>
      </c>
      <c r="AA602" s="94"/>
    </row>
    <row r="603" spans="2:27" x14ac:dyDescent="0.2">
      <c r="B603" s="94"/>
      <c r="C603" s="62">
        <v>564</v>
      </c>
      <c r="D603" s="62">
        <v>8645.3881180505468</v>
      </c>
      <c r="E603" s="62">
        <v>0.61768147409535989</v>
      </c>
      <c r="F603" s="62">
        <v>12422.102632643702</v>
      </c>
      <c r="G603" s="62">
        <v>0.89438457251934933</v>
      </c>
      <c r="H603" s="62">
        <v>12453.578166258645</v>
      </c>
      <c r="I603" s="62">
        <v>0.89688970015887759</v>
      </c>
      <c r="J603" s="62">
        <v>12367.148882831252</v>
      </c>
      <c r="K603" s="62">
        <v>0.88920967443146226</v>
      </c>
      <c r="L603" s="62">
        <f t="shared" si="96"/>
        <v>-3776.7145145931554</v>
      </c>
      <c r="M603" s="62">
        <f t="shared" si="97"/>
        <v>-0.27670309842398944</v>
      </c>
      <c r="N603" s="62">
        <f t="shared" si="98"/>
        <v>-3808.1900482080982</v>
      </c>
      <c r="O603" s="62">
        <f t="shared" si="99"/>
        <v>-0.27920822606351769</v>
      </c>
      <c r="P603" s="62">
        <f t="shared" si="100"/>
        <v>-3721.7607647807054</v>
      </c>
      <c r="Q603" s="62">
        <f t="shared" si="101"/>
        <v>-0.27152820033610237</v>
      </c>
      <c r="R603" s="62">
        <f t="shared" si="102"/>
        <v>16941.449264875642</v>
      </c>
      <c r="S603" s="62">
        <f t="shared" si="103"/>
        <v>24626.883899397824</v>
      </c>
      <c r="T603" s="62">
        <f t="shared" si="104"/>
        <v>24699.180773122702</v>
      </c>
      <c r="U603" s="62">
        <f t="shared" si="105"/>
        <v>24467.472670817646</v>
      </c>
      <c r="V603" s="62">
        <f t="shared" si="95"/>
        <v>1</v>
      </c>
      <c r="W603" s="62">
        <f t="shared" si="95"/>
        <v>0</v>
      </c>
      <c r="X603" s="62">
        <f t="shared" si="95"/>
        <v>0</v>
      </c>
      <c r="Y603" s="62">
        <f t="shared" si="94"/>
        <v>0</v>
      </c>
      <c r="AA603" s="94"/>
    </row>
    <row r="604" spans="2:27" x14ac:dyDescent="0.2">
      <c r="B604" s="94"/>
      <c r="C604" s="62">
        <v>565</v>
      </c>
      <c r="D604" s="62">
        <v>10288.584932484038</v>
      </c>
      <c r="E604" s="62">
        <v>0.61756002422382483</v>
      </c>
      <c r="F604" s="62">
        <v>14798.300987244173</v>
      </c>
      <c r="G604" s="62">
        <v>0.89430146268828459</v>
      </c>
      <c r="H604" s="62">
        <v>14853.616558380512</v>
      </c>
      <c r="I604" s="62">
        <v>0.89795480343818979</v>
      </c>
      <c r="J604" s="62">
        <v>14727.076386651388</v>
      </c>
      <c r="K604" s="62">
        <v>0.88882105607535944</v>
      </c>
      <c r="L604" s="62">
        <f t="shared" si="96"/>
        <v>-4509.7160547601343</v>
      </c>
      <c r="M604" s="62">
        <f t="shared" si="97"/>
        <v>-0.27674143846445975</v>
      </c>
      <c r="N604" s="62">
        <f t="shared" si="98"/>
        <v>-4565.031625896474</v>
      </c>
      <c r="O604" s="62">
        <f t="shared" si="99"/>
        <v>-0.28039477921436495</v>
      </c>
      <c r="P604" s="62">
        <f t="shared" si="100"/>
        <v>-4438.4914541673497</v>
      </c>
      <c r="Q604" s="62">
        <f t="shared" si="101"/>
        <v>-0.27126103185153461</v>
      </c>
      <c r="R604" s="62">
        <f t="shared" si="102"/>
        <v>15293.221510963682</v>
      </c>
      <c r="S604" s="62">
        <f t="shared" si="103"/>
        <v>22247.242803155332</v>
      </c>
      <c r="T604" s="62">
        <f t="shared" si="104"/>
        <v>22343.263219243061</v>
      </c>
      <c r="U604" s="62">
        <f t="shared" si="105"/>
        <v>22091.447040214298</v>
      </c>
      <c r="V604" s="62">
        <f t="shared" si="95"/>
        <v>1</v>
      </c>
      <c r="W604" s="62">
        <f t="shared" si="95"/>
        <v>0</v>
      </c>
      <c r="X604" s="62">
        <f t="shared" si="95"/>
        <v>0</v>
      </c>
      <c r="Y604" s="62">
        <f t="shared" si="94"/>
        <v>0</v>
      </c>
      <c r="AA604" s="94"/>
    </row>
    <row r="605" spans="2:27" x14ac:dyDescent="0.2">
      <c r="B605" s="94"/>
      <c r="C605" s="62">
        <v>566</v>
      </c>
      <c r="D605" s="62">
        <v>8465.363366179281</v>
      </c>
      <c r="E605" s="62">
        <v>0.61786573432526537</v>
      </c>
      <c r="F605" s="62">
        <v>12149.778321992373</v>
      </c>
      <c r="G605" s="62">
        <v>0.89413468109119942</v>
      </c>
      <c r="H605" s="62">
        <v>12190.959884381789</v>
      </c>
      <c r="I605" s="62">
        <v>0.89773319124209405</v>
      </c>
      <c r="J605" s="62">
        <v>12099.747772065004</v>
      </c>
      <c r="K605" s="62">
        <v>0.88901604026458059</v>
      </c>
      <c r="L605" s="62">
        <f t="shared" si="96"/>
        <v>-3684.4149558130921</v>
      </c>
      <c r="M605" s="62">
        <f t="shared" si="97"/>
        <v>-0.27626894676593405</v>
      </c>
      <c r="N605" s="62">
        <f t="shared" si="98"/>
        <v>-3725.5965182025084</v>
      </c>
      <c r="O605" s="62">
        <f t="shared" si="99"/>
        <v>-0.27986745691682868</v>
      </c>
      <c r="P605" s="62">
        <f t="shared" si="100"/>
        <v>-3634.384405885723</v>
      </c>
      <c r="Q605" s="62">
        <f t="shared" si="101"/>
        <v>-0.27115030593931522</v>
      </c>
      <c r="R605" s="62">
        <f t="shared" si="102"/>
        <v>17129.106812510512</v>
      </c>
      <c r="S605" s="62">
        <f t="shared" si="103"/>
        <v>24888.85670752947</v>
      </c>
      <c r="T605" s="62">
        <f t="shared" si="104"/>
        <v>24996.739829630715</v>
      </c>
      <c r="U605" s="62">
        <f t="shared" si="105"/>
        <v>24726.852679854979</v>
      </c>
      <c r="V605" s="62">
        <f t="shared" si="95"/>
        <v>1</v>
      </c>
      <c r="W605" s="62">
        <f t="shared" si="95"/>
        <v>0</v>
      </c>
      <c r="X605" s="62">
        <f t="shared" si="95"/>
        <v>0</v>
      </c>
      <c r="Y605" s="62">
        <f t="shared" si="94"/>
        <v>0</v>
      </c>
      <c r="AA605" s="94"/>
    </row>
    <row r="606" spans="2:27" x14ac:dyDescent="0.2">
      <c r="B606" s="94"/>
      <c r="C606" s="62">
        <v>567</v>
      </c>
      <c r="D606" s="62">
        <v>9004.2379467531027</v>
      </c>
      <c r="E606" s="62">
        <v>0.61750969770719011</v>
      </c>
      <c r="F606" s="62">
        <v>12938.679050239914</v>
      </c>
      <c r="G606" s="62">
        <v>0.89409096127871213</v>
      </c>
      <c r="H606" s="62">
        <v>12988.8068029715</v>
      </c>
      <c r="I606" s="62">
        <v>0.89811653246541645</v>
      </c>
      <c r="J606" s="62">
        <v>12883.436132095736</v>
      </c>
      <c r="K606" s="62">
        <v>0.88908342356263481</v>
      </c>
      <c r="L606" s="62">
        <f t="shared" si="96"/>
        <v>-3934.4411034868117</v>
      </c>
      <c r="M606" s="62">
        <f t="shared" si="97"/>
        <v>-0.27658126357152202</v>
      </c>
      <c r="N606" s="62">
        <f t="shared" si="98"/>
        <v>-3984.5688562183968</v>
      </c>
      <c r="O606" s="62">
        <f t="shared" si="99"/>
        <v>-0.28060683475822634</v>
      </c>
      <c r="P606" s="62">
        <f t="shared" si="100"/>
        <v>-3879.1981853426332</v>
      </c>
      <c r="Q606" s="62">
        <f t="shared" si="101"/>
        <v>-0.2715737258554447</v>
      </c>
      <c r="R606" s="62">
        <f t="shared" si="102"/>
        <v>16575.483771069539</v>
      </c>
      <c r="S606" s="62">
        <f t="shared" si="103"/>
        <v>24098.144929769456</v>
      </c>
      <c r="T606" s="62">
        <f t="shared" si="104"/>
        <v>24214.772437875909</v>
      </c>
      <c r="U606" s="62">
        <f t="shared" si="105"/>
        <v>23945.955605562845</v>
      </c>
      <c r="V606" s="62">
        <f t="shared" si="95"/>
        <v>1</v>
      </c>
      <c r="W606" s="62">
        <f t="shared" si="95"/>
        <v>0</v>
      </c>
      <c r="X606" s="62">
        <f t="shared" si="95"/>
        <v>0</v>
      </c>
      <c r="Y606" s="62">
        <f t="shared" si="94"/>
        <v>0</v>
      </c>
      <c r="AA606" s="94"/>
    </row>
    <row r="607" spans="2:27" x14ac:dyDescent="0.2">
      <c r="B607" s="94"/>
      <c r="C607" s="62">
        <v>568</v>
      </c>
      <c r="D607" s="62">
        <v>10484.068467268267</v>
      </c>
      <c r="E607" s="62">
        <v>0.61746073343628838</v>
      </c>
      <c r="F607" s="62">
        <v>15089.71983612214</v>
      </c>
      <c r="G607" s="62">
        <v>0.89440005974937231</v>
      </c>
      <c r="H607" s="62">
        <v>15132.583061749372</v>
      </c>
      <c r="I607" s="62">
        <v>0.89722281982848373</v>
      </c>
      <c r="J607" s="62">
        <v>15021.824008092675</v>
      </c>
      <c r="K607" s="62">
        <v>0.88939755694816147</v>
      </c>
      <c r="L607" s="62">
        <f t="shared" si="96"/>
        <v>-4605.6513688538726</v>
      </c>
      <c r="M607" s="62">
        <f t="shared" si="97"/>
        <v>-0.27693932631308393</v>
      </c>
      <c r="N607" s="62">
        <f t="shared" si="98"/>
        <v>-4648.5145944811047</v>
      </c>
      <c r="O607" s="62">
        <f t="shared" si="99"/>
        <v>-0.27976208639219535</v>
      </c>
      <c r="P607" s="62">
        <f t="shared" si="100"/>
        <v>-4537.7555408244079</v>
      </c>
      <c r="Q607" s="62">
        <f t="shared" si="101"/>
        <v>-0.27193682351187309</v>
      </c>
      <c r="R607" s="62">
        <f t="shared" si="102"/>
        <v>15093.624954596542</v>
      </c>
      <c r="S607" s="62">
        <f t="shared" si="103"/>
        <v>21959.908238935859</v>
      </c>
      <c r="T607" s="62">
        <f t="shared" si="104"/>
        <v>22033.975026825741</v>
      </c>
      <c r="U607" s="62">
        <f t="shared" si="105"/>
        <v>21820.580390927964</v>
      </c>
      <c r="V607" s="62">
        <f t="shared" si="95"/>
        <v>1</v>
      </c>
      <c r="W607" s="62">
        <f t="shared" si="95"/>
        <v>0</v>
      </c>
      <c r="X607" s="62">
        <f t="shared" si="95"/>
        <v>0</v>
      </c>
      <c r="Y607" s="62">
        <f t="shared" si="94"/>
        <v>0</v>
      </c>
      <c r="AA607" s="94"/>
    </row>
    <row r="608" spans="2:27" x14ac:dyDescent="0.2">
      <c r="B608" s="94"/>
      <c r="C608" s="62">
        <v>569</v>
      </c>
      <c r="D608" s="62">
        <v>12161.344691783899</v>
      </c>
      <c r="E608" s="62">
        <v>0.61707268255784831</v>
      </c>
      <c r="F608" s="62">
        <v>17522.151593257662</v>
      </c>
      <c r="G608" s="62">
        <v>0.89464798587459404</v>
      </c>
      <c r="H608" s="62">
        <v>17569.717903181932</v>
      </c>
      <c r="I608" s="62">
        <v>0.89723742920031091</v>
      </c>
      <c r="J608" s="62">
        <v>17429.228754020496</v>
      </c>
      <c r="K608" s="62">
        <v>0.88878916562688859</v>
      </c>
      <c r="L608" s="62">
        <f t="shared" si="96"/>
        <v>-5360.806901473763</v>
      </c>
      <c r="M608" s="62">
        <f t="shared" si="97"/>
        <v>-0.27757530331674574</v>
      </c>
      <c r="N608" s="62">
        <f t="shared" si="98"/>
        <v>-5408.3732113980332</v>
      </c>
      <c r="O608" s="62">
        <f t="shared" si="99"/>
        <v>-0.2801647466424626</v>
      </c>
      <c r="P608" s="62">
        <f t="shared" si="100"/>
        <v>-5267.8840622365969</v>
      </c>
      <c r="Q608" s="62">
        <f t="shared" si="101"/>
        <v>-0.27171648306904028</v>
      </c>
      <c r="R608" s="62">
        <f t="shared" si="102"/>
        <v>13400.27411049241</v>
      </c>
      <c r="S608" s="62">
        <f t="shared" si="103"/>
        <v>19537.746573611523</v>
      </c>
      <c r="T608" s="62">
        <f t="shared" si="104"/>
        <v>19597.44536401175</v>
      </c>
      <c r="U608" s="62">
        <f t="shared" si="105"/>
        <v>19387.973642907735</v>
      </c>
      <c r="V608" s="62">
        <f t="shared" si="95"/>
        <v>1</v>
      </c>
      <c r="W608" s="62">
        <f t="shared" si="95"/>
        <v>0</v>
      </c>
      <c r="X608" s="62">
        <f t="shared" si="95"/>
        <v>0</v>
      </c>
      <c r="Y608" s="62">
        <f t="shared" si="94"/>
        <v>0</v>
      </c>
      <c r="AA608" s="94"/>
    </row>
    <row r="609" spans="2:27" x14ac:dyDescent="0.2">
      <c r="B609" s="94"/>
      <c r="C609" s="62">
        <v>570</v>
      </c>
      <c r="D609" s="62">
        <v>9440.0616317967615</v>
      </c>
      <c r="E609" s="62">
        <v>0.61755891387027106</v>
      </c>
      <c r="F609" s="62">
        <v>13558.350245666155</v>
      </c>
      <c r="G609" s="62">
        <v>0.89400141361594498</v>
      </c>
      <c r="H609" s="62">
        <v>13591.324330784799</v>
      </c>
      <c r="I609" s="62">
        <v>0.89637665827223034</v>
      </c>
      <c r="J609" s="62">
        <v>13505.694508027387</v>
      </c>
      <c r="K609" s="62">
        <v>0.88924704534396071</v>
      </c>
      <c r="L609" s="62">
        <f t="shared" si="96"/>
        <v>-4118.2886138693939</v>
      </c>
      <c r="M609" s="62">
        <f t="shared" si="97"/>
        <v>-0.27644249974567392</v>
      </c>
      <c r="N609" s="62">
        <f t="shared" si="98"/>
        <v>-4151.2626989880373</v>
      </c>
      <c r="O609" s="62">
        <f t="shared" si="99"/>
        <v>-0.27881774440195928</v>
      </c>
      <c r="P609" s="62">
        <f t="shared" si="100"/>
        <v>-4065.6328762306257</v>
      </c>
      <c r="Q609" s="62">
        <f t="shared" si="101"/>
        <v>-0.27168813147368964</v>
      </c>
      <c r="R609" s="62">
        <f t="shared" si="102"/>
        <v>16141.698816365348</v>
      </c>
      <c r="S609" s="62">
        <f t="shared" si="103"/>
        <v>23474.764311960749</v>
      </c>
      <c r="T609" s="62">
        <f t="shared" si="104"/>
        <v>23540.182361484072</v>
      </c>
      <c r="U609" s="62">
        <f t="shared" si="105"/>
        <v>23330.475098300842</v>
      </c>
      <c r="V609" s="62">
        <f t="shared" si="95"/>
        <v>1</v>
      </c>
      <c r="W609" s="62">
        <f t="shared" si="95"/>
        <v>0</v>
      </c>
      <c r="X609" s="62">
        <f t="shared" si="95"/>
        <v>0</v>
      </c>
      <c r="Y609" s="62">
        <f t="shared" si="94"/>
        <v>0</v>
      </c>
      <c r="AA609" s="94"/>
    </row>
    <row r="610" spans="2:27" x14ac:dyDescent="0.2">
      <c r="B610" s="94"/>
      <c r="C610" s="62">
        <v>571</v>
      </c>
      <c r="D610" s="62">
        <v>12150.406385166732</v>
      </c>
      <c r="E610" s="62">
        <v>0.61813318041961163</v>
      </c>
      <c r="F610" s="62">
        <v>17476.565057094485</v>
      </c>
      <c r="G610" s="62">
        <v>0.89464957930451672</v>
      </c>
      <c r="H610" s="62">
        <v>17521.97494834632</v>
      </c>
      <c r="I610" s="62">
        <v>0.8971991395882053</v>
      </c>
      <c r="J610" s="62">
        <v>17387.636973635035</v>
      </c>
      <c r="K610" s="62">
        <v>0.88893134199155788</v>
      </c>
      <c r="L610" s="62">
        <f t="shared" si="96"/>
        <v>-5326.1586719277529</v>
      </c>
      <c r="M610" s="62">
        <f t="shared" si="97"/>
        <v>-0.27651639888490509</v>
      </c>
      <c r="N610" s="62">
        <f t="shared" si="98"/>
        <v>-5371.5685631795877</v>
      </c>
      <c r="O610" s="62">
        <f t="shared" si="99"/>
        <v>-0.27906595916859367</v>
      </c>
      <c r="P610" s="62">
        <f t="shared" si="100"/>
        <v>-5237.2305884683028</v>
      </c>
      <c r="Q610" s="62">
        <f t="shared" si="101"/>
        <v>-0.27079816157194625</v>
      </c>
      <c r="R610" s="62">
        <f t="shared" si="102"/>
        <v>13455.14248053526</v>
      </c>
      <c r="S610" s="62">
        <f t="shared" si="103"/>
        <v>19583.399116015818</v>
      </c>
      <c r="T610" s="62">
        <f t="shared" si="104"/>
        <v>19643.602209955494</v>
      </c>
      <c r="U610" s="62">
        <f t="shared" si="105"/>
        <v>19435.45493702326</v>
      </c>
      <c r="V610" s="62">
        <f t="shared" si="95"/>
        <v>1</v>
      </c>
      <c r="W610" s="62">
        <f t="shared" si="95"/>
        <v>0</v>
      </c>
      <c r="X610" s="62">
        <f t="shared" si="95"/>
        <v>0</v>
      </c>
      <c r="Y610" s="62">
        <f t="shared" si="94"/>
        <v>0</v>
      </c>
      <c r="AA610" s="94"/>
    </row>
    <row r="611" spans="2:27" x14ac:dyDescent="0.2">
      <c r="B611" s="94"/>
      <c r="C611" s="62">
        <v>572</v>
      </c>
      <c r="D611" s="62">
        <v>12027.830184818451</v>
      </c>
      <c r="E611" s="62">
        <v>0.61772489855766988</v>
      </c>
      <c r="F611" s="62">
        <v>17304.802253676033</v>
      </c>
      <c r="G611" s="62">
        <v>0.89401060201925286</v>
      </c>
      <c r="H611" s="62">
        <v>17375.378042757249</v>
      </c>
      <c r="I611" s="62">
        <v>0.89789848575836517</v>
      </c>
      <c r="J611" s="62">
        <v>17239.147644410841</v>
      </c>
      <c r="K611" s="62">
        <v>0.88966962542348538</v>
      </c>
      <c r="L611" s="62">
        <f t="shared" si="96"/>
        <v>-5276.9720688575817</v>
      </c>
      <c r="M611" s="62">
        <f t="shared" si="97"/>
        <v>-0.27628570346158299</v>
      </c>
      <c r="N611" s="62">
        <f t="shared" si="98"/>
        <v>-5347.5478579387982</v>
      </c>
      <c r="O611" s="62">
        <f t="shared" si="99"/>
        <v>-0.2801735872006953</v>
      </c>
      <c r="P611" s="62">
        <f t="shared" si="100"/>
        <v>-5211.3174595923902</v>
      </c>
      <c r="Q611" s="62">
        <f t="shared" si="101"/>
        <v>-0.2719447268658155</v>
      </c>
      <c r="R611" s="62">
        <f t="shared" si="102"/>
        <v>13560.806013034466</v>
      </c>
      <c r="S611" s="62">
        <f t="shared" si="103"/>
        <v>19728.692924369498</v>
      </c>
      <c r="T611" s="62">
        <f t="shared" si="104"/>
        <v>19819.168831297269</v>
      </c>
      <c r="U611" s="62">
        <f t="shared" si="105"/>
        <v>19614.526919131618</v>
      </c>
      <c r="V611" s="62">
        <f t="shared" si="95"/>
        <v>1</v>
      </c>
      <c r="W611" s="62">
        <f t="shared" si="95"/>
        <v>0</v>
      </c>
      <c r="X611" s="62">
        <f t="shared" si="95"/>
        <v>0</v>
      </c>
      <c r="Y611" s="62">
        <f t="shared" si="94"/>
        <v>0</v>
      </c>
      <c r="AA611" s="94"/>
    </row>
    <row r="612" spans="2:27" x14ac:dyDescent="0.2">
      <c r="B612" s="94"/>
      <c r="C612" s="62">
        <v>573</v>
      </c>
      <c r="D612" s="62">
        <v>12826.595657958509</v>
      </c>
      <c r="E612" s="62">
        <v>0.61797735355601446</v>
      </c>
      <c r="F612" s="62">
        <v>18450.329445877294</v>
      </c>
      <c r="G612" s="62">
        <v>0.89461695765676996</v>
      </c>
      <c r="H612" s="62">
        <v>18497.579913059104</v>
      </c>
      <c r="I612" s="62">
        <v>0.897101520695199</v>
      </c>
      <c r="J612" s="62">
        <v>18384.062959095398</v>
      </c>
      <c r="K612" s="62">
        <v>0.89031443304482027</v>
      </c>
      <c r="L612" s="62">
        <f t="shared" si="96"/>
        <v>-5623.7337879187853</v>
      </c>
      <c r="M612" s="62">
        <f t="shared" si="97"/>
        <v>-0.2766396041007555</v>
      </c>
      <c r="N612" s="62">
        <f t="shared" si="98"/>
        <v>-5670.984255100595</v>
      </c>
      <c r="O612" s="62">
        <f t="shared" si="99"/>
        <v>-0.27912416713918453</v>
      </c>
      <c r="P612" s="62">
        <f t="shared" si="100"/>
        <v>-5557.4673011368886</v>
      </c>
      <c r="Q612" s="62">
        <f t="shared" si="101"/>
        <v>-0.27233707948880581</v>
      </c>
      <c r="R612" s="62">
        <f t="shared" si="102"/>
        <v>12772.498235745834</v>
      </c>
      <c r="S612" s="62">
        <f t="shared" si="103"/>
        <v>18608.283408096744</v>
      </c>
      <c r="T612" s="62">
        <f t="shared" si="104"/>
        <v>18663.953480218821</v>
      </c>
      <c r="U612" s="62">
        <f t="shared" si="105"/>
        <v>18496.322115353236</v>
      </c>
      <c r="V612" s="62">
        <f t="shared" si="95"/>
        <v>1</v>
      </c>
      <c r="W612" s="62">
        <f t="shared" si="95"/>
        <v>0</v>
      </c>
      <c r="X612" s="62">
        <f t="shared" si="95"/>
        <v>0</v>
      </c>
      <c r="Y612" s="62">
        <f t="shared" si="94"/>
        <v>0</v>
      </c>
      <c r="AA612" s="94"/>
    </row>
    <row r="613" spans="2:27" x14ac:dyDescent="0.2">
      <c r="B613" s="94"/>
      <c r="C613" s="62">
        <v>574</v>
      </c>
      <c r="D613" s="62">
        <v>10566.504171385959</v>
      </c>
      <c r="E613" s="62">
        <v>0.61756942809909898</v>
      </c>
      <c r="F613" s="62">
        <v>15196.683189513673</v>
      </c>
      <c r="G613" s="62">
        <v>0.89437983329677773</v>
      </c>
      <c r="H613" s="62">
        <v>15231.376177104763</v>
      </c>
      <c r="I613" s="62">
        <v>0.89674305343532368</v>
      </c>
      <c r="J613" s="62">
        <v>15135.775106195351</v>
      </c>
      <c r="K613" s="62">
        <v>0.88970755847196648</v>
      </c>
      <c r="L613" s="62">
        <f t="shared" si="96"/>
        <v>-4630.1790181277138</v>
      </c>
      <c r="M613" s="62">
        <f t="shared" si="97"/>
        <v>-0.27681040519767874</v>
      </c>
      <c r="N613" s="62">
        <f t="shared" si="98"/>
        <v>-4664.8720057188038</v>
      </c>
      <c r="O613" s="62">
        <f t="shared" si="99"/>
        <v>-0.2791736253362247</v>
      </c>
      <c r="P613" s="62">
        <f t="shared" si="100"/>
        <v>-4569.2709348093922</v>
      </c>
      <c r="Q613" s="62">
        <f t="shared" si="101"/>
        <v>-0.27213813037286749</v>
      </c>
      <c r="R613" s="62">
        <f t="shared" si="102"/>
        <v>15015.691818191119</v>
      </c>
      <c r="S613" s="62">
        <f t="shared" si="103"/>
        <v>21852.107024972051</v>
      </c>
      <c r="T613" s="62">
        <f t="shared" si="104"/>
        <v>21915.308068400082</v>
      </c>
      <c r="U613" s="62">
        <f t="shared" si="105"/>
        <v>21719.470795947389</v>
      </c>
      <c r="V613" s="62">
        <f t="shared" si="95"/>
        <v>1</v>
      </c>
      <c r="W613" s="62">
        <f t="shared" si="95"/>
        <v>0</v>
      </c>
      <c r="X613" s="62">
        <f t="shared" si="95"/>
        <v>0</v>
      </c>
      <c r="Y613" s="62">
        <f t="shared" si="94"/>
        <v>0</v>
      </c>
      <c r="AA613" s="94"/>
    </row>
    <row r="614" spans="2:27" x14ac:dyDescent="0.2">
      <c r="B614" s="94"/>
      <c r="C614" s="62">
        <v>575</v>
      </c>
      <c r="D614" s="62">
        <v>9656.6612720459234</v>
      </c>
      <c r="E614" s="62">
        <v>0.61741497653156097</v>
      </c>
      <c r="F614" s="62">
        <v>13875.991618164206</v>
      </c>
      <c r="G614" s="62">
        <v>0.89381354544449076</v>
      </c>
      <c r="H614" s="62">
        <v>13927.194891231686</v>
      </c>
      <c r="I614" s="62">
        <v>0.89765733346183141</v>
      </c>
      <c r="J614" s="62">
        <v>13826.598759765233</v>
      </c>
      <c r="K614" s="62">
        <v>0.8896010222097146</v>
      </c>
      <c r="L614" s="62">
        <f t="shared" si="96"/>
        <v>-4219.3303461182823</v>
      </c>
      <c r="M614" s="62">
        <f t="shared" si="97"/>
        <v>-0.2763985689129298</v>
      </c>
      <c r="N614" s="62">
        <f t="shared" si="98"/>
        <v>-4270.5336191857623</v>
      </c>
      <c r="O614" s="62">
        <f t="shared" si="99"/>
        <v>-0.28024235693027044</v>
      </c>
      <c r="P614" s="62">
        <f t="shared" si="100"/>
        <v>-4169.9374877193095</v>
      </c>
      <c r="Q614" s="62">
        <f t="shared" si="101"/>
        <v>-0.27218604567815363</v>
      </c>
      <c r="R614" s="62">
        <f t="shared" si="102"/>
        <v>15919.136715797456</v>
      </c>
      <c r="S614" s="62">
        <f t="shared" si="103"/>
        <v>23149.340688328382</v>
      </c>
      <c r="T614" s="62">
        <f t="shared" si="104"/>
        <v>23257.362490091218</v>
      </c>
      <c r="U614" s="62">
        <f t="shared" si="105"/>
        <v>23024.233984249986</v>
      </c>
      <c r="V614" s="62">
        <f t="shared" si="95"/>
        <v>1</v>
      </c>
      <c r="W614" s="62">
        <f t="shared" si="95"/>
        <v>0</v>
      </c>
      <c r="X614" s="62">
        <f t="shared" si="95"/>
        <v>0</v>
      </c>
      <c r="Y614" s="62">
        <f t="shared" si="95"/>
        <v>0</v>
      </c>
      <c r="AA614" s="94"/>
    </row>
    <row r="615" spans="2:27" x14ac:dyDescent="0.2">
      <c r="B615" s="94"/>
      <c r="C615" s="62">
        <v>576</v>
      </c>
      <c r="D615" s="62">
        <v>10714.317711038642</v>
      </c>
      <c r="E615" s="62">
        <v>0.6172936822194266</v>
      </c>
      <c r="F615" s="62">
        <v>15422.108987420748</v>
      </c>
      <c r="G615" s="62">
        <v>0.89408100507582577</v>
      </c>
      <c r="H615" s="62">
        <v>15474.78020904324</v>
      </c>
      <c r="I615" s="62">
        <v>0.89749064457067218</v>
      </c>
      <c r="J615" s="62">
        <v>15356.491312931726</v>
      </c>
      <c r="K615" s="62">
        <v>0.88927041821542097</v>
      </c>
      <c r="L615" s="62">
        <f t="shared" si="96"/>
        <v>-4707.7912763821059</v>
      </c>
      <c r="M615" s="62">
        <f t="shared" si="97"/>
        <v>-0.27678732285639918</v>
      </c>
      <c r="N615" s="62">
        <f t="shared" si="98"/>
        <v>-4760.4624980045974</v>
      </c>
      <c r="O615" s="62">
        <f t="shared" si="99"/>
        <v>-0.28019696235124558</v>
      </c>
      <c r="P615" s="62">
        <f t="shared" si="100"/>
        <v>-4642.1736018930842</v>
      </c>
      <c r="Q615" s="62">
        <f t="shared" si="101"/>
        <v>-0.27197673599599437</v>
      </c>
      <c r="R615" s="62">
        <f t="shared" si="102"/>
        <v>14856.455781218887</v>
      </c>
      <c r="S615" s="62">
        <f t="shared" si="103"/>
        <v>21614.302566840262</v>
      </c>
      <c r="T615" s="62">
        <f t="shared" si="104"/>
        <v>21702.872251652283</v>
      </c>
      <c r="U615" s="62">
        <f t="shared" si="105"/>
        <v>21480.646491223866</v>
      </c>
      <c r="V615" s="62">
        <f t="shared" ref="V615:Y678" si="106">IF(MIN($R615:$U615)=R615,1,0)</f>
        <v>1</v>
      </c>
      <c r="W615" s="62">
        <f t="shared" si="106"/>
        <v>0</v>
      </c>
      <c r="X615" s="62">
        <f t="shared" si="106"/>
        <v>0</v>
      </c>
      <c r="Y615" s="62">
        <f t="shared" si="106"/>
        <v>0</v>
      </c>
      <c r="AA615" s="94"/>
    </row>
    <row r="616" spans="2:27" x14ac:dyDescent="0.2">
      <c r="B616" s="94"/>
      <c r="C616" s="62">
        <v>577</v>
      </c>
      <c r="D616" s="62">
        <v>10444.421138419984</v>
      </c>
      <c r="E616" s="62">
        <v>0.61756391771987829</v>
      </c>
      <c r="F616" s="62">
        <v>15029.06626475023</v>
      </c>
      <c r="G616" s="62">
        <v>0.8943334847512221</v>
      </c>
      <c r="H616" s="62">
        <v>15077.842178278441</v>
      </c>
      <c r="I616" s="62">
        <v>0.89749443347657765</v>
      </c>
      <c r="J616" s="62">
        <v>14970.043685133665</v>
      </c>
      <c r="K616" s="62">
        <v>0.88986878719831874</v>
      </c>
      <c r="L616" s="62">
        <f t="shared" ref="L616:L679" si="107">IF($C616&lt;=No_of_iterations_PSA,D616-$F616,"")</f>
        <v>-4584.6451263302461</v>
      </c>
      <c r="M616" s="62">
        <f t="shared" ref="M616:M679" si="108">IF($C616&lt;=No_of_iterations_PSA,E616-$G616,"")</f>
        <v>-0.27676956703134381</v>
      </c>
      <c r="N616" s="62">
        <f t="shared" ref="N616:N679" si="109">IF($C616&lt;=No_of_iterations_PSA,D616-$H616,"")</f>
        <v>-4633.4210398584564</v>
      </c>
      <c r="O616" s="62">
        <f t="shared" ref="O616:O679" si="110">IF($C616&lt;=No_of_iterations_PSA,E616-$I616,"")</f>
        <v>-0.27993051575669936</v>
      </c>
      <c r="P616" s="62">
        <f t="shared" ref="P616:P679" si="111">IF($C616&lt;=No_of_iterations_PSA,D616-$J616,"")</f>
        <v>-4525.622546713681</v>
      </c>
      <c r="Q616" s="62">
        <f t="shared" ref="Q616:Q679" si="112">IF($C616&lt;=No_of_iterations_PSA,E616-$K616,"")</f>
        <v>-0.27230486947844046</v>
      </c>
      <c r="R616" s="62">
        <f t="shared" ref="R616:R679" si="113">IF($C616&lt;=No_of_iterations_PSA,E616*c_WTP-D616,"")</f>
        <v>15137.546589208254</v>
      </c>
      <c r="S616" s="62">
        <f t="shared" ref="S616:S679" si="114">IF($C616&lt;=No_of_iterations_PSA,G616*c_WTP-F616,"")</f>
        <v>22017.804007584389</v>
      </c>
      <c r="T616" s="62">
        <f t="shared" ref="T616:T679" si="115">IF($C616&lt;=No_of_iterations_PSA,I616*c_WTP-H616,"")</f>
        <v>22099.967234055308</v>
      </c>
      <c r="U616" s="62">
        <f t="shared" ref="U616:U679" si="116">IF($C616&lt;=No_of_iterations_PSA,K616*c_WTP-J616,"")</f>
        <v>21891.880955769491</v>
      </c>
      <c r="V616" s="62">
        <f t="shared" si="106"/>
        <v>1</v>
      </c>
      <c r="W616" s="62">
        <f t="shared" si="106"/>
        <v>0</v>
      </c>
      <c r="X616" s="62">
        <f t="shared" si="106"/>
        <v>0</v>
      </c>
      <c r="Y616" s="62">
        <f t="shared" si="106"/>
        <v>0</v>
      </c>
      <c r="AA616" s="94"/>
    </row>
    <row r="617" spans="2:27" x14ac:dyDescent="0.2">
      <c r="B617" s="94"/>
      <c r="C617" s="62">
        <v>578</v>
      </c>
      <c r="D617" s="62">
        <v>8382.8577020603698</v>
      </c>
      <c r="E617" s="62">
        <v>0.61738014242497874</v>
      </c>
      <c r="F617" s="62">
        <v>12059.931491731213</v>
      </c>
      <c r="G617" s="62">
        <v>0.89482939603858858</v>
      </c>
      <c r="H617" s="62">
        <v>12087.930704872748</v>
      </c>
      <c r="I617" s="62">
        <v>0.89734179261137559</v>
      </c>
      <c r="J617" s="62">
        <v>12000.464396558045</v>
      </c>
      <c r="K617" s="62">
        <v>0.88939392178067911</v>
      </c>
      <c r="L617" s="62">
        <f t="shared" si="107"/>
        <v>-3677.0737896708433</v>
      </c>
      <c r="M617" s="62">
        <f t="shared" si="108"/>
        <v>-0.27744925361360984</v>
      </c>
      <c r="N617" s="62">
        <f t="shared" si="109"/>
        <v>-3705.073002812378</v>
      </c>
      <c r="O617" s="62">
        <f t="shared" si="110"/>
        <v>-0.27996165018639685</v>
      </c>
      <c r="P617" s="62">
        <f t="shared" si="111"/>
        <v>-3617.6066944976756</v>
      </c>
      <c r="Q617" s="62">
        <f t="shared" si="112"/>
        <v>-0.27201377935570037</v>
      </c>
      <c r="R617" s="62">
        <f t="shared" si="113"/>
        <v>17191.49731775195</v>
      </c>
      <c r="S617" s="62">
        <f t="shared" si="114"/>
        <v>25007.481409771281</v>
      </c>
      <c r="T617" s="62">
        <f t="shared" si="115"/>
        <v>25083.555712260873</v>
      </c>
      <c r="U617" s="62">
        <f t="shared" si="116"/>
        <v>24841.789419284803</v>
      </c>
      <c r="V617" s="62">
        <f t="shared" si="106"/>
        <v>1</v>
      </c>
      <c r="W617" s="62">
        <f t="shared" si="106"/>
        <v>0</v>
      </c>
      <c r="X617" s="62">
        <f t="shared" si="106"/>
        <v>0</v>
      </c>
      <c r="Y617" s="62">
        <f t="shared" si="106"/>
        <v>0</v>
      </c>
      <c r="AA617" s="94"/>
    </row>
    <row r="618" spans="2:27" x14ac:dyDescent="0.2">
      <c r="B618" s="94"/>
      <c r="C618" s="62">
        <v>579</v>
      </c>
      <c r="D618" s="62">
        <v>8180.3558121342021</v>
      </c>
      <c r="E618" s="62">
        <v>0.61757738076300206</v>
      </c>
      <c r="F618" s="62">
        <v>11751.140280343236</v>
      </c>
      <c r="G618" s="62">
        <v>0.89393227761941652</v>
      </c>
      <c r="H618" s="62">
        <v>11791.243859193128</v>
      </c>
      <c r="I618" s="62">
        <v>0.89739679631398628</v>
      </c>
      <c r="J618" s="62">
        <v>11709.934658291462</v>
      </c>
      <c r="K618" s="62">
        <v>0.88961459632807227</v>
      </c>
      <c r="L618" s="62">
        <f t="shared" si="107"/>
        <v>-3570.7844682090335</v>
      </c>
      <c r="M618" s="62">
        <f t="shared" si="108"/>
        <v>-0.27635489685641446</v>
      </c>
      <c r="N618" s="62">
        <f t="shared" si="109"/>
        <v>-3610.8880470589256</v>
      </c>
      <c r="O618" s="62">
        <f t="shared" si="110"/>
        <v>-0.27981941555098422</v>
      </c>
      <c r="P618" s="62">
        <f t="shared" si="111"/>
        <v>-3529.5788461572602</v>
      </c>
      <c r="Q618" s="62">
        <f t="shared" si="112"/>
        <v>-0.27203721556507021</v>
      </c>
      <c r="R618" s="62">
        <f t="shared" si="113"/>
        <v>17402.169608592394</v>
      </c>
      <c r="S618" s="62">
        <f t="shared" si="114"/>
        <v>25279.110387763474</v>
      </c>
      <c r="T618" s="62">
        <f t="shared" si="115"/>
        <v>25382.521031317439</v>
      </c>
      <c r="U618" s="62">
        <f t="shared" si="116"/>
        <v>25141.460380002605</v>
      </c>
      <c r="V618" s="62">
        <f t="shared" si="106"/>
        <v>1</v>
      </c>
      <c r="W618" s="62">
        <f t="shared" si="106"/>
        <v>0</v>
      </c>
      <c r="X618" s="62">
        <f t="shared" si="106"/>
        <v>0</v>
      </c>
      <c r="Y618" s="62">
        <f t="shared" si="106"/>
        <v>0</v>
      </c>
      <c r="AA618" s="94"/>
    </row>
    <row r="619" spans="2:27" x14ac:dyDescent="0.2">
      <c r="B619" s="94"/>
      <c r="C619" s="62">
        <v>580</v>
      </c>
      <c r="D619" s="62">
        <v>11267.38589078308</v>
      </c>
      <c r="E619" s="62">
        <v>0.61766809899536224</v>
      </c>
      <c r="F619" s="62">
        <v>16210.429027012606</v>
      </c>
      <c r="G619" s="62">
        <v>0.89461915306279005</v>
      </c>
      <c r="H619" s="62">
        <v>16252.826712480326</v>
      </c>
      <c r="I619" s="62">
        <v>0.89711274276359576</v>
      </c>
      <c r="J619" s="62">
        <v>16137.286821143296</v>
      </c>
      <c r="K619" s="62">
        <v>0.88945598349908861</v>
      </c>
      <c r="L619" s="62">
        <f t="shared" si="107"/>
        <v>-4943.0431362295258</v>
      </c>
      <c r="M619" s="62">
        <f t="shared" si="108"/>
        <v>-0.27695105406742782</v>
      </c>
      <c r="N619" s="62">
        <f t="shared" si="109"/>
        <v>-4985.4408216972461</v>
      </c>
      <c r="O619" s="62">
        <f t="shared" si="110"/>
        <v>-0.27944464376823352</v>
      </c>
      <c r="P619" s="62">
        <f t="shared" si="111"/>
        <v>-4869.9009303602161</v>
      </c>
      <c r="Q619" s="62">
        <f t="shared" si="112"/>
        <v>-0.27178788450372637</v>
      </c>
      <c r="R619" s="62">
        <f t="shared" si="113"/>
        <v>14318.897442000805</v>
      </c>
      <c r="S619" s="62">
        <f t="shared" si="114"/>
        <v>20848.274769460404</v>
      </c>
      <c r="T619" s="62">
        <f t="shared" si="115"/>
        <v>20909.171543758865</v>
      </c>
      <c r="U619" s="62">
        <f t="shared" si="116"/>
        <v>20707.537839322955</v>
      </c>
      <c r="V619" s="62">
        <f t="shared" si="106"/>
        <v>1</v>
      </c>
      <c r="W619" s="62">
        <f t="shared" si="106"/>
        <v>0</v>
      </c>
      <c r="X619" s="62">
        <f t="shared" si="106"/>
        <v>0</v>
      </c>
      <c r="Y619" s="62">
        <f t="shared" si="106"/>
        <v>0</v>
      </c>
      <c r="AA619" s="94"/>
    </row>
    <row r="620" spans="2:27" x14ac:dyDescent="0.2">
      <c r="B620" s="94"/>
      <c r="C620" s="62">
        <v>581</v>
      </c>
      <c r="D620" s="62">
        <v>10476.398169165737</v>
      </c>
      <c r="E620" s="62">
        <v>0.61770562907791782</v>
      </c>
      <c r="F620" s="62">
        <v>15074.760191670499</v>
      </c>
      <c r="G620" s="62">
        <v>0.89442603900052486</v>
      </c>
      <c r="H620" s="62">
        <v>15135.535188249904</v>
      </c>
      <c r="I620" s="62">
        <v>0.89843127611635132</v>
      </c>
      <c r="J620" s="62">
        <v>15005.565119731191</v>
      </c>
      <c r="K620" s="62">
        <v>0.8892724301297793</v>
      </c>
      <c r="L620" s="62">
        <f t="shared" si="107"/>
        <v>-4598.3620225047616</v>
      </c>
      <c r="M620" s="62">
        <f t="shared" si="108"/>
        <v>-0.27672040992260705</v>
      </c>
      <c r="N620" s="62">
        <f t="shared" si="109"/>
        <v>-4659.1370190841662</v>
      </c>
      <c r="O620" s="62">
        <f t="shared" si="110"/>
        <v>-0.2807256470384335</v>
      </c>
      <c r="P620" s="62">
        <f t="shared" si="111"/>
        <v>-4529.1669505654536</v>
      </c>
      <c r="Q620" s="62">
        <f t="shared" si="112"/>
        <v>-0.27156680105186148</v>
      </c>
      <c r="R620" s="62">
        <f t="shared" si="113"/>
        <v>15111.439809757931</v>
      </c>
      <c r="S620" s="62">
        <f t="shared" si="114"/>
        <v>21975.944047887246</v>
      </c>
      <c r="T620" s="62">
        <f t="shared" si="115"/>
        <v>22081.081993593834</v>
      </c>
      <c r="U620" s="62">
        <f t="shared" si="116"/>
        <v>21831.656025964789</v>
      </c>
      <c r="V620" s="62">
        <f t="shared" si="106"/>
        <v>1</v>
      </c>
      <c r="W620" s="62">
        <f t="shared" si="106"/>
        <v>0</v>
      </c>
      <c r="X620" s="62">
        <f t="shared" si="106"/>
        <v>0</v>
      </c>
      <c r="Y620" s="62">
        <f t="shared" si="106"/>
        <v>0</v>
      </c>
      <c r="AA620" s="94"/>
    </row>
    <row r="621" spans="2:27" x14ac:dyDescent="0.2">
      <c r="B621" s="94"/>
      <c r="C621" s="62">
        <v>582</v>
      </c>
      <c r="D621" s="62">
        <v>11475.07290242849</v>
      </c>
      <c r="E621" s="62">
        <v>0.61823763240036977</v>
      </c>
      <c r="F621" s="62">
        <v>16490.305079648595</v>
      </c>
      <c r="G621" s="62">
        <v>0.89445475300911659</v>
      </c>
      <c r="H621" s="62">
        <v>16549.816061911504</v>
      </c>
      <c r="I621" s="62">
        <v>0.8979727864496706</v>
      </c>
      <c r="J621" s="62">
        <v>16421.176121961849</v>
      </c>
      <c r="K621" s="62">
        <v>0.88954557831984993</v>
      </c>
      <c r="L621" s="62">
        <f t="shared" si="107"/>
        <v>-5015.2321772201049</v>
      </c>
      <c r="M621" s="62">
        <f t="shared" si="108"/>
        <v>-0.27621712060874681</v>
      </c>
      <c r="N621" s="62">
        <f t="shared" si="109"/>
        <v>-5074.7431594830141</v>
      </c>
      <c r="O621" s="62">
        <f t="shared" si="110"/>
        <v>-0.27973515404930083</v>
      </c>
      <c r="P621" s="62">
        <f t="shared" si="111"/>
        <v>-4946.1032195333592</v>
      </c>
      <c r="Q621" s="62">
        <f t="shared" si="112"/>
        <v>-0.27130794591948015</v>
      </c>
      <c r="R621" s="62">
        <f t="shared" si="113"/>
        <v>14134.802782124427</v>
      </c>
      <c r="S621" s="62">
        <f t="shared" si="114"/>
        <v>20561.58860900105</v>
      </c>
      <c r="T621" s="62">
        <f t="shared" si="115"/>
        <v>20647.80864397965</v>
      </c>
      <c r="U621" s="62">
        <f t="shared" si="116"/>
        <v>20427.359914359615</v>
      </c>
      <c r="V621" s="62">
        <f t="shared" si="106"/>
        <v>1</v>
      </c>
      <c r="W621" s="62">
        <f t="shared" si="106"/>
        <v>0</v>
      </c>
      <c r="X621" s="62">
        <f t="shared" si="106"/>
        <v>0</v>
      </c>
      <c r="Y621" s="62">
        <f t="shared" si="106"/>
        <v>0</v>
      </c>
      <c r="AA621" s="94"/>
    </row>
    <row r="622" spans="2:27" x14ac:dyDescent="0.2">
      <c r="B622" s="94"/>
      <c r="C622" s="62">
        <v>583</v>
      </c>
      <c r="D622" s="62">
        <v>8857.7346836080524</v>
      </c>
      <c r="E622" s="62">
        <v>0.61795041554261099</v>
      </c>
      <c r="F622" s="62">
        <v>12725.226816378903</v>
      </c>
      <c r="G622" s="62">
        <v>0.8942825387240656</v>
      </c>
      <c r="H622" s="62">
        <v>12758.332490277036</v>
      </c>
      <c r="I622" s="62">
        <v>0.89701778167713742</v>
      </c>
      <c r="J622" s="62">
        <v>12673.810088593511</v>
      </c>
      <c r="K622" s="62">
        <v>0.88953667519816215</v>
      </c>
      <c r="L622" s="62">
        <f t="shared" si="107"/>
        <v>-3867.4921327708507</v>
      </c>
      <c r="M622" s="62">
        <f t="shared" si="108"/>
        <v>-0.27633212318145461</v>
      </c>
      <c r="N622" s="62">
        <f t="shared" si="109"/>
        <v>-3900.597806668984</v>
      </c>
      <c r="O622" s="62">
        <f t="shared" si="110"/>
        <v>-0.27906736613452643</v>
      </c>
      <c r="P622" s="62">
        <f t="shared" si="111"/>
        <v>-3816.0754049854586</v>
      </c>
      <c r="Q622" s="62">
        <f t="shared" si="112"/>
        <v>-0.27158625965555117</v>
      </c>
      <c r="R622" s="62">
        <f t="shared" si="113"/>
        <v>16740.243329829063</v>
      </c>
      <c r="S622" s="62">
        <f t="shared" si="114"/>
        <v>24319.533067726792</v>
      </c>
      <c r="T622" s="62">
        <f t="shared" si="115"/>
        <v>24399.732097916702</v>
      </c>
      <c r="U622" s="62">
        <f t="shared" si="116"/>
        <v>24174.357144815156</v>
      </c>
      <c r="V622" s="62">
        <f t="shared" si="106"/>
        <v>1</v>
      </c>
      <c r="W622" s="62">
        <f t="shared" si="106"/>
        <v>0</v>
      </c>
      <c r="X622" s="62">
        <f t="shared" si="106"/>
        <v>0</v>
      </c>
      <c r="Y622" s="62">
        <f t="shared" si="106"/>
        <v>0</v>
      </c>
      <c r="AA622" s="94"/>
    </row>
    <row r="623" spans="2:27" x14ac:dyDescent="0.2">
      <c r="B623" s="94"/>
      <c r="C623" s="62">
        <v>584</v>
      </c>
      <c r="D623" s="62">
        <v>11570.909830598543</v>
      </c>
      <c r="E623" s="62">
        <v>0.61752682646422286</v>
      </c>
      <c r="F623" s="62">
        <v>16630.162542382121</v>
      </c>
      <c r="G623" s="62">
        <v>0.89358079512698252</v>
      </c>
      <c r="H623" s="62">
        <v>16691.177404211256</v>
      </c>
      <c r="I623" s="62">
        <v>0.89716102627736771</v>
      </c>
      <c r="J623" s="62">
        <v>16580.044842102569</v>
      </c>
      <c r="K623" s="62">
        <v>0.88968832381294438</v>
      </c>
      <c r="L623" s="62">
        <f t="shared" si="107"/>
        <v>-5059.252711783578</v>
      </c>
      <c r="M623" s="62">
        <f t="shared" si="108"/>
        <v>-0.27605396866275966</v>
      </c>
      <c r="N623" s="62">
        <f t="shared" si="109"/>
        <v>-5120.267573612713</v>
      </c>
      <c r="O623" s="62">
        <f t="shared" si="110"/>
        <v>-0.27963419981314486</v>
      </c>
      <c r="P623" s="62">
        <f t="shared" si="111"/>
        <v>-5009.1350115040259</v>
      </c>
      <c r="Q623" s="62">
        <f t="shared" si="112"/>
        <v>-0.27216149734872153</v>
      </c>
      <c r="R623" s="62">
        <f t="shared" si="113"/>
        <v>14009.521428855423</v>
      </c>
      <c r="S623" s="62">
        <f t="shared" si="114"/>
        <v>20385.528314958003</v>
      </c>
      <c r="T623" s="62">
        <f t="shared" si="115"/>
        <v>20472.820948302422</v>
      </c>
      <c r="U623" s="62">
        <f t="shared" si="116"/>
        <v>20274.404283524837</v>
      </c>
      <c r="V623" s="62">
        <f t="shared" si="106"/>
        <v>1</v>
      </c>
      <c r="W623" s="62">
        <f t="shared" si="106"/>
        <v>0</v>
      </c>
      <c r="X623" s="62">
        <f t="shared" si="106"/>
        <v>0</v>
      </c>
      <c r="Y623" s="62">
        <f t="shared" si="106"/>
        <v>0</v>
      </c>
      <c r="AA623" s="94"/>
    </row>
    <row r="624" spans="2:27" x14ac:dyDescent="0.2">
      <c r="B624" s="94"/>
      <c r="C624" s="62">
        <v>585</v>
      </c>
      <c r="D624" s="62">
        <v>9386.8464260760666</v>
      </c>
      <c r="E624" s="62">
        <v>0.61791640176470186</v>
      </c>
      <c r="F624" s="62">
        <v>13477.461988511583</v>
      </c>
      <c r="G624" s="62">
        <v>0.89422342579506142</v>
      </c>
      <c r="H624" s="62">
        <v>13521.657107377101</v>
      </c>
      <c r="I624" s="62">
        <v>0.89744074255455231</v>
      </c>
      <c r="J624" s="62">
        <v>13423.248446796726</v>
      </c>
      <c r="K624" s="62">
        <v>0.88933647502984836</v>
      </c>
      <c r="L624" s="62">
        <f t="shared" si="107"/>
        <v>-4090.615562435516</v>
      </c>
      <c r="M624" s="62">
        <f t="shared" si="108"/>
        <v>-0.27630702403035956</v>
      </c>
      <c r="N624" s="62">
        <f t="shared" si="109"/>
        <v>-4134.8106813010345</v>
      </c>
      <c r="O624" s="62">
        <f t="shared" si="110"/>
        <v>-0.27952434078985045</v>
      </c>
      <c r="P624" s="62">
        <f t="shared" si="111"/>
        <v>-4036.4020207206595</v>
      </c>
      <c r="Q624" s="62">
        <f t="shared" si="112"/>
        <v>-0.2714200732651465</v>
      </c>
      <c r="R624" s="62">
        <f t="shared" si="113"/>
        <v>16209.722600624944</v>
      </c>
      <c r="S624" s="62">
        <f t="shared" si="114"/>
        <v>23564.849201623045</v>
      </c>
      <c r="T624" s="62">
        <f t="shared" si="115"/>
        <v>23653.928212202674</v>
      </c>
      <c r="U624" s="62">
        <f t="shared" si="116"/>
        <v>23416.625694839709</v>
      </c>
      <c r="V624" s="62">
        <f t="shared" si="106"/>
        <v>1</v>
      </c>
      <c r="W624" s="62">
        <f t="shared" si="106"/>
        <v>0</v>
      </c>
      <c r="X624" s="62">
        <f t="shared" si="106"/>
        <v>0</v>
      </c>
      <c r="Y624" s="62">
        <f t="shared" si="106"/>
        <v>0</v>
      </c>
      <c r="AA624" s="94"/>
    </row>
    <row r="625" spans="2:27" x14ac:dyDescent="0.2">
      <c r="B625" s="94"/>
      <c r="C625" s="62">
        <v>586</v>
      </c>
      <c r="D625" s="62">
        <v>9011.0204280207363</v>
      </c>
      <c r="E625" s="62">
        <v>0.61745607110235246</v>
      </c>
      <c r="F625" s="62">
        <v>12945.992710442939</v>
      </c>
      <c r="G625" s="62">
        <v>0.89423837500663184</v>
      </c>
      <c r="H625" s="62">
        <v>12992.96966252671</v>
      </c>
      <c r="I625" s="62">
        <v>0.89773338005522763</v>
      </c>
      <c r="J625" s="62">
        <v>12889.263685103246</v>
      </c>
      <c r="K625" s="62">
        <v>0.88889957051891044</v>
      </c>
      <c r="L625" s="62">
        <f t="shared" si="107"/>
        <v>-3934.9722824222026</v>
      </c>
      <c r="M625" s="62">
        <f t="shared" si="108"/>
        <v>-0.27678230390427938</v>
      </c>
      <c r="N625" s="62">
        <f t="shared" si="109"/>
        <v>-3981.9492345059734</v>
      </c>
      <c r="O625" s="62">
        <f t="shared" si="110"/>
        <v>-0.28027730895287517</v>
      </c>
      <c r="P625" s="62">
        <f t="shared" si="111"/>
        <v>-3878.2432570825094</v>
      </c>
      <c r="Q625" s="62">
        <f t="shared" si="112"/>
        <v>-0.27144349941655799</v>
      </c>
      <c r="R625" s="62">
        <f t="shared" si="113"/>
        <v>16566.479861323111</v>
      </c>
      <c r="S625" s="62">
        <f t="shared" si="114"/>
        <v>24096.93773583178</v>
      </c>
      <c r="T625" s="62">
        <f t="shared" si="115"/>
        <v>24194.737872881036</v>
      </c>
      <c r="U625" s="62">
        <f t="shared" si="116"/>
        <v>23932.512124072106</v>
      </c>
      <c r="V625" s="62">
        <f t="shared" si="106"/>
        <v>1</v>
      </c>
      <c r="W625" s="62">
        <f t="shared" si="106"/>
        <v>0</v>
      </c>
      <c r="X625" s="62">
        <f t="shared" si="106"/>
        <v>0</v>
      </c>
      <c r="Y625" s="62">
        <f t="shared" si="106"/>
        <v>0</v>
      </c>
      <c r="AA625" s="94"/>
    </row>
    <row r="626" spans="2:27" x14ac:dyDescent="0.2">
      <c r="B626" s="94"/>
      <c r="C626" s="62">
        <v>587</v>
      </c>
      <c r="D626" s="62">
        <v>10949.722815208139</v>
      </c>
      <c r="E626" s="62">
        <v>0.61762793635286961</v>
      </c>
      <c r="F626" s="62">
        <v>15751.776563046104</v>
      </c>
      <c r="G626" s="62">
        <v>0.89446056047896239</v>
      </c>
      <c r="H626" s="62">
        <v>15805.099988373317</v>
      </c>
      <c r="I626" s="62">
        <v>0.89768804244734934</v>
      </c>
      <c r="J626" s="62">
        <v>15687.681117237355</v>
      </c>
      <c r="K626" s="62">
        <v>0.88965962345938254</v>
      </c>
      <c r="L626" s="62">
        <f t="shared" si="107"/>
        <v>-4802.0537478379647</v>
      </c>
      <c r="M626" s="62">
        <f t="shared" si="108"/>
        <v>-0.27683262412609277</v>
      </c>
      <c r="N626" s="62">
        <f t="shared" si="109"/>
        <v>-4855.3771731651777</v>
      </c>
      <c r="O626" s="62">
        <f t="shared" si="110"/>
        <v>-0.28006010609447973</v>
      </c>
      <c r="P626" s="62">
        <f t="shared" si="111"/>
        <v>-4737.9583020292157</v>
      </c>
      <c r="Q626" s="62">
        <f t="shared" si="112"/>
        <v>-0.27203168710651293</v>
      </c>
      <c r="R626" s="62">
        <f t="shared" si="113"/>
        <v>14634.896820273132</v>
      </c>
      <c r="S626" s="62">
        <f t="shared" si="114"/>
        <v>21300.357694234433</v>
      </c>
      <c r="T626" s="62">
        <f t="shared" si="115"/>
        <v>21380.729481965682</v>
      </c>
      <c r="U626" s="62">
        <f t="shared" si="116"/>
        <v>21165.579124944103</v>
      </c>
      <c r="V626" s="62">
        <f t="shared" si="106"/>
        <v>1</v>
      </c>
      <c r="W626" s="62">
        <f t="shared" si="106"/>
        <v>0</v>
      </c>
      <c r="X626" s="62">
        <f t="shared" si="106"/>
        <v>0</v>
      </c>
      <c r="Y626" s="62">
        <f t="shared" si="106"/>
        <v>0</v>
      </c>
      <c r="AA626" s="94"/>
    </row>
    <row r="627" spans="2:27" x14ac:dyDescent="0.2">
      <c r="B627" s="94"/>
      <c r="C627" s="62">
        <v>588</v>
      </c>
      <c r="D627" s="62">
        <v>9574.4149372449501</v>
      </c>
      <c r="E627" s="62">
        <v>0.61778342854754109</v>
      </c>
      <c r="F627" s="62">
        <v>13762.550180475215</v>
      </c>
      <c r="G627" s="62">
        <v>0.89442298271058696</v>
      </c>
      <c r="H627" s="62">
        <v>13794.480220596615</v>
      </c>
      <c r="I627" s="62">
        <v>0.89682362654137715</v>
      </c>
      <c r="J627" s="62">
        <v>13699.381893923904</v>
      </c>
      <c r="K627" s="62">
        <v>0.88916884934029028</v>
      </c>
      <c r="L627" s="62">
        <f t="shared" si="107"/>
        <v>-4188.1352432302647</v>
      </c>
      <c r="M627" s="62">
        <f t="shared" si="108"/>
        <v>-0.27663955416304586</v>
      </c>
      <c r="N627" s="62">
        <f t="shared" si="109"/>
        <v>-4220.0652833516651</v>
      </c>
      <c r="O627" s="62">
        <f t="shared" si="110"/>
        <v>-0.27904019799383606</v>
      </c>
      <c r="P627" s="62">
        <f t="shared" si="111"/>
        <v>-4124.9669566789544</v>
      </c>
      <c r="Q627" s="62">
        <f t="shared" si="112"/>
        <v>-0.27138542079274919</v>
      </c>
      <c r="R627" s="62">
        <f t="shared" si="113"/>
        <v>16016.645806908393</v>
      </c>
      <c r="S627" s="62">
        <f t="shared" si="114"/>
        <v>23288.027455328142</v>
      </c>
      <c r="T627" s="62">
        <f t="shared" si="115"/>
        <v>23355.541685253393</v>
      </c>
      <c r="U627" s="62">
        <f t="shared" si="116"/>
        <v>23133.548521148281</v>
      </c>
      <c r="V627" s="62">
        <f t="shared" si="106"/>
        <v>1</v>
      </c>
      <c r="W627" s="62">
        <f t="shared" si="106"/>
        <v>0</v>
      </c>
      <c r="X627" s="62">
        <f t="shared" si="106"/>
        <v>0</v>
      </c>
      <c r="Y627" s="62">
        <f t="shared" si="106"/>
        <v>0</v>
      </c>
      <c r="AA627" s="94"/>
    </row>
    <row r="628" spans="2:27" x14ac:dyDescent="0.2">
      <c r="B628" s="94"/>
      <c r="C628" s="62">
        <v>589</v>
      </c>
      <c r="D628" s="62">
        <v>9144.2495878345544</v>
      </c>
      <c r="E628" s="62">
        <v>0.61731672796322801</v>
      </c>
      <c r="F628" s="62">
        <v>13155.343231409506</v>
      </c>
      <c r="G628" s="62">
        <v>0.89459762565620471</v>
      </c>
      <c r="H628" s="62">
        <v>13182.096092092555</v>
      </c>
      <c r="I628" s="62">
        <v>0.89667588201762694</v>
      </c>
      <c r="J628" s="62">
        <v>13092.973243325259</v>
      </c>
      <c r="K628" s="62">
        <v>0.8892914914603407</v>
      </c>
      <c r="L628" s="62">
        <f t="shared" si="107"/>
        <v>-4011.0936435749518</v>
      </c>
      <c r="M628" s="62">
        <f t="shared" si="108"/>
        <v>-0.2772808976929767</v>
      </c>
      <c r="N628" s="62">
        <f t="shared" si="109"/>
        <v>-4037.846504258001</v>
      </c>
      <c r="O628" s="62">
        <f t="shared" si="110"/>
        <v>-0.27935915405439893</v>
      </c>
      <c r="P628" s="62">
        <f t="shared" si="111"/>
        <v>-3948.7236554907049</v>
      </c>
      <c r="Q628" s="62">
        <f t="shared" si="112"/>
        <v>-0.27197476349711269</v>
      </c>
      <c r="R628" s="62">
        <f t="shared" si="113"/>
        <v>16427.478551314201</v>
      </c>
      <c r="S628" s="62">
        <f t="shared" si="114"/>
        <v>23902.468813773121</v>
      </c>
      <c r="T628" s="62">
        <f t="shared" si="115"/>
        <v>23961.805644605622</v>
      </c>
      <c r="U628" s="62">
        <f t="shared" si="116"/>
        <v>23745.037498927893</v>
      </c>
      <c r="V628" s="62">
        <f t="shared" si="106"/>
        <v>1</v>
      </c>
      <c r="W628" s="62">
        <f t="shared" si="106"/>
        <v>0</v>
      </c>
      <c r="X628" s="62">
        <f t="shared" si="106"/>
        <v>0</v>
      </c>
      <c r="Y628" s="62">
        <f t="shared" si="106"/>
        <v>0</v>
      </c>
      <c r="AA628" s="94"/>
    </row>
    <row r="629" spans="2:27" x14ac:dyDescent="0.2">
      <c r="B629" s="94"/>
      <c r="C629" s="62">
        <v>590</v>
      </c>
      <c r="D629" s="62">
        <v>11301.59703615867</v>
      </c>
      <c r="E629" s="62">
        <v>0.61766066694893351</v>
      </c>
      <c r="F629" s="62">
        <v>16253.273718607288</v>
      </c>
      <c r="G629" s="62">
        <v>0.89398296418398726</v>
      </c>
      <c r="H629" s="62">
        <v>16314.722355515922</v>
      </c>
      <c r="I629" s="62">
        <v>0.89762870298632524</v>
      </c>
      <c r="J629" s="62">
        <v>16186.381772987925</v>
      </c>
      <c r="K629" s="62">
        <v>0.88921561639618063</v>
      </c>
      <c r="L629" s="62">
        <f t="shared" si="107"/>
        <v>-4951.6766824486185</v>
      </c>
      <c r="M629" s="62">
        <f t="shared" si="108"/>
        <v>-0.27632229723505375</v>
      </c>
      <c r="N629" s="62">
        <f t="shared" si="109"/>
        <v>-5013.125319357252</v>
      </c>
      <c r="O629" s="62">
        <f t="shared" si="110"/>
        <v>-0.27996803603739173</v>
      </c>
      <c r="P629" s="62">
        <f t="shared" si="111"/>
        <v>-4884.7847368292551</v>
      </c>
      <c r="Q629" s="62">
        <f t="shared" si="112"/>
        <v>-0.27155494944724712</v>
      </c>
      <c r="R629" s="62">
        <f t="shared" si="113"/>
        <v>14284.378431533951</v>
      </c>
      <c r="S629" s="62">
        <f t="shared" si="114"/>
        <v>20779.076589750202</v>
      </c>
      <c r="T629" s="62">
        <f t="shared" si="115"/>
        <v>20868.649036989613</v>
      </c>
      <c r="U629" s="62">
        <f t="shared" si="116"/>
        <v>20648.485920607462</v>
      </c>
      <c r="V629" s="62">
        <f t="shared" si="106"/>
        <v>1</v>
      </c>
      <c r="W629" s="62">
        <f t="shared" si="106"/>
        <v>0</v>
      </c>
      <c r="X629" s="62">
        <f t="shared" si="106"/>
        <v>0</v>
      </c>
      <c r="Y629" s="62">
        <f t="shared" si="106"/>
        <v>0</v>
      </c>
      <c r="AA629" s="94"/>
    </row>
    <row r="630" spans="2:27" x14ac:dyDescent="0.2">
      <c r="B630" s="94"/>
      <c r="C630" s="62">
        <v>591</v>
      </c>
      <c r="D630" s="62">
        <v>12786.220447091677</v>
      </c>
      <c r="E630" s="62">
        <v>0.61769337148625469</v>
      </c>
      <c r="F630" s="62">
        <v>18392.892751997362</v>
      </c>
      <c r="G630" s="62">
        <v>0.89384190703204036</v>
      </c>
      <c r="H630" s="62">
        <v>18452.062934540852</v>
      </c>
      <c r="I630" s="62">
        <v>0.89692155448608024</v>
      </c>
      <c r="J630" s="62">
        <v>18313.381028083015</v>
      </c>
      <c r="K630" s="62">
        <v>0.88900092284722265</v>
      </c>
      <c r="L630" s="62">
        <f t="shared" si="107"/>
        <v>-5606.6723049056855</v>
      </c>
      <c r="M630" s="62">
        <f t="shared" si="108"/>
        <v>-0.27614853554578567</v>
      </c>
      <c r="N630" s="62">
        <f t="shared" si="109"/>
        <v>-5665.8424874491757</v>
      </c>
      <c r="O630" s="62">
        <f t="shared" si="110"/>
        <v>-0.27922818299982555</v>
      </c>
      <c r="P630" s="62">
        <f t="shared" si="111"/>
        <v>-5527.1605809913381</v>
      </c>
      <c r="Q630" s="62">
        <f t="shared" si="112"/>
        <v>-0.27130755136096796</v>
      </c>
      <c r="R630" s="62">
        <f t="shared" si="113"/>
        <v>12801.109773354936</v>
      </c>
      <c r="S630" s="62">
        <f t="shared" si="114"/>
        <v>18633.614404897879</v>
      </c>
      <c r="T630" s="62">
        <f t="shared" si="115"/>
        <v>18702.015538490537</v>
      </c>
      <c r="U630" s="62">
        <f t="shared" si="116"/>
        <v>18512.593199940333</v>
      </c>
      <c r="V630" s="62">
        <f t="shared" si="106"/>
        <v>1</v>
      </c>
      <c r="W630" s="62">
        <f t="shared" si="106"/>
        <v>0</v>
      </c>
      <c r="X630" s="62">
        <f t="shared" si="106"/>
        <v>0</v>
      </c>
      <c r="Y630" s="62">
        <f t="shared" si="106"/>
        <v>0</v>
      </c>
      <c r="AA630" s="94"/>
    </row>
    <row r="631" spans="2:27" x14ac:dyDescent="0.2">
      <c r="B631" s="94"/>
      <c r="C631" s="62">
        <v>592</v>
      </c>
      <c r="D631" s="62">
        <v>10586.212066712613</v>
      </c>
      <c r="E631" s="62">
        <v>0.61814185034651115</v>
      </c>
      <c r="F631" s="62">
        <v>15219.981337454683</v>
      </c>
      <c r="G631" s="62">
        <v>0.89510933015399641</v>
      </c>
      <c r="H631" s="62">
        <v>15250.304341988674</v>
      </c>
      <c r="I631" s="62">
        <v>0.89711607007005412</v>
      </c>
      <c r="J631" s="62">
        <v>15149.402532636983</v>
      </c>
      <c r="K631" s="62">
        <v>0.88980406392688149</v>
      </c>
      <c r="L631" s="62">
        <f t="shared" si="107"/>
        <v>-4633.7692707420701</v>
      </c>
      <c r="M631" s="62">
        <f t="shared" si="108"/>
        <v>-0.27696747980748526</v>
      </c>
      <c r="N631" s="62">
        <f t="shared" si="109"/>
        <v>-4664.0922752760616</v>
      </c>
      <c r="O631" s="62">
        <f t="shared" si="110"/>
        <v>-0.27897421972354297</v>
      </c>
      <c r="P631" s="62">
        <f t="shared" si="111"/>
        <v>-4563.1904659243701</v>
      </c>
      <c r="Q631" s="62">
        <f t="shared" si="112"/>
        <v>-0.27166221358037035</v>
      </c>
      <c r="R631" s="62">
        <f t="shared" si="113"/>
        <v>15019.695942041266</v>
      </c>
      <c r="S631" s="62">
        <f t="shared" si="114"/>
        <v>21859.027554844466</v>
      </c>
      <c r="T631" s="62">
        <f t="shared" si="115"/>
        <v>21911.831744593248</v>
      </c>
      <c r="U631" s="62">
        <f t="shared" si="116"/>
        <v>21709.841011470155</v>
      </c>
      <c r="V631" s="62">
        <f t="shared" si="106"/>
        <v>1</v>
      </c>
      <c r="W631" s="62">
        <f t="shared" si="106"/>
        <v>0</v>
      </c>
      <c r="X631" s="62">
        <f t="shared" si="106"/>
        <v>0</v>
      </c>
      <c r="Y631" s="62">
        <f t="shared" si="106"/>
        <v>0</v>
      </c>
      <c r="AA631" s="94"/>
    </row>
    <row r="632" spans="2:27" x14ac:dyDescent="0.2">
      <c r="B632" s="94"/>
      <c r="C632" s="62">
        <v>593</v>
      </c>
      <c r="D632" s="62">
        <v>9022.91150023503</v>
      </c>
      <c r="E632" s="62">
        <v>0.61764960803915969</v>
      </c>
      <c r="F632" s="62">
        <v>12959.991467809368</v>
      </c>
      <c r="G632" s="62">
        <v>0.89388673890370429</v>
      </c>
      <c r="H632" s="62">
        <v>13005.01587651975</v>
      </c>
      <c r="I632" s="62">
        <v>0.89746920491833793</v>
      </c>
      <c r="J632" s="62">
        <v>12913.99152296478</v>
      </c>
      <c r="K632" s="62">
        <v>0.88958580025138512</v>
      </c>
      <c r="L632" s="62">
        <f t="shared" si="107"/>
        <v>-3937.0799675743383</v>
      </c>
      <c r="M632" s="62">
        <f t="shared" si="108"/>
        <v>-0.2762371308645446</v>
      </c>
      <c r="N632" s="62">
        <f t="shared" si="109"/>
        <v>-3982.1043762847203</v>
      </c>
      <c r="O632" s="62">
        <f t="shared" si="110"/>
        <v>-0.27981959687917823</v>
      </c>
      <c r="P632" s="62">
        <f t="shared" si="111"/>
        <v>-3891.0800227297495</v>
      </c>
      <c r="Q632" s="62">
        <f t="shared" si="112"/>
        <v>-0.27193619221222542</v>
      </c>
      <c r="R632" s="62">
        <f t="shared" si="113"/>
        <v>16562.60586317912</v>
      </c>
      <c r="S632" s="62">
        <f t="shared" si="114"/>
        <v>24068.372804537677</v>
      </c>
      <c r="T632" s="62">
        <f t="shared" si="115"/>
        <v>24171.748468017482</v>
      </c>
      <c r="U632" s="62">
        <f t="shared" si="116"/>
        <v>23936.210666648592</v>
      </c>
      <c r="V632" s="62">
        <f t="shared" si="106"/>
        <v>1</v>
      </c>
      <c r="W632" s="62">
        <f t="shared" si="106"/>
        <v>0</v>
      </c>
      <c r="X632" s="62">
        <f t="shared" si="106"/>
        <v>0</v>
      </c>
      <c r="Y632" s="62">
        <f t="shared" si="106"/>
        <v>0</v>
      </c>
      <c r="AA632" s="94"/>
    </row>
    <row r="633" spans="2:27" x14ac:dyDescent="0.2">
      <c r="B633" s="94"/>
      <c r="C633" s="62">
        <v>594</v>
      </c>
      <c r="D633" s="62">
        <v>8938.6440906589996</v>
      </c>
      <c r="E633" s="62">
        <v>0.61814761257778972</v>
      </c>
      <c r="F633" s="62">
        <v>12834.810305032574</v>
      </c>
      <c r="G633" s="62">
        <v>0.89441805169546085</v>
      </c>
      <c r="H633" s="62">
        <v>12863.569738350334</v>
      </c>
      <c r="I633" s="62">
        <v>0.89677445004520995</v>
      </c>
      <c r="J633" s="62">
        <v>12775.800881807212</v>
      </c>
      <c r="K633" s="62">
        <v>0.88913810947582317</v>
      </c>
      <c r="L633" s="62">
        <f t="shared" si="107"/>
        <v>-3896.1662143735739</v>
      </c>
      <c r="M633" s="62">
        <f t="shared" si="108"/>
        <v>-0.27627043911767113</v>
      </c>
      <c r="N633" s="62">
        <f t="shared" si="109"/>
        <v>-3924.9256476913342</v>
      </c>
      <c r="O633" s="62">
        <f t="shared" si="110"/>
        <v>-0.27862683746742023</v>
      </c>
      <c r="P633" s="62">
        <f t="shared" si="111"/>
        <v>-3837.1567911482125</v>
      </c>
      <c r="Q633" s="62">
        <f t="shared" si="112"/>
        <v>-0.27099049689803345</v>
      </c>
      <c r="R633" s="62">
        <f t="shared" si="113"/>
        <v>16667.502612763361</v>
      </c>
      <c r="S633" s="62">
        <f t="shared" si="114"/>
        <v>24215.563068400195</v>
      </c>
      <c r="T633" s="62">
        <f t="shared" si="115"/>
        <v>24284.41508032244</v>
      </c>
      <c r="U633" s="62">
        <f t="shared" si="116"/>
        <v>24055.856165119287</v>
      </c>
      <c r="V633" s="62">
        <f t="shared" si="106"/>
        <v>1</v>
      </c>
      <c r="W633" s="62">
        <f t="shared" si="106"/>
        <v>0</v>
      </c>
      <c r="X633" s="62">
        <f t="shared" si="106"/>
        <v>0</v>
      </c>
      <c r="Y633" s="62">
        <f t="shared" si="106"/>
        <v>0</v>
      </c>
      <c r="AA633" s="94"/>
    </row>
    <row r="634" spans="2:27" x14ac:dyDescent="0.2">
      <c r="B634" s="94"/>
      <c r="C634" s="62">
        <v>595</v>
      </c>
      <c r="D634" s="62">
        <v>9824.2570964106981</v>
      </c>
      <c r="E634" s="62">
        <v>0.61763872048182067</v>
      </c>
      <c r="F634" s="62">
        <v>14120.315714004249</v>
      </c>
      <c r="G634" s="62">
        <v>0.89411786023984696</v>
      </c>
      <c r="H634" s="62">
        <v>14156.086557407287</v>
      </c>
      <c r="I634" s="62">
        <v>0.89664803425631867</v>
      </c>
      <c r="J634" s="62">
        <v>14068.915154302178</v>
      </c>
      <c r="K634" s="62">
        <v>0.88976385419016712</v>
      </c>
      <c r="L634" s="62">
        <f t="shared" si="107"/>
        <v>-4296.0586175935514</v>
      </c>
      <c r="M634" s="62">
        <f t="shared" si="108"/>
        <v>-0.27647913975802629</v>
      </c>
      <c r="N634" s="62">
        <f t="shared" si="109"/>
        <v>-4331.8294609965888</v>
      </c>
      <c r="O634" s="62">
        <f t="shared" si="110"/>
        <v>-0.279009313774498</v>
      </c>
      <c r="P634" s="62">
        <f t="shared" si="111"/>
        <v>-4244.65805789148</v>
      </c>
      <c r="Q634" s="62">
        <f t="shared" si="112"/>
        <v>-0.27212513370834646</v>
      </c>
      <c r="R634" s="62">
        <f t="shared" si="113"/>
        <v>15760.80926082824</v>
      </c>
      <c r="S634" s="62">
        <f t="shared" si="114"/>
        <v>22917.622528571173</v>
      </c>
      <c r="T634" s="62">
        <f t="shared" si="115"/>
        <v>22986.661613626457</v>
      </c>
      <c r="U634" s="62">
        <f t="shared" si="116"/>
        <v>22788.662741671302</v>
      </c>
      <c r="V634" s="62">
        <f t="shared" si="106"/>
        <v>1</v>
      </c>
      <c r="W634" s="62">
        <f t="shared" si="106"/>
        <v>0</v>
      </c>
      <c r="X634" s="62">
        <f t="shared" si="106"/>
        <v>0</v>
      </c>
      <c r="Y634" s="62">
        <f t="shared" si="106"/>
        <v>0</v>
      </c>
      <c r="AA634" s="94"/>
    </row>
    <row r="635" spans="2:27" x14ac:dyDescent="0.2">
      <c r="B635" s="94"/>
      <c r="C635" s="62">
        <v>596</v>
      </c>
      <c r="D635" s="62">
        <v>10502.855465849028</v>
      </c>
      <c r="E635" s="62">
        <v>0.61785250050911833</v>
      </c>
      <c r="F635" s="62">
        <v>15106.352593459573</v>
      </c>
      <c r="G635" s="62">
        <v>0.89441470065370077</v>
      </c>
      <c r="H635" s="62">
        <v>15152.798356801302</v>
      </c>
      <c r="I635" s="62">
        <v>0.8974871525951883</v>
      </c>
      <c r="J635" s="62">
        <v>15030.071121074028</v>
      </c>
      <c r="K635" s="62">
        <v>0.88895110689360946</v>
      </c>
      <c r="L635" s="62">
        <f t="shared" si="107"/>
        <v>-4603.4971276105443</v>
      </c>
      <c r="M635" s="62">
        <f t="shared" si="108"/>
        <v>-0.27656220014458244</v>
      </c>
      <c r="N635" s="62">
        <f t="shared" si="109"/>
        <v>-4649.942890952274</v>
      </c>
      <c r="O635" s="62">
        <f t="shared" si="110"/>
        <v>-0.27963465208606997</v>
      </c>
      <c r="P635" s="62">
        <f t="shared" si="111"/>
        <v>-4527.2156552249999</v>
      </c>
      <c r="Q635" s="62">
        <f t="shared" si="112"/>
        <v>-0.27109860638449113</v>
      </c>
      <c r="R635" s="62">
        <f t="shared" si="113"/>
        <v>15091.066515240691</v>
      </c>
      <c r="S635" s="62">
        <f t="shared" si="114"/>
        <v>21943.881966419329</v>
      </c>
      <c r="T635" s="62">
        <f t="shared" si="115"/>
        <v>22024.70945230178</v>
      </c>
      <c r="U635" s="62">
        <f t="shared" si="116"/>
        <v>21793.839530886849</v>
      </c>
      <c r="V635" s="62">
        <f t="shared" si="106"/>
        <v>1</v>
      </c>
      <c r="W635" s="62">
        <f t="shared" si="106"/>
        <v>0</v>
      </c>
      <c r="X635" s="62">
        <f t="shared" si="106"/>
        <v>0</v>
      </c>
      <c r="Y635" s="62">
        <f t="shared" si="106"/>
        <v>0</v>
      </c>
      <c r="AA635" s="94"/>
    </row>
    <row r="636" spans="2:27" x14ac:dyDescent="0.2">
      <c r="B636" s="94"/>
      <c r="C636" s="62">
        <v>597</v>
      </c>
      <c r="D636" s="62">
        <v>9649.2928175125708</v>
      </c>
      <c r="E636" s="62">
        <v>0.61729146638707411</v>
      </c>
      <c r="F636" s="62">
        <v>13872.833236734032</v>
      </c>
      <c r="G636" s="62">
        <v>0.89379574150298335</v>
      </c>
      <c r="H636" s="62">
        <v>13915.972182085094</v>
      </c>
      <c r="I636" s="62">
        <v>0.89695114432453638</v>
      </c>
      <c r="J636" s="62">
        <v>13818.479342258404</v>
      </c>
      <c r="K636" s="62">
        <v>0.88922604561289309</v>
      </c>
      <c r="L636" s="62">
        <f t="shared" si="107"/>
        <v>-4223.540419221461</v>
      </c>
      <c r="M636" s="62">
        <f t="shared" si="108"/>
        <v>-0.27650427511590925</v>
      </c>
      <c r="N636" s="62">
        <f t="shared" si="109"/>
        <v>-4266.6793645725229</v>
      </c>
      <c r="O636" s="62">
        <f t="shared" si="110"/>
        <v>-0.27965967793746227</v>
      </c>
      <c r="P636" s="62">
        <f t="shared" si="111"/>
        <v>-4169.1865247458336</v>
      </c>
      <c r="Q636" s="62">
        <f t="shared" si="112"/>
        <v>-0.27193457922581898</v>
      </c>
      <c r="R636" s="62">
        <f t="shared" si="113"/>
        <v>15921.388886105586</v>
      </c>
      <c r="S636" s="62">
        <f t="shared" si="114"/>
        <v>23151.761559285551</v>
      </c>
      <c r="T636" s="62">
        <f t="shared" si="115"/>
        <v>23239.332020414502</v>
      </c>
      <c r="U636" s="62">
        <f t="shared" si="116"/>
        <v>23016.82037121008</v>
      </c>
      <c r="V636" s="62">
        <f t="shared" si="106"/>
        <v>1</v>
      </c>
      <c r="W636" s="62">
        <f t="shared" si="106"/>
        <v>0</v>
      </c>
      <c r="X636" s="62">
        <f t="shared" si="106"/>
        <v>0</v>
      </c>
      <c r="Y636" s="62">
        <f t="shared" si="106"/>
        <v>0</v>
      </c>
      <c r="AA636" s="94"/>
    </row>
    <row r="637" spans="2:27" x14ac:dyDescent="0.2">
      <c r="B637" s="94"/>
      <c r="C637" s="62">
        <v>598</v>
      </c>
      <c r="D637" s="62">
        <v>10017.166665323455</v>
      </c>
      <c r="E637" s="62">
        <v>0.61808805797387478</v>
      </c>
      <c r="F637" s="62">
        <v>14394.368183610051</v>
      </c>
      <c r="G637" s="62">
        <v>0.89437933858839214</v>
      </c>
      <c r="H637" s="62">
        <v>14427.791212728494</v>
      </c>
      <c r="I637" s="62">
        <v>0.89676896177246768</v>
      </c>
      <c r="J637" s="62">
        <v>14330.292306581352</v>
      </c>
      <c r="K637" s="62">
        <v>0.88930216589751143</v>
      </c>
      <c r="L637" s="62">
        <f t="shared" si="107"/>
        <v>-4377.2015182865962</v>
      </c>
      <c r="M637" s="62">
        <f t="shared" si="108"/>
        <v>-0.27629128061451735</v>
      </c>
      <c r="N637" s="62">
        <f t="shared" si="109"/>
        <v>-4410.6245474050393</v>
      </c>
      <c r="O637" s="62">
        <f t="shared" si="110"/>
        <v>-0.27868090379859289</v>
      </c>
      <c r="P637" s="62">
        <f t="shared" si="111"/>
        <v>-4313.1256412578969</v>
      </c>
      <c r="Q637" s="62">
        <f t="shared" si="112"/>
        <v>-0.27121410792363665</v>
      </c>
      <c r="R637" s="62">
        <f t="shared" si="113"/>
        <v>15586.513048186333</v>
      </c>
      <c r="S637" s="62">
        <f t="shared" si="114"/>
        <v>22654.401538075508</v>
      </c>
      <c r="T637" s="62">
        <f t="shared" si="115"/>
        <v>22719.966259734203</v>
      </c>
      <c r="U637" s="62">
        <f t="shared" si="116"/>
        <v>22508.160613557164</v>
      </c>
      <c r="V637" s="62">
        <f t="shared" si="106"/>
        <v>1</v>
      </c>
      <c r="W637" s="62">
        <f t="shared" si="106"/>
        <v>0</v>
      </c>
      <c r="X637" s="62">
        <f t="shared" si="106"/>
        <v>0</v>
      </c>
      <c r="Y637" s="62">
        <f t="shared" si="106"/>
        <v>0</v>
      </c>
      <c r="AA637" s="94"/>
    </row>
    <row r="638" spans="2:27" x14ac:dyDescent="0.2">
      <c r="B638" s="94"/>
      <c r="C638" s="62">
        <v>599</v>
      </c>
      <c r="D638" s="62">
        <v>9084.4622648187287</v>
      </c>
      <c r="E638" s="62">
        <v>0.61799259176069099</v>
      </c>
      <c r="F638" s="62">
        <v>13045.995408282501</v>
      </c>
      <c r="G638" s="62">
        <v>0.8943330697824583</v>
      </c>
      <c r="H638" s="62">
        <v>13078.433743587848</v>
      </c>
      <c r="I638" s="62">
        <v>0.8968596634051208</v>
      </c>
      <c r="J638" s="62">
        <v>12989.21171259278</v>
      </c>
      <c r="K638" s="62">
        <v>0.88914012363133554</v>
      </c>
      <c r="L638" s="62">
        <f t="shared" si="107"/>
        <v>-3961.5331434637719</v>
      </c>
      <c r="M638" s="62">
        <f t="shared" si="108"/>
        <v>-0.27634047802176731</v>
      </c>
      <c r="N638" s="62">
        <f t="shared" si="109"/>
        <v>-3993.9714787691191</v>
      </c>
      <c r="O638" s="62">
        <f t="shared" si="110"/>
        <v>-0.27886707164442981</v>
      </c>
      <c r="P638" s="62">
        <f t="shared" si="111"/>
        <v>-3904.7494477740511</v>
      </c>
      <c r="Q638" s="62">
        <f t="shared" si="112"/>
        <v>-0.27114753187064455</v>
      </c>
      <c r="R638" s="62">
        <f t="shared" si="113"/>
        <v>16515.262856276135</v>
      </c>
      <c r="S638" s="62">
        <f t="shared" si="114"/>
        <v>24000.857674386054</v>
      </c>
      <c r="T638" s="62">
        <f t="shared" si="115"/>
        <v>24073.080953305878</v>
      </c>
      <c r="U638" s="62">
        <f t="shared" si="116"/>
        <v>23842.528768711662</v>
      </c>
      <c r="V638" s="62">
        <f t="shared" si="106"/>
        <v>1</v>
      </c>
      <c r="W638" s="62">
        <f t="shared" si="106"/>
        <v>0</v>
      </c>
      <c r="X638" s="62">
        <f t="shared" si="106"/>
        <v>0</v>
      </c>
      <c r="Y638" s="62">
        <f t="shared" si="106"/>
        <v>0</v>
      </c>
      <c r="AA638" s="94"/>
    </row>
    <row r="639" spans="2:27" x14ac:dyDescent="0.2">
      <c r="B639" s="94"/>
      <c r="C639" s="62">
        <v>600</v>
      </c>
      <c r="D639" s="62">
        <v>12268.10692986006</v>
      </c>
      <c r="E639" s="62">
        <v>0.61788695490642531</v>
      </c>
      <c r="F639" s="62">
        <v>17645.989563336901</v>
      </c>
      <c r="G639" s="62">
        <v>0.8940064494499419</v>
      </c>
      <c r="H639" s="62">
        <v>17719.121128225815</v>
      </c>
      <c r="I639" s="62">
        <v>0.89798204019025329</v>
      </c>
      <c r="J639" s="62">
        <v>17575.948574348669</v>
      </c>
      <c r="K639" s="62">
        <v>0.88952531247246591</v>
      </c>
      <c r="L639" s="62">
        <f t="shared" si="107"/>
        <v>-5377.8826334768419</v>
      </c>
      <c r="M639" s="62">
        <f t="shared" si="108"/>
        <v>-0.27611949454351659</v>
      </c>
      <c r="N639" s="62">
        <f t="shared" si="109"/>
        <v>-5451.0141983657559</v>
      </c>
      <c r="O639" s="62">
        <f t="shared" si="110"/>
        <v>-0.28009508528382798</v>
      </c>
      <c r="P639" s="62">
        <f t="shared" si="111"/>
        <v>-5307.8416444886097</v>
      </c>
      <c r="Q639" s="62">
        <f t="shared" si="112"/>
        <v>-0.2716383575660406</v>
      </c>
      <c r="R639" s="62">
        <f t="shared" si="113"/>
        <v>13327.242290183702</v>
      </c>
      <c r="S639" s="62">
        <f t="shared" si="114"/>
        <v>19387.333598677491</v>
      </c>
      <c r="T639" s="62">
        <f t="shared" si="115"/>
        <v>19478.886904615239</v>
      </c>
      <c r="U639" s="62">
        <f t="shared" si="116"/>
        <v>19271.747969510758</v>
      </c>
      <c r="V639" s="62">
        <f t="shared" si="106"/>
        <v>1</v>
      </c>
      <c r="W639" s="62">
        <f t="shared" si="106"/>
        <v>0</v>
      </c>
      <c r="X639" s="62">
        <f t="shared" si="106"/>
        <v>0</v>
      </c>
      <c r="Y639" s="62">
        <f t="shared" si="106"/>
        <v>0</v>
      </c>
      <c r="AA639" s="94"/>
    </row>
    <row r="640" spans="2:27" x14ac:dyDescent="0.2">
      <c r="B640" s="94"/>
      <c r="C640" s="62">
        <v>601</v>
      </c>
      <c r="D640" s="62">
        <v>8841.4583416214373</v>
      </c>
      <c r="E640" s="62">
        <v>0.61802499506920072</v>
      </c>
      <c r="F640" s="62">
        <v>12688.496828679932</v>
      </c>
      <c r="G640" s="62">
        <v>0.89347259318069028</v>
      </c>
      <c r="H640" s="62">
        <v>12738.780146008285</v>
      </c>
      <c r="I640" s="62">
        <v>0.89748484774128157</v>
      </c>
      <c r="J640" s="62">
        <v>12656.485523453232</v>
      </c>
      <c r="K640" s="62">
        <v>0.89021804390597392</v>
      </c>
      <c r="L640" s="62">
        <f t="shared" si="107"/>
        <v>-3847.0384870584949</v>
      </c>
      <c r="M640" s="62">
        <f t="shared" si="108"/>
        <v>-0.27544759811148956</v>
      </c>
      <c r="N640" s="62">
        <f t="shared" si="109"/>
        <v>-3897.3218043868474</v>
      </c>
      <c r="O640" s="62">
        <f t="shared" si="110"/>
        <v>-0.27945985267208084</v>
      </c>
      <c r="P640" s="62">
        <f t="shared" si="111"/>
        <v>-3815.0271818317942</v>
      </c>
      <c r="Q640" s="62">
        <f t="shared" si="112"/>
        <v>-0.2721930488367732</v>
      </c>
      <c r="R640" s="62">
        <f t="shared" si="113"/>
        <v>16759.609054125132</v>
      </c>
      <c r="S640" s="62">
        <f t="shared" si="114"/>
        <v>24322.711871236977</v>
      </c>
      <c r="T640" s="62">
        <f t="shared" si="115"/>
        <v>24438.632186826566</v>
      </c>
      <c r="U640" s="62">
        <f t="shared" si="116"/>
        <v>24219.906727307833</v>
      </c>
      <c r="V640" s="62">
        <f t="shared" si="106"/>
        <v>1</v>
      </c>
      <c r="W640" s="62">
        <f t="shared" si="106"/>
        <v>0</v>
      </c>
      <c r="X640" s="62">
        <f t="shared" si="106"/>
        <v>0</v>
      </c>
      <c r="Y640" s="62">
        <f t="shared" si="106"/>
        <v>0</v>
      </c>
      <c r="AA640" s="94"/>
    </row>
    <row r="641" spans="2:27" x14ac:dyDescent="0.2">
      <c r="B641" s="94"/>
      <c r="C641" s="62">
        <v>602</v>
      </c>
      <c r="D641" s="62">
        <v>7602.4895995819679</v>
      </c>
      <c r="E641" s="62">
        <v>0.61753139167811311</v>
      </c>
      <c r="F641" s="62">
        <v>10917.660020348132</v>
      </c>
      <c r="G641" s="62">
        <v>0.89437378081936014</v>
      </c>
      <c r="H641" s="62">
        <v>10945.247466697852</v>
      </c>
      <c r="I641" s="62">
        <v>0.89712689634855514</v>
      </c>
      <c r="J641" s="62">
        <v>10869.751555618825</v>
      </c>
      <c r="K641" s="62">
        <v>0.8890679171160446</v>
      </c>
      <c r="L641" s="62">
        <f t="shared" si="107"/>
        <v>-3315.1704207661642</v>
      </c>
      <c r="M641" s="62">
        <f t="shared" si="108"/>
        <v>-0.27684238914124704</v>
      </c>
      <c r="N641" s="62">
        <f t="shared" si="109"/>
        <v>-3342.7578671158844</v>
      </c>
      <c r="O641" s="62">
        <f t="shared" si="110"/>
        <v>-0.27959550467044203</v>
      </c>
      <c r="P641" s="62">
        <f t="shared" si="111"/>
        <v>-3267.2619560368566</v>
      </c>
      <c r="Q641" s="62">
        <f t="shared" si="112"/>
        <v>-0.2715365254379315</v>
      </c>
      <c r="R641" s="62">
        <f t="shared" si="113"/>
        <v>17978.130769292191</v>
      </c>
      <c r="S641" s="62">
        <f t="shared" si="114"/>
        <v>26130.879476313039</v>
      </c>
      <c r="T641" s="62">
        <f t="shared" si="115"/>
        <v>26217.337087644693</v>
      </c>
      <c r="U641" s="62">
        <f t="shared" si="116"/>
        <v>25958.997842996207</v>
      </c>
      <c r="V641" s="62">
        <f t="shared" si="106"/>
        <v>1</v>
      </c>
      <c r="W641" s="62">
        <f t="shared" si="106"/>
        <v>0</v>
      </c>
      <c r="X641" s="62">
        <f t="shared" si="106"/>
        <v>0</v>
      </c>
      <c r="Y641" s="62">
        <f t="shared" si="106"/>
        <v>0</v>
      </c>
      <c r="AA641" s="94"/>
    </row>
    <row r="642" spans="2:27" x14ac:dyDescent="0.2">
      <c r="B642" s="94"/>
      <c r="C642" s="62">
        <v>603</v>
      </c>
      <c r="D642" s="62">
        <v>10258.653982734275</v>
      </c>
      <c r="E642" s="62">
        <v>0.6178191173107731</v>
      </c>
      <c r="F642" s="62">
        <v>14742.94732930465</v>
      </c>
      <c r="G642" s="62">
        <v>0.89400099484160822</v>
      </c>
      <c r="H642" s="62">
        <v>14796.119755190302</v>
      </c>
      <c r="I642" s="62">
        <v>0.89752555295165382</v>
      </c>
      <c r="J642" s="62">
        <v>14675.260325335164</v>
      </c>
      <c r="K642" s="62">
        <v>0.88876298728168535</v>
      </c>
      <c r="L642" s="62">
        <f t="shared" si="107"/>
        <v>-4484.2933465703754</v>
      </c>
      <c r="M642" s="62">
        <f t="shared" si="108"/>
        <v>-0.27618187753083512</v>
      </c>
      <c r="N642" s="62">
        <f t="shared" si="109"/>
        <v>-4537.4657724560275</v>
      </c>
      <c r="O642" s="62">
        <f t="shared" si="110"/>
        <v>-0.27970643564088071</v>
      </c>
      <c r="P642" s="62">
        <f t="shared" si="111"/>
        <v>-4416.6063426008895</v>
      </c>
      <c r="Q642" s="62">
        <f t="shared" si="112"/>
        <v>-0.27094386997091224</v>
      </c>
      <c r="R642" s="62">
        <f t="shared" si="113"/>
        <v>15333.885132747189</v>
      </c>
      <c r="S642" s="62">
        <f t="shared" si="114"/>
        <v>22290.149881014131</v>
      </c>
      <c r="T642" s="62">
        <f t="shared" si="115"/>
        <v>22382.978750279006</v>
      </c>
      <c r="U642" s="62">
        <f t="shared" si="116"/>
        <v>22140.857659821369</v>
      </c>
      <c r="V642" s="62">
        <f t="shared" si="106"/>
        <v>1</v>
      </c>
      <c r="W642" s="62">
        <f t="shared" si="106"/>
        <v>0</v>
      </c>
      <c r="X642" s="62">
        <f t="shared" si="106"/>
        <v>0</v>
      </c>
      <c r="Y642" s="62">
        <f t="shared" si="106"/>
        <v>0</v>
      </c>
      <c r="AA642" s="94"/>
    </row>
    <row r="643" spans="2:27" x14ac:dyDescent="0.2">
      <c r="B643" s="94"/>
      <c r="C643" s="62">
        <v>604</v>
      </c>
      <c r="D643" s="62">
        <v>8197.6153085771984</v>
      </c>
      <c r="E643" s="62">
        <v>0.61777306581094749</v>
      </c>
      <c r="F643" s="62">
        <v>11763.064046834417</v>
      </c>
      <c r="G643" s="62">
        <v>0.89360366137517477</v>
      </c>
      <c r="H643" s="62">
        <v>11808.952409026195</v>
      </c>
      <c r="I643" s="62">
        <v>0.89734938002864217</v>
      </c>
      <c r="J643" s="62">
        <v>11723.027678416547</v>
      </c>
      <c r="K643" s="62">
        <v>0.88928177598549007</v>
      </c>
      <c r="L643" s="62">
        <f t="shared" si="107"/>
        <v>-3565.4487382572188</v>
      </c>
      <c r="M643" s="62">
        <f t="shared" si="108"/>
        <v>-0.27583059556422729</v>
      </c>
      <c r="N643" s="62">
        <f t="shared" si="109"/>
        <v>-3611.3371004489964</v>
      </c>
      <c r="O643" s="62">
        <f t="shared" si="110"/>
        <v>-0.27957631421769469</v>
      </c>
      <c r="P643" s="62">
        <f t="shared" si="111"/>
        <v>-3525.4123698393487</v>
      </c>
      <c r="Q643" s="62">
        <f t="shared" si="112"/>
        <v>-0.27150871017454259</v>
      </c>
      <c r="R643" s="62">
        <f t="shared" si="113"/>
        <v>17393.01616957549</v>
      </c>
      <c r="S643" s="62">
        <f t="shared" si="114"/>
        <v>25253.57402197082</v>
      </c>
      <c r="T643" s="62">
        <f t="shared" si="115"/>
        <v>25362.848309280282</v>
      </c>
      <c r="U643" s="62">
        <f t="shared" si="116"/>
        <v>25114.580610006393</v>
      </c>
      <c r="V643" s="62">
        <f t="shared" si="106"/>
        <v>1</v>
      </c>
      <c r="W643" s="62">
        <f t="shared" si="106"/>
        <v>0</v>
      </c>
      <c r="X643" s="62">
        <f t="shared" si="106"/>
        <v>0</v>
      </c>
      <c r="Y643" s="62">
        <f t="shared" si="106"/>
        <v>0</v>
      </c>
      <c r="AA643" s="94"/>
    </row>
    <row r="644" spans="2:27" x14ac:dyDescent="0.2">
      <c r="B644" s="94"/>
      <c r="C644" s="62">
        <v>605</v>
      </c>
      <c r="D644" s="62">
        <v>9209.3065228932555</v>
      </c>
      <c r="E644" s="62">
        <v>0.61730414566407132</v>
      </c>
      <c r="F644" s="62">
        <v>13244.490212940584</v>
      </c>
      <c r="G644" s="62">
        <v>0.89387907761134533</v>
      </c>
      <c r="H644" s="62">
        <v>13285.229673103962</v>
      </c>
      <c r="I644" s="62">
        <v>0.89716189227847765</v>
      </c>
      <c r="J644" s="62">
        <v>13193.139983953706</v>
      </c>
      <c r="K644" s="62">
        <v>0.88943188877048873</v>
      </c>
      <c r="L644" s="62">
        <f t="shared" si="107"/>
        <v>-4035.1836900473281</v>
      </c>
      <c r="M644" s="62">
        <f t="shared" si="108"/>
        <v>-0.27657493194727401</v>
      </c>
      <c r="N644" s="62">
        <f t="shared" si="109"/>
        <v>-4075.9231502107068</v>
      </c>
      <c r="O644" s="62">
        <f t="shared" si="110"/>
        <v>-0.27985774661440632</v>
      </c>
      <c r="P644" s="62">
        <f t="shared" si="111"/>
        <v>-3983.8334610604506</v>
      </c>
      <c r="Q644" s="62">
        <f t="shared" si="112"/>
        <v>-0.27212774310641741</v>
      </c>
      <c r="R644" s="62">
        <f t="shared" si="113"/>
        <v>16361.900407095234</v>
      </c>
      <c r="S644" s="62">
        <f t="shared" si="114"/>
        <v>23783.556698031789</v>
      </c>
      <c r="T644" s="62">
        <f t="shared" si="115"/>
        <v>23878.804552639696</v>
      </c>
      <c r="U644" s="62">
        <f t="shared" si="116"/>
        <v>23650.686576475018</v>
      </c>
      <c r="V644" s="62">
        <f t="shared" si="106"/>
        <v>1</v>
      </c>
      <c r="W644" s="62">
        <f t="shared" si="106"/>
        <v>0</v>
      </c>
      <c r="X644" s="62">
        <f t="shared" si="106"/>
        <v>0</v>
      </c>
      <c r="Y644" s="62">
        <f t="shared" si="106"/>
        <v>0</v>
      </c>
      <c r="AA644" s="94"/>
    </row>
    <row r="645" spans="2:27" x14ac:dyDescent="0.2">
      <c r="B645" s="94"/>
      <c r="C645" s="62">
        <v>606</v>
      </c>
      <c r="D645" s="62">
        <v>10478.872211125674</v>
      </c>
      <c r="E645" s="62">
        <v>0.61778509190634701</v>
      </c>
      <c r="F645" s="62">
        <v>15071.240611769705</v>
      </c>
      <c r="G645" s="62">
        <v>0.89409514207316498</v>
      </c>
      <c r="H645" s="62">
        <v>15118.973855414113</v>
      </c>
      <c r="I645" s="62">
        <v>0.89727301031040352</v>
      </c>
      <c r="J645" s="62">
        <v>15011.840962365781</v>
      </c>
      <c r="K645" s="62">
        <v>0.88958793161962735</v>
      </c>
      <c r="L645" s="62">
        <f t="shared" si="107"/>
        <v>-4592.3684006440308</v>
      </c>
      <c r="M645" s="62">
        <f t="shared" si="108"/>
        <v>-0.27631005016681798</v>
      </c>
      <c r="N645" s="62">
        <f t="shared" si="109"/>
        <v>-4640.1016442884393</v>
      </c>
      <c r="O645" s="62">
        <f t="shared" si="110"/>
        <v>-0.27948791840405651</v>
      </c>
      <c r="P645" s="62">
        <f t="shared" si="111"/>
        <v>-4532.9687512401069</v>
      </c>
      <c r="Q645" s="62">
        <f t="shared" si="112"/>
        <v>-0.27180283971328034</v>
      </c>
      <c r="R645" s="62">
        <f t="shared" si="113"/>
        <v>15112.257436002843</v>
      </c>
      <c r="S645" s="62">
        <f t="shared" si="114"/>
        <v>21965.75655346908</v>
      </c>
      <c r="T645" s="62">
        <f t="shared" si="115"/>
        <v>22049.663323684043</v>
      </c>
      <c r="U645" s="62">
        <f t="shared" si="116"/>
        <v>21838.449517045665</v>
      </c>
      <c r="V645" s="62">
        <f t="shared" si="106"/>
        <v>1</v>
      </c>
      <c r="W645" s="62">
        <f t="shared" si="106"/>
        <v>0</v>
      </c>
      <c r="X645" s="62">
        <f t="shared" si="106"/>
        <v>0</v>
      </c>
      <c r="Y645" s="62">
        <f t="shared" si="106"/>
        <v>0</v>
      </c>
      <c r="AA645" s="94"/>
    </row>
    <row r="646" spans="2:27" x14ac:dyDescent="0.2">
      <c r="B646" s="94"/>
      <c r="C646" s="62">
        <v>607</v>
      </c>
      <c r="D646" s="62">
        <v>9529.065348299564</v>
      </c>
      <c r="E646" s="62">
        <v>0.61772207697180115</v>
      </c>
      <c r="F646" s="62">
        <v>13693.087258597088</v>
      </c>
      <c r="G646" s="62">
        <v>0.89433214201294031</v>
      </c>
      <c r="H646" s="62">
        <v>13728.041262208715</v>
      </c>
      <c r="I646" s="62">
        <v>0.89672614323244693</v>
      </c>
      <c r="J646" s="62">
        <v>13635.630043347397</v>
      </c>
      <c r="K646" s="62">
        <v>0.88933446195446964</v>
      </c>
      <c r="L646" s="62">
        <f t="shared" si="107"/>
        <v>-4164.0219102975243</v>
      </c>
      <c r="M646" s="62">
        <f t="shared" si="108"/>
        <v>-0.27661006504113916</v>
      </c>
      <c r="N646" s="62">
        <f t="shared" si="109"/>
        <v>-4198.9759139091511</v>
      </c>
      <c r="O646" s="62">
        <f t="shared" si="110"/>
        <v>-0.27900406626064578</v>
      </c>
      <c r="P646" s="62">
        <f t="shared" si="111"/>
        <v>-4106.5646950478331</v>
      </c>
      <c r="Q646" s="62">
        <f t="shared" si="112"/>
        <v>-0.27161238498266849</v>
      </c>
      <c r="R646" s="62">
        <f t="shared" si="113"/>
        <v>16059.453968180327</v>
      </c>
      <c r="S646" s="62">
        <f t="shared" si="114"/>
        <v>23353.727392146953</v>
      </c>
      <c r="T646" s="62">
        <f t="shared" si="115"/>
        <v>23417.942495052164</v>
      </c>
      <c r="U646" s="62">
        <f t="shared" si="116"/>
        <v>23204.160708654555</v>
      </c>
      <c r="V646" s="62">
        <f t="shared" si="106"/>
        <v>1</v>
      </c>
      <c r="W646" s="62">
        <f t="shared" si="106"/>
        <v>0</v>
      </c>
      <c r="X646" s="62">
        <f t="shared" si="106"/>
        <v>0</v>
      </c>
      <c r="Y646" s="62">
        <f t="shared" si="106"/>
        <v>0</v>
      </c>
      <c r="AA646" s="94"/>
    </row>
    <row r="647" spans="2:27" x14ac:dyDescent="0.2">
      <c r="B647" s="94"/>
      <c r="C647" s="62">
        <v>608</v>
      </c>
      <c r="D647" s="62">
        <v>11300.253918048596</v>
      </c>
      <c r="E647" s="62">
        <v>0.61806338682350481</v>
      </c>
      <c r="F647" s="62">
        <v>16239.439963380088</v>
      </c>
      <c r="G647" s="62">
        <v>0.8943692974174009</v>
      </c>
      <c r="H647" s="62">
        <v>16288.902443142621</v>
      </c>
      <c r="I647" s="62">
        <v>0.89737857455820214</v>
      </c>
      <c r="J647" s="62">
        <v>16169.858380851898</v>
      </c>
      <c r="K647" s="62">
        <v>0.88920350669254455</v>
      </c>
      <c r="L647" s="62">
        <f t="shared" si="107"/>
        <v>-4939.1860453314912</v>
      </c>
      <c r="M647" s="62">
        <f t="shared" si="108"/>
        <v>-0.27630591059389609</v>
      </c>
      <c r="N647" s="62">
        <f t="shared" si="109"/>
        <v>-4988.6485250940241</v>
      </c>
      <c r="O647" s="62">
        <f t="shared" si="110"/>
        <v>-0.27931518773469732</v>
      </c>
      <c r="P647" s="62">
        <f t="shared" si="111"/>
        <v>-4869.6044628033014</v>
      </c>
      <c r="Q647" s="62">
        <f t="shared" si="112"/>
        <v>-0.27114011986903974</v>
      </c>
      <c r="R647" s="62">
        <f t="shared" si="113"/>
        <v>14302.403817728265</v>
      </c>
      <c r="S647" s="62">
        <f t="shared" si="114"/>
        <v>20808.913812838327</v>
      </c>
      <c r="T647" s="62">
        <f t="shared" si="115"/>
        <v>20884.107629356346</v>
      </c>
      <c r="U647" s="62">
        <f t="shared" si="116"/>
        <v>20664.507680380069</v>
      </c>
      <c r="V647" s="62">
        <f t="shared" si="106"/>
        <v>1</v>
      </c>
      <c r="W647" s="62">
        <f t="shared" si="106"/>
        <v>0</v>
      </c>
      <c r="X647" s="62">
        <f t="shared" si="106"/>
        <v>0</v>
      </c>
      <c r="Y647" s="62">
        <f t="shared" si="106"/>
        <v>0</v>
      </c>
      <c r="AA647" s="94"/>
    </row>
    <row r="648" spans="2:27" x14ac:dyDescent="0.2">
      <c r="B648" s="94"/>
      <c r="C648" s="62">
        <v>609</v>
      </c>
      <c r="D648" s="62">
        <v>12332.331900429859</v>
      </c>
      <c r="E648" s="62">
        <v>0.6178074600762693</v>
      </c>
      <c r="F648" s="62">
        <v>17747.287025017085</v>
      </c>
      <c r="G648" s="62">
        <v>0.89495782505413679</v>
      </c>
      <c r="H648" s="62">
        <v>17787.970514476918</v>
      </c>
      <c r="I648" s="62">
        <v>0.89719822626390777</v>
      </c>
      <c r="J648" s="62">
        <v>17672.772911780878</v>
      </c>
      <c r="K648" s="62">
        <v>0.8900446502480297</v>
      </c>
      <c r="L648" s="62">
        <f t="shared" si="107"/>
        <v>-5414.9551245872262</v>
      </c>
      <c r="M648" s="62">
        <f t="shared" si="108"/>
        <v>-0.27715036497786749</v>
      </c>
      <c r="N648" s="62">
        <f t="shared" si="109"/>
        <v>-5455.6386140470586</v>
      </c>
      <c r="O648" s="62">
        <f t="shared" si="110"/>
        <v>-0.27939076618763847</v>
      </c>
      <c r="P648" s="62">
        <f t="shared" si="111"/>
        <v>-5340.4410113510185</v>
      </c>
      <c r="Q648" s="62">
        <f t="shared" si="112"/>
        <v>-0.2722371901717604</v>
      </c>
      <c r="R648" s="62">
        <f t="shared" si="113"/>
        <v>13259.724325769521</v>
      </c>
      <c r="S648" s="62">
        <f t="shared" si="114"/>
        <v>19325.445920025475</v>
      </c>
      <c r="T648" s="62">
        <f t="shared" si="115"/>
        <v>19377.568810279197</v>
      </c>
      <c r="U648" s="62">
        <f t="shared" si="116"/>
        <v>19196.436680093502</v>
      </c>
      <c r="V648" s="62">
        <f t="shared" si="106"/>
        <v>1</v>
      </c>
      <c r="W648" s="62">
        <f t="shared" si="106"/>
        <v>0</v>
      </c>
      <c r="X648" s="62">
        <f t="shared" si="106"/>
        <v>0</v>
      </c>
      <c r="Y648" s="62">
        <f t="shared" si="106"/>
        <v>0</v>
      </c>
      <c r="AA648" s="94"/>
    </row>
    <row r="649" spans="2:27" x14ac:dyDescent="0.2">
      <c r="B649" s="94"/>
      <c r="C649" s="62">
        <v>610</v>
      </c>
      <c r="D649" s="62">
        <v>11350.964376325977</v>
      </c>
      <c r="E649" s="62">
        <v>0.61744611146025297</v>
      </c>
      <c r="F649" s="62">
        <v>16343.020351919809</v>
      </c>
      <c r="G649" s="62">
        <v>0.89483595918377523</v>
      </c>
      <c r="H649" s="62">
        <v>16384.046500613604</v>
      </c>
      <c r="I649" s="62">
        <v>0.89721442636802273</v>
      </c>
      <c r="J649" s="62">
        <v>16250.142675298015</v>
      </c>
      <c r="K649" s="62">
        <v>0.88853581397022363</v>
      </c>
      <c r="L649" s="62">
        <f t="shared" si="107"/>
        <v>-4992.055975593832</v>
      </c>
      <c r="M649" s="62">
        <f t="shared" si="108"/>
        <v>-0.27738984772352226</v>
      </c>
      <c r="N649" s="62">
        <f t="shared" si="109"/>
        <v>-5033.0821242876264</v>
      </c>
      <c r="O649" s="62">
        <f t="shared" si="110"/>
        <v>-0.27976831490776977</v>
      </c>
      <c r="P649" s="62">
        <f t="shared" si="111"/>
        <v>-4899.1782989720377</v>
      </c>
      <c r="Q649" s="62">
        <f t="shared" si="112"/>
        <v>-0.27108970250997066</v>
      </c>
      <c r="R649" s="62">
        <f t="shared" si="113"/>
        <v>14226.123344803542</v>
      </c>
      <c r="S649" s="62">
        <f t="shared" si="114"/>
        <v>20724.664421308895</v>
      </c>
      <c r="T649" s="62">
        <f t="shared" si="115"/>
        <v>20782.163897255366</v>
      </c>
      <c r="U649" s="62">
        <f t="shared" si="116"/>
        <v>20556.564882604525</v>
      </c>
      <c r="V649" s="62">
        <f t="shared" si="106"/>
        <v>1</v>
      </c>
      <c r="W649" s="62">
        <f t="shared" si="106"/>
        <v>0</v>
      </c>
      <c r="X649" s="62">
        <f t="shared" si="106"/>
        <v>0</v>
      </c>
      <c r="Y649" s="62">
        <f t="shared" si="106"/>
        <v>0</v>
      </c>
      <c r="AA649" s="94"/>
    </row>
    <row r="650" spans="2:27" x14ac:dyDescent="0.2">
      <c r="B650" s="94"/>
      <c r="C650" s="62">
        <v>611</v>
      </c>
      <c r="D650" s="62">
        <v>10821.793996719818</v>
      </c>
      <c r="E650" s="62">
        <v>0.61753695692183186</v>
      </c>
      <c r="F650" s="62">
        <v>15571.926932721113</v>
      </c>
      <c r="G650" s="62">
        <v>0.89434300262458832</v>
      </c>
      <c r="H650" s="62">
        <v>15611.331778019119</v>
      </c>
      <c r="I650" s="62">
        <v>0.89689280122633352</v>
      </c>
      <c r="J650" s="62">
        <v>15509.307219172133</v>
      </c>
      <c r="K650" s="62">
        <v>0.88975521616845288</v>
      </c>
      <c r="L650" s="62">
        <f t="shared" si="107"/>
        <v>-4750.1329360012951</v>
      </c>
      <c r="M650" s="62">
        <f t="shared" si="108"/>
        <v>-0.27680604570275646</v>
      </c>
      <c r="N650" s="62">
        <f t="shared" si="109"/>
        <v>-4789.5377812993011</v>
      </c>
      <c r="O650" s="62">
        <f t="shared" si="110"/>
        <v>-0.27935584430450167</v>
      </c>
      <c r="P650" s="62">
        <f t="shared" si="111"/>
        <v>-4687.5132224523149</v>
      </c>
      <c r="Q650" s="62">
        <f t="shared" si="112"/>
        <v>-0.27221825924662102</v>
      </c>
      <c r="R650" s="62">
        <f t="shared" si="113"/>
        <v>14759.056906810143</v>
      </c>
      <c r="S650" s="62">
        <f t="shared" si="114"/>
        <v>21475.337607999834</v>
      </c>
      <c r="T650" s="62">
        <f t="shared" si="115"/>
        <v>21541.555619980521</v>
      </c>
      <c r="U650" s="62">
        <f t="shared" si="116"/>
        <v>21347.912855389859</v>
      </c>
      <c r="V650" s="62">
        <f t="shared" si="106"/>
        <v>1</v>
      </c>
      <c r="W650" s="62">
        <f t="shared" si="106"/>
        <v>0</v>
      </c>
      <c r="X650" s="62">
        <f t="shared" si="106"/>
        <v>0</v>
      </c>
      <c r="Y650" s="62">
        <f t="shared" si="106"/>
        <v>0</v>
      </c>
      <c r="AA650" s="94"/>
    </row>
    <row r="651" spans="2:27" x14ac:dyDescent="0.2">
      <c r="B651" s="94"/>
      <c r="C651" s="62">
        <v>612</v>
      </c>
      <c r="D651" s="62">
        <v>9207.3747497240256</v>
      </c>
      <c r="E651" s="62">
        <v>0.61758539860596495</v>
      </c>
      <c r="F651" s="62">
        <v>13227.726294231601</v>
      </c>
      <c r="G651" s="62">
        <v>0.89421606147533061</v>
      </c>
      <c r="H651" s="62">
        <v>13270.236493606631</v>
      </c>
      <c r="I651" s="62">
        <v>0.89736762653590985</v>
      </c>
      <c r="J651" s="62">
        <v>13176.115054278309</v>
      </c>
      <c r="K651" s="62">
        <v>0.88930076675298175</v>
      </c>
      <c r="L651" s="62">
        <f t="shared" si="107"/>
        <v>-4020.3515445075755</v>
      </c>
      <c r="M651" s="62">
        <f t="shared" si="108"/>
        <v>-0.27663066286936566</v>
      </c>
      <c r="N651" s="62">
        <f t="shared" si="109"/>
        <v>-4062.8617438826059</v>
      </c>
      <c r="O651" s="62">
        <f t="shared" si="110"/>
        <v>-0.27978222792994489</v>
      </c>
      <c r="P651" s="62">
        <f t="shared" si="111"/>
        <v>-3968.7403045542833</v>
      </c>
      <c r="Q651" s="62">
        <f t="shared" si="112"/>
        <v>-0.2717153681470168</v>
      </c>
      <c r="R651" s="62">
        <f t="shared" si="113"/>
        <v>16375.482802129467</v>
      </c>
      <c r="S651" s="62">
        <f t="shared" si="114"/>
        <v>23814.279836322494</v>
      </c>
      <c r="T651" s="62">
        <f t="shared" si="115"/>
        <v>23902.320068016903</v>
      </c>
      <c r="U651" s="62">
        <f t="shared" si="116"/>
        <v>23662.279907697208</v>
      </c>
      <c r="V651" s="62">
        <f t="shared" si="106"/>
        <v>1</v>
      </c>
      <c r="W651" s="62">
        <f t="shared" si="106"/>
        <v>0</v>
      </c>
      <c r="X651" s="62">
        <f t="shared" si="106"/>
        <v>0</v>
      </c>
      <c r="Y651" s="62">
        <f t="shared" si="106"/>
        <v>0</v>
      </c>
      <c r="AA651" s="94"/>
    </row>
    <row r="652" spans="2:27" x14ac:dyDescent="0.2">
      <c r="B652" s="94"/>
      <c r="C652" s="62">
        <v>613</v>
      </c>
      <c r="D652" s="62">
        <v>9635.8582888487053</v>
      </c>
      <c r="E652" s="62">
        <v>0.61757155465471925</v>
      </c>
      <c r="F652" s="62">
        <v>13859.245022426139</v>
      </c>
      <c r="G652" s="62">
        <v>0.89413649194310652</v>
      </c>
      <c r="H652" s="62">
        <v>13899.294635374143</v>
      </c>
      <c r="I652" s="62">
        <v>0.89722447615979495</v>
      </c>
      <c r="J652" s="62">
        <v>13804.677619474745</v>
      </c>
      <c r="K652" s="62">
        <v>0.88971729661718468</v>
      </c>
      <c r="L652" s="62">
        <f t="shared" si="107"/>
        <v>-4223.3867335774339</v>
      </c>
      <c r="M652" s="62">
        <f t="shared" si="108"/>
        <v>-0.27656493728838727</v>
      </c>
      <c r="N652" s="62">
        <f t="shared" si="109"/>
        <v>-4263.4363465254373</v>
      </c>
      <c r="O652" s="62">
        <f t="shared" si="110"/>
        <v>-0.2796529215050757</v>
      </c>
      <c r="P652" s="62">
        <f t="shared" si="111"/>
        <v>-4168.81933062604</v>
      </c>
      <c r="Q652" s="62">
        <f t="shared" si="112"/>
        <v>-0.27214574196246544</v>
      </c>
      <c r="R652" s="62">
        <f t="shared" si="113"/>
        <v>15946.425791168384</v>
      </c>
      <c r="S652" s="62">
        <f t="shared" si="114"/>
        <v>23179.465019825104</v>
      </c>
      <c r="T652" s="62">
        <f t="shared" si="115"/>
        <v>23267.332065069204</v>
      </c>
      <c r="U652" s="62">
        <f t="shared" si="116"/>
        <v>23050.971675595516</v>
      </c>
      <c r="V652" s="62">
        <f t="shared" si="106"/>
        <v>1</v>
      </c>
      <c r="W652" s="62">
        <f t="shared" si="106"/>
        <v>0</v>
      </c>
      <c r="X652" s="62">
        <f t="shared" si="106"/>
        <v>0</v>
      </c>
      <c r="Y652" s="62">
        <f t="shared" si="106"/>
        <v>0</v>
      </c>
      <c r="AA652" s="94"/>
    </row>
    <row r="653" spans="2:27" x14ac:dyDescent="0.2">
      <c r="B653" s="94"/>
      <c r="C653" s="62">
        <v>614</v>
      </c>
      <c r="D653" s="62">
        <v>9038.7687009600195</v>
      </c>
      <c r="E653" s="62">
        <v>0.61716132766598919</v>
      </c>
      <c r="F653" s="62">
        <v>12982.356920068542</v>
      </c>
      <c r="G653" s="62">
        <v>0.89369218083845825</v>
      </c>
      <c r="H653" s="62">
        <v>13029.972281042377</v>
      </c>
      <c r="I653" s="62">
        <v>0.89747643860689552</v>
      </c>
      <c r="J653" s="62">
        <v>12937.557125038333</v>
      </c>
      <c r="K653" s="62">
        <v>0.88927518765618407</v>
      </c>
      <c r="L653" s="62">
        <f t="shared" si="107"/>
        <v>-3943.588219108522</v>
      </c>
      <c r="M653" s="62">
        <f t="shared" si="108"/>
        <v>-0.27653085317246906</v>
      </c>
      <c r="N653" s="62">
        <f t="shared" si="109"/>
        <v>-3991.2035800823578</v>
      </c>
      <c r="O653" s="62">
        <f t="shared" si="110"/>
        <v>-0.28031511094090633</v>
      </c>
      <c r="P653" s="62">
        <f t="shared" si="111"/>
        <v>-3898.7884240783133</v>
      </c>
      <c r="Q653" s="62">
        <f t="shared" si="112"/>
        <v>-0.27211385999019488</v>
      </c>
      <c r="R653" s="62">
        <f t="shared" si="113"/>
        <v>16526.522136275918</v>
      </c>
      <c r="S653" s="62">
        <f t="shared" si="114"/>
        <v>24037.947978983753</v>
      </c>
      <c r="T653" s="62">
        <f t="shared" si="115"/>
        <v>24147.091711809662</v>
      </c>
      <c r="U653" s="62">
        <f t="shared" si="116"/>
        <v>23899.778248431434</v>
      </c>
      <c r="V653" s="62">
        <f t="shared" si="106"/>
        <v>1</v>
      </c>
      <c r="W653" s="62">
        <f t="shared" si="106"/>
        <v>0</v>
      </c>
      <c r="X653" s="62">
        <f t="shared" si="106"/>
        <v>0</v>
      </c>
      <c r="Y653" s="62">
        <f t="shared" si="106"/>
        <v>0</v>
      </c>
      <c r="AA653" s="94"/>
    </row>
    <row r="654" spans="2:27" x14ac:dyDescent="0.2">
      <c r="B654" s="94"/>
      <c r="C654" s="62">
        <v>615</v>
      </c>
      <c r="D654" s="62">
        <v>7391.4825655117002</v>
      </c>
      <c r="E654" s="62">
        <v>0.61762230391891426</v>
      </c>
      <c r="F654" s="62">
        <v>10602.193980686303</v>
      </c>
      <c r="G654" s="62">
        <v>0.89363033482578447</v>
      </c>
      <c r="H654" s="62">
        <v>10635.03949637006</v>
      </c>
      <c r="I654" s="62">
        <v>0.89695176959426304</v>
      </c>
      <c r="J654" s="62">
        <v>10567.019983986735</v>
      </c>
      <c r="K654" s="62">
        <v>0.88938597753905546</v>
      </c>
      <c r="L654" s="62">
        <f t="shared" si="107"/>
        <v>-3210.7114151746027</v>
      </c>
      <c r="M654" s="62">
        <f t="shared" si="108"/>
        <v>-0.27600803090687021</v>
      </c>
      <c r="N654" s="62">
        <f t="shared" si="109"/>
        <v>-3243.5569308583599</v>
      </c>
      <c r="O654" s="62">
        <f t="shared" si="110"/>
        <v>-0.27932946567534878</v>
      </c>
      <c r="P654" s="62">
        <f t="shared" si="111"/>
        <v>-3175.5374184750344</v>
      </c>
      <c r="Q654" s="62">
        <f t="shared" si="112"/>
        <v>-0.2717636736201412</v>
      </c>
      <c r="R654" s="62">
        <f t="shared" si="113"/>
        <v>18192.903752025406</v>
      </c>
      <c r="S654" s="62">
        <f t="shared" si="114"/>
        <v>26415.549009136994</v>
      </c>
      <c r="T654" s="62">
        <f t="shared" si="115"/>
        <v>26520.29060730269</v>
      </c>
      <c r="U654" s="62">
        <f t="shared" si="116"/>
        <v>26274.9047495911</v>
      </c>
      <c r="V654" s="62">
        <f t="shared" si="106"/>
        <v>1</v>
      </c>
      <c r="W654" s="62">
        <f t="shared" si="106"/>
        <v>0</v>
      </c>
      <c r="X654" s="62">
        <f t="shared" si="106"/>
        <v>0</v>
      </c>
      <c r="Y654" s="62">
        <f t="shared" si="106"/>
        <v>0</v>
      </c>
      <c r="AA654" s="94"/>
    </row>
    <row r="655" spans="2:27" x14ac:dyDescent="0.2">
      <c r="B655" s="94"/>
      <c r="C655" s="62">
        <v>616</v>
      </c>
      <c r="D655" s="62">
        <v>10689.298295300892</v>
      </c>
      <c r="E655" s="62">
        <v>0.61778853240203302</v>
      </c>
      <c r="F655" s="62">
        <v>15373.431492359497</v>
      </c>
      <c r="G655" s="62">
        <v>0.89441734462075839</v>
      </c>
      <c r="H655" s="62">
        <v>15412.95444847792</v>
      </c>
      <c r="I655" s="62">
        <v>0.89701191609933484</v>
      </c>
      <c r="J655" s="62">
        <v>15312.914080370039</v>
      </c>
      <c r="K655" s="62">
        <v>0.88980641085436618</v>
      </c>
      <c r="L655" s="62">
        <f t="shared" si="107"/>
        <v>-4684.1331970586052</v>
      </c>
      <c r="M655" s="62">
        <f t="shared" si="108"/>
        <v>-0.27662881221872537</v>
      </c>
      <c r="N655" s="62">
        <f t="shared" si="109"/>
        <v>-4723.6561531770276</v>
      </c>
      <c r="O655" s="62">
        <f t="shared" si="110"/>
        <v>-0.27922338369730182</v>
      </c>
      <c r="P655" s="62">
        <f t="shared" si="111"/>
        <v>-4623.615785069147</v>
      </c>
      <c r="Q655" s="62">
        <f t="shared" si="112"/>
        <v>-0.27201787845233316</v>
      </c>
      <c r="R655" s="62">
        <f t="shared" si="113"/>
        <v>14901.973870920925</v>
      </c>
      <c r="S655" s="62">
        <f t="shared" si="114"/>
        <v>21676.912591210796</v>
      </c>
      <c r="T655" s="62">
        <f t="shared" si="115"/>
        <v>21744.867164020929</v>
      </c>
      <c r="U655" s="62">
        <f t="shared" si="116"/>
        <v>21546.426682861227</v>
      </c>
      <c r="V655" s="62">
        <f t="shared" si="106"/>
        <v>1</v>
      </c>
      <c r="W655" s="62">
        <f t="shared" si="106"/>
        <v>0</v>
      </c>
      <c r="X655" s="62">
        <f t="shared" si="106"/>
        <v>0</v>
      </c>
      <c r="Y655" s="62">
        <f t="shared" si="106"/>
        <v>0</v>
      </c>
      <c r="AA655" s="94"/>
    </row>
    <row r="656" spans="2:27" x14ac:dyDescent="0.2">
      <c r="B656" s="94"/>
      <c r="C656" s="62">
        <v>617</v>
      </c>
      <c r="D656" s="62">
        <v>9794.9642980882236</v>
      </c>
      <c r="E656" s="62">
        <v>0.61790380072563289</v>
      </c>
      <c r="F656" s="62">
        <v>14082.957877906489</v>
      </c>
      <c r="G656" s="62">
        <v>0.89460864192374245</v>
      </c>
      <c r="H656" s="62">
        <v>14120.632035025086</v>
      </c>
      <c r="I656" s="62">
        <v>0.89718221767255202</v>
      </c>
      <c r="J656" s="62">
        <v>14013.32144471034</v>
      </c>
      <c r="K656" s="62">
        <v>0.88898281612394969</v>
      </c>
      <c r="L656" s="62">
        <f t="shared" si="107"/>
        <v>-4287.9935798182651</v>
      </c>
      <c r="M656" s="62">
        <f t="shared" si="108"/>
        <v>-0.27670484119810956</v>
      </c>
      <c r="N656" s="62">
        <f t="shared" si="109"/>
        <v>-4325.6677369368626</v>
      </c>
      <c r="O656" s="62">
        <f t="shared" si="110"/>
        <v>-0.27927841694691913</v>
      </c>
      <c r="P656" s="62">
        <f t="shared" si="111"/>
        <v>-4218.3571466221165</v>
      </c>
      <c r="Q656" s="62">
        <f t="shared" si="112"/>
        <v>-0.2710790153983168</v>
      </c>
      <c r="R656" s="62">
        <f t="shared" si="113"/>
        <v>15801.082743170395</v>
      </c>
      <c r="S656" s="62">
        <f t="shared" si="114"/>
        <v>22975.310505142617</v>
      </c>
      <c r="T656" s="62">
        <f t="shared" si="115"/>
        <v>23044.244149842711</v>
      </c>
      <c r="U656" s="62">
        <f t="shared" si="116"/>
        <v>22811.902730408154</v>
      </c>
      <c r="V656" s="62">
        <f t="shared" si="106"/>
        <v>1</v>
      </c>
      <c r="W656" s="62">
        <f t="shared" si="106"/>
        <v>0</v>
      </c>
      <c r="X656" s="62">
        <f t="shared" si="106"/>
        <v>0</v>
      </c>
      <c r="Y656" s="62">
        <f t="shared" si="106"/>
        <v>0</v>
      </c>
      <c r="AA656" s="94"/>
    </row>
    <row r="657" spans="2:27" x14ac:dyDescent="0.2">
      <c r="B657" s="94"/>
      <c r="C657" s="62">
        <v>618</v>
      </c>
      <c r="D657" s="62">
        <v>9558.6995868336689</v>
      </c>
      <c r="E657" s="62">
        <v>0.61756736192344475</v>
      </c>
      <c r="F657" s="62">
        <v>13741.442366100142</v>
      </c>
      <c r="G657" s="62">
        <v>0.89413232127363185</v>
      </c>
      <c r="H657" s="62">
        <v>13783.212384303322</v>
      </c>
      <c r="I657" s="62">
        <v>0.89727895396232527</v>
      </c>
      <c r="J657" s="62">
        <v>13687.303826476786</v>
      </c>
      <c r="K657" s="62">
        <v>0.88960483721107109</v>
      </c>
      <c r="L657" s="62">
        <f t="shared" si="107"/>
        <v>-4182.742779266473</v>
      </c>
      <c r="M657" s="62">
        <f t="shared" si="108"/>
        <v>-0.2765649593501871</v>
      </c>
      <c r="N657" s="62">
        <f t="shared" si="109"/>
        <v>-4224.5127974696534</v>
      </c>
      <c r="O657" s="62">
        <f t="shared" si="110"/>
        <v>-0.27971159203888052</v>
      </c>
      <c r="P657" s="62">
        <f t="shared" si="111"/>
        <v>-4128.6042396431167</v>
      </c>
      <c r="Q657" s="62">
        <f t="shared" si="112"/>
        <v>-0.27203747528762634</v>
      </c>
      <c r="R657" s="62">
        <f t="shared" si="113"/>
        <v>16023.410813483106</v>
      </c>
      <c r="S657" s="62">
        <f t="shared" si="114"/>
        <v>23297.094910338783</v>
      </c>
      <c r="T657" s="62">
        <f t="shared" si="115"/>
        <v>23385.67100463204</v>
      </c>
      <c r="U657" s="62">
        <f t="shared" si="116"/>
        <v>23163.686950154621</v>
      </c>
      <c r="V657" s="62">
        <f t="shared" si="106"/>
        <v>1</v>
      </c>
      <c r="W657" s="62">
        <f t="shared" si="106"/>
        <v>0</v>
      </c>
      <c r="X657" s="62">
        <f t="shared" si="106"/>
        <v>0</v>
      </c>
      <c r="Y657" s="62">
        <f t="shared" si="106"/>
        <v>0</v>
      </c>
      <c r="AA657" s="94"/>
    </row>
    <row r="658" spans="2:27" x14ac:dyDescent="0.2">
      <c r="B658" s="94"/>
      <c r="C658" s="62">
        <v>619</v>
      </c>
      <c r="D658" s="62">
        <v>10175.360244052004</v>
      </c>
      <c r="E658" s="62">
        <v>0.61753608488783429</v>
      </c>
      <c r="F658" s="62">
        <v>14635.066930555435</v>
      </c>
      <c r="G658" s="62">
        <v>0.89415746695941556</v>
      </c>
      <c r="H658" s="62">
        <v>14691.026219205924</v>
      </c>
      <c r="I658" s="62">
        <v>0.89796006719677102</v>
      </c>
      <c r="J658" s="62">
        <v>14561.551041347053</v>
      </c>
      <c r="K658" s="62">
        <v>0.88859003923896018</v>
      </c>
      <c r="L658" s="62">
        <f t="shared" si="107"/>
        <v>-4459.7066865034303</v>
      </c>
      <c r="M658" s="62">
        <f t="shared" si="108"/>
        <v>-0.27662138207158127</v>
      </c>
      <c r="N658" s="62">
        <f t="shared" si="109"/>
        <v>-4515.6659751539191</v>
      </c>
      <c r="O658" s="62">
        <f t="shared" si="110"/>
        <v>-0.28042398230893673</v>
      </c>
      <c r="P658" s="62">
        <f t="shared" si="111"/>
        <v>-4386.1907972950485</v>
      </c>
      <c r="Q658" s="62">
        <f t="shared" si="112"/>
        <v>-0.27105395435112589</v>
      </c>
      <c r="R658" s="62">
        <f t="shared" si="113"/>
        <v>15405.454536341644</v>
      </c>
      <c r="S658" s="62">
        <f t="shared" si="114"/>
        <v>22404.5119807714</v>
      </c>
      <c r="T658" s="62">
        <f t="shared" si="115"/>
        <v>22506.071604353121</v>
      </c>
      <c r="U658" s="62">
        <f t="shared" si="116"/>
        <v>22247.402744087631</v>
      </c>
      <c r="V658" s="62">
        <f t="shared" si="106"/>
        <v>1</v>
      </c>
      <c r="W658" s="62">
        <f t="shared" si="106"/>
        <v>0</v>
      </c>
      <c r="X658" s="62">
        <f t="shared" si="106"/>
        <v>0</v>
      </c>
      <c r="Y658" s="62">
        <f t="shared" si="106"/>
        <v>0</v>
      </c>
      <c r="AA658" s="94"/>
    </row>
    <row r="659" spans="2:27" x14ac:dyDescent="0.2">
      <c r="B659" s="94"/>
      <c r="C659" s="62">
        <v>620</v>
      </c>
      <c r="D659" s="62">
        <v>9634.6980697487943</v>
      </c>
      <c r="E659" s="62">
        <v>0.61757141349707778</v>
      </c>
      <c r="F659" s="62">
        <v>13844.900558536639</v>
      </c>
      <c r="G659" s="62">
        <v>0.89360579530791262</v>
      </c>
      <c r="H659" s="62">
        <v>13889.831025462807</v>
      </c>
      <c r="I659" s="62">
        <v>0.89687802160274244</v>
      </c>
      <c r="J659" s="62">
        <v>13798.813741696171</v>
      </c>
      <c r="K659" s="62">
        <v>0.88956298409816315</v>
      </c>
      <c r="L659" s="62">
        <f t="shared" si="107"/>
        <v>-4210.2024887878451</v>
      </c>
      <c r="M659" s="62">
        <f t="shared" si="108"/>
        <v>-0.27603438181083484</v>
      </c>
      <c r="N659" s="62">
        <f t="shared" si="109"/>
        <v>-4255.1329557140125</v>
      </c>
      <c r="O659" s="62">
        <f t="shared" si="110"/>
        <v>-0.27930660810566466</v>
      </c>
      <c r="P659" s="62">
        <f t="shared" si="111"/>
        <v>-4164.1156719473765</v>
      </c>
      <c r="Q659" s="62">
        <f t="shared" si="112"/>
        <v>-0.27199157060108536</v>
      </c>
      <c r="R659" s="62">
        <f t="shared" si="113"/>
        <v>15947.580162954155</v>
      </c>
      <c r="S659" s="62">
        <f t="shared" si="114"/>
        <v>23171.825906298334</v>
      </c>
      <c r="T659" s="62">
        <f t="shared" si="115"/>
        <v>23262.444141409193</v>
      </c>
      <c r="U659" s="62">
        <f t="shared" si="116"/>
        <v>23050.443311586139</v>
      </c>
      <c r="V659" s="62">
        <f t="shared" si="106"/>
        <v>1</v>
      </c>
      <c r="W659" s="62">
        <f t="shared" si="106"/>
        <v>0</v>
      </c>
      <c r="X659" s="62">
        <f t="shared" si="106"/>
        <v>0</v>
      </c>
      <c r="Y659" s="62">
        <f t="shared" si="106"/>
        <v>0</v>
      </c>
      <c r="AA659" s="94"/>
    </row>
    <row r="660" spans="2:27" x14ac:dyDescent="0.2">
      <c r="B660" s="94"/>
      <c r="C660" s="62">
        <v>621</v>
      </c>
      <c r="D660" s="62">
        <v>9043.7359956884102</v>
      </c>
      <c r="E660" s="62">
        <v>0.61757972023695418</v>
      </c>
      <c r="F660" s="62">
        <v>12994.885221655064</v>
      </c>
      <c r="G660" s="62">
        <v>0.89394367019525434</v>
      </c>
      <c r="H660" s="62">
        <v>13034.160962004731</v>
      </c>
      <c r="I660" s="62">
        <v>0.89699988286230337</v>
      </c>
      <c r="J660" s="62">
        <v>12951.701673699652</v>
      </c>
      <c r="K660" s="62">
        <v>0.88980868254980816</v>
      </c>
      <c r="L660" s="62">
        <f t="shared" si="107"/>
        <v>-3951.1492259666538</v>
      </c>
      <c r="M660" s="62">
        <f t="shared" si="108"/>
        <v>-0.27636394995830016</v>
      </c>
      <c r="N660" s="62">
        <f t="shared" si="109"/>
        <v>-3990.4249663163209</v>
      </c>
      <c r="O660" s="62">
        <f t="shared" si="110"/>
        <v>-0.27942016262534919</v>
      </c>
      <c r="P660" s="62">
        <f t="shared" si="111"/>
        <v>-3907.9656780112418</v>
      </c>
      <c r="Q660" s="62">
        <f t="shared" si="112"/>
        <v>-0.27222896231285398</v>
      </c>
      <c r="R660" s="62">
        <f t="shared" si="113"/>
        <v>16538.88633540718</v>
      </c>
      <c r="S660" s="62">
        <f t="shared" si="114"/>
        <v>24035.837372513153</v>
      </c>
      <c r="T660" s="62">
        <f t="shared" si="115"/>
        <v>24123.162185683323</v>
      </c>
      <c r="U660" s="62">
        <f t="shared" si="116"/>
        <v>23907.733192243599</v>
      </c>
      <c r="V660" s="62">
        <f t="shared" si="106"/>
        <v>1</v>
      </c>
      <c r="W660" s="62">
        <f t="shared" si="106"/>
        <v>0</v>
      </c>
      <c r="X660" s="62">
        <f t="shared" si="106"/>
        <v>0</v>
      </c>
      <c r="Y660" s="62">
        <f t="shared" si="106"/>
        <v>0</v>
      </c>
      <c r="AA660" s="94"/>
    </row>
    <row r="661" spans="2:27" x14ac:dyDescent="0.2">
      <c r="B661" s="94"/>
      <c r="C661" s="62">
        <v>622</v>
      </c>
      <c r="D661" s="62">
        <v>10743.502549949133</v>
      </c>
      <c r="E661" s="62">
        <v>0.61746502836862915</v>
      </c>
      <c r="F661" s="62">
        <v>15467.755481579703</v>
      </c>
      <c r="G661" s="62">
        <v>0.89455246299856295</v>
      </c>
      <c r="H661" s="62">
        <v>15513.060086425425</v>
      </c>
      <c r="I661" s="62">
        <v>0.89744445575412024</v>
      </c>
      <c r="J661" s="62">
        <v>15394.521142099535</v>
      </c>
      <c r="K661" s="62">
        <v>0.8892432486782974</v>
      </c>
      <c r="L661" s="62">
        <f t="shared" si="107"/>
        <v>-4724.2529316305699</v>
      </c>
      <c r="M661" s="62">
        <f t="shared" si="108"/>
        <v>-0.27708743462993379</v>
      </c>
      <c r="N661" s="62">
        <f t="shared" si="109"/>
        <v>-4769.5575364762917</v>
      </c>
      <c r="O661" s="62">
        <f t="shared" si="110"/>
        <v>-0.27997942738549109</v>
      </c>
      <c r="P661" s="62">
        <f t="shared" si="111"/>
        <v>-4651.0185921504017</v>
      </c>
      <c r="Q661" s="62">
        <f t="shared" si="112"/>
        <v>-0.27177822030966825</v>
      </c>
      <c r="R661" s="62">
        <f t="shared" si="113"/>
        <v>14834.368785192963</v>
      </c>
      <c r="S661" s="62">
        <f t="shared" si="114"/>
        <v>21588.185745672767</v>
      </c>
      <c r="T661" s="62">
        <f t="shared" si="115"/>
        <v>21662.679048733255</v>
      </c>
      <c r="U661" s="62">
        <f t="shared" si="116"/>
        <v>21441.491191150257</v>
      </c>
      <c r="V661" s="62">
        <f t="shared" si="106"/>
        <v>1</v>
      </c>
      <c r="W661" s="62">
        <f t="shared" si="106"/>
        <v>0</v>
      </c>
      <c r="X661" s="62">
        <f t="shared" si="106"/>
        <v>0</v>
      </c>
      <c r="Y661" s="62">
        <f t="shared" si="106"/>
        <v>0</v>
      </c>
      <c r="AA661" s="94"/>
    </row>
    <row r="662" spans="2:27" x14ac:dyDescent="0.2">
      <c r="B662" s="94"/>
      <c r="C662" s="62">
        <v>623</v>
      </c>
      <c r="D662" s="62">
        <v>11670.986253490895</v>
      </c>
      <c r="E662" s="62">
        <v>0.61766299001491332</v>
      </c>
      <c r="F662" s="62">
        <v>16799.536055985096</v>
      </c>
      <c r="G662" s="62">
        <v>0.89476753216892035</v>
      </c>
      <c r="H662" s="62">
        <v>16849.026606324474</v>
      </c>
      <c r="I662" s="62">
        <v>0.89769226292343329</v>
      </c>
      <c r="J662" s="62">
        <v>16727.104250807017</v>
      </c>
      <c r="K662" s="62">
        <v>0.88984068047625353</v>
      </c>
      <c r="L662" s="62">
        <f t="shared" si="107"/>
        <v>-5128.5498024942008</v>
      </c>
      <c r="M662" s="62">
        <f t="shared" si="108"/>
        <v>-0.27710454215400704</v>
      </c>
      <c r="N662" s="62">
        <f t="shared" si="109"/>
        <v>-5178.0403528335792</v>
      </c>
      <c r="O662" s="62">
        <f t="shared" si="110"/>
        <v>-0.28002927290851998</v>
      </c>
      <c r="P662" s="62">
        <f t="shared" si="111"/>
        <v>-5056.1179973161215</v>
      </c>
      <c r="Q662" s="62">
        <f t="shared" si="112"/>
        <v>-0.27217769046134022</v>
      </c>
      <c r="R662" s="62">
        <f t="shared" si="113"/>
        <v>13915.085444886872</v>
      </c>
      <c r="S662" s="62">
        <f t="shared" si="114"/>
        <v>20265.314196580264</v>
      </c>
      <c r="T662" s="62">
        <f t="shared" si="115"/>
        <v>20336.97769301583</v>
      </c>
      <c r="U662" s="62">
        <f t="shared" si="116"/>
        <v>20133.656097241306</v>
      </c>
      <c r="V662" s="62">
        <f t="shared" si="106"/>
        <v>1</v>
      </c>
      <c r="W662" s="62">
        <f t="shared" si="106"/>
        <v>0</v>
      </c>
      <c r="X662" s="62">
        <f t="shared" si="106"/>
        <v>0</v>
      </c>
      <c r="Y662" s="62">
        <f t="shared" si="106"/>
        <v>0</v>
      </c>
      <c r="AA662" s="94"/>
    </row>
    <row r="663" spans="2:27" x14ac:dyDescent="0.2">
      <c r="B663" s="94"/>
      <c r="C663" s="62">
        <v>624</v>
      </c>
      <c r="D663" s="62">
        <v>9166.4312762575046</v>
      </c>
      <c r="E663" s="62">
        <v>0.61792928273679737</v>
      </c>
      <c r="F663" s="62">
        <v>13174.670106433085</v>
      </c>
      <c r="G663" s="62">
        <v>0.89421988904695926</v>
      </c>
      <c r="H663" s="62">
        <v>13218.789058312994</v>
      </c>
      <c r="I663" s="62">
        <v>0.89783626396429916</v>
      </c>
      <c r="J663" s="62">
        <v>13114.506823651696</v>
      </c>
      <c r="K663" s="62">
        <v>0.88918015938431894</v>
      </c>
      <c r="L663" s="62">
        <f t="shared" si="107"/>
        <v>-4008.23883017558</v>
      </c>
      <c r="M663" s="62">
        <f t="shared" si="108"/>
        <v>-0.27629060631016189</v>
      </c>
      <c r="N663" s="62">
        <f t="shared" si="109"/>
        <v>-4052.3577820554892</v>
      </c>
      <c r="O663" s="62">
        <f t="shared" si="110"/>
        <v>-0.27990698122750179</v>
      </c>
      <c r="P663" s="62">
        <f t="shared" si="111"/>
        <v>-3948.0755473941917</v>
      </c>
      <c r="Q663" s="62">
        <f t="shared" si="112"/>
        <v>-0.27125087664752157</v>
      </c>
      <c r="R663" s="62">
        <f t="shared" si="113"/>
        <v>16430.671331831589</v>
      </c>
      <c r="S663" s="62">
        <f t="shared" si="114"/>
        <v>23867.494577448153</v>
      </c>
      <c r="T663" s="62">
        <f t="shared" si="115"/>
        <v>23973.180340144136</v>
      </c>
      <c r="U663" s="62">
        <f t="shared" si="116"/>
        <v>23718.89209868433</v>
      </c>
      <c r="V663" s="62">
        <f t="shared" si="106"/>
        <v>1</v>
      </c>
      <c r="W663" s="62">
        <f t="shared" si="106"/>
        <v>0</v>
      </c>
      <c r="X663" s="62">
        <f t="shared" si="106"/>
        <v>0</v>
      </c>
      <c r="Y663" s="62">
        <f t="shared" si="106"/>
        <v>0</v>
      </c>
      <c r="AA663" s="94"/>
    </row>
    <row r="664" spans="2:27" x14ac:dyDescent="0.2">
      <c r="B664" s="94"/>
      <c r="C664" s="62">
        <v>625</v>
      </c>
      <c r="D664" s="62">
        <v>9413.7049000261777</v>
      </c>
      <c r="E664" s="62">
        <v>0.61756791888489759</v>
      </c>
      <c r="F664" s="62">
        <v>13538.819014999543</v>
      </c>
      <c r="G664" s="62">
        <v>0.89466074480733193</v>
      </c>
      <c r="H664" s="62">
        <v>13574.015307380147</v>
      </c>
      <c r="I664" s="62">
        <v>0.89718213545145531</v>
      </c>
      <c r="J664" s="62">
        <v>13476.013905308933</v>
      </c>
      <c r="K664" s="62">
        <v>0.88930285500102635</v>
      </c>
      <c r="L664" s="62">
        <f t="shared" si="107"/>
        <v>-4125.1141149733648</v>
      </c>
      <c r="M664" s="62">
        <f t="shared" si="108"/>
        <v>-0.27709282592243434</v>
      </c>
      <c r="N664" s="62">
        <f t="shared" si="109"/>
        <v>-4160.3104073539689</v>
      </c>
      <c r="O664" s="62">
        <f t="shared" si="110"/>
        <v>-0.27961421656655772</v>
      </c>
      <c r="P664" s="62">
        <f t="shared" si="111"/>
        <v>-4062.3090052827556</v>
      </c>
      <c r="Q664" s="62">
        <f t="shared" si="112"/>
        <v>-0.27173493611612876</v>
      </c>
      <c r="R664" s="62">
        <f t="shared" si="113"/>
        <v>16168.428571861821</v>
      </c>
      <c r="S664" s="62">
        <f t="shared" si="114"/>
        <v>23521.607677899374</v>
      </c>
      <c r="T664" s="62">
        <f t="shared" si="115"/>
        <v>23590.857471560936</v>
      </c>
      <c r="U664" s="62">
        <f t="shared" si="116"/>
        <v>23362.467560253583</v>
      </c>
      <c r="V664" s="62">
        <f t="shared" si="106"/>
        <v>1</v>
      </c>
      <c r="W664" s="62">
        <f t="shared" si="106"/>
        <v>0</v>
      </c>
      <c r="X664" s="62">
        <f t="shared" si="106"/>
        <v>0</v>
      </c>
      <c r="Y664" s="62">
        <f t="shared" si="106"/>
        <v>0</v>
      </c>
      <c r="AA664" s="94"/>
    </row>
    <row r="665" spans="2:27" x14ac:dyDescent="0.2">
      <c r="B665" s="94"/>
      <c r="C665" s="62">
        <v>626</v>
      </c>
      <c r="D665" s="62">
        <v>10004.114084515822</v>
      </c>
      <c r="E665" s="62">
        <v>0.61806002761029522</v>
      </c>
      <c r="F665" s="62">
        <v>14373.531737273532</v>
      </c>
      <c r="G665" s="62">
        <v>0.89429273682463395</v>
      </c>
      <c r="H665" s="62">
        <v>14417.811767408297</v>
      </c>
      <c r="I665" s="62">
        <v>0.89738202736872918</v>
      </c>
      <c r="J665" s="62">
        <v>14316.759152827726</v>
      </c>
      <c r="K665" s="62">
        <v>0.88961807859478537</v>
      </c>
      <c r="L665" s="62">
        <f t="shared" si="107"/>
        <v>-4369.4176527577092</v>
      </c>
      <c r="M665" s="62">
        <f t="shared" si="108"/>
        <v>-0.27623270921433873</v>
      </c>
      <c r="N665" s="62">
        <f t="shared" si="109"/>
        <v>-4413.6976828924744</v>
      </c>
      <c r="O665" s="62">
        <f t="shared" si="110"/>
        <v>-0.27932199975843397</v>
      </c>
      <c r="P665" s="62">
        <f t="shared" si="111"/>
        <v>-4312.6450683119037</v>
      </c>
      <c r="Q665" s="62">
        <f t="shared" si="112"/>
        <v>-0.27155805098449015</v>
      </c>
      <c r="R665" s="62">
        <f t="shared" si="113"/>
        <v>15598.404499213048</v>
      </c>
      <c r="S665" s="62">
        <f t="shared" si="114"/>
        <v>22671.650592950107</v>
      </c>
      <c r="T665" s="62">
        <f t="shared" si="115"/>
        <v>22755.34133431394</v>
      </c>
      <c r="U665" s="62">
        <f t="shared" si="116"/>
        <v>22534.780134882662</v>
      </c>
      <c r="V665" s="62">
        <f t="shared" si="106"/>
        <v>1</v>
      </c>
      <c r="W665" s="62">
        <f t="shared" si="106"/>
        <v>0</v>
      </c>
      <c r="X665" s="62">
        <f t="shared" si="106"/>
        <v>0</v>
      </c>
      <c r="Y665" s="62">
        <f t="shared" si="106"/>
        <v>0</v>
      </c>
      <c r="AA665" s="94"/>
    </row>
    <row r="666" spans="2:27" x14ac:dyDescent="0.2">
      <c r="B666" s="94"/>
      <c r="C666" s="62">
        <v>627</v>
      </c>
      <c r="D666" s="62">
        <v>9946.0663881755299</v>
      </c>
      <c r="E666" s="62">
        <v>0.61778904296948078</v>
      </c>
      <c r="F666" s="62">
        <v>14305.495298369628</v>
      </c>
      <c r="G666" s="62">
        <v>0.8943494509220089</v>
      </c>
      <c r="H666" s="62">
        <v>14334.90843176027</v>
      </c>
      <c r="I666" s="62">
        <v>0.89652172130957586</v>
      </c>
      <c r="J666" s="62">
        <v>14229.523698123985</v>
      </c>
      <c r="K666" s="62">
        <v>0.8885629370350594</v>
      </c>
      <c r="L666" s="62">
        <f t="shared" si="107"/>
        <v>-4359.4289101940976</v>
      </c>
      <c r="M666" s="62">
        <f t="shared" si="108"/>
        <v>-0.27656040795252812</v>
      </c>
      <c r="N666" s="62">
        <f t="shared" si="109"/>
        <v>-4388.8420435847402</v>
      </c>
      <c r="O666" s="62">
        <f t="shared" si="110"/>
        <v>-0.27873267834009507</v>
      </c>
      <c r="P666" s="62">
        <f t="shared" si="111"/>
        <v>-4283.4573099484551</v>
      </c>
      <c r="Q666" s="62">
        <f t="shared" si="112"/>
        <v>-0.27077389406557861</v>
      </c>
      <c r="R666" s="62">
        <f t="shared" si="113"/>
        <v>15645.226927792241</v>
      </c>
      <c r="S666" s="62">
        <f t="shared" si="114"/>
        <v>22742.03635662367</v>
      </c>
      <c r="T666" s="62">
        <f t="shared" si="115"/>
        <v>22802.607351767605</v>
      </c>
      <c r="U666" s="62">
        <f t="shared" si="116"/>
        <v>22578.307405616317</v>
      </c>
      <c r="V666" s="62">
        <f t="shared" si="106"/>
        <v>1</v>
      </c>
      <c r="W666" s="62">
        <f t="shared" si="106"/>
        <v>0</v>
      </c>
      <c r="X666" s="62">
        <f t="shared" si="106"/>
        <v>0</v>
      </c>
      <c r="Y666" s="62">
        <f t="shared" si="106"/>
        <v>0</v>
      </c>
      <c r="AA666" s="94"/>
    </row>
    <row r="667" spans="2:27" x14ac:dyDescent="0.2">
      <c r="B667" s="94"/>
      <c r="C667" s="62">
        <v>628</v>
      </c>
      <c r="D667" s="62">
        <v>10053.080817591093</v>
      </c>
      <c r="E667" s="62">
        <v>0.61774695729354123</v>
      </c>
      <c r="F667" s="62">
        <v>14452.355518265851</v>
      </c>
      <c r="G667" s="62">
        <v>0.89434783270691676</v>
      </c>
      <c r="H667" s="62">
        <v>14489.151494740476</v>
      </c>
      <c r="I667" s="62">
        <v>0.89679506072520565</v>
      </c>
      <c r="J667" s="62">
        <v>14390.797210082535</v>
      </c>
      <c r="K667" s="62">
        <v>0.88933927897876797</v>
      </c>
      <c r="L667" s="62">
        <f t="shared" si="107"/>
        <v>-4399.2747006747577</v>
      </c>
      <c r="M667" s="62">
        <f t="shared" si="108"/>
        <v>-0.27660087541337552</v>
      </c>
      <c r="N667" s="62">
        <f t="shared" si="109"/>
        <v>-4436.0706771493824</v>
      </c>
      <c r="O667" s="62">
        <f t="shared" si="110"/>
        <v>-0.27904810343166442</v>
      </c>
      <c r="P667" s="62">
        <f t="shared" si="111"/>
        <v>-4337.7163924914421</v>
      </c>
      <c r="Q667" s="62">
        <f t="shared" si="112"/>
        <v>-0.27159232168522673</v>
      </c>
      <c r="R667" s="62">
        <f t="shared" si="113"/>
        <v>15536.469141336558</v>
      </c>
      <c r="S667" s="62">
        <f t="shared" si="114"/>
        <v>22595.109103785464</v>
      </c>
      <c r="T667" s="62">
        <f t="shared" si="115"/>
        <v>22659.687100740444</v>
      </c>
      <c r="U667" s="62">
        <f t="shared" si="116"/>
        <v>22449.19308233395</v>
      </c>
      <c r="V667" s="62">
        <f t="shared" si="106"/>
        <v>1</v>
      </c>
      <c r="W667" s="62">
        <f t="shared" si="106"/>
        <v>0</v>
      </c>
      <c r="X667" s="62">
        <f t="shared" si="106"/>
        <v>0</v>
      </c>
      <c r="Y667" s="62">
        <f t="shared" si="106"/>
        <v>0</v>
      </c>
      <c r="AA667" s="94"/>
    </row>
    <row r="668" spans="2:27" x14ac:dyDescent="0.2">
      <c r="B668" s="94"/>
      <c r="C668" s="62">
        <v>629</v>
      </c>
      <c r="D668" s="62">
        <v>9855.2203087332509</v>
      </c>
      <c r="E668" s="62">
        <v>0.61810620195431665</v>
      </c>
      <c r="F668" s="62">
        <v>14148.125460433368</v>
      </c>
      <c r="G668" s="62">
        <v>0.89334128364353527</v>
      </c>
      <c r="H668" s="62">
        <v>14206.994773749204</v>
      </c>
      <c r="I668" s="62">
        <v>0.89742594468500025</v>
      </c>
      <c r="J668" s="62">
        <v>14099.311517752309</v>
      </c>
      <c r="K668" s="62">
        <v>0.88923056682954182</v>
      </c>
      <c r="L668" s="62">
        <f t="shared" si="107"/>
        <v>-4292.9051517001171</v>
      </c>
      <c r="M668" s="62">
        <f t="shared" si="108"/>
        <v>-0.27523508168921862</v>
      </c>
      <c r="N668" s="62">
        <f t="shared" si="109"/>
        <v>-4351.774465015953</v>
      </c>
      <c r="O668" s="62">
        <f t="shared" si="110"/>
        <v>-0.27931974273068361</v>
      </c>
      <c r="P668" s="62">
        <f t="shared" si="111"/>
        <v>-4244.0912090190577</v>
      </c>
      <c r="Q668" s="62">
        <f t="shared" si="112"/>
        <v>-0.27112436487522518</v>
      </c>
      <c r="R668" s="62">
        <f t="shared" si="113"/>
        <v>15749.211001022361</v>
      </c>
      <c r="S668" s="62">
        <f t="shared" si="114"/>
        <v>22857.643873216439</v>
      </c>
      <c r="T668" s="62">
        <f t="shared" si="115"/>
        <v>22967.977558882245</v>
      </c>
      <c r="U668" s="62">
        <f t="shared" si="116"/>
        <v>22736.175482594634</v>
      </c>
      <c r="V668" s="62">
        <f t="shared" si="106"/>
        <v>1</v>
      </c>
      <c r="W668" s="62">
        <f t="shared" si="106"/>
        <v>0</v>
      </c>
      <c r="X668" s="62">
        <f t="shared" si="106"/>
        <v>0</v>
      </c>
      <c r="Y668" s="62">
        <f t="shared" si="106"/>
        <v>0</v>
      </c>
      <c r="AA668" s="94"/>
    </row>
    <row r="669" spans="2:27" x14ac:dyDescent="0.2">
      <c r="B669" s="94"/>
      <c r="C669" s="62">
        <v>630</v>
      </c>
      <c r="D669" s="62">
        <v>10450.205722305347</v>
      </c>
      <c r="E669" s="62">
        <v>0.61770057450668259</v>
      </c>
      <c r="F669" s="62">
        <v>15038.63347453206</v>
      </c>
      <c r="G669" s="62">
        <v>0.8950657858590928</v>
      </c>
      <c r="H669" s="62">
        <v>15071.806700102048</v>
      </c>
      <c r="I669" s="62">
        <v>0.89735855517091501</v>
      </c>
      <c r="J669" s="62">
        <v>14966.156525511144</v>
      </c>
      <c r="K669" s="62">
        <v>0.88965608388640338</v>
      </c>
      <c r="L669" s="62">
        <f t="shared" si="107"/>
        <v>-4588.427752226713</v>
      </c>
      <c r="M669" s="62">
        <f t="shared" si="108"/>
        <v>-0.27736521135241021</v>
      </c>
      <c r="N669" s="62">
        <f t="shared" si="109"/>
        <v>-4621.600977796701</v>
      </c>
      <c r="O669" s="62">
        <f t="shared" si="110"/>
        <v>-0.27965798066423242</v>
      </c>
      <c r="P669" s="62">
        <f t="shared" si="111"/>
        <v>-4515.9508032057965</v>
      </c>
      <c r="Q669" s="62">
        <f t="shared" si="112"/>
        <v>-0.27195550937972079</v>
      </c>
      <c r="R669" s="62">
        <f t="shared" si="113"/>
        <v>15137.422876059472</v>
      </c>
      <c r="S669" s="62">
        <f t="shared" si="114"/>
        <v>22038.571638894999</v>
      </c>
      <c r="T669" s="62">
        <f t="shared" si="115"/>
        <v>22100.37408929794</v>
      </c>
      <c r="U669" s="62">
        <f t="shared" si="116"/>
        <v>21886.957093399229</v>
      </c>
      <c r="V669" s="62">
        <f t="shared" si="106"/>
        <v>1</v>
      </c>
      <c r="W669" s="62">
        <f t="shared" si="106"/>
        <v>0</v>
      </c>
      <c r="X669" s="62">
        <f t="shared" si="106"/>
        <v>0</v>
      </c>
      <c r="Y669" s="62">
        <f t="shared" si="106"/>
        <v>0</v>
      </c>
      <c r="AA669" s="94"/>
    </row>
    <row r="670" spans="2:27" x14ac:dyDescent="0.2">
      <c r="B670" s="94"/>
      <c r="C670" s="62">
        <v>631</v>
      </c>
      <c r="D670" s="62">
        <v>11268.211201760743</v>
      </c>
      <c r="E670" s="62">
        <v>0.6174168415242699</v>
      </c>
      <c r="F670" s="62">
        <v>16206.550183378888</v>
      </c>
      <c r="G670" s="62">
        <v>0.89423636654866268</v>
      </c>
      <c r="H670" s="62">
        <v>16250.803795869422</v>
      </c>
      <c r="I670" s="62">
        <v>0.8968372919258436</v>
      </c>
      <c r="J670" s="62">
        <v>16146.419736564882</v>
      </c>
      <c r="K670" s="62">
        <v>0.88963749119731717</v>
      </c>
      <c r="L670" s="62">
        <f t="shared" si="107"/>
        <v>-4938.3389816181443</v>
      </c>
      <c r="M670" s="62">
        <f t="shared" si="108"/>
        <v>-0.27681952502439278</v>
      </c>
      <c r="N670" s="62">
        <f t="shared" si="109"/>
        <v>-4982.5925941086789</v>
      </c>
      <c r="O670" s="62">
        <f t="shared" si="110"/>
        <v>-0.27942045040157371</v>
      </c>
      <c r="P670" s="62">
        <f t="shared" si="111"/>
        <v>-4878.2085348041383</v>
      </c>
      <c r="Q670" s="62">
        <f t="shared" si="112"/>
        <v>-0.27222064967304727</v>
      </c>
      <c r="R670" s="62">
        <f t="shared" si="113"/>
        <v>14307.664041540615</v>
      </c>
      <c r="S670" s="62">
        <f t="shared" si="114"/>
        <v>20836.297064532911</v>
      </c>
      <c r="T670" s="62">
        <f t="shared" si="115"/>
        <v>20899.784184866727</v>
      </c>
      <c r="U670" s="62">
        <f t="shared" si="116"/>
        <v>20705.923698792787</v>
      </c>
      <c r="V670" s="62">
        <f t="shared" si="106"/>
        <v>1</v>
      </c>
      <c r="W670" s="62">
        <f t="shared" si="106"/>
        <v>0</v>
      </c>
      <c r="X670" s="62">
        <f t="shared" si="106"/>
        <v>0</v>
      </c>
      <c r="Y670" s="62">
        <f t="shared" si="106"/>
        <v>0</v>
      </c>
      <c r="AA670" s="94"/>
    </row>
    <row r="671" spans="2:27" x14ac:dyDescent="0.2">
      <c r="B671" s="94"/>
      <c r="C671" s="62">
        <v>632</v>
      </c>
      <c r="D671" s="62">
        <v>12110.946042290705</v>
      </c>
      <c r="E671" s="62">
        <v>0.61754919077583148</v>
      </c>
      <c r="F671" s="62">
        <v>17425.710099506254</v>
      </c>
      <c r="G671" s="62">
        <v>0.89408882851095228</v>
      </c>
      <c r="H671" s="62">
        <v>17478.962198500125</v>
      </c>
      <c r="I671" s="62">
        <v>0.89703098382416258</v>
      </c>
      <c r="J671" s="62">
        <v>17371.995175603337</v>
      </c>
      <c r="K671" s="62">
        <v>0.89032120591886144</v>
      </c>
      <c r="L671" s="62">
        <f t="shared" si="107"/>
        <v>-5314.7640572155487</v>
      </c>
      <c r="M671" s="62">
        <f t="shared" si="108"/>
        <v>-0.2765396377351208</v>
      </c>
      <c r="N671" s="62">
        <f t="shared" si="109"/>
        <v>-5368.0161562094199</v>
      </c>
      <c r="O671" s="62">
        <f t="shared" si="110"/>
        <v>-0.2794817930483311</v>
      </c>
      <c r="P671" s="62">
        <f t="shared" si="111"/>
        <v>-5261.049133312632</v>
      </c>
      <c r="Q671" s="62">
        <f t="shared" si="112"/>
        <v>-0.27277201514302996</v>
      </c>
      <c r="R671" s="62">
        <f t="shared" si="113"/>
        <v>13470.41163640734</v>
      </c>
      <c r="S671" s="62">
        <f t="shared" si="114"/>
        <v>19611.025532731433</v>
      </c>
      <c r="T671" s="62">
        <f t="shared" si="115"/>
        <v>19679.649275431988</v>
      </c>
      <c r="U671" s="62">
        <f t="shared" si="116"/>
        <v>19508.670458379576</v>
      </c>
      <c r="V671" s="62">
        <f t="shared" si="106"/>
        <v>1</v>
      </c>
      <c r="W671" s="62">
        <f t="shared" si="106"/>
        <v>0</v>
      </c>
      <c r="X671" s="62">
        <f t="shared" si="106"/>
        <v>0</v>
      </c>
      <c r="Y671" s="62">
        <f t="shared" si="106"/>
        <v>0</v>
      </c>
      <c r="AA671" s="94"/>
    </row>
    <row r="672" spans="2:27" x14ac:dyDescent="0.2">
      <c r="B672" s="94"/>
      <c r="C672" s="62">
        <v>633</v>
      </c>
      <c r="D672" s="62">
        <v>7866.0691744447731</v>
      </c>
      <c r="E672" s="62">
        <v>0.61769096770492293</v>
      </c>
      <c r="F672" s="62">
        <v>11298.349359996279</v>
      </c>
      <c r="G672" s="62">
        <v>0.89425353100152027</v>
      </c>
      <c r="H672" s="62">
        <v>11333.345235144574</v>
      </c>
      <c r="I672" s="62">
        <v>0.89755167861878438</v>
      </c>
      <c r="J672" s="62">
        <v>11260.281485346472</v>
      </c>
      <c r="K672" s="62">
        <v>0.89012554698884405</v>
      </c>
      <c r="L672" s="62">
        <f t="shared" si="107"/>
        <v>-3432.2801855515054</v>
      </c>
      <c r="M672" s="62">
        <f t="shared" si="108"/>
        <v>-0.27656256329659734</v>
      </c>
      <c r="N672" s="62">
        <f t="shared" si="109"/>
        <v>-3467.2760606998008</v>
      </c>
      <c r="O672" s="62">
        <f t="shared" si="110"/>
        <v>-0.27986071091386144</v>
      </c>
      <c r="P672" s="62">
        <f t="shared" si="111"/>
        <v>-3394.2123109016984</v>
      </c>
      <c r="Q672" s="62">
        <f t="shared" si="112"/>
        <v>-0.27243457928392112</v>
      </c>
      <c r="R672" s="62">
        <f t="shared" si="113"/>
        <v>17721.161471763957</v>
      </c>
      <c r="S672" s="62">
        <f t="shared" si="114"/>
        <v>25745.208908210694</v>
      </c>
      <c r="T672" s="62">
        <f t="shared" si="115"/>
        <v>25846.835499959947</v>
      </c>
      <c r="U672" s="62">
        <f t="shared" si="116"/>
        <v>25612.279173119401</v>
      </c>
      <c r="V672" s="62">
        <f t="shared" si="106"/>
        <v>1</v>
      </c>
      <c r="W672" s="62">
        <f t="shared" si="106"/>
        <v>0</v>
      </c>
      <c r="X672" s="62">
        <f t="shared" si="106"/>
        <v>0</v>
      </c>
      <c r="Y672" s="62">
        <f t="shared" si="106"/>
        <v>0</v>
      </c>
      <c r="AA672" s="94"/>
    </row>
    <row r="673" spans="2:27" x14ac:dyDescent="0.2">
      <c r="B673" s="94"/>
      <c r="C673" s="62">
        <v>634</v>
      </c>
      <c r="D673" s="62">
        <v>10055.964817472963</v>
      </c>
      <c r="E673" s="62">
        <v>0.61781638540381523</v>
      </c>
      <c r="F673" s="62">
        <v>14455.362168647111</v>
      </c>
      <c r="G673" s="62">
        <v>0.89413933723538164</v>
      </c>
      <c r="H673" s="62">
        <v>14495.825996039477</v>
      </c>
      <c r="I673" s="62">
        <v>0.89680481499499187</v>
      </c>
      <c r="J673" s="62">
        <v>14392.809106287152</v>
      </c>
      <c r="K673" s="62">
        <v>0.88902241160388273</v>
      </c>
      <c r="L673" s="62">
        <f t="shared" si="107"/>
        <v>-4399.3973511741478</v>
      </c>
      <c r="M673" s="62">
        <f t="shared" si="108"/>
        <v>-0.27632295183156641</v>
      </c>
      <c r="N673" s="62">
        <f t="shared" si="109"/>
        <v>-4439.8611785665144</v>
      </c>
      <c r="O673" s="62">
        <f t="shared" si="110"/>
        <v>-0.27898842959117665</v>
      </c>
      <c r="P673" s="62">
        <f t="shared" si="111"/>
        <v>-4336.844288814189</v>
      </c>
      <c r="Q673" s="62">
        <f t="shared" si="112"/>
        <v>-0.27120602620006751</v>
      </c>
      <c r="R673" s="62">
        <f t="shared" si="113"/>
        <v>15536.461131494678</v>
      </c>
      <c r="S673" s="62">
        <f t="shared" si="114"/>
        <v>22583.46573699134</v>
      </c>
      <c r="T673" s="62">
        <f t="shared" si="115"/>
        <v>22653.416660313065</v>
      </c>
      <c r="U673" s="62">
        <f t="shared" si="116"/>
        <v>22434.055271992082</v>
      </c>
      <c r="V673" s="62">
        <f t="shared" si="106"/>
        <v>1</v>
      </c>
      <c r="W673" s="62">
        <f t="shared" si="106"/>
        <v>0</v>
      </c>
      <c r="X673" s="62">
        <f t="shared" si="106"/>
        <v>0</v>
      </c>
      <c r="Y673" s="62">
        <f t="shared" si="106"/>
        <v>0</v>
      </c>
      <c r="AA673" s="94"/>
    </row>
    <row r="674" spans="2:27" x14ac:dyDescent="0.2">
      <c r="B674" s="94"/>
      <c r="C674" s="62">
        <v>635</v>
      </c>
      <c r="D674" s="62">
        <v>10579.267796102322</v>
      </c>
      <c r="E674" s="62">
        <v>0.61752143667120096</v>
      </c>
      <c r="F674" s="62">
        <v>15226.514316290195</v>
      </c>
      <c r="G674" s="62">
        <v>0.89470875270962702</v>
      </c>
      <c r="H674" s="62">
        <v>15267.204458557806</v>
      </c>
      <c r="I674" s="62">
        <v>0.89726840668064822</v>
      </c>
      <c r="J674" s="62">
        <v>15153.602130943093</v>
      </c>
      <c r="K674" s="62">
        <v>0.88941249428801694</v>
      </c>
      <c r="L674" s="62">
        <f t="shared" si="107"/>
        <v>-4647.2465201878731</v>
      </c>
      <c r="M674" s="62">
        <f t="shared" si="108"/>
        <v>-0.27718731603842606</v>
      </c>
      <c r="N674" s="62">
        <f t="shared" si="109"/>
        <v>-4687.9366624554841</v>
      </c>
      <c r="O674" s="62">
        <f t="shared" si="110"/>
        <v>-0.27974697000944726</v>
      </c>
      <c r="P674" s="62">
        <f t="shared" si="111"/>
        <v>-4574.3343348407707</v>
      </c>
      <c r="Q674" s="62">
        <f t="shared" si="112"/>
        <v>-0.27189105761681598</v>
      </c>
      <c r="R674" s="62">
        <f t="shared" si="113"/>
        <v>15000.940196565505</v>
      </c>
      <c r="S674" s="62">
        <f t="shared" si="114"/>
        <v>21835.901055953393</v>
      </c>
      <c r="T674" s="62">
        <f t="shared" si="115"/>
        <v>21901.24201978137</v>
      </c>
      <c r="U674" s="62">
        <f t="shared" si="116"/>
        <v>21689.421032443723</v>
      </c>
      <c r="V674" s="62">
        <f t="shared" si="106"/>
        <v>1</v>
      </c>
      <c r="W674" s="62">
        <f t="shared" si="106"/>
        <v>0</v>
      </c>
      <c r="X674" s="62">
        <f t="shared" si="106"/>
        <v>0</v>
      </c>
      <c r="Y674" s="62">
        <f t="shared" si="106"/>
        <v>0</v>
      </c>
      <c r="AA674" s="94"/>
    </row>
    <row r="675" spans="2:27" x14ac:dyDescent="0.2">
      <c r="B675" s="94"/>
      <c r="C675" s="62">
        <v>636</v>
      </c>
      <c r="D675" s="62">
        <v>8644.3967011171208</v>
      </c>
      <c r="E675" s="62">
        <v>0.61770434383083028</v>
      </c>
      <c r="F675" s="62">
        <v>12425.317768215038</v>
      </c>
      <c r="G675" s="62">
        <v>0.89449268122402126</v>
      </c>
      <c r="H675" s="62">
        <v>12458.969210434623</v>
      </c>
      <c r="I675" s="62">
        <v>0.89740868009496055</v>
      </c>
      <c r="J675" s="62">
        <v>12376.828860607149</v>
      </c>
      <c r="K675" s="62">
        <v>0.88989292556356014</v>
      </c>
      <c r="L675" s="62">
        <f t="shared" si="107"/>
        <v>-3780.9210670979173</v>
      </c>
      <c r="M675" s="62">
        <f t="shared" si="108"/>
        <v>-0.27678833739319098</v>
      </c>
      <c r="N675" s="62">
        <f t="shared" si="109"/>
        <v>-3814.5725093175024</v>
      </c>
      <c r="O675" s="62">
        <f t="shared" si="110"/>
        <v>-0.27970433626413027</v>
      </c>
      <c r="P675" s="62">
        <f t="shared" si="111"/>
        <v>-3732.4321594900284</v>
      </c>
      <c r="Q675" s="62">
        <f t="shared" si="112"/>
        <v>-0.27218858173272986</v>
      </c>
      <c r="R675" s="62">
        <f t="shared" si="113"/>
        <v>16943.388037731194</v>
      </c>
      <c r="S675" s="62">
        <f t="shared" si="114"/>
        <v>24628.147058808816</v>
      </c>
      <c r="T675" s="62">
        <f t="shared" si="115"/>
        <v>24715.287953819025</v>
      </c>
      <c r="U675" s="62">
        <f t="shared" si="116"/>
        <v>24486.095687937763</v>
      </c>
      <c r="V675" s="62">
        <f t="shared" si="106"/>
        <v>1</v>
      </c>
      <c r="W675" s="62">
        <f t="shared" si="106"/>
        <v>0</v>
      </c>
      <c r="X675" s="62">
        <f t="shared" si="106"/>
        <v>0</v>
      </c>
      <c r="Y675" s="62">
        <f t="shared" si="106"/>
        <v>0</v>
      </c>
      <c r="AA675" s="94"/>
    </row>
    <row r="676" spans="2:27" x14ac:dyDescent="0.2">
      <c r="B676" s="94"/>
      <c r="C676" s="62">
        <v>637</v>
      </c>
      <c r="D676" s="62">
        <v>9905.0622932588612</v>
      </c>
      <c r="E676" s="62">
        <v>0.61767290662377061</v>
      </c>
      <c r="F676" s="62">
        <v>14244.890302392483</v>
      </c>
      <c r="G676" s="62">
        <v>0.89426045648477326</v>
      </c>
      <c r="H676" s="62">
        <v>14284.678078285046</v>
      </c>
      <c r="I676" s="62">
        <v>0.897121559679805</v>
      </c>
      <c r="J676" s="62">
        <v>14198.103811111407</v>
      </c>
      <c r="K676" s="62">
        <v>0.89025607423513198</v>
      </c>
      <c r="L676" s="62">
        <f t="shared" si="107"/>
        <v>-4339.8280091336219</v>
      </c>
      <c r="M676" s="62">
        <f t="shared" si="108"/>
        <v>-0.27658754986100265</v>
      </c>
      <c r="N676" s="62">
        <f t="shared" si="109"/>
        <v>-4379.6157850261843</v>
      </c>
      <c r="O676" s="62">
        <f t="shared" si="110"/>
        <v>-0.27944865305603439</v>
      </c>
      <c r="P676" s="62">
        <f t="shared" si="111"/>
        <v>-4293.0415178525454</v>
      </c>
      <c r="Q676" s="62">
        <f t="shared" si="112"/>
        <v>-0.27258316761136137</v>
      </c>
      <c r="R676" s="62">
        <f t="shared" si="113"/>
        <v>15681.420190724211</v>
      </c>
      <c r="S676" s="62">
        <f t="shared" si="114"/>
        <v>22798.954847032761</v>
      </c>
      <c r="T676" s="62">
        <f t="shared" si="115"/>
        <v>22877.685409891194</v>
      </c>
      <c r="U676" s="62">
        <f t="shared" si="116"/>
        <v>22679.863808004699</v>
      </c>
      <c r="V676" s="62">
        <f t="shared" si="106"/>
        <v>1</v>
      </c>
      <c r="W676" s="62">
        <f t="shared" si="106"/>
        <v>0</v>
      </c>
      <c r="X676" s="62">
        <f t="shared" si="106"/>
        <v>0</v>
      </c>
      <c r="Y676" s="62">
        <f t="shared" si="106"/>
        <v>0</v>
      </c>
      <c r="AA676" s="94"/>
    </row>
    <row r="677" spans="2:27" x14ac:dyDescent="0.2">
      <c r="B677" s="94"/>
      <c r="C677" s="62">
        <v>638</v>
      </c>
      <c r="D677" s="62">
        <v>10258.873101390973</v>
      </c>
      <c r="E677" s="62">
        <v>0.61743821592534787</v>
      </c>
      <c r="F677" s="62">
        <v>14773.626483798058</v>
      </c>
      <c r="G677" s="62">
        <v>0.89481747972754511</v>
      </c>
      <c r="H677" s="62">
        <v>14813.53155836634</v>
      </c>
      <c r="I677" s="62">
        <v>0.89759145845944732</v>
      </c>
      <c r="J677" s="62">
        <v>14700.431595583099</v>
      </c>
      <c r="K677" s="62">
        <v>0.88936008692104096</v>
      </c>
      <c r="L677" s="62">
        <f t="shared" si="107"/>
        <v>-4514.7533824070852</v>
      </c>
      <c r="M677" s="62">
        <f t="shared" si="108"/>
        <v>-0.27737926380219724</v>
      </c>
      <c r="N677" s="62">
        <f t="shared" si="109"/>
        <v>-4554.6584569753668</v>
      </c>
      <c r="O677" s="62">
        <f t="shared" si="110"/>
        <v>-0.28015324253409946</v>
      </c>
      <c r="P677" s="62">
        <f t="shared" si="111"/>
        <v>-4441.5584941921261</v>
      </c>
      <c r="Q677" s="62">
        <f t="shared" si="112"/>
        <v>-0.27192187099569309</v>
      </c>
      <c r="R677" s="62">
        <f t="shared" si="113"/>
        <v>15317.887555100637</v>
      </c>
      <c r="S677" s="62">
        <f t="shared" si="114"/>
        <v>22293.292796435773</v>
      </c>
      <c r="T677" s="62">
        <f t="shared" si="115"/>
        <v>22368.297016857803</v>
      </c>
      <c r="U677" s="62">
        <f t="shared" si="116"/>
        <v>22140.420645034101</v>
      </c>
      <c r="V677" s="62">
        <f t="shared" si="106"/>
        <v>1</v>
      </c>
      <c r="W677" s="62">
        <f t="shared" si="106"/>
        <v>0</v>
      </c>
      <c r="X677" s="62">
        <f t="shared" si="106"/>
        <v>0</v>
      </c>
      <c r="Y677" s="62">
        <f t="shared" si="106"/>
        <v>0</v>
      </c>
      <c r="AA677" s="94"/>
    </row>
    <row r="678" spans="2:27" x14ac:dyDescent="0.2">
      <c r="B678" s="94"/>
      <c r="C678" s="62">
        <v>639</v>
      </c>
      <c r="D678" s="62">
        <v>9433.4464474536089</v>
      </c>
      <c r="E678" s="62">
        <v>0.61800107916121316</v>
      </c>
      <c r="F678" s="62">
        <v>13550.893903400209</v>
      </c>
      <c r="G678" s="62">
        <v>0.89394728592533512</v>
      </c>
      <c r="H678" s="62">
        <v>13594.031153070269</v>
      </c>
      <c r="I678" s="62">
        <v>0.89716925711545437</v>
      </c>
      <c r="J678" s="62">
        <v>13499.883021779351</v>
      </c>
      <c r="K678" s="62">
        <v>0.88959715524797867</v>
      </c>
      <c r="L678" s="62">
        <f t="shared" si="107"/>
        <v>-4117.4474559465998</v>
      </c>
      <c r="M678" s="62">
        <f t="shared" si="108"/>
        <v>-0.27594620676412196</v>
      </c>
      <c r="N678" s="62">
        <f t="shared" si="109"/>
        <v>-4160.5847056166604</v>
      </c>
      <c r="O678" s="62">
        <f t="shared" si="110"/>
        <v>-0.2791681779542412</v>
      </c>
      <c r="P678" s="62">
        <f t="shared" si="111"/>
        <v>-4066.4365743257422</v>
      </c>
      <c r="Q678" s="62">
        <f t="shared" si="112"/>
        <v>-0.2715960760867655</v>
      </c>
      <c r="R678" s="62">
        <f t="shared" si="113"/>
        <v>16166.630255720485</v>
      </c>
      <c r="S678" s="62">
        <f t="shared" si="114"/>
        <v>23479.978468770874</v>
      </c>
      <c r="T678" s="62">
        <f t="shared" si="115"/>
        <v>23570.308153680315</v>
      </c>
      <c r="U678" s="62">
        <f t="shared" si="116"/>
        <v>23350.789537212921</v>
      </c>
      <c r="V678" s="62">
        <f t="shared" si="106"/>
        <v>1</v>
      </c>
      <c r="W678" s="62">
        <f t="shared" si="106"/>
        <v>0</v>
      </c>
      <c r="X678" s="62">
        <f t="shared" si="106"/>
        <v>0</v>
      </c>
      <c r="Y678" s="62">
        <f t="shared" ref="Y678:Y741" si="117">IF(MIN($R678:$U678)=U678,1,0)</f>
        <v>0</v>
      </c>
      <c r="AA678" s="94"/>
    </row>
    <row r="679" spans="2:27" x14ac:dyDescent="0.2">
      <c r="B679" s="94"/>
      <c r="C679" s="62">
        <v>640</v>
      </c>
      <c r="D679" s="62">
        <v>11168.171151092607</v>
      </c>
      <c r="E679" s="62">
        <v>0.61766430790385551</v>
      </c>
      <c r="F679" s="62">
        <v>16063.831276015495</v>
      </c>
      <c r="G679" s="62">
        <v>0.8943066664684477</v>
      </c>
      <c r="H679" s="62">
        <v>16119.67375007818</v>
      </c>
      <c r="I679" s="62">
        <v>0.89777967430376682</v>
      </c>
      <c r="J679" s="62">
        <v>15993.225957598965</v>
      </c>
      <c r="K679" s="62">
        <v>0.88933375515990187</v>
      </c>
      <c r="L679" s="62">
        <f t="shared" si="107"/>
        <v>-4895.6601249228879</v>
      </c>
      <c r="M679" s="62">
        <f t="shared" si="108"/>
        <v>-0.27664235856459218</v>
      </c>
      <c r="N679" s="62">
        <f t="shared" si="109"/>
        <v>-4951.5025989855731</v>
      </c>
      <c r="O679" s="62">
        <f t="shared" si="110"/>
        <v>-0.2801153663999113</v>
      </c>
      <c r="P679" s="62">
        <f t="shared" si="111"/>
        <v>-4825.0548065063576</v>
      </c>
      <c r="Q679" s="62">
        <f t="shared" si="112"/>
        <v>-0.27166944725604636</v>
      </c>
      <c r="R679" s="62">
        <f t="shared" si="113"/>
        <v>14417.955139516704</v>
      </c>
      <c r="S679" s="62">
        <f t="shared" si="114"/>
        <v>20981.928075773481</v>
      </c>
      <c r="T679" s="62">
        <f t="shared" si="115"/>
        <v>21069.951478281051</v>
      </c>
      <c r="U679" s="62">
        <f t="shared" si="116"/>
        <v>20846.53551614481</v>
      </c>
      <c r="V679" s="62">
        <f t="shared" ref="V679:Y742" si="118">IF(MIN($R679:$U679)=R679,1,0)</f>
        <v>1</v>
      </c>
      <c r="W679" s="62">
        <f t="shared" si="118"/>
        <v>0</v>
      </c>
      <c r="X679" s="62">
        <f t="shared" si="118"/>
        <v>0</v>
      </c>
      <c r="Y679" s="62">
        <f t="shared" si="117"/>
        <v>0</v>
      </c>
      <c r="AA679" s="94"/>
    </row>
    <row r="680" spans="2:27" x14ac:dyDescent="0.2">
      <c r="B680" s="94"/>
      <c r="C680" s="62">
        <v>641</v>
      </c>
      <c r="D680" s="62">
        <v>10233.609601933898</v>
      </c>
      <c r="E680" s="62">
        <v>0.61791225333888677</v>
      </c>
      <c r="F680" s="62">
        <v>14709.497064495463</v>
      </c>
      <c r="G680" s="62">
        <v>0.89378122417867267</v>
      </c>
      <c r="H680" s="62">
        <v>14754.769822517064</v>
      </c>
      <c r="I680" s="62">
        <v>0.89687844841306785</v>
      </c>
      <c r="J680" s="62">
        <v>14660.339556937663</v>
      </c>
      <c r="K680" s="62">
        <v>0.88981805097598599</v>
      </c>
      <c r="L680" s="62">
        <f t="shared" ref="L680:L743" si="119">IF($C680&lt;=No_of_iterations_PSA,D680-$F680,"")</f>
        <v>-4475.8874625615645</v>
      </c>
      <c r="M680" s="62">
        <f t="shared" ref="M680:M743" si="120">IF($C680&lt;=No_of_iterations_PSA,E680-$G680,"")</f>
        <v>-0.2758689708397859</v>
      </c>
      <c r="N680" s="62">
        <f t="shared" ref="N680:N743" si="121">IF($C680&lt;=No_of_iterations_PSA,D680-$H680,"")</f>
        <v>-4521.1602205831659</v>
      </c>
      <c r="O680" s="62">
        <f t="shared" ref="O680:O743" si="122">IF($C680&lt;=No_of_iterations_PSA,E680-$I680,"")</f>
        <v>-0.27896619507418108</v>
      </c>
      <c r="P680" s="62">
        <f t="shared" ref="P680:P743" si="123">IF($C680&lt;=No_of_iterations_PSA,D680-$J680,"")</f>
        <v>-4426.7299550037642</v>
      </c>
      <c r="Q680" s="62">
        <f t="shared" ref="Q680:Q743" si="124">IF($C680&lt;=No_of_iterations_PSA,E680-$K680,"")</f>
        <v>-0.27190579763709921</v>
      </c>
      <c r="R680" s="62">
        <f t="shared" ref="R680:R743" si="125">IF($C680&lt;=No_of_iterations_PSA,E680*c_WTP-D680,"")</f>
        <v>15362.787580376149</v>
      </c>
      <c r="S680" s="62">
        <f t="shared" ref="S680:S743" si="126">IF($C680&lt;=No_of_iterations_PSA,G680*c_WTP-F680,"")</f>
        <v>22314.496365881871</v>
      </c>
      <c r="T680" s="62">
        <f t="shared" ref="T680:T743" si="127">IF($C680&lt;=No_of_iterations_PSA,I680*c_WTP-H680,"")</f>
        <v>22397.523024545855</v>
      </c>
      <c r="U680" s="62">
        <f t="shared" ref="U680:U743" si="128">IF($C680&lt;=No_of_iterations_PSA,K680*c_WTP-J680,"")</f>
        <v>22199.483386691583</v>
      </c>
      <c r="V680" s="62">
        <f t="shared" si="118"/>
        <v>1</v>
      </c>
      <c r="W680" s="62">
        <f t="shared" si="118"/>
        <v>0</v>
      </c>
      <c r="X680" s="62">
        <f t="shared" si="118"/>
        <v>0</v>
      </c>
      <c r="Y680" s="62">
        <f t="shared" si="117"/>
        <v>0</v>
      </c>
      <c r="AA680" s="94"/>
    </row>
    <row r="681" spans="2:27" x14ac:dyDescent="0.2">
      <c r="B681" s="94"/>
      <c r="C681" s="62">
        <v>642</v>
      </c>
      <c r="D681" s="62">
        <v>9603.6219457908464</v>
      </c>
      <c r="E681" s="62">
        <v>0.61816341291155452</v>
      </c>
      <c r="F681" s="62">
        <v>13796.149450510185</v>
      </c>
      <c r="G681" s="62">
        <v>0.89388419683878229</v>
      </c>
      <c r="H681" s="62">
        <v>13849.672559662604</v>
      </c>
      <c r="I681" s="62">
        <v>0.89775791643186886</v>
      </c>
      <c r="J681" s="62">
        <v>13739.077754205902</v>
      </c>
      <c r="K681" s="62">
        <v>0.88922260155238386</v>
      </c>
      <c r="L681" s="62">
        <f t="shared" si="119"/>
        <v>-4192.527504719339</v>
      </c>
      <c r="M681" s="62">
        <f t="shared" si="120"/>
        <v>-0.27572078392722776</v>
      </c>
      <c r="N681" s="62">
        <f t="shared" si="121"/>
        <v>-4246.0506138717574</v>
      </c>
      <c r="O681" s="62">
        <f t="shared" si="122"/>
        <v>-0.27959450352031434</v>
      </c>
      <c r="P681" s="62">
        <f t="shared" si="123"/>
        <v>-4135.4558084150558</v>
      </c>
      <c r="Q681" s="62">
        <f t="shared" si="124"/>
        <v>-0.27105918864082934</v>
      </c>
      <c r="R681" s="62">
        <f t="shared" si="125"/>
        <v>16003.179270657389</v>
      </c>
      <c r="S681" s="62">
        <f t="shared" si="126"/>
        <v>23232.10951933953</v>
      </c>
      <c r="T681" s="62">
        <f t="shared" si="127"/>
        <v>23339.051370611131</v>
      </c>
      <c r="U681" s="62">
        <f t="shared" si="128"/>
        <v>23096.07929250005</v>
      </c>
      <c r="V681" s="62">
        <f t="shared" si="118"/>
        <v>1</v>
      </c>
      <c r="W681" s="62">
        <f t="shared" si="118"/>
        <v>0</v>
      </c>
      <c r="X681" s="62">
        <f t="shared" si="118"/>
        <v>0</v>
      </c>
      <c r="Y681" s="62">
        <f t="shared" si="117"/>
        <v>0</v>
      </c>
      <c r="AA681" s="94"/>
    </row>
    <row r="682" spans="2:27" x14ac:dyDescent="0.2">
      <c r="B682" s="94"/>
      <c r="C682" s="62">
        <v>643</v>
      </c>
      <c r="D682" s="62">
        <v>10186.893427214536</v>
      </c>
      <c r="E682" s="62">
        <v>0.61764668322329797</v>
      </c>
      <c r="F682" s="62">
        <v>14641.61357813734</v>
      </c>
      <c r="G682" s="62">
        <v>0.89370401386242027</v>
      </c>
      <c r="H682" s="62">
        <v>14691.044794730658</v>
      </c>
      <c r="I682" s="62">
        <v>0.89718138300235017</v>
      </c>
      <c r="J682" s="62">
        <v>14590.129264583593</v>
      </c>
      <c r="K682" s="62">
        <v>0.88947458129185097</v>
      </c>
      <c r="L682" s="62">
        <f t="shared" si="119"/>
        <v>-4454.7201509228034</v>
      </c>
      <c r="M682" s="62">
        <f t="shared" si="120"/>
        <v>-0.2760573306391223</v>
      </c>
      <c r="N682" s="62">
        <f t="shared" si="121"/>
        <v>-4504.1513675161223</v>
      </c>
      <c r="O682" s="62">
        <f t="shared" si="122"/>
        <v>-0.27953469977905221</v>
      </c>
      <c r="P682" s="62">
        <f t="shared" si="123"/>
        <v>-4403.2358373690568</v>
      </c>
      <c r="Q682" s="62">
        <f t="shared" si="124"/>
        <v>-0.27182789806855301</v>
      </c>
      <c r="R682" s="62">
        <f t="shared" si="125"/>
        <v>15398.502778627359</v>
      </c>
      <c r="S682" s="62">
        <f t="shared" si="126"/>
        <v>22379.18149209956</v>
      </c>
      <c r="T682" s="62">
        <f t="shared" si="127"/>
        <v>22473.796814758694</v>
      </c>
      <c r="U682" s="62">
        <f t="shared" si="128"/>
        <v>22255.465790850045</v>
      </c>
      <c r="V682" s="62">
        <f t="shared" si="118"/>
        <v>1</v>
      </c>
      <c r="W682" s="62">
        <f t="shared" si="118"/>
        <v>0</v>
      </c>
      <c r="X682" s="62">
        <f t="shared" si="118"/>
        <v>0</v>
      </c>
      <c r="Y682" s="62">
        <f t="shared" si="117"/>
        <v>0</v>
      </c>
      <c r="AA682" s="94"/>
    </row>
    <row r="683" spans="2:27" x14ac:dyDescent="0.2">
      <c r="B683" s="94"/>
      <c r="C683" s="62">
        <v>644</v>
      </c>
      <c r="D683" s="62">
        <v>8562.0313981010586</v>
      </c>
      <c r="E683" s="62">
        <v>0.61760748297563517</v>
      </c>
      <c r="F683" s="62">
        <v>12305.437117733978</v>
      </c>
      <c r="G683" s="62">
        <v>0.89401454890853016</v>
      </c>
      <c r="H683" s="62">
        <v>12340.428021796661</v>
      </c>
      <c r="I683" s="62">
        <v>0.8969273037202794</v>
      </c>
      <c r="J683" s="62">
        <v>12257.488230842895</v>
      </c>
      <c r="K683" s="62">
        <v>0.8895704594187015</v>
      </c>
      <c r="L683" s="62">
        <f t="shared" si="119"/>
        <v>-3743.4057196329195</v>
      </c>
      <c r="M683" s="62">
        <f t="shared" si="120"/>
        <v>-0.27640706593289499</v>
      </c>
      <c r="N683" s="62">
        <f t="shared" si="121"/>
        <v>-3778.3966236956021</v>
      </c>
      <c r="O683" s="62">
        <f t="shared" si="122"/>
        <v>-0.27931982074464423</v>
      </c>
      <c r="P683" s="62">
        <f t="shared" si="123"/>
        <v>-3695.4568327418365</v>
      </c>
      <c r="Q683" s="62">
        <f t="shared" si="124"/>
        <v>-0.27196297644306633</v>
      </c>
      <c r="R683" s="62">
        <f t="shared" si="125"/>
        <v>17021.740976681653</v>
      </c>
      <c r="S683" s="62">
        <f t="shared" si="126"/>
        <v>24728.221556252975</v>
      </c>
      <c r="T683" s="62">
        <f t="shared" si="127"/>
        <v>24813.888607512192</v>
      </c>
      <c r="U683" s="62">
        <f t="shared" si="128"/>
        <v>24592.078480117394</v>
      </c>
      <c r="V683" s="62">
        <f t="shared" si="118"/>
        <v>1</v>
      </c>
      <c r="W683" s="62">
        <f t="shared" si="118"/>
        <v>0</v>
      </c>
      <c r="X683" s="62">
        <f t="shared" si="118"/>
        <v>0</v>
      </c>
      <c r="Y683" s="62">
        <f t="shared" si="117"/>
        <v>0</v>
      </c>
      <c r="AA683" s="94"/>
    </row>
    <row r="684" spans="2:27" x14ac:dyDescent="0.2">
      <c r="B684" s="94"/>
      <c r="C684" s="62">
        <v>645</v>
      </c>
      <c r="D684" s="62">
        <v>11755.733334132579</v>
      </c>
      <c r="E684" s="62">
        <v>0.61767536112259036</v>
      </c>
      <c r="F684" s="62">
        <v>16911.984772354266</v>
      </c>
      <c r="G684" s="62">
        <v>0.89467162814525503</v>
      </c>
      <c r="H684" s="62">
        <v>16964.869844986151</v>
      </c>
      <c r="I684" s="62">
        <v>0.89770538094401142</v>
      </c>
      <c r="J684" s="62">
        <v>16836.794917786123</v>
      </c>
      <c r="K684" s="62">
        <v>0.8894432094288125</v>
      </c>
      <c r="L684" s="62">
        <f t="shared" si="119"/>
        <v>-5156.2514382216868</v>
      </c>
      <c r="M684" s="62">
        <f t="shared" si="120"/>
        <v>-0.27699626702266467</v>
      </c>
      <c r="N684" s="62">
        <f t="shared" si="121"/>
        <v>-5209.136510853572</v>
      </c>
      <c r="O684" s="62">
        <f t="shared" si="122"/>
        <v>-0.28003001982142106</v>
      </c>
      <c r="P684" s="62">
        <f t="shared" si="123"/>
        <v>-5081.0615836535435</v>
      </c>
      <c r="Q684" s="62">
        <f t="shared" si="124"/>
        <v>-0.27176784830622214</v>
      </c>
      <c r="R684" s="62">
        <f t="shared" si="125"/>
        <v>13830.850825009602</v>
      </c>
      <c r="S684" s="62">
        <f t="shared" si="126"/>
        <v>20148.892751934774</v>
      </c>
      <c r="T684" s="62">
        <f t="shared" si="127"/>
        <v>20221.677855238577</v>
      </c>
      <c r="U684" s="62">
        <f t="shared" si="128"/>
        <v>20007.500589593008</v>
      </c>
      <c r="V684" s="62">
        <f t="shared" si="118"/>
        <v>1</v>
      </c>
      <c r="W684" s="62">
        <f t="shared" si="118"/>
        <v>0</v>
      </c>
      <c r="X684" s="62">
        <f t="shared" si="118"/>
        <v>0</v>
      </c>
      <c r="Y684" s="62">
        <f t="shared" si="117"/>
        <v>0</v>
      </c>
      <c r="AA684" s="94"/>
    </row>
    <row r="685" spans="2:27" x14ac:dyDescent="0.2">
      <c r="B685" s="94"/>
      <c r="C685" s="62">
        <v>646</v>
      </c>
      <c r="D685" s="62">
        <v>10429.98021408756</v>
      </c>
      <c r="E685" s="62">
        <v>0.61831026730037619</v>
      </c>
      <c r="F685" s="62">
        <v>14992.681199252036</v>
      </c>
      <c r="G685" s="62">
        <v>0.89495856867858581</v>
      </c>
      <c r="H685" s="62">
        <v>15027.240537404479</v>
      </c>
      <c r="I685" s="62">
        <v>0.89723637131725664</v>
      </c>
      <c r="J685" s="62">
        <v>14917.684544969539</v>
      </c>
      <c r="K685" s="62">
        <v>0.88926748117872412</v>
      </c>
      <c r="L685" s="62">
        <f t="shared" si="119"/>
        <v>-4562.7009851644762</v>
      </c>
      <c r="M685" s="62">
        <f t="shared" si="120"/>
        <v>-0.27664830137820962</v>
      </c>
      <c r="N685" s="62">
        <f t="shared" si="121"/>
        <v>-4597.2603233169193</v>
      </c>
      <c r="O685" s="62">
        <f t="shared" si="122"/>
        <v>-0.27892610401688045</v>
      </c>
      <c r="P685" s="62">
        <f t="shared" si="123"/>
        <v>-4487.7043308819793</v>
      </c>
      <c r="Q685" s="62">
        <f t="shared" si="124"/>
        <v>-0.27095721387834792</v>
      </c>
      <c r="R685" s="62">
        <f t="shared" si="125"/>
        <v>15182.904298563224</v>
      </c>
      <c r="S685" s="62">
        <f t="shared" si="126"/>
        <v>22080.082549689701</v>
      </c>
      <c r="T685" s="62">
        <f t="shared" si="127"/>
        <v>22139.878908041563</v>
      </c>
      <c r="U685" s="62">
        <f t="shared" si="128"/>
        <v>21919.331595377931</v>
      </c>
      <c r="V685" s="62">
        <f t="shared" si="118"/>
        <v>1</v>
      </c>
      <c r="W685" s="62">
        <f t="shared" si="118"/>
        <v>0</v>
      </c>
      <c r="X685" s="62">
        <f t="shared" si="118"/>
        <v>0</v>
      </c>
      <c r="Y685" s="62">
        <f t="shared" si="117"/>
        <v>0</v>
      </c>
      <c r="AA685" s="94"/>
    </row>
    <row r="686" spans="2:27" x14ac:dyDescent="0.2">
      <c r="B686" s="94"/>
      <c r="C686" s="62">
        <v>647</v>
      </c>
      <c r="D686" s="62">
        <v>10056.649991477014</v>
      </c>
      <c r="E686" s="62">
        <v>0.61773729906450059</v>
      </c>
      <c r="F686" s="62">
        <v>14463.804760328527</v>
      </c>
      <c r="G686" s="62">
        <v>0.89430783788260382</v>
      </c>
      <c r="H686" s="62">
        <v>14519.671309651163</v>
      </c>
      <c r="I686" s="62">
        <v>0.89817601685107318</v>
      </c>
      <c r="J686" s="62">
        <v>14392.372386256195</v>
      </c>
      <c r="K686" s="62">
        <v>0.88878546434462691</v>
      </c>
      <c r="L686" s="62">
        <f t="shared" si="119"/>
        <v>-4407.1547688515129</v>
      </c>
      <c r="M686" s="62">
        <f t="shared" si="120"/>
        <v>-0.27657053881810323</v>
      </c>
      <c r="N686" s="62">
        <f t="shared" si="121"/>
        <v>-4463.0213181741492</v>
      </c>
      <c r="O686" s="62">
        <f t="shared" si="122"/>
        <v>-0.28043871778657259</v>
      </c>
      <c r="P686" s="62">
        <f t="shared" si="123"/>
        <v>-4335.7223947791808</v>
      </c>
      <c r="Q686" s="62">
        <f t="shared" si="124"/>
        <v>-0.27104816528012632</v>
      </c>
      <c r="R686" s="62">
        <f t="shared" si="125"/>
        <v>15532.499884970857</v>
      </c>
      <c r="S686" s="62">
        <f t="shared" si="126"/>
        <v>22582.003116120457</v>
      </c>
      <c r="T686" s="62">
        <f t="shared" si="127"/>
        <v>22686.372012387696</v>
      </c>
      <c r="U686" s="62">
        <f t="shared" si="128"/>
        <v>22424.67668875563</v>
      </c>
      <c r="V686" s="62">
        <f t="shared" si="118"/>
        <v>1</v>
      </c>
      <c r="W686" s="62">
        <f t="shared" si="118"/>
        <v>0</v>
      </c>
      <c r="X686" s="62">
        <f t="shared" si="118"/>
        <v>0</v>
      </c>
      <c r="Y686" s="62">
        <f t="shared" si="117"/>
        <v>0</v>
      </c>
      <c r="AA686" s="94"/>
    </row>
    <row r="687" spans="2:27" x14ac:dyDescent="0.2">
      <c r="B687" s="94"/>
      <c r="C687" s="62">
        <v>648</v>
      </c>
      <c r="D687" s="62">
        <v>10275.237495212152</v>
      </c>
      <c r="E687" s="62">
        <v>0.61761483840327025</v>
      </c>
      <c r="F687" s="62">
        <v>14772.202678910289</v>
      </c>
      <c r="G687" s="62">
        <v>0.8941405776377952</v>
      </c>
      <c r="H687" s="62">
        <v>14801.625482047175</v>
      </c>
      <c r="I687" s="62">
        <v>0.89616248863665937</v>
      </c>
      <c r="J687" s="62">
        <v>14707.775852515877</v>
      </c>
      <c r="K687" s="62">
        <v>0.88903568625301421</v>
      </c>
      <c r="L687" s="62">
        <f t="shared" si="119"/>
        <v>-4496.9651836981375</v>
      </c>
      <c r="M687" s="62">
        <f t="shared" si="120"/>
        <v>-0.27652573923452495</v>
      </c>
      <c r="N687" s="62">
        <f t="shared" si="121"/>
        <v>-4526.3879868350232</v>
      </c>
      <c r="O687" s="62">
        <f t="shared" si="122"/>
        <v>-0.27854765023338912</v>
      </c>
      <c r="P687" s="62">
        <f t="shared" si="123"/>
        <v>-4432.5383573037252</v>
      </c>
      <c r="Q687" s="62">
        <f t="shared" si="124"/>
        <v>-0.27142084784974396</v>
      </c>
      <c r="R687" s="62">
        <f t="shared" si="125"/>
        <v>15308.839570804916</v>
      </c>
      <c r="S687" s="62">
        <f t="shared" si="126"/>
        <v>22266.676609157737</v>
      </c>
      <c r="T687" s="62">
        <f t="shared" si="127"/>
        <v>22321.009447237804</v>
      </c>
      <c r="U687" s="62">
        <f t="shared" si="128"/>
        <v>22119.63841482898</v>
      </c>
      <c r="V687" s="62">
        <f t="shared" si="118"/>
        <v>1</v>
      </c>
      <c r="W687" s="62">
        <f t="shared" si="118"/>
        <v>0</v>
      </c>
      <c r="X687" s="62">
        <f t="shared" si="118"/>
        <v>0</v>
      </c>
      <c r="Y687" s="62">
        <f t="shared" si="117"/>
        <v>0</v>
      </c>
      <c r="AA687" s="94"/>
    </row>
    <row r="688" spans="2:27" x14ac:dyDescent="0.2">
      <c r="B688" s="94"/>
      <c r="C688" s="62">
        <v>649</v>
      </c>
      <c r="D688" s="62">
        <v>8425.2763218518303</v>
      </c>
      <c r="E688" s="62">
        <v>0.61791837537909378</v>
      </c>
      <c r="F688" s="62">
        <v>12089.042643154075</v>
      </c>
      <c r="G688" s="62">
        <v>0.89382386705467876</v>
      </c>
      <c r="H688" s="62">
        <v>12136.090617136728</v>
      </c>
      <c r="I688" s="62">
        <v>0.89776733621103821</v>
      </c>
      <c r="J688" s="62">
        <v>12047.734414515771</v>
      </c>
      <c r="K688" s="62">
        <v>0.88943498169815316</v>
      </c>
      <c r="L688" s="62">
        <f t="shared" si="119"/>
        <v>-3663.7663213022443</v>
      </c>
      <c r="M688" s="62">
        <f t="shared" si="120"/>
        <v>-0.27590549167558498</v>
      </c>
      <c r="N688" s="62">
        <f t="shared" si="121"/>
        <v>-3710.8142952848975</v>
      </c>
      <c r="O688" s="62">
        <f t="shared" si="122"/>
        <v>-0.27984896083194444</v>
      </c>
      <c r="P688" s="62">
        <f t="shared" si="123"/>
        <v>-3622.458092663941</v>
      </c>
      <c r="Q688" s="62">
        <f t="shared" si="124"/>
        <v>-0.27151660631905938</v>
      </c>
      <c r="R688" s="62">
        <f t="shared" si="125"/>
        <v>17171.374459851751</v>
      </c>
      <c r="S688" s="62">
        <f t="shared" si="126"/>
        <v>24936.717225718938</v>
      </c>
      <c r="T688" s="62">
        <f t="shared" si="127"/>
        <v>25053.023518069316</v>
      </c>
      <c r="U688" s="62">
        <f t="shared" si="128"/>
        <v>24796.22026734853</v>
      </c>
      <c r="V688" s="62">
        <f t="shared" si="118"/>
        <v>1</v>
      </c>
      <c r="W688" s="62">
        <f t="shared" si="118"/>
        <v>0</v>
      </c>
      <c r="X688" s="62">
        <f t="shared" si="118"/>
        <v>0</v>
      </c>
      <c r="Y688" s="62">
        <f t="shared" si="117"/>
        <v>0</v>
      </c>
      <c r="AA688" s="94"/>
    </row>
    <row r="689" spans="2:27" x14ac:dyDescent="0.2">
      <c r="B689" s="94"/>
      <c r="C689" s="62">
        <v>650</v>
      </c>
      <c r="D689" s="62">
        <v>8397.3216183092245</v>
      </c>
      <c r="E689" s="62">
        <v>0.6181564360495434</v>
      </c>
      <c r="F689" s="62">
        <v>12050.208809111031</v>
      </c>
      <c r="G689" s="62">
        <v>0.89421262215206365</v>
      </c>
      <c r="H689" s="62">
        <v>12086.77172362499</v>
      </c>
      <c r="I689" s="62">
        <v>0.89719331247319767</v>
      </c>
      <c r="J689" s="62">
        <v>11999.922872137349</v>
      </c>
      <c r="K689" s="62">
        <v>0.8891573251403071</v>
      </c>
      <c r="L689" s="62">
        <f t="shared" si="119"/>
        <v>-3652.8871908018064</v>
      </c>
      <c r="M689" s="62">
        <f t="shared" si="120"/>
        <v>-0.27605618610252025</v>
      </c>
      <c r="N689" s="62">
        <f t="shared" si="121"/>
        <v>-3689.4501053157655</v>
      </c>
      <c r="O689" s="62">
        <f t="shared" si="122"/>
        <v>-0.27903687642365427</v>
      </c>
      <c r="P689" s="62">
        <f t="shared" si="123"/>
        <v>-3602.6012538281248</v>
      </c>
      <c r="Q689" s="62">
        <f t="shared" si="124"/>
        <v>-0.2710008890907637</v>
      </c>
      <c r="R689" s="62">
        <f t="shared" si="125"/>
        <v>17209.19058860706</v>
      </c>
      <c r="S689" s="62">
        <f t="shared" si="126"/>
        <v>24991.654850916053</v>
      </c>
      <c r="T689" s="62">
        <f t="shared" si="127"/>
        <v>25078.564052264752</v>
      </c>
      <c r="U689" s="62">
        <f t="shared" si="128"/>
        <v>24832.530164474731</v>
      </c>
      <c r="V689" s="62">
        <f t="shared" si="118"/>
        <v>1</v>
      </c>
      <c r="W689" s="62">
        <f t="shared" si="118"/>
        <v>0</v>
      </c>
      <c r="X689" s="62">
        <f t="shared" si="118"/>
        <v>0</v>
      </c>
      <c r="Y689" s="62">
        <f t="shared" si="117"/>
        <v>0</v>
      </c>
      <c r="AA689" s="94"/>
    </row>
    <row r="690" spans="2:27" x14ac:dyDescent="0.2">
      <c r="B690" s="94"/>
      <c r="C690" s="62">
        <v>651</v>
      </c>
      <c r="D690" s="62">
        <v>10572.624805338313</v>
      </c>
      <c r="E690" s="62">
        <v>0.61733214755079036</v>
      </c>
      <c r="F690" s="62">
        <v>15214.793441088692</v>
      </c>
      <c r="G690" s="62">
        <v>0.89447775036184551</v>
      </c>
      <c r="H690" s="62">
        <v>15250.389155227622</v>
      </c>
      <c r="I690" s="62">
        <v>0.89680154074625329</v>
      </c>
      <c r="J690" s="62">
        <v>15137.49529228075</v>
      </c>
      <c r="K690" s="62">
        <v>0.88875486737147325</v>
      </c>
      <c r="L690" s="62">
        <f t="shared" si="119"/>
        <v>-4642.1686357503786</v>
      </c>
      <c r="M690" s="62">
        <f t="shared" si="120"/>
        <v>-0.27714560281105516</v>
      </c>
      <c r="N690" s="62">
        <f t="shared" si="121"/>
        <v>-4677.7643498893085</v>
      </c>
      <c r="O690" s="62">
        <f t="shared" si="122"/>
        <v>-0.27946939319546293</v>
      </c>
      <c r="P690" s="62">
        <f t="shared" si="123"/>
        <v>-4564.8704869424364</v>
      </c>
      <c r="Q690" s="62">
        <f t="shared" si="124"/>
        <v>-0.27142271982068289</v>
      </c>
      <c r="R690" s="62">
        <f t="shared" si="125"/>
        <v>14999.742074805625</v>
      </c>
      <c r="S690" s="62">
        <f t="shared" si="126"/>
        <v>21838.052889900395</v>
      </c>
      <c r="T690" s="62">
        <f t="shared" si="127"/>
        <v>21898.717868645177</v>
      </c>
      <c r="U690" s="62">
        <f t="shared" si="128"/>
        <v>21678.286333715158</v>
      </c>
      <c r="V690" s="62">
        <f t="shared" si="118"/>
        <v>1</v>
      </c>
      <c r="W690" s="62">
        <f t="shared" si="118"/>
        <v>0</v>
      </c>
      <c r="X690" s="62">
        <f t="shared" si="118"/>
        <v>0</v>
      </c>
      <c r="Y690" s="62">
        <f t="shared" si="117"/>
        <v>0</v>
      </c>
      <c r="AA690" s="94"/>
    </row>
    <row r="691" spans="2:27" x14ac:dyDescent="0.2">
      <c r="B691" s="94"/>
      <c r="C691" s="62">
        <v>652</v>
      </c>
      <c r="D691" s="62">
        <v>9876.1347767093794</v>
      </c>
      <c r="E691" s="62">
        <v>0.61780188793635393</v>
      </c>
      <c r="F691" s="62">
        <v>14189.774790392919</v>
      </c>
      <c r="G691" s="62">
        <v>0.89365868869471177</v>
      </c>
      <c r="H691" s="62">
        <v>14234.523332066263</v>
      </c>
      <c r="I691" s="62">
        <v>0.89688449762034872</v>
      </c>
      <c r="J691" s="62">
        <v>14140.634139682914</v>
      </c>
      <c r="K691" s="62">
        <v>0.88954301353469678</v>
      </c>
      <c r="L691" s="62">
        <f t="shared" si="119"/>
        <v>-4313.64001368354</v>
      </c>
      <c r="M691" s="62">
        <f t="shared" si="120"/>
        <v>-0.27585680075835783</v>
      </c>
      <c r="N691" s="62">
        <f t="shared" si="121"/>
        <v>-4358.3885553568834</v>
      </c>
      <c r="O691" s="62">
        <f t="shared" si="122"/>
        <v>-0.27908260968399479</v>
      </c>
      <c r="P691" s="62">
        <f t="shared" si="123"/>
        <v>-4264.4993629735345</v>
      </c>
      <c r="Q691" s="62">
        <f t="shared" si="124"/>
        <v>-0.27174112559834285</v>
      </c>
      <c r="R691" s="62">
        <f t="shared" si="125"/>
        <v>15715.690629166147</v>
      </c>
      <c r="S691" s="62">
        <f t="shared" si="126"/>
        <v>22829.142730096821</v>
      </c>
      <c r="T691" s="62">
        <f t="shared" si="127"/>
        <v>22918.020097359065</v>
      </c>
      <c r="U691" s="62">
        <f t="shared" si="128"/>
        <v>22707.795652978362</v>
      </c>
      <c r="V691" s="62">
        <f t="shared" si="118"/>
        <v>1</v>
      </c>
      <c r="W691" s="62">
        <f t="shared" si="118"/>
        <v>0</v>
      </c>
      <c r="X691" s="62">
        <f t="shared" si="118"/>
        <v>0</v>
      </c>
      <c r="Y691" s="62">
        <f t="shared" si="117"/>
        <v>0</v>
      </c>
      <c r="AA691" s="94"/>
    </row>
    <row r="692" spans="2:27" x14ac:dyDescent="0.2">
      <c r="B692" s="94"/>
      <c r="C692" s="62">
        <v>653</v>
      </c>
      <c r="D692" s="62">
        <v>9587.3894255486921</v>
      </c>
      <c r="E692" s="62">
        <v>0.61766668331290919</v>
      </c>
      <c r="F692" s="62">
        <v>13780.339553363345</v>
      </c>
      <c r="G692" s="62">
        <v>0.89435924102449593</v>
      </c>
      <c r="H692" s="62">
        <v>13817.3020634146</v>
      </c>
      <c r="I692" s="62">
        <v>0.89717317857097567</v>
      </c>
      <c r="J692" s="62">
        <v>13724.875939141668</v>
      </c>
      <c r="K692" s="62">
        <v>0.88952358906353413</v>
      </c>
      <c r="L692" s="62">
        <f t="shared" si="119"/>
        <v>-4192.9501278146527</v>
      </c>
      <c r="M692" s="62">
        <f t="shared" si="120"/>
        <v>-0.27669255771158674</v>
      </c>
      <c r="N692" s="62">
        <f t="shared" si="121"/>
        <v>-4229.9126378659075</v>
      </c>
      <c r="O692" s="62">
        <f t="shared" si="122"/>
        <v>-0.27950649525806648</v>
      </c>
      <c r="P692" s="62">
        <f t="shared" si="123"/>
        <v>-4137.4865135929758</v>
      </c>
      <c r="Q692" s="62">
        <f t="shared" si="124"/>
        <v>-0.27185690575062493</v>
      </c>
      <c r="R692" s="62">
        <f t="shared" si="125"/>
        <v>15998.835264005258</v>
      </c>
      <c r="S692" s="62">
        <f t="shared" si="126"/>
        <v>23267.597646835377</v>
      </c>
      <c r="T692" s="62">
        <f t="shared" si="127"/>
        <v>23347.199685709493</v>
      </c>
      <c r="U692" s="62">
        <f t="shared" si="128"/>
        <v>23122.749214226169</v>
      </c>
      <c r="V692" s="62">
        <f t="shared" si="118"/>
        <v>1</v>
      </c>
      <c r="W692" s="62">
        <f t="shared" si="118"/>
        <v>0</v>
      </c>
      <c r="X692" s="62">
        <f t="shared" si="118"/>
        <v>0</v>
      </c>
      <c r="Y692" s="62">
        <f t="shared" si="117"/>
        <v>0</v>
      </c>
      <c r="AA692" s="94"/>
    </row>
    <row r="693" spans="2:27" x14ac:dyDescent="0.2">
      <c r="B693" s="94"/>
      <c r="C693" s="62">
        <v>654</v>
      </c>
      <c r="D693" s="62">
        <v>11472.022825784055</v>
      </c>
      <c r="E693" s="62">
        <v>0.61787293360551976</v>
      </c>
      <c r="F693" s="62">
        <v>16503.389588772625</v>
      </c>
      <c r="G693" s="62">
        <v>0.89447749896903828</v>
      </c>
      <c r="H693" s="62">
        <v>16551.981663722869</v>
      </c>
      <c r="I693" s="62">
        <v>0.89738816876520744</v>
      </c>
      <c r="J693" s="62">
        <v>16432.848728544795</v>
      </c>
      <c r="K693" s="62">
        <v>0.8895913708418165</v>
      </c>
      <c r="L693" s="62">
        <f t="shared" si="119"/>
        <v>-5031.3667629885695</v>
      </c>
      <c r="M693" s="62">
        <f t="shared" si="120"/>
        <v>-0.27660456536351852</v>
      </c>
      <c r="N693" s="62">
        <f t="shared" si="121"/>
        <v>-5079.9588379388133</v>
      </c>
      <c r="O693" s="62">
        <f t="shared" si="122"/>
        <v>-0.27951523515968768</v>
      </c>
      <c r="P693" s="62">
        <f t="shared" si="123"/>
        <v>-4960.8259027607401</v>
      </c>
      <c r="Q693" s="62">
        <f t="shared" si="124"/>
        <v>-0.27171843723629674</v>
      </c>
      <c r="R693" s="62">
        <f t="shared" si="125"/>
        <v>14122.745575890995</v>
      </c>
      <c r="S693" s="62">
        <f t="shared" si="126"/>
        <v>20549.446328520818</v>
      </c>
      <c r="T693" s="62">
        <f t="shared" si="127"/>
        <v>20621.425839207088</v>
      </c>
      <c r="U693" s="62">
        <f t="shared" si="128"/>
        <v>20417.584217206608</v>
      </c>
      <c r="V693" s="62">
        <f t="shared" si="118"/>
        <v>1</v>
      </c>
      <c r="W693" s="62">
        <f t="shared" si="118"/>
        <v>0</v>
      </c>
      <c r="X693" s="62">
        <f t="shared" si="118"/>
        <v>0</v>
      </c>
      <c r="Y693" s="62">
        <f t="shared" si="117"/>
        <v>0</v>
      </c>
      <c r="AA693" s="94"/>
    </row>
    <row r="694" spans="2:27" x14ac:dyDescent="0.2">
      <c r="B694" s="94"/>
      <c r="C694" s="62">
        <v>655</v>
      </c>
      <c r="D694" s="62">
        <v>8273.6601576355915</v>
      </c>
      <c r="E694" s="62">
        <v>0.61717419241947336</v>
      </c>
      <c r="F694" s="62">
        <v>11889.724966196831</v>
      </c>
      <c r="G694" s="62">
        <v>0.8938331609364244</v>
      </c>
      <c r="H694" s="62">
        <v>11925.259864135634</v>
      </c>
      <c r="I694" s="62">
        <v>0.8967513113738701</v>
      </c>
      <c r="J694" s="62">
        <v>11849.172572613716</v>
      </c>
      <c r="K694" s="62">
        <v>0.88952738287302546</v>
      </c>
      <c r="L694" s="62">
        <f t="shared" si="119"/>
        <v>-3616.0648085612393</v>
      </c>
      <c r="M694" s="62">
        <f t="shared" si="120"/>
        <v>-0.27665896851695104</v>
      </c>
      <c r="N694" s="62">
        <f t="shared" si="121"/>
        <v>-3651.5997065000429</v>
      </c>
      <c r="O694" s="62">
        <f t="shared" si="122"/>
        <v>-0.27957711895439674</v>
      </c>
      <c r="P694" s="62">
        <f t="shared" si="123"/>
        <v>-3575.5124149781241</v>
      </c>
      <c r="Q694" s="62">
        <f t="shared" si="124"/>
        <v>-0.27235319045355211</v>
      </c>
      <c r="R694" s="62">
        <f t="shared" si="125"/>
        <v>17292.163589148673</v>
      </c>
      <c r="S694" s="62">
        <f t="shared" si="126"/>
        <v>25136.419892433616</v>
      </c>
      <c r="T694" s="62">
        <f t="shared" si="127"/>
        <v>25221.766458215559</v>
      </c>
      <c r="U694" s="62">
        <f t="shared" si="128"/>
        <v>24998.60973551849</v>
      </c>
      <c r="V694" s="62">
        <f t="shared" si="118"/>
        <v>1</v>
      </c>
      <c r="W694" s="62">
        <f t="shared" si="118"/>
        <v>0</v>
      </c>
      <c r="X694" s="62">
        <f t="shared" si="118"/>
        <v>0</v>
      </c>
      <c r="Y694" s="62">
        <f t="shared" si="117"/>
        <v>0</v>
      </c>
      <c r="AA694" s="94"/>
    </row>
    <row r="695" spans="2:27" x14ac:dyDescent="0.2">
      <c r="B695" s="94"/>
      <c r="C695" s="62">
        <v>656</v>
      </c>
      <c r="D695" s="62">
        <v>8364.8081374995127</v>
      </c>
      <c r="E695" s="62">
        <v>0.61787114705848833</v>
      </c>
      <c r="F695" s="62">
        <v>12011.668612516274</v>
      </c>
      <c r="G695" s="62">
        <v>0.89378446011924229</v>
      </c>
      <c r="H695" s="62">
        <v>12056.603409214036</v>
      </c>
      <c r="I695" s="62">
        <v>0.89762597194330873</v>
      </c>
      <c r="J695" s="62">
        <v>11975.968166376073</v>
      </c>
      <c r="K695" s="62">
        <v>0.89017409588554608</v>
      </c>
      <c r="L695" s="62">
        <f t="shared" si="119"/>
        <v>-3646.8604750167615</v>
      </c>
      <c r="M695" s="62">
        <f t="shared" si="120"/>
        <v>-0.27591331306075395</v>
      </c>
      <c r="N695" s="62">
        <f t="shared" si="121"/>
        <v>-3691.7952717145236</v>
      </c>
      <c r="O695" s="62">
        <f t="shared" si="122"/>
        <v>-0.2797548248848204</v>
      </c>
      <c r="P695" s="62">
        <f t="shared" si="123"/>
        <v>-3611.1600288765603</v>
      </c>
      <c r="Q695" s="62">
        <f t="shared" si="124"/>
        <v>-0.27230294882705774</v>
      </c>
      <c r="R695" s="62">
        <f t="shared" si="125"/>
        <v>17229.886258251307</v>
      </c>
      <c r="S695" s="62">
        <f t="shared" si="126"/>
        <v>25012.458863463216</v>
      </c>
      <c r="T695" s="62">
        <f t="shared" si="127"/>
        <v>25126.654852565585</v>
      </c>
      <c r="U695" s="62">
        <f t="shared" si="128"/>
        <v>24898.603581586787</v>
      </c>
      <c r="V695" s="62">
        <f t="shared" si="118"/>
        <v>1</v>
      </c>
      <c r="W695" s="62">
        <f t="shared" si="118"/>
        <v>0</v>
      </c>
      <c r="X695" s="62">
        <f t="shared" si="118"/>
        <v>0</v>
      </c>
      <c r="Y695" s="62">
        <f t="shared" si="117"/>
        <v>0</v>
      </c>
      <c r="AA695" s="94"/>
    </row>
    <row r="696" spans="2:27" x14ac:dyDescent="0.2">
      <c r="B696" s="94"/>
      <c r="C696" s="62">
        <v>657</v>
      </c>
      <c r="D696" s="62">
        <v>8434.0001320140891</v>
      </c>
      <c r="E696" s="62">
        <v>0.61727034731445496</v>
      </c>
      <c r="F696" s="62">
        <v>12131.861466249517</v>
      </c>
      <c r="G696" s="62">
        <v>0.89434319535025308</v>
      </c>
      <c r="H696" s="62">
        <v>12164.776266022118</v>
      </c>
      <c r="I696" s="62">
        <v>0.89713398223017027</v>
      </c>
      <c r="J696" s="62">
        <v>12073.914093585096</v>
      </c>
      <c r="K696" s="62">
        <v>0.88899284168131387</v>
      </c>
      <c r="L696" s="62">
        <f t="shared" si="119"/>
        <v>-3697.8613342354274</v>
      </c>
      <c r="M696" s="62">
        <f t="shared" si="120"/>
        <v>-0.27707284803579812</v>
      </c>
      <c r="N696" s="62">
        <f t="shared" si="121"/>
        <v>-3730.7761340080287</v>
      </c>
      <c r="O696" s="62">
        <f t="shared" si="122"/>
        <v>-0.27986363491571531</v>
      </c>
      <c r="P696" s="62">
        <f t="shared" si="123"/>
        <v>-3639.9139615710064</v>
      </c>
      <c r="Q696" s="62">
        <f t="shared" si="124"/>
        <v>-0.27172249436685891</v>
      </c>
      <c r="R696" s="62">
        <f t="shared" si="125"/>
        <v>17135.806735139893</v>
      </c>
      <c r="S696" s="62">
        <f t="shared" si="126"/>
        <v>24915.411057939367</v>
      </c>
      <c r="T696" s="62">
        <f t="shared" si="127"/>
        <v>24998.10181388045</v>
      </c>
      <c r="U696" s="62">
        <f t="shared" si="128"/>
        <v>24751.725380221651</v>
      </c>
      <c r="V696" s="62">
        <f t="shared" si="118"/>
        <v>1</v>
      </c>
      <c r="W696" s="62">
        <f t="shared" si="118"/>
        <v>0</v>
      </c>
      <c r="X696" s="62">
        <f t="shared" si="118"/>
        <v>0</v>
      </c>
      <c r="Y696" s="62">
        <f t="shared" si="117"/>
        <v>0</v>
      </c>
      <c r="AA696" s="94"/>
    </row>
    <row r="697" spans="2:27" x14ac:dyDescent="0.2">
      <c r="B697" s="94"/>
      <c r="C697" s="62">
        <v>658</v>
      </c>
      <c r="D697" s="62">
        <v>11062.472119858212</v>
      </c>
      <c r="E697" s="62">
        <v>0.61734231114081095</v>
      </c>
      <c r="F697" s="62">
        <v>15931.480051396155</v>
      </c>
      <c r="G697" s="62">
        <v>0.89475407444935295</v>
      </c>
      <c r="H697" s="62">
        <v>15972.082235079988</v>
      </c>
      <c r="I697" s="62">
        <v>0.89730937701614943</v>
      </c>
      <c r="J697" s="62">
        <v>15851.805650774006</v>
      </c>
      <c r="K697" s="62">
        <v>0.88908942461816431</v>
      </c>
      <c r="L697" s="62">
        <f t="shared" si="119"/>
        <v>-4869.0079315379426</v>
      </c>
      <c r="M697" s="62">
        <f t="shared" si="120"/>
        <v>-0.277411763308542</v>
      </c>
      <c r="N697" s="62">
        <f t="shared" si="121"/>
        <v>-4909.6101152217761</v>
      </c>
      <c r="O697" s="62">
        <f t="shared" si="122"/>
        <v>-0.27996706587533848</v>
      </c>
      <c r="P697" s="62">
        <f t="shared" si="123"/>
        <v>-4789.3335309157937</v>
      </c>
      <c r="Q697" s="62">
        <f t="shared" si="124"/>
        <v>-0.27174711347735336</v>
      </c>
      <c r="R697" s="62">
        <f t="shared" si="125"/>
        <v>14510.315776838739</v>
      </c>
      <c r="S697" s="62">
        <f t="shared" si="126"/>
        <v>21132.812728593846</v>
      </c>
      <c r="T697" s="62">
        <f t="shared" si="127"/>
        <v>21198.061398436985</v>
      </c>
      <c r="U697" s="62">
        <f t="shared" si="128"/>
        <v>20977.834674608835</v>
      </c>
      <c r="V697" s="62">
        <f t="shared" si="118"/>
        <v>1</v>
      </c>
      <c r="W697" s="62">
        <f t="shared" si="118"/>
        <v>0</v>
      </c>
      <c r="X697" s="62">
        <f t="shared" si="118"/>
        <v>0</v>
      </c>
      <c r="Y697" s="62">
        <f t="shared" si="117"/>
        <v>0</v>
      </c>
      <c r="AA697" s="94"/>
    </row>
    <row r="698" spans="2:27" x14ac:dyDescent="0.2">
      <c r="B698" s="94"/>
      <c r="C698" s="62">
        <v>659</v>
      </c>
      <c r="D698" s="62">
        <v>10932.536901936712</v>
      </c>
      <c r="E698" s="62">
        <v>0.61778841245626404</v>
      </c>
      <c r="F698" s="62">
        <v>15718.024217903814</v>
      </c>
      <c r="G698" s="62">
        <v>0.89434939275731873</v>
      </c>
      <c r="H698" s="62">
        <v>15747.099251704924</v>
      </c>
      <c r="I698" s="62">
        <v>0.89632676766304142</v>
      </c>
      <c r="J698" s="62">
        <v>15654.122575651851</v>
      </c>
      <c r="K698" s="62">
        <v>0.88960866040886943</v>
      </c>
      <c r="L698" s="62">
        <f t="shared" si="119"/>
        <v>-4785.4873159671024</v>
      </c>
      <c r="M698" s="62">
        <f t="shared" si="120"/>
        <v>-0.27656098030105469</v>
      </c>
      <c r="N698" s="62">
        <f t="shared" si="121"/>
        <v>-4814.5623497682118</v>
      </c>
      <c r="O698" s="62">
        <f t="shared" si="122"/>
        <v>-0.27853835520677739</v>
      </c>
      <c r="P698" s="62">
        <f t="shared" si="123"/>
        <v>-4721.5856737151389</v>
      </c>
      <c r="Q698" s="62">
        <f t="shared" si="124"/>
        <v>-0.2718202479526054</v>
      </c>
      <c r="R698" s="62">
        <f t="shared" si="125"/>
        <v>14658.730295651569</v>
      </c>
      <c r="S698" s="62">
        <f t="shared" si="126"/>
        <v>21329.505027675357</v>
      </c>
      <c r="T698" s="62">
        <f t="shared" si="127"/>
        <v>21382.340771968906</v>
      </c>
      <c r="U698" s="62">
        <f t="shared" si="128"/>
        <v>21197.02657312516</v>
      </c>
      <c r="V698" s="62">
        <f t="shared" si="118"/>
        <v>1</v>
      </c>
      <c r="W698" s="62">
        <f t="shared" si="118"/>
        <v>0</v>
      </c>
      <c r="X698" s="62">
        <f t="shared" si="118"/>
        <v>0</v>
      </c>
      <c r="Y698" s="62">
        <f t="shared" si="117"/>
        <v>0</v>
      </c>
      <c r="AA698" s="94"/>
    </row>
    <row r="699" spans="2:27" x14ac:dyDescent="0.2">
      <c r="B699" s="94"/>
      <c r="C699" s="62">
        <v>660</v>
      </c>
      <c r="D699" s="62">
        <v>9322.1515451044543</v>
      </c>
      <c r="E699" s="62">
        <v>0.61744333288377551</v>
      </c>
      <c r="F699" s="62">
        <v>13410.703235491834</v>
      </c>
      <c r="G699" s="62">
        <v>0.89425408164182907</v>
      </c>
      <c r="H699" s="62">
        <v>13446.920695335311</v>
      </c>
      <c r="I699" s="62">
        <v>0.89700447055926791</v>
      </c>
      <c r="J699" s="62">
        <v>13349.849869165691</v>
      </c>
      <c r="K699" s="62">
        <v>0.88908831873745653</v>
      </c>
      <c r="L699" s="62">
        <f t="shared" si="119"/>
        <v>-4088.5516903873795</v>
      </c>
      <c r="M699" s="62">
        <f t="shared" si="120"/>
        <v>-0.27681074875805356</v>
      </c>
      <c r="N699" s="62">
        <f t="shared" si="121"/>
        <v>-4124.7691502308571</v>
      </c>
      <c r="O699" s="62">
        <f t="shared" si="122"/>
        <v>-0.2795611376754924</v>
      </c>
      <c r="P699" s="62">
        <f t="shared" si="123"/>
        <v>-4027.6983240612371</v>
      </c>
      <c r="Q699" s="62">
        <f t="shared" si="124"/>
        <v>-0.27164498585368102</v>
      </c>
      <c r="R699" s="62">
        <f t="shared" si="125"/>
        <v>16254.821076273063</v>
      </c>
      <c r="S699" s="62">
        <f t="shared" si="126"/>
        <v>23632.877842439295</v>
      </c>
      <c r="T699" s="62">
        <f t="shared" si="127"/>
        <v>23710.592493111799</v>
      </c>
      <c r="U699" s="62">
        <f t="shared" si="128"/>
        <v>23479.744646214705</v>
      </c>
      <c r="V699" s="62">
        <f t="shared" si="118"/>
        <v>1</v>
      </c>
      <c r="W699" s="62">
        <f t="shared" si="118"/>
        <v>0</v>
      </c>
      <c r="X699" s="62">
        <f t="shared" si="118"/>
        <v>0</v>
      </c>
      <c r="Y699" s="62">
        <f t="shared" si="117"/>
        <v>0</v>
      </c>
      <c r="AA699" s="94"/>
    </row>
    <row r="700" spans="2:27" x14ac:dyDescent="0.2">
      <c r="B700" s="94"/>
      <c r="C700" s="62">
        <v>661</v>
      </c>
      <c r="D700" s="62">
        <v>12632.845210466186</v>
      </c>
      <c r="E700" s="62">
        <v>0.61801672667671104</v>
      </c>
      <c r="F700" s="62">
        <v>18174.38761563498</v>
      </c>
      <c r="G700" s="62">
        <v>0.89440364540634787</v>
      </c>
      <c r="H700" s="62">
        <v>18224.007737736363</v>
      </c>
      <c r="I700" s="62">
        <v>0.89714450291354908</v>
      </c>
      <c r="J700" s="62">
        <v>18088.562183852635</v>
      </c>
      <c r="K700" s="62">
        <v>0.88928885132162971</v>
      </c>
      <c r="L700" s="62">
        <f t="shared" si="119"/>
        <v>-5541.5424051687933</v>
      </c>
      <c r="M700" s="62">
        <f t="shared" si="120"/>
        <v>-0.27638691872963683</v>
      </c>
      <c r="N700" s="62">
        <f t="shared" si="121"/>
        <v>-5591.1625272701767</v>
      </c>
      <c r="O700" s="62">
        <f t="shared" si="122"/>
        <v>-0.27912777623683804</v>
      </c>
      <c r="P700" s="62">
        <f t="shared" si="123"/>
        <v>-5455.7169733864484</v>
      </c>
      <c r="Q700" s="62">
        <f t="shared" si="124"/>
        <v>-0.27127212464491868</v>
      </c>
      <c r="R700" s="62">
        <f t="shared" si="125"/>
        <v>12967.879675389891</v>
      </c>
      <c r="S700" s="62">
        <f t="shared" si="126"/>
        <v>18875.388991677573</v>
      </c>
      <c r="T700" s="62">
        <f t="shared" si="127"/>
        <v>18939.306150954493</v>
      </c>
      <c r="U700" s="62">
        <f t="shared" si="128"/>
        <v>18749.339193294552</v>
      </c>
      <c r="V700" s="62">
        <f t="shared" si="118"/>
        <v>1</v>
      </c>
      <c r="W700" s="62">
        <f t="shared" si="118"/>
        <v>0</v>
      </c>
      <c r="X700" s="62">
        <f t="shared" si="118"/>
        <v>0</v>
      </c>
      <c r="Y700" s="62">
        <f t="shared" si="117"/>
        <v>0</v>
      </c>
      <c r="AA700" s="94"/>
    </row>
    <row r="701" spans="2:27" x14ac:dyDescent="0.2">
      <c r="B701" s="94"/>
      <c r="C701" s="62">
        <v>662</v>
      </c>
      <c r="D701" s="62">
        <v>8649.7007902376554</v>
      </c>
      <c r="E701" s="62">
        <v>0.61754237373337406</v>
      </c>
      <c r="F701" s="62">
        <v>12437.419562293784</v>
      </c>
      <c r="G701" s="62">
        <v>0.89460586305751999</v>
      </c>
      <c r="H701" s="62">
        <v>12471.446002911653</v>
      </c>
      <c r="I701" s="62">
        <v>0.89747190743119021</v>
      </c>
      <c r="J701" s="62">
        <v>12377.380124926365</v>
      </c>
      <c r="K701" s="62">
        <v>0.88908600808368288</v>
      </c>
      <c r="L701" s="62">
        <f t="shared" si="119"/>
        <v>-3787.7187720561287</v>
      </c>
      <c r="M701" s="62">
        <f t="shared" si="120"/>
        <v>-0.27706348932414593</v>
      </c>
      <c r="N701" s="62">
        <f t="shared" si="121"/>
        <v>-3821.7452126739972</v>
      </c>
      <c r="O701" s="62">
        <f t="shared" si="122"/>
        <v>-0.27992953369781615</v>
      </c>
      <c r="P701" s="62">
        <f t="shared" si="123"/>
        <v>-3727.6793346887098</v>
      </c>
      <c r="Q701" s="62">
        <f t="shared" si="124"/>
        <v>-0.27154363435030882</v>
      </c>
      <c r="R701" s="62">
        <f t="shared" si="125"/>
        <v>16931.374499293634</v>
      </c>
      <c r="S701" s="62">
        <f t="shared" si="126"/>
        <v>24620.733709000924</v>
      </c>
      <c r="T701" s="62">
        <f t="shared" si="127"/>
        <v>24705.430290517972</v>
      </c>
      <c r="U701" s="62">
        <f t="shared" si="128"/>
        <v>24452.118673932113</v>
      </c>
      <c r="V701" s="62">
        <f t="shared" si="118"/>
        <v>1</v>
      </c>
      <c r="W701" s="62">
        <f t="shared" si="118"/>
        <v>0</v>
      </c>
      <c r="X701" s="62">
        <f t="shared" si="118"/>
        <v>0</v>
      </c>
      <c r="Y701" s="62">
        <f t="shared" si="117"/>
        <v>0</v>
      </c>
      <c r="AA701" s="94"/>
    </row>
    <row r="702" spans="2:27" x14ac:dyDescent="0.2">
      <c r="B702" s="94"/>
      <c r="C702" s="62">
        <v>663</v>
      </c>
      <c r="D702" s="62">
        <v>9425.6982198398964</v>
      </c>
      <c r="E702" s="62">
        <v>0.61756674685485935</v>
      </c>
      <c r="F702" s="62">
        <v>13537.586101708399</v>
      </c>
      <c r="G702" s="62">
        <v>0.89380672507543169</v>
      </c>
      <c r="H702" s="62">
        <v>13591.537900333757</v>
      </c>
      <c r="I702" s="62">
        <v>0.89779917728729897</v>
      </c>
      <c r="J702" s="62">
        <v>13495.739087325992</v>
      </c>
      <c r="K702" s="62">
        <v>0.88982330659788322</v>
      </c>
      <c r="L702" s="62">
        <f t="shared" si="119"/>
        <v>-4111.8878818685025</v>
      </c>
      <c r="M702" s="62">
        <f t="shared" si="120"/>
        <v>-0.27623997822057234</v>
      </c>
      <c r="N702" s="62">
        <f t="shared" si="121"/>
        <v>-4165.8396804938602</v>
      </c>
      <c r="O702" s="62">
        <f t="shared" si="122"/>
        <v>-0.28023243043243962</v>
      </c>
      <c r="P702" s="62">
        <f t="shared" si="123"/>
        <v>-4070.0408674860955</v>
      </c>
      <c r="Q702" s="62">
        <f t="shared" si="124"/>
        <v>-0.27225655974302387</v>
      </c>
      <c r="R702" s="62">
        <f t="shared" si="125"/>
        <v>16156.386701875797</v>
      </c>
      <c r="S702" s="62">
        <f t="shared" si="126"/>
        <v>23487.463677816286</v>
      </c>
      <c r="T702" s="62">
        <f t="shared" si="127"/>
        <v>23598.895219615311</v>
      </c>
      <c r="U702" s="62">
        <f t="shared" si="128"/>
        <v>23364.301565184724</v>
      </c>
      <c r="V702" s="62">
        <f t="shared" si="118"/>
        <v>1</v>
      </c>
      <c r="W702" s="62">
        <f t="shared" si="118"/>
        <v>0</v>
      </c>
      <c r="X702" s="62">
        <f t="shared" si="118"/>
        <v>0</v>
      </c>
      <c r="Y702" s="62">
        <f t="shared" si="117"/>
        <v>0</v>
      </c>
      <c r="AA702" s="94"/>
    </row>
    <row r="703" spans="2:27" x14ac:dyDescent="0.2">
      <c r="B703" s="94"/>
      <c r="C703" s="62">
        <v>664</v>
      </c>
      <c r="D703" s="62">
        <v>9364.3556222411989</v>
      </c>
      <c r="E703" s="62">
        <v>0.61793394719782346</v>
      </c>
      <c r="F703" s="62">
        <v>13450.419267218151</v>
      </c>
      <c r="G703" s="62">
        <v>0.89368581841697436</v>
      </c>
      <c r="H703" s="62">
        <v>13487.812466597024</v>
      </c>
      <c r="I703" s="62">
        <v>0.89647909319744978</v>
      </c>
      <c r="J703" s="62">
        <v>13401.048512734063</v>
      </c>
      <c r="K703" s="62">
        <v>0.88938785151122102</v>
      </c>
      <c r="L703" s="62">
        <f t="shared" si="119"/>
        <v>-4086.0636449769518</v>
      </c>
      <c r="M703" s="62">
        <f t="shared" si="120"/>
        <v>-0.2757518712191509</v>
      </c>
      <c r="N703" s="62">
        <f t="shared" si="121"/>
        <v>-4123.4568443558255</v>
      </c>
      <c r="O703" s="62">
        <f t="shared" si="122"/>
        <v>-0.27854514599962632</v>
      </c>
      <c r="P703" s="62">
        <f t="shared" si="123"/>
        <v>-4036.6928904928645</v>
      </c>
      <c r="Q703" s="62">
        <f t="shared" si="124"/>
        <v>-0.27145390431339755</v>
      </c>
      <c r="R703" s="62">
        <f t="shared" si="125"/>
        <v>16232.94020648144</v>
      </c>
      <c r="S703" s="62">
        <f t="shared" si="126"/>
        <v>23569.622074886596</v>
      </c>
      <c r="T703" s="62">
        <f t="shared" si="127"/>
        <v>23647.937490014134</v>
      </c>
      <c r="U703" s="62">
        <f t="shared" si="128"/>
        <v>23440.953848266756</v>
      </c>
      <c r="V703" s="62">
        <f t="shared" si="118"/>
        <v>1</v>
      </c>
      <c r="W703" s="62">
        <f t="shared" si="118"/>
        <v>0</v>
      </c>
      <c r="X703" s="62">
        <f t="shared" si="118"/>
        <v>0</v>
      </c>
      <c r="Y703" s="62">
        <f t="shared" si="117"/>
        <v>0</v>
      </c>
      <c r="AA703" s="94"/>
    </row>
    <row r="704" spans="2:27" x14ac:dyDescent="0.2">
      <c r="B704" s="94"/>
      <c r="C704" s="62">
        <v>665</v>
      </c>
      <c r="D704" s="62">
        <v>11367.600905922227</v>
      </c>
      <c r="E704" s="62">
        <v>0.61770304828858658</v>
      </c>
      <c r="F704" s="62">
        <v>16345.213559431646</v>
      </c>
      <c r="G704" s="62">
        <v>0.89388352512601621</v>
      </c>
      <c r="H704" s="62">
        <v>16403.172100765849</v>
      </c>
      <c r="I704" s="62">
        <v>0.89736358178692199</v>
      </c>
      <c r="J704" s="62">
        <v>16279.730877139182</v>
      </c>
      <c r="K704" s="62">
        <v>0.88925769964613166</v>
      </c>
      <c r="L704" s="62">
        <f t="shared" si="119"/>
        <v>-4977.612653509419</v>
      </c>
      <c r="M704" s="62">
        <f t="shared" si="120"/>
        <v>-0.27618047683742963</v>
      </c>
      <c r="N704" s="62">
        <f t="shared" si="121"/>
        <v>-5035.5711948436219</v>
      </c>
      <c r="O704" s="62">
        <f t="shared" si="122"/>
        <v>-0.27966053349833542</v>
      </c>
      <c r="P704" s="62">
        <f t="shared" si="123"/>
        <v>-4912.1299712169548</v>
      </c>
      <c r="Q704" s="62">
        <f t="shared" si="124"/>
        <v>-0.27155465135754508</v>
      </c>
      <c r="R704" s="62">
        <f t="shared" si="125"/>
        <v>14220.130166384184</v>
      </c>
      <c r="S704" s="62">
        <f t="shared" si="126"/>
        <v>20683.017585388447</v>
      </c>
      <c r="T704" s="62">
        <f t="shared" si="127"/>
        <v>20769.216911175608</v>
      </c>
      <c r="U704" s="62">
        <f t="shared" si="128"/>
        <v>20556.880073002176</v>
      </c>
      <c r="V704" s="62">
        <f t="shared" si="118"/>
        <v>1</v>
      </c>
      <c r="W704" s="62">
        <f t="shared" si="118"/>
        <v>0</v>
      </c>
      <c r="X704" s="62">
        <f t="shared" si="118"/>
        <v>0</v>
      </c>
      <c r="Y704" s="62">
        <f t="shared" si="117"/>
        <v>0</v>
      </c>
      <c r="AA704" s="94"/>
    </row>
    <row r="705" spans="2:27" x14ac:dyDescent="0.2">
      <c r="B705" s="94"/>
      <c r="C705" s="62">
        <v>666</v>
      </c>
      <c r="D705" s="62">
        <v>8061.3283842518513</v>
      </c>
      <c r="E705" s="62">
        <v>0.61767557520903904</v>
      </c>
      <c r="F705" s="62">
        <v>11571.87806881904</v>
      </c>
      <c r="G705" s="62">
        <v>0.89353625293742489</v>
      </c>
      <c r="H705" s="62">
        <v>11612.844547343686</v>
      </c>
      <c r="I705" s="62">
        <v>0.89728832397725378</v>
      </c>
      <c r="J705" s="62">
        <v>11533.234819188716</v>
      </c>
      <c r="K705" s="62">
        <v>0.88947724052590316</v>
      </c>
      <c r="L705" s="62">
        <f t="shared" si="119"/>
        <v>-3510.5496845671887</v>
      </c>
      <c r="M705" s="62">
        <f t="shared" si="120"/>
        <v>-0.27586067772838585</v>
      </c>
      <c r="N705" s="62">
        <f t="shared" si="121"/>
        <v>-3551.5161630918346</v>
      </c>
      <c r="O705" s="62">
        <f t="shared" si="122"/>
        <v>-0.27961274876821474</v>
      </c>
      <c r="P705" s="62">
        <f t="shared" si="123"/>
        <v>-3471.9064349368646</v>
      </c>
      <c r="Q705" s="62">
        <f t="shared" si="124"/>
        <v>-0.27180166531686412</v>
      </c>
      <c r="R705" s="62">
        <f t="shared" si="125"/>
        <v>17525.264643207382</v>
      </c>
      <c r="S705" s="62">
        <f t="shared" si="126"/>
        <v>25441.967672860854</v>
      </c>
      <c r="T705" s="62">
        <f t="shared" si="127"/>
        <v>25556.426985090075</v>
      </c>
      <c r="U705" s="62">
        <f t="shared" si="128"/>
        <v>25312.470392356299</v>
      </c>
      <c r="V705" s="62">
        <f t="shared" si="118"/>
        <v>1</v>
      </c>
      <c r="W705" s="62">
        <f t="shared" si="118"/>
        <v>0</v>
      </c>
      <c r="X705" s="62">
        <f t="shared" si="118"/>
        <v>0</v>
      </c>
      <c r="Y705" s="62">
        <f t="shared" si="117"/>
        <v>0</v>
      </c>
      <c r="AA705" s="94"/>
    </row>
    <row r="706" spans="2:27" x14ac:dyDescent="0.2">
      <c r="B706" s="94"/>
      <c r="C706" s="62">
        <v>667</v>
      </c>
      <c r="D706" s="62">
        <v>9921.0129827877809</v>
      </c>
      <c r="E706" s="62">
        <v>0.6177943775872613</v>
      </c>
      <c r="F706" s="62">
        <v>14269.724445074135</v>
      </c>
      <c r="G706" s="62">
        <v>0.89457917179695723</v>
      </c>
      <c r="H706" s="62">
        <v>14304.735217625996</v>
      </c>
      <c r="I706" s="62">
        <v>0.89705507508817928</v>
      </c>
      <c r="J706" s="62">
        <v>14202.093535083744</v>
      </c>
      <c r="K706" s="62">
        <v>0.88934904667827386</v>
      </c>
      <c r="L706" s="62">
        <f t="shared" si="119"/>
        <v>-4348.7114622863537</v>
      </c>
      <c r="M706" s="62">
        <f t="shared" si="120"/>
        <v>-0.27678479420969593</v>
      </c>
      <c r="N706" s="62">
        <f t="shared" si="121"/>
        <v>-4383.7222348382147</v>
      </c>
      <c r="O706" s="62">
        <f t="shared" si="122"/>
        <v>-0.27926069750091798</v>
      </c>
      <c r="P706" s="62">
        <f t="shared" si="123"/>
        <v>-4281.0805522959636</v>
      </c>
      <c r="Q706" s="62">
        <f t="shared" si="124"/>
        <v>-0.27155466909101256</v>
      </c>
      <c r="R706" s="62">
        <f t="shared" si="125"/>
        <v>15670.501314386931</v>
      </c>
      <c r="S706" s="62">
        <f t="shared" si="126"/>
        <v>22787.323167443021</v>
      </c>
      <c r="T706" s="62">
        <f t="shared" si="127"/>
        <v>22854.87421282674</v>
      </c>
      <c r="U706" s="62">
        <f t="shared" si="128"/>
        <v>22638.301374517068</v>
      </c>
      <c r="V706" s="62">
        <f t="shared" si="118"/>
        <v>1</v>
      </c>
      <c r="W706" s="62">
        <f t="shared" si="118"/>
        <v>0</v>
      </c>
      <c r="X706" s="62">
        <f t="shared" si="118"/>
        <v>0</v>
      </c>
      <c r="Y706" s="62">
        <f t="shared" si="117"/>
        <v>0</v>
      </c>
      <c r="AA706" s="94"/>
    </row>
    <row r="707" spans="2:27" x14ac:dyDescent="0.2">
      <c r="B707" s="94"/>
      <c r="C707" s="62">
        <v>668</v>
      </c>
      <c r="D707" s="62">
        <v>8058.4270445931752</v>
      </c>
      <c r="E707" s="62">
        <v>0.61777198250497345</v>
      </c>
      <c r="F707" s="62">
        <v>11568.371762779436</v>
      </c>
      <c r="G707" s="62">
        <v>0.89394991873602725</v>
      </c>
      <c r="H707" s="62">
        <v>11598.658716488613</v>
      </c>
      <c r="I707" s="62">
        <v>0.89669976245077465</v>
      </c>
      <c r="J707" s="62">
        <v>11527.765182130708</v>
      </c>
      <c r="K707" s="62">
        <v>0.88960688606843163</v>
      </c>
      <c r="L707" s="62">
        <f t="shared" si="119"/>
        <v>-3509.9447181862606</v>
      </c>
      <c r="M707" s="62">
        <f t="shared" si="120"/>
        <v>-0.2761779362310538</v>
      </c>
      <c r="N707" s="62">
        <f t="shared" si="121"/>
        <v>-3540.231671895438</v>
      </c>
      <c r="O707" s="62">
        <f t="shared" si="122"/>
        <v>-0.2789277799458012</v>
      </c>
      <c r="P707" s="62">
        <f t="shared" si="123"/>
        <v>-3469.3381375375329</v>
      </c>
      <c r="Q707" s="62">
        <f t="shared" si="124"/>
        <v>-0.27183490356345819</v>
      </c>
      <c r="R707" s="62">
        <f t="shared" si="125"/>
        <v>17532.159558692845</v>
      </c>
      <c r="S707" s="62">
        <f t="shared" si="126"/>
        <v>25462.609670941758</v>
      </c>
      <c r="T707" s="62">
        <f t="shared" si="127"/>
        <v>25546.232243272272</v>
      </c>
      <c r="U707" s="62">
        <f t="shared" si="128"/>
        <v>25323.310466368006</v>
      </c>
      <c r="V707" s="62">
        <f t="shared" si="118"/>
        <v>1</v>
      </c>
      <c r="W707" s="62">
        <f t="shared" si="118"/>
        <v>0</v>
      </c>
      <c r="X707" s="62">
        <f t="shared" si="118"/>
        <v>0</v>
      </c>
      <c r="Y707" s="62">
        <f t="shared" si="117"/>
        <v>0</v>
      </c>
      <c r="AA707" s="94"/>
    </row>
    <row r="708" spans="2:27" x14ac:dyDescent="0.2">
      <c r="B708" s="94"/>
      <c r="C708" s="62">
        <v>669</v>
      </c>
      <c r="D708" s="62">
        <v>9308.3656971998316</v>
      </c>
      <c r="E708" s="62">
        <v>0.61701099791850333</v>
      </c>
      <c r="F708" s="62">
        <v>13380.556292596615</v>
      </c>
      <c r="G708" s="62">
        <v>0.89412460715824749</v>
      </c>
      <c r="H708" s="62">
        <v>13426.074197048747</v>
      </c>
      <c r="I708" s="62">
        <v>0.89755568368155336</v>
      </c>
      <c r="J708" s="62">
        <v>13324.675023579792</v>
      </c>
      <c r="K708" s="62">
        <v>0.88909844159137619</v>
      </c>
      <c r="L708" s="62">
        <f t="shared" si="119"/>
        <v>-4072.1905953967835</v>
      </c>
      <c r="M708" s="62">
        <f t="shared" si="120"/>
        <v>-0.27711360923974415</v>
      </c>
      <c r="N708" s="62">
        <f t="shared" si="121"/>
        <v>-4117.7084998489154</v>
      </c>
      <c r="O708" s="62">
        <f t="shared" si="122"/>
        <v>-0.28054468576305003</v>
      </c>
      <c r="P708" s="62">
        <f t="shared" si="123"/>
        <v>-4016.3093263799601</v>
      </c>
      <c r="Q708" s="62">
        <f t="shared" si="124"/>
        <v>-0.27208744367287285</v>
      </c>
      <c r="R708" s="62">
        <f t="shared" si="125"/>
        <v>16250.697880576252</v>
      </c>
      <c r="S708" s="62">
        <f t="shared" si="126"/>
        <v>23657.661434326626</v>
      </c>
      <c r="T708" s="62">
        <f t="shared" si="127"/>
        <v>23754.272443775921</v>
      </c>
      <c r="U708" s="62">
        <f t="shared" si="128"/>
        <v>23505.338820901376</v>
      </c>
      <c r="V708" s="62">
        <f t="shared" si="118"/>
        <v>1</v>
      </c>
      <c r="W708" s="62">
        <f t="shared" si="118"/>
        <v>0</v>
      </c>
      <c r="X708" s="62">
        <f t="shared" si="118"/>
        <v>0</v>
      </c>
      <c r="Y708" s="62">
        <f t="shared" si="117"/>
        <v>0</v>
      </c>
      <c r="AA708" s="94"/>
    </row>
    <row r="709" spans="2:27" x14ac:dyDescent="0.2">
      <c r="B709" s="94"/>
      <c r="C709" s="62">
        <v>670</v>
      </c>
      <c r="D709" s="62">
        <v>9709.9198767716243</v>
      </c>
      <c r="E709" s="62">
        <v>0.61791874049821438</v>
      </c>
      <c r="F709" s="62">
        <v>13954.383167143618</v>
      </c>
      <c r="G709" s="62">
        <v>0.8939492451704032</v>
      </c>
      <c r="H709" s="62">
        <v>13997.114866703401</v>
      </c>
      <c r="I709" s="62">
        <v>0.89707690449421917</v>
      </c>
      <c r="J709" s="62">
        <v>13906.192752134775</v>
      </c>
      <c r="K709" s="62">
        <v>0.8898395689681925</v>
      </c>
      <c r="L709" s="62">
        <f t="shared" si="119"/>
        <v>-4244.4632903719939</v>
      </c>
      <c r="M709" s="62">
        <f t="shared" si="120"/>
        <v>-0.27603050467218881</v>
      </c>
      <c r="N709" s="62">
        <f t="shared" si="121"/>
        <v>-4287.1949899317769</v>
      </c>
      <c r="O709" s="62">
        <f t="shared" si="122"/>
        <v>-0.27915816399600479</v>
      </c>
      <c r="P709" s="62">
        <f t="shared" si="123"/>
        <v>-4196.2728753631509</v>
      </c>
      <c r="Q709" s="62">
        <f t="shared" si="124"/>
        <v>-0.27192082846997812</v>
      </c>
      <c r="R709" s="62">
        <f t="shared" si="125"/>
        <v>15886.746029626409</v>
      </c>
      <c r="S709" s="62">
        <f t="shared" si="126"/>
        <v>23076.57036479516</v>
      </c>
      <c r="T709" s="62">
        <f t="shared" si="127"/>
        <v>23163.398825065138</v>
      </c>
      <c r="U709" s="62">
        <f t="shared" si="128"/>
        <v>22954.521552803628</v>
      </c>
      <c r="V709" s="62">
        <f t="shared" si="118"/>
        <v>1</v>
      </c>
      <c r="W709" s="62">
        <f t="shared" si="118"/>
        <v>0</v>
      </c>
      <c r="X709" s="62">
        <f t="shared" si="118"/>
        <v>0</v>
      </c>
      <c r="Y709" s="62">
        <f t="shared" si="117"/>
        <v>0</v>
      </c>
      <c r="AA709" s="94"/>
    </row>
    <row r="710" spans="2:27" x14ac:dyDescent="0.2">
      <c r="B710" s="94"/>
      <c r="C710" s="62">
        <v>671</v>
      </c>
      <c r="D710" s="62">
        <v>8497.0241571988117</v>
      </c>
      <c r="E710" s="62">
        <v>0.61779036786250963</v>
      </c>
      <c r="F710" s="62">
        <v>12205.523026229946</v>
      </c>
      <c r="G710" s="62">
        <v>0.89432986503598322</v>
      </c>
      <c r="H710" s="62">
        <v>12235.408085548002</v>
      </c>
      <c r="I710" s="62">
        <v>0.89693734201908859</v>
      </c>
      <c r="J710" s="62">
        <v>12157.787939004977</v>
      </c>
      <c r="K710" s="62">
        <v>0.8896181638724685</v>
      </c>
      <c r="L710" s="62">
        <f t="shared" si="119"/>
        <v>-3708.4988690311347</v>
      </c>
      <c r="M710" s="62">
        <f t="shared" si="120"/>
        <v>-0.27653949717347359</v>
      </c>
      <c r="N710" s="62">
        <f t="shared" si="121"/>
        <v>-3738.3839283491907</v>
      </c>
      <c r="O710" s="62">
        <f t="shared" si="122"/>
        <v>-0.27914697415657896</v>
      </c>
      <c r="P710" s="62">
        <f t="shared" si="123"/>
        <v>-3660.7637818061648</v>
      </c>
      <c r="Q710" s="62">
        <f t="shared" si="124"/>
        <v>-0.27182779600995888</v>
      </c>
      <c r="R710" s="62">
        <f t="shared" si="125"/>
        <v>17094.324041137788</v>
      </c>
      <c r="S710" s="62">
        <f t="shared" si="126"/>
        <v>24841.197303020621</v>
      </c>
      <c r="T710" s="62">
        <f t="shared" si="127"/>
        <v>24919.324370250721</v>
      </c>
      <c r="U710" s="62">
        <f t="shared" si="128"/>
        <v>24693.754881248155</v>
      </c>
      <c r="V710" s="62">
        <f t="shared" si="118"/>
        <v>1</v>
      </c>
      <c r="W710" s="62">
        <f t="shared" si="118"/>
        <v>0</v>
      </c>
      <c r="X710" s="62">
        <f t="shared" si="118"/>
        <v>0</v>
      </c>
      <c r="Y710" s="62">
        <f t="shared" si="117"/>
        <v>0</v>
      </c>
      <c r="AA710" s="94"/>
    </row>
    <row r="711" spans="2:27" x14ac:dyDescent="0.2">
      <c r="B711" s="94"/>
      <c r="C711" s="62">
        <v>672</v>
      </c>
      <c r="D711" s="62">
        <v>11551.758123723705</v>
      </c>
      <c r="E711" s="62">
        <v>0.61756684160182373</v>
      </c>
      <c r="F711" s="62">
        <v>16620.974334960341</v>
      </c>
      <c r="G711" s="62">
        <v>0.89409789245592841</v>
      </c>
      <c r="H711" s="62">
        <v>16685.565822993492</v>
      </c>
      <c r="I711" s="62">
        <v>0.89794587101727852</v>
      </c>
      <c r="J711" s="62">
        <v>16565.7440954679</v>
      </c>
      <c r="K711" s="62">
        <v>0.89012799798823794</v>
      </c>
      <c r="L711" s="62">
        <f t="shared" si="119"/>
        <v>-5069.2162112366368</v>
      </c>
      <c r="M711" s="62">
        <f t="shared" si="120"/>
        <v>-0.27653105085410468</v>
      </c>
      <c r="N711" s="62">
        <f t="shared" si="121"/>
        <v>-5133.8076992697879</v>
      </c>
      <c r="O711" s="62">
        <f t="shared" si="122"/>
        <v>-0.28037902941545478</v>
      </c>
      <c r="P711" s="62">
        <f t="shared" si="123"/>
        <v>-5013.9859717441959</v>
      </c>
      <c r="Q711" s="62">
        <f t="shared" si="124"/>
        <v>-0.27256115638641421</v>
      </c>
      <c r="R711" s="62">
        <f t="shared" si="125"/>
        <v>14030.330722790242</v>
      </c>
      <c r="S711" s="62">
        <f t="shared" si="126"/>
        <v>20416.136762134036</v>
      </c>
      <c r="T711" s="62">
        <f t="shared" si="127"/>
        <v>20510.943938026256</v>
      </c>
      <c r="U711" s="62">
        <f t="shared" si="128"/>
        <v>20306.918093196869</v>
      </c>
      <c r="V711" s="62">
        <f t="shared" si="118"/>
        <v>1</v>
      </c>
      <c r="W711" s="62">
        <f t="shared" si="118"/>
        <v>0</v>
      </c>
      <c r="X711" s="62">
        <f t="shared" si="118"/>
        <v>0</v>
      </c>
      <c r="Y711" s="62">
        <f t="shared" si="117"/>
        <v>0</v>
      </c>
      <c r="AA711" s="94"/>
    </row>
    <row r="712" spans="2:27" x14ac:dyDescent="0.2">
      <c r="B712" s="94"/>
      <c r="C712" s="62">
        <v>673</v>
      </c>
      <c r="D712" s="62">
        <v>13534.452794771276</v>
      </c>
      <c r="E712" s="62">
        <v>0.61742104361505268</v>
      </c>
      <c r="F712" s="62">
        <v>19482.203047614115</v>
      </c>
      <c r="G712" s="62">
        <v>0.89399588281420461</v>
      </c>
      <c r="H712" s="62">
        <v>19549.103946117863</v>
      </c>
      <c r="I712" s="62">
        <v>0.89741395086964182</v>
      </c>
      <c r="J712" s="62">
        <v>19405.505036393803</v>
      </c>
      <c r="K712" s="62">
        <v>0.8894954287070862</v>
      </c>
      <c r="L712" s="62">
        <f t="shared" si="119"/>
        <v>-5947.7502528428395</v>
      </c>
      <c r="M712" s="62">
        <f t="shared" si="120"/>
        <v>-0.27657483919915193</v>
      </c>
      <c r="N712" s="62">
        <f t="shared" si="121"/>
        <v>-6014.6511513465866</v>
      </c>
      <c r="O712" s="62">
        <f t="shared" si="122"/>
        <v>-0.27999290725458914</v>
      </c>
      <c r="P712" s="62">
        <f t="shared" si="123"/>
        <v>-5871.0522416225267</v>
      </c>
      <c r="Q712" s="62">
        <f t="shared" si="124"/>
        <v>-0.27207438509203352</v>
      </c>
      <c r="R712" s="62">
        <f t="shared" si="125"/>
        <v>12041.596515938667</v>
      </c>
      <c r="S712" s="62">
        <f t="shared" si="126"/>
        <v>17550.682402081497</v>
      </c>
      <c r="T712" s="62">
        <f t="shared" si="127"/>
        <v>17625.371554706184</v>
      </c>
      <c r="U712" s="62">
        <f t="shared" si="128"/>
        <v>17440.95360236854</v>
      </c>
      <c r="V712" s="62">
        <f t="shared" si="118"/>
        <v>1</v>
      </c>
      <c r="W712" s="62">
        <f t="shared" si="118"/>
        <v>0</v>
      </c>
      <c r="X712" s="62">
        <f t="shared" si="118"/>
        <v>0</v>
      </c>
      <c r="Y712" s="62">
        <f t="shared" si="117"/>
        <v>0</v>
      </c>
      <c r="AA712" s="94"/>
    </row>
    <row r="713" spans="2:27" x14ac:dyDescent="0.2">
      <c r="B713" s="94"/>
      <c r="C713" s="62">
        <v>674</v>
      </c>
      <c r="D713" s="62">
        <v>13145.8358371063</v>
      </c>
      <c r="E713" s="62">
        <v>0.61740165269330116</v>
      </c>
      <c r="F713" s="62">
        <v>18922.482613830296</v>
      </c>
      <c r="G713" s="62">
        <v>0.89416652861775381</v>
      </c>
      <c r="H713" s="62">
        <v>18979.484884207846</v>
      </c>
      <c r="I713" s="62">
        <v>0.89712721456914635</v>
      </c>
      <c r="J713" s="62">
        <v>18846.476933344791</v>
      </c>
      <c r="K713" s="62">
        <v>0.88941015306297988</v>
      </c>
      <c r="L713" s="62">
        <f t="shared" si="119"/>
        <v>-5776.6467767239956</v>
      </c>
      <c r="M713" s="62">
        <f t="shared" si="120"/>
        <v>-0.27676487592445265</v>
      </c>
      <c r="N713" s="62">
        <f t="shared" si="121"/>
        <v>-5833.6490471015459</v>
      </c>
      <c r="O713" s="62">
        <f t="shared" si="122"/>
        <v>-0.27972556187584519</v>
      </c>
      <c r="P713" s="62">
        <f t="shared" si="123"/>
        <v>-5700.6410962384907</v>
      </c>
      <c r="Q713" s="62">
        <f t="shared" si="124"/>
        <v>-0.27200850036967872</v>
      </c>
      <c r="R713" s="62">
        <f t="shared" si="125"/>
        <v>12429.410224061008</v>
      </c>
      <c r="S713" s="62">
        <f t="shared" si="126"/>
        <v>18117.471667631537</v>
      </c>
      <c r="T713" s="62">
        <f t="shared" si="127"/>
        <v>18183.11285210447</v>
      </c>
      <c r="U713" s="62">
        <f t="shared" si="128"/>
        <v>17996.449247136086</v>
      </c>
      <c r="V713" s="62">
        <f t="shared" si="118"/>
        <v>1</v>
      </c>
      <c r="W713" s="62">
        <f t="shared" si="118"/>
        <v>0</v>
      </c>
      <c r="X713" s="62">
        <f t="shared" si="118"/>
        <v>0</v>
      </c>
      <c r="Y713" s="62">
        <f t="shared" si="117"/>
        <v>0</v>
      </c>
      <c r="AA713" s="94"/>
    </row>
    <row r="714" spans="2:27" x14ac:dyDescent="0.2">
      <c r="B714" s="94"/>
      <c r="C714" s="62">
        <v>675</v>
      </c>
      <c r="D714" s="62">
        <v>10607.280666434457</v>
      </c>
      <c r="E714" s="62">
        <v>0.61769179415013309</v>
      </c>
      <c r="F714" s="62">
        <v>15251.012910964037</v>
      </c>
      <c r="G714" s="62">
        <v>0.89385247196446327</v>
      </c>
      <c r="H714" s="62">
        <v>15300.769384571731</v>
      </c>
      <c r="I714" s="62">
        <v>0.89698576144318654</v>
      </c>
      <c r="J714" s="62">
        <v>15188.080911721763</v>
      </c>
      <c r="K714" s="62">
        <v>0.88906831158896604</v>
      </c>
      <c r="L714" s="62">
        <f t="shared" si="119"/>
        <v>-4643.7322445295795</v>
      </c>
      <c r="M714" s="62">
        <f t="shared" si="120"/>
        <v>-0.27616067781433018</v>
      </c>
      <c r="N714" s="62">
        <f t="shared" si="121"/>
        <v>-4693.4887181372742</v>
      </c>
      <c r="O714" s="62">
        <f t="shared" si="122"/>
        <v>-0.27929396729305345</v>
      </c>
      <c r="P714" s="62">
        <f t="shared" si="123"/>
        <v>-4580.8002452873061</v>
      </c>
      <c r="Q714" s="62">
        <f t="shared" si="124"/>
        <v>-0.27137651743883295</v>
      </c>
      <c r="R714" s="62">
        <f t="shared" si="125"/>
        <v>14979.984214440658</v>
      </c>
      <c r="S714" s="62">
        <f t="shared" si="126"/>
        <v>21775.931887691888</v>
      </c>
      <c r="T714" s="62">
        <f t="shared" si="127"/>
        <v>21855.968797450827</v>
      </c>
      <c r="U714" s="62">
        <f t="shared" si="128"/>
        <v>21640.684827539568</v>
      </c>
      <c r="V714" s="62">
        <f t="shared" si="118"/>
        <v>1</v>
      </c>
      <c r="W714" s="62">
        <f t="shared" si="118"/>
        <v>0</v>
      </c>
      <c r="X714" s="62">
        <f t="shared" si="118"/>
        <v>0</v>
      </c>
      <c r="Y714" s="62">
        <f t="shared" si="117"/>
        <v>0</v>
      </c>
      <c r="AA714" s="94"/>
    </row>
    <row r="715" spans="2:27" x14ac:dyDescent="0.2">
      <c r="B715" s="94"/>
      <c r="C715" s="62">
        <v>676</v>
      </c>
      <c r="D715" s="62">
        <v>9704.4412170920532</v>
      </c>
      <c r="E715" s="62">
        <v>0.61785225367652852</v>
      </c>
      <c r="F715" s="62">
        <v>13944.509955222356</v>
      </c>
      <c r="G715" s="62">
        <v>0.89387012718214842</v>
      </c>
      <c r="H715" s="62">
        <v>13980.389379691103</v>
      </c>
      <c r="I715" s="62">
        <v>0.89652307803555242</v>
      </c>
      <c r="J715" s="62">
        <v>13893.576525634848</v>
      </c>
      <c r="K715" s="62">
        <v>0.88967467398527766</v>
      </c>
      <c r="L715" s="62">
        <f t="shared" si="119"/>
        <v>-4240.0687381303032</v>
      </c>
      <c r="M715" s="62">
        <f t="shared" si="120"/>
        <v>-0.2760178735056199</v>
      </c>
      <c r="N715" s="62">
        <f t="shared" si="121"/>
        <v>-4275.9481625990502</v>
      </c>
      <c r="O715" s="62">
        <f t="shared" si="122"/>
        <v>-0.27867082435902391</v>
      </c>
      <c r="P715" s="62">
        <f t="shared" si="123"/>
        <v>-4189.1353085427945</v>
      </c>
      <c r="Q715" s="62">
        <f t="shared" si="124"/>
        <v>-0.27182242030874915</v>
      </c>
      <c r="R715" s="62">
        <f t="shared" si="125"/>
        <v>15889.470539204465</v>
      </c>
      <c r="S715" s="62">
        <f t="shared" si="126"/>
        <v>23083.16619317096</v>
      </c>
      <c r="T715" s="62">
        <f t="shared" si="127"/>
        <v>23157.18260485362</v>
      </c>
      <c r="U715" s="62">
        <f t="shared" si="128"/>
        <v>22960.307169531297</v>
      </c>
      <c r="V715" s="62">
        <f t="shared" si="118"/>
        <v>1</v>
      </c>
      <c r="W715" s="62">
        <f t="shared" si="118"/>
        <v>0</v>
      </c>
      <c r="X715" s="62">
        <f t="shared" si="118"/>
        <v>0</v>
      </c>
      <c r="Y715" s="62">
        <f t="shared" si="117"/>
        <v>0</v>
      </c>
      <c r="AA715" s="94"/>
    </row>
    <row r="716" spans="2:27" x14ac:dyDescent="0.2">
      <c r="B716" s="94"/>
      <c r="C716" s="62">
        <v>677</v>
      </c>
      <c r="D716" s="62">
        <v>11193.398260286958</v>
      </c>
      <c r="E716" s="62">
        <v>0.61794332793601658</v>
      </c>
      <c r="F716" s="62">
        <v>16109.406642762584</v>
      </c>
      <c r="G716" s="62">
        <v>0.89457962371122435</v>
      </c>
      <c r="H716" s="62">
        <v>16162.200845644513</v>
      </c>
      <c r="I716" s="62">
        <v>0.89778880623808388</v>
      </c>
      <c r="J716" s="62">
        <v>16046.809313876171</v>
      </c>
      <c r="K716" s="62">
        <v>0.89022546065669594</v>
      </c>
      <c r="L716" s="62">
        <f t="shared" si="119"/>
        <v>-4916.0083824756257</v>
      </c>
      <c r="M716" s="62">
        <f t="shared" si="120"/>
        <v>-0.27663629577520776</v>
      </c>
      <c r="N716" s="62">
        <f t="shared" si="121"/>
        <v>-4968.8025853575546</v>
      </c>
      <c r="O716" s="62">
        <f t="shared" si="122"/>
        <v>-0.2798454783020673</v>
      </c>
      <c r="P716" s="62">
        <f t="shared" si="123"/>
        <v>-4853.4110535892123</v>
      </c>
      <c r="Q716" s="62">
        <f t="shared" si="124"/>
        <v>-0.27228213272067936</v>
      </c>
      <c r="R716" s="62">
        <f t="shared" si="125"/>
        <v>14404.286156134593</v>
      </c>
      <c r="S716" s="62">
        <f t="shared" si="126"/>
        <v>20947.659689851174</v>
      </c>
      <c r="T716" s="62">
        <f t="shared" si="127"/>
        <v>21027.802663961877</v>
      </c>
      <c r="U716" s="62">
        <f t="shared" si="128"/>
        <v>20829.890168366801</v>
      </c>
      <c r="V716" s="62">
        <f t="shared" si="118"/>
        <v>1</v>
      </c>
      <c r="W716" s="62">
        <f t="shared" si="118"/>
        <v>0</v>
      </c>
      <c r="X716" s="62">
        <f t="shared" si="118"/>
        <v>0</v>
      </c>
      <c r="Y716" s="62">
        <f t="shared" si="117"/>
        <v>0</v>
      </c>
      <c r="AA716" s="94"/>
    </row>
    <row r="717" spans="2:27" x14ac:dyDescent="0.2">
      <c r="B717" s="94"/>
      <c r="C717" s="62">
        <v>678</v>
      </c>
      <c r="D717" s="62">
        <v>9228.5782552808505</v>
      </c>
      <c r="E717" s="62">
        <v>0.61746159831127156</v>
      </c>
      <c r="F717" s="62">
        <v>13260.208897257999</v>
      </c>
      <c r="G717" s="62">
        <v>0.89387314970799736</v>
      </c>
      <c r="H717" s="62">
        <v>13305.657405264275</v>
      </c>
      <c r="I717" s="62">
        <v>0.8974171018034115</v>
      </c>
      <c r="J717" s="62">
        <v>13213.334880244336</v>
      </c>
      <c r="K717" s="62">
        <v>0.88964788899023384</v>
      </c>
      <c r="L717" s="62">
        <f t="shared" si="119"/>
        <v>-4031.6306419771481</v>
      </c>
      <c r="M717" s="62">
        <f t="shared" si="120"/>
        <v>-0.2764115513967258</v>
      </c>
      <c r="N717" s="62">
        <f t="shared" si="121"/>
        <v>-4077.0791499834249</v>
      </c>
      <c r="O717" s="62">
        <f t="shared" si="122"/>
        <v>-0.27995550349213993</v>
      </c>
      <c r="P717" s="62">
        <f t="shared" si="123"/>
        <v>-3984.7566249634856</v>
      </c>
      <c r="Q717" s="62">
        <f t="shared" si="124"/>
        <v>-0.27218629067896227</v>
      </c>
      <c r="R717" s="62">
        <f t="shared" si="125"/>
        <v>16349.150993165264</v>
      </c>
      <c r="S717" s="62">
        <f t="shared" si="126"/>
        <v>23767.592456246082</v>
      </c>
      <c r="T717" s="62">
        <f t="shared" si="127"/>
        <v>23868.948619840245</v>
      </c>
      <c r="U717" s="62">
        <f t="shared" si="128"/>
        <v>23639.439273287113</v>
      </c>
      <c r="V717" s="62">
        <f t="shared" si="118"/>
        <v>1</v>
      </c>
      <c r="W717" s="62">
        <f t="shared" si="118"/>
        <v>0</v>
      </c>
      <c r="X717" s="62">
        <f t="shared" si="118"/>
        <v>0</v>
      </c>
      <c r="Y717" s="62">
        <f t="shared" si="117"/>
        <v>0</v>
      </c>
      <c r="AA717" s="94"/>
    </row>
    <row r="718" spans="2:27" x14ac:dyDescent="0.2">
      <c r="B718" s="94"/>
      <c r="C718" s="62">
        <v>679</v>
      </c>
      <c r="D718" s="62">
        <v>11021.351514061211</v>
      </c>
      <c r="E718" s="62">
        <v>0.6177189186829346</v>
      </c>
      <c r="F718" s="62">
        <v>15854.464362079721</v>
      </c>
      <c r="G718" s="62">
        <v>0.89440056265340284</v>
      </c>
      <c r="H718" s="62">
        <v>15906.888023583613</v>
      </c>
      <c r="I718" s="62">
        <v>0.89762078530453104</v>
      </c>
      <c r="J718" s="62">
        <v>15792.930934370961</v>
      </c>
      <c r="K718" s="62">
        <v>0.88988045981162922</v>
      </c>
      <c r="L718" s="62">
        <f t="shared" si="119"/>
        <v>-4833.1128480185107</v>
      </c>
      <c r="M718" s="62">
        <f t="shared" si="120"/>
        <v>-0.27668164397046824</v>
      </c>
      <c r="N718" s="62">
        <f t="shared" si="121"/>
        <v>-4885.5365095224024</v>
      </c>
      <c r="O718" s="62">
        <f t="shared" si="122"/>
        <v>-0.27990186662159644</v>
      </c>
      <c r="P718" s="62">
        <f t="shared" si="123"/>
        <v>-4771.5794203097503</v>
      </c>
      <c r="Q718" s="62">
        <f t="shared" si="124"/>
        <v>-0.27216154112869462</v>
      </c>
      <c r="R718" s="62">
        <f t="shared" si="125"/>
        <v>14567.036973460672</v>
      </c>
      <c r="S718" s="62">
        <f t="shared" si="126"/>
        <v>21195.184545274838</v>
      </c>
      <c r="T718" s="62">
        <f t="shared" si="127"/>
        <v>21276.15538687128</v>
      </c>
      <c r="U718" s="62">
        <f t="shared" si="128"/>
        <v>21069.477232865967</v>
      </c>
      <c r="V718" s="62">
        <f t="shared" si="118"/>
        <v>1</v>
      </c>
      <c r="W718" s="62">
        <f t="shared" si="118"/>
        <v>0</v>
      </c>
      <c r="X718" s="62">
        <f t="shared" si="118"/>
        <v>0</v>
      </c>
      <c r="Y718" s="62">
        <f t="shared" si="117"/>
        <v>0</v>
      </c>
      <c r="AA718" s="94"/>
    </row>
    <row r="719" spans="2:27" x14ac:dyDescent="0.2">
      <c r="B719" s="94"/>
      <c r="C719" s="62">
        <v>680</v>
      </c>
      <c r="D719" s="62">
        <v>10613.09128697604</v>
      </c>
      <c r="E719" s="62">
        <v>0.61809328818084674</v>
      </c>
      <c r="F719" s="62">
        <v>15250.386320570551</v>
      </c>
      <c r="G719" s="62">
        <v>0.89419399093409124</v>
      </c>
      <c r="H719" s="62">
        <v>15296.693613583433</v>
      </c>
      <c r="I719" s="62">
        <v>0.89722207388897524</v>
      </c>
      <c r="J719" s="62">
        <v>15175.543746193576</v>
      </c>
      <c r="K719" s="62">
        <v>0.88864756294658453</v>
      </c>
      <c r="L719" s="62">
        <f t="shared" si="119"/>
        <v>-4637.2950335945116</v>
      </c>
      <c r="M719" s="62">
        <f t="shared" si="120"/>
        <v>-0.2761007027532445</v>
      </c>
      <c r="N719" s="62">
        <f t="shared" si="121"/>
        <v>-4683.6023266073935</v>
      </c>
      <c r="O719" s="62">
        <f t="shared" si="122"/>
        <v>-0.27912878570812849</v>
      </c>
      <c r="P719" s="62">
        <f t="shared" si="123"/>
        <v>-4562.4524592175367</v>
      </c>
      <c r="Q719" s="62">
        <f t="shared" si="124"/>
        <v>-0.27055427476573779</v>
      </c>
      <c r="R719" s="62">
        <f t="shared" si="125"/>
        <v>14990.805082627357</v>
      </c>
      <c r="S719" s="62">
        <f t="shared" si="126"/>
        <v>21790.705559883245</v>
      </c>
      <c r="T719" s="62">
        <f t="shared" si="127"/>
        <v>21869.833575193479</v>
      </c>
      <c r="U719" s="62">
        <f t="shared" si="128"/>
        <v>21635.79290130574</v>
      </c>
      <c r="V719" s="62">
        <f t="shared" si="118"/>
        <v>1</v>
      </c>
      <c r="W719" s="62">
        <f t="shared" si="118"/>
        <v>0</v>
      </c>
      <c r="X719" s="62">
        <f t="shared" si="118"/>
        <v>0</v>
      </c>
      <c r="Y719" s="62">
        <f t="shared" si="117"/>
        <v>0</v>
      </c>
      <c r="AA719" s="94"/>
    </row>
    <row r="720" spans="2:27" x14ac:dyDescent="0.2">
      <c r="B720" s="94"/>
      <c r="C720" s="62">
        <v>681</v>
      </c>
      <c r="D720" s="62">
        <v>10195.87220764831</v>
      </c>
      <c r="E720" s="62">
        <v>0.61777089162939502</v>
      </c>
      <c r="F720" s="62">
        <v>14654.470864326226</v>
      </c>
      <c r="G720" s="62">
        <v>0.89372059887636524</v>
      </c>
      <c r="H720" s="62">
        <v>14716.024432802475</v>
      </c>
      <c r="I720" s="62">
        <v>0.89799621527469142</v>
      </c>
      <c r="J720" s="62">
        <v>14585.892153442928</v>
      </c>
      <c r="K720" s="62">
        <v>0.88855421138739799</v>
      </c>
      <c r="L720" s="62">
        <f t="shared" si="119"/>
        <v>-4458.5986566779156</v>
      </c>
      <c r="M720" s="62">
        <f t="shared" si="120"/>
        <v>-0.27594970724697021</v>
      </c>
      <c r="N720" s="62">
        <f t="shared" si="121"/>
        <v>-4520.1522251541646</v>
      </c>
      <c r="O720" s="62">
        <f t="shared" si="122"/>
        <v>-0.2802253236452964</v>
      </c>
      <c r="P720" s="62">
        <f t="shared" si="123"/>
        <v>-4390.0199457946183</v>
      </c>
      <c r="Q720" s="62">
        <f t="shared" si="124"/>
        <v>-0.27078331975800296</v>
      </c>
      <c r="R720" s="62">
        <f t="shared" si="125"/>
        <v>15394.669207207749</v>
      </c>
      <c r="S720" s="62">
        <f t="shared" si="126"/>
        <v>22367.011223528323</v>
      </c>
      <c r="T720" s="62">
        <f t="shared" si="127"/>
        <v>22482.570788736342</v>
      </c>
      <c r="U720" s="62">
        <f t="shared" si="128"/>
        <v>22221.577499068644</v>
      </c>
      <c r="V720" s="62">
        <f t="shared" si="118"/>
        <v>1</v>
      </c>
      <c r="W720" s="62">
        <f t="shared" si="118"/>
        <v>0</v>
      </c>
      <c r="X720" s="62">
        <f t="shared" si="118"/>
        <v>0</v>
      </c>
      <c r="Y720" s="62">
        <f t="shared" si="117"/>
        <v>0</v>
      </c>
      <c r="AA720" s="94"/>
    </row>
    <row r="721" spans="2:27" x14ac:dyDescent="0.2">
      <c r="B721" s="94"/>
      <c r="C721" s="62">
        <v>682</v>
      </c>
      <c r="D721" s="62">
        <v>14951.725244241488</v>
      </c>
      <c r="E721" s="62">
        <v>0.61766024597065849</v>
      </c>
      <c r="F721" s="62">
        <v>21519.231293710647</v>
      </c>
      <c r="G721" s="62">
        <v>0.89434219123940473</v>
      </c>
      <c r="H721" s="62">
        <v>21576.706049224642</v>
      </c>
      <c r="I721" s="62">
        <v>0.89686314252101651</v>
      </c>
      <c r="J721" s="62">
        <v>21425.956630315111</v>
      </c>
      <c r="K721" s="62">
        <v>0.88928140628277785</v>
      </c>
      <c r="L721" s="62">
        <f t="shared" si="119"/>
        <v>-6567.5060494691588</v>
      </c>
      <c r="M721" s="62">
        <f t="shared" si="120"/>
        <v>-0.27668194526874623</v>
      </c>
      <c r="N721" s="62">
        <f t="shared" si="121"/>
        <v>-6624.9808049831536</v>
      </c>
      <c r="O721" s="62">
        <f t="shared" si="122"/>
        <v>-0.27920289655035802</v>
      </c>
      <c r="P721" s="62">
        <f t="shared" si="123"/>
        <v>-6474.2313860736231</v>
      </c>
      <c r="Q721" s="62">
        <f t="shared" si="124"/>
        <v>-0.27162116031211936</v>
      </c>
      <c r="R721" s="62">
        <f t="shared" si="125"/>
        <v>10634.232784847069</v>
      </c>
      <c r="S721" s="62">
        <f t="shared" si="126"/>
        <v>15527.999636190456</v>
      </c>
      <c r="T721" s="62">
        <f t="shared" si="127"/>
        <v>15574.952766565944</v>
      </c>
      <c r="U721" s="62">
        <f t="shared" si="128"/>
        <v>15411.636343542679</v>
      </c>
      <c r="V721" s="62">
        <f t="shared" si="118"/>
        <v>1</v>
      </c>
      <c r="W721" s="62">
        <f t="shared" si="118"/>
        <v>0</v>
      </c>
      <c r="X721" s="62">
        <f t="shared" si="118"/>
        <v>0</v>
      </c>
      <c r="Y721" s="62">
        <f t="shared" si="117"/>
        <v>0</v>
      </c>
      <c r="AA721" s="94"/>
    </row>
    <row r="722" spans="2:27" x14ac:dyDescent="0.2">
      <c r="B722" s="94"/>
      <c r="C722" s="62">
        <v>683</v>
      </c>
      <c r="D722" s="62">
        <v>8921.9068630523197</v>
      </c>
      <c r="E722" s="62">
        <v>0.61738362676583536</v>
      </c>
      <c r="F722" s="62">
        <v>12814.968594816923</v>
      </c>
      <c r="G722" s="62">
        <v>0.89405392947534912</v>
      </c>
      <c r="H722" s="62">
        <v>12843.9209188197</v>
      </c>
      <c r="I722" s="62">
        <v>0.89646286396024788</v>
      </c>
      <c r="J722" s="62">
        <v>12770.216952095794</v>
      </c>
      <c r="K722" s="62">
        <v>0.88960404461974363</v>
      </c>
      <c r="L722" s="62">
        <f t="shared" si="119"/>
        <v>-3893.0617317646029</v>
      </c>
      <c r="M722" s="62">
        <f t="shared" si="120"/>
        <v>-0.27667030270951376</v>
      </c>
      <c r="N722" s="62">
        <f t="shared" si="121"/>
        <v>-3922.0140557673803</v>
      </c>
      <c r="O722" s="62">
        <f t="shared" si="122"/>
        <v>-0.27907923719441252</v>
      </c>
      <c r="P722" s="62">
        <f t="shared" si="123"/>
        <v>-3848.3100890434744</v>
      </c>
      <c r="Q722" s="62">
        <f t="shared" si="124"/>
        <v>-0.27222041785390827</v>
      </c>
      <c r="R722" s="62">
        <f t="shared" si="125"/>
        <v>16652.592492095646</v>
      </c>
      <c r="S722" s="62">
        <f t="shared" si="126"/>
        <v>24220.321379769943</v>
      </c>
      <c r="T722" s="62">
        <f t="shared" si="127"/>
        <v>24291.156757869612</v>
      </c>
      <c r="U722" s="62">
        <f t="shared" si="128"/>
        <v>24080.740992232462</v>
      </c>
      <c r="V722" s="62">
        <f t="shared" si="118"/>
        <v>1</v>
      </c>
      <c r="W722" s="62">
        <f t="shared" si="118"/>
        <v>0</v>
      </c>
      <c r="X722" s="62">
        <f t="shared" si="118"/>
        <v>0</v>
      </c>
      <c r="Y722" s="62">
        <f t="shared" si="117"/>
        <v>0</v>
      </c>
      <c r="AA722" s="94"/>
    </row>
    <row r="723" spans="2:27" x14ac:dyDescent="0.2">
      <c r="B723" s="94"/>
      <c r="C723" s="62">
        <v>684</v>
      </c>
      <c r="D723" s="62">
        <v>11051.389742957001</v>
      </c>
      <c r="E723" s="62">
        <v>0.6177753744241451</v>
      </c>
      <c r="F723" s="62">
        <v>15898.499727891289</v>
      </c>
      <c r="G723" s="62">
        <v>0.89420272150792479</v>
      </c>
      <c r="H723" s="62">
        <v>15956.268888653247</v>
      </c>
      <c r="I723" s="62">
        <v>0.89776801242585069</v>
      </c>
      <c r="J723" s="62">
        <v>15827.627227594716</v>
      </c>
      <c r="K723" s="62">
        <v>0.88911003600884908</v>
      </c>
      <c r="L723" s="62">
        <f t="shared" si="119"/>
        <v>-4847.1099849342881</v>
      </c>
      <c r="M723" s="62">
        <f t="shared" si="120"/>
        <v>-0.2764273470837797</v>
      </c>
      <c r="N723" s="62">
        <f t="shared" si="121"/>
        <v>-4904.8791456962463</v>
      </c>
      <c r="O723" s="62">
        <f t="shared" si="122"/>
        <v>-0.2799926380017056</v>
      </c>
      <c r="P723" s="62">
        <f t="shared" si="123"/>
        <v>-4776.2374846377152</v>
      </c>
      <c r="Q723" s="62">
        <f t="shared" si="124"/>
        <v>-0.27133466158470398</v>
      </c>
      <c r="R723" s="62">
        <f t="shared" si="125"/>
        <v>14539.337367188788</v>
      </c>
      <c r="S723" s="62">
        <f t="shared" si="126"/>
        <v>21142.953807852991</v>
      </c>
      <c r="T723" s="62">
        <f t="shared" si="127"/>
        <v>21232.873258075189</v>
      </c>
      <c r="U723" s="62">
        <f t="shared" si="128"/>
        <v>21002.866904035847</v>
      </c>
      <c r="V723" s="62">
        <f t="shared" si="118"/>
        <v>1</v>
      </c>
      <c r="W723" s="62">
        <f t="shared" si="118"/>
        <v>0</v>
      </c>
      <c r="X723" s="62">
        <f t="shared" si="118"/>
        <v>0</v>
      </c>
      <c r="Y723" s="62">
        <f t="shared" si="117"/>
        <v>0</v>
      </c>
      <c r="AA723" s="94"/>
    </row>
    <row r="724" spans="2:27" x14ac:dyDescent="0.2">
      <c r="B724" s="94"/>
      <c r="C724" s="62">
        <v>685</v>
      </c>
      <c r="D724" s="62">
        <v>12153.444680578767</v>
      </c>
      <c r="E724" s="62">
        <v>0.61799829659503769</v>
      </c>
      <c r="F724" s="62">
        <v>17472.84854878678</v>
      </c>
      <c r="G724" s="62">
        <v>0.89376164199438191</v>
      </c>
      <c r="H724" s="62">
        <v>17536.873243235885</v>
      </c>
      <c r="I724" s="62">
        <v>0.89737259254293089</v>
      </c>
      <c r="J724" s="62">
        <v>17412.922937782423</v>
      </c>
      <c r="K724" s="62">
        <v>0.88977185313420359</v>
      </c>
      <c r="L724" s="62">
        <f t="shared" si="119"/>
        <v>-5319.4038682080136</v>
      </c>
      <c r="M724" s="62">
        <f t="shared" si="120"/>
        <v>-0.27576334539934422</v>
      </c>
      <c r="N724" s="62">
        <f t="shared" si="121"/>
        <v>-5383.4285626571182</v>
      </c>
      <c r="O724" s="62">
        <f t="shared" si="122"/>
        <v>-0.2793742959478932</v>
      </c>
      <c r="P724" s="62">
        <f t="shared" si="123"/>
        <v>-5259.4782572036565</v>
      </c>
      <c r="Q724" s="62">
        <f t="shared" si="124"/>
        <v>-0.27177355653916591</v>
      </c>
      <c r="R724" s="62">
        <f t="shared" si="125"/>
        <v>13446.516757574074</v>
      </c>
      <c r="S724" s="62">
        <f t="shared" si="126"/>
        <v>19550.333709188497</v>
      </c>
      <c r="T724" s="62">
        <f t="shared" si="127"/>
        <v>19635.889030262482</v>
      </c>
      <c r="U724" s="62">
        <f t="shared" si="128"/>
        <v>19444.986306448824</v>
      </c>
      <c r="V724" s="62">
        <f t="shared" si="118"/>
        <v>1</v>
      </c>
      <c r="W724" s="62">
        <f t="shared" si="118"/>
        <v>0</v>
      </c>
      <c r="X724" s="62">
        <f t="shared" si="118"/>
        <v>0</v>
      </c>
      <c r="Y724" s="62">
        <f t="shared" si="117"/>
        <v>0</v>
      </c>
      <c r="AA724" s="94"/>
    </row>
    <row r="725" spans="2:27" x14ac:dyDescent="0.2">
      <c r="B725" s="94"/>
      <c r="C725" s="62">
        <v>686</v>
      </c>
      <c r="D725" s="62">
        <v>9911.0465177513233</v>
      </c>
      <c r="E725" s="62">
        <v>0.61748035865067963</v>
      </c>
      <c r="F725" s="62">
        <v>14259.362157984513</v>
      </c>
      <c r="G725" s="62">
        <v>0.89422696217842268</v>
      </c>
      <c r="H725" s="62">
        <v>14301.628060464613</v>
      </c>
      <c r="I725" s="62">
        <v>0.89710865209444213</v>
      </c>
      <c r="J725" s="62">
        <v>14196.576088958338</v>
      </c>
      <c r="K725" s="62">
        <v>0.88923892393087722</v>
      </c>
      <c r="L725" s="62">
        <f t="shared" si="119"/>
        <v>-4348.3156402331897</v>
      </c>
      <c r="M725" s="62">
        <f t="shared" si="120"/>
        <v>-0.27674660352774305</v>
      </c>
      <c r="N725" s="62">
        <f t="shared" si="121"/>
        <v>-4390.5815427132893</v>
      </c>
      <c r="O725" s="62">
        <f t="shared" si="122"/>
        <v>-0.2796282934437625</v>
      </c>
      <c r="P725" s="62">
        <f t="shared" si="123"/>
        <v>-4285.5295712070147</v>
      </c>
      <c r="Q725" s="62">
        <f t="shared" si="124"/>
        <v>-0.27175856528019759</v>
      </c>
      <c r="R725" s="62">
        <f t="shared" si="125"/>
        <v>15667.459858994431</v>
      </c>
      <c r="S725" s="62">
        <f t="shared" si="126"/>
        <v>22783.095523294469</v>
      </c>
      <c r="T725" s="62">
        <f t="shared" si="127"/>
        <v>22860.200743895559</v>
      </c>
      <c r="U725" s="62">
        <f t="shared" si="128"/>
        <v>22639.257095954315</v>
      </c>
      <c r="V725" s="62">
        <f t="shared" si="118"/>
        <v>1</v>
      </c>
      <c r="W725" s="62">
        <f t="shared" si="118"/>
        <v>0</v>
      </c>
      <c r="X725" s="62">
        <f t="shared" si="118"/>
        <v>0</v>
      </c>
      <c r="Y725" s="62">
        <f t="shared" si="117"/>
        <v>0</v>
      </c>
      <c r="AA725" s="94"/>
    </row>
    <row r="726" spans="2:27" x14ac:dyDescent="0.2">
      <c r="B726" s="94"/>
      <c r="C726" s="62">
        <v>687</v>
      </c>
      <c r="D726" s="62">
        <v>10675.304630484683</v>
      </c>
      <c r="E726" s="62">
        <v>0.61755157053163245</v>
      </c>
      <c r="F726" s="62">
        <v>15352.024761312012</v>
      </c>
      <c r="G726" s="62">
        <v>0.89378227043574277</v>
      </c>
      <c r="H726" s="62">
        <v>15403.814655449434</v>
      </c>
      <c r="I726" s="62">
        <v>0.89711932782636128</v>
      </c>
      <c r="J726" s="62">
        <v>15287.511985535042</v>
      </c>
      <c r="K726" s="62">
        <v>0.88904483068368689</v>
      </c>
      <c r="L726" s="62">
        <f t="shared" si="119"/>
        <v>-4676.7201308273288</v>
      </c>
      <c r="M726" s="62">
        <f t="shared" si="120"/>
        <v>-0.27623069990411031</v>
      </c>
      <c r="N726" s="62">
        <f t="shared" si="121"/>
        <v>-4728.5100249647512</v>
      </c>
      <c r="O726" s="62">
        <f t="shared" si="122"/>
        <v>-0.27956775729472882</v>
      </c>
      <c r="P726" s="62">
        <f t="shared" si="123"/>
        <v>-4612.2073550503592</v>
      </c>
      <c r="Q726" s="62">
        <f t="shared" si="124"/>
        <v>-0.27149326015205444</v>
      </c>
      <c r="R726" s="62">
        <f t="shared" si="125"/>
        <v>14906.15162721766</v>
      </c>
      <c r="S726" s="62">
        <f t="shared" si="126"/>
        <v>21672.012009218193</v>
      </c>
      <c r="T726" s="62">
        <f t="shared" si="127"/>
        <v>21758.456380429754</v>
      </c>
      <c r="U726" s="62">
        <f t="shared" si="128"/>
        <v>21540.281080706001</v>
      </c>
      <c r="V726" s="62">
        <f t="shared" si="118"/>
        <v>1</v>
      </c>
      <c r="W726" s="62">
        <f t="shared" si="118"/>
        <v>0</v>
      </c>
      <c r="X726" s="62">
        <f t="shared" si="118"/>
        <v>0</v>
      </c>
      <c r="Y726" s="62">
        <f t="shared" si="117"/>
        <v>0</v>
      </c>
      <c r="AA726" s="94"/>
    </row>
    <row r="727" spans="2:27" x14ac:dyDescent="0.2">
      <c r="B727" s="94"/>
      <c r="C727" s="62">
        <v>688</v>
      </c>
      <c r="D727" s="62">
        <v>10285.564695730634</v>
      </c>
      <c r="E727" s="62">
        <v>0.61712306703581188</v>
      </c>
      <c r="F727" s="62">
        <v>14798.869237569199</v>
      </c>
      <c r="G727" s="62">
        <v>0.89431078683170218</v>
      </c>
      <c r="H727" s="62">
        <v>14839.24731521397</v>
      </c>
      <c r="I727" s="62">
        <v>0.89701867832020066</v>
      </c>
      <c r="J727" s="62">
        <v>14731.669713740395</v>
      </c>
      <c r="K727" s="62">
        <v>0.88904389381554705</v>
      </c>
      <c r="L727" s="62">
        <f t="shared" si="119"/>
        <v>-4513.3045418385645</v>
      </c>
      <c r="M727" s="62">
        <f t="shared" si="120"/>
        <v>-0.2771877197958903</v>
      </c>
      <c r="N727" s="62">
        <f t="shared" si="121"/>
        <v>-4553.6826194833357</v>
      </c>
      <c r="O727" s="62">
        <f t="shared" si="122"/>
        <v>-0.27989561128438878</v>
      </c>
      <c r="P727" s="62">
        <f t="shared" si="123"/>
        <v>-4446.1050180097609</v>
      </c>
      <c r="Q727" s="62">
        <f t="shared" si="124"/>
        <v>-0.27192082677973517</v>
      </c>
      <c r="R727" s="62">
        <f t="shared" si="125"/>
        <v>15278.141233160837</v>
      </c>
      <c r="S727" s="62">
        <f t="shared" si="126"/>
        <v>22247.060796147234</v>
      </c>
      <c r="T727" s="62">
        <f t="shared" si="127"/>
        <v>22318.854415522022</v>
      </c>
      <c r="U727" s="62">
        <f t="shared" si="128"/>
        <v>22096.08454367482</v>
      </c>
      <c r="V727" s="62">
        <f t="shared" si="118"/>
        <v>1</v>
      </c>
      <c r="W727" s="62">
        <f t="shared" si="118"/>
        <v>0</v>
      </c>
      <c r="X727" s="62">
        <f t="shared" si="118"/>
        <v>0</v>
      </c>
      <c r="Y727" s="62">
        <f t="shared" si="117"/>
        <v>0</v>
      </c>
      <c r="AA727" s="94"/>
    </row>
    <row r="728" spans="2:27" x14ac:dyDescent="0.2">
      <c r="B728" s="94"/>
      <c r="C728" s="62">
        <v>689</v>
      </c>
      <c r="D728" s="62">
        <v>12087.330144503732</v>
      </c>
      <c r="E728" s="62">
        <v>0.61760626757572512</v>
      </c>
      <c r="F728" s="62">
        <v>17391.276057903964</v>
      </c>
      <c r="G728" s="62">
        <v>0.89401496706994465</v>
      </c>
      <c r="H728" s="62">
        <v>17442.636282121563</v>
      </c>
      <c r="I728" s="62">
        <v>0.89691115487432982</v>
      </c>
      <c r="J728" s="62">
        <v>17320.203137302182</v>
      </c>
      <c r="K728" s="62">
        <v>0.88939823767116089</v>
      </c>
      <c r="L728" s="62">
        <f t="shared" si="119"/>
        <v>-5303.9459134002318</v>
      </c>
      <c r="M728" s="62">
        <f t="shared" si="120"/>
        <v>-0.27640869949421953</v>
      </c>
      <c r="N728" s="62">
        <f t="shared" si="121"/>
        <v>-5355.3061376178302</v>
      </c>
      <c r="O728" s="62">
        <f t="shared" si="122"/>
        <v>-0.2793048872986047</v>
      </c>
      <c r="P728" s="62">
        <f t="shared" si="123"/>
        <v>-5232.8729927984496</v>
      </c>
      <c r="Q728" s="62">
        <f t="shared" si="124"/>
        <v>-0.27179197009543576</v>
      </c>
      <c r="R728" s="62">
        <f t="shared" si="125"/>
        <v>13496.391883553104</v>
      </c>
      <c r="S728" s="62">
        <f t="shared" si="126"/>
        <v>19642.399938001425</v>
      </c>
      <c r="T728" s="62">
        <f t="shared" si="127"/>
        <v>19711.011397392675</v>
      </c>
      <c r="U728" s="62">
        <f t="shared" si="128"/>
        <v>19522.22945998799</v>
      </c>
      <c r="V728" s="62">
        <f t="shared" si="118"/>
        <v>1</v>
      </c>
      <c r="W728" s="62">
        <f t="shared" si="118"/>
        <v>0</v>
      </c>
      <c r="X728" s="62">
        <f t="shared" si="118"/>
        <v>0</v>
      </c>
      <c r="Y728" s="62">
        <f t="shared" si="117"/>
        <v>0</v>
      </c>
      <c r="AA728" s="94"/>
    </row>
    <row r="729" spans="2:27" x14ac:dyDescent="0.2">
      <c r="B729" s="94"/>
      <c r="C729" s="62">
        <v>690</v>
      </c>
      <c r="D729" s="62">
        <v>12339.683576903677</v>
      </c>
      <c r="E729" s="62">
        <v>0.61759422481996706</v>
      </c>
      <c r="F729" s="62">
        <v>17771.58137211133</v>
      </c>
      <c r="G729" s="62">
        <v>0.89450266528175437</v>
      </c>
      <c r="H729" s="62">
        <v>17812.088562818153</v>
      </c>
      <c r="I729" s="62">
        <v>0.89682440926842388</v>
      </c>
      <c r="J729" s="62">
        <v>17704.836139680734</v>
      </c>
      <c r="K729" s="62">
        <v>0.89040496694341353</v>
      </c>
      <c r="L729" s="62">
        <f t="shared" si="119"/>
        <v>-5431.897795207653</v>
      </c>
      <c r="M729" s="62">
        <f t="shared" si="120"/>
        <v>-0.27690844046178731</v>
      </c>
      <c r="N729" s="62">
        <f t="shared" si="121"/>
        <v>-5472.4049859144761</v>
      </c>
      <c r="O729" s="62">
        <f t="shared" si="122"/>
        <v>-0.27923018444845682</v>
      </c>
      <c r="P729" s="62">
        <f t="shared" si="123"/>
        <v>-5365.152562777057</v>
      </c>
      <c r="Q729" s="62">
        <f t="shared" si="124"/>
        <v>-0.27281074212344647</v>
      </c>
      <c r="R729" s="62">
        <f t="shared" si="125"/>
        <v>13243.53959203864</v>
      </c>
      <c r="S729" s="62">
        <f t="shared" si="126"/>
        <v>19282.297034520067</v>
      </c>
      <c r="T729" s="62">
        <f t="shared" si="127"/>
        <v>19337.965766717036</v>
      </c>
      <c r="U729" s="62">
        <f t="shared" si="128"/>
        <v>19179.29921098323</v>
      </c>
      <c r="V729" s="62">
        <f t="shared" si="118"/>
        <v>1</v>
      </c>
      <c r="W729" s="62">
        <f t="shared" si="118"/>
        <v>0</v>
      </c>
      <c r="X729" s="62">
        <f t="shared" si="118"/>
        <v>0</v>
      </c>
      <c r="Y729" s="62">
        <f t="shared" si="117"/>
        <v>0</v>
      </c>
      <c r="AA729" s="94"/>
    </row>
    <row r="730" spans="2:27" x14ac:dyDescent="0.2">
      <c r="B730" s="94"/>
      <c r="C730" s="62">
        <v>691</v>
      </c>
      <c r="D730" s="62">
        <v>11001.301055407062</v>
      </c>
      <c r="E730" s="62">
        <v>0.61815533917159526</v>
      </c>
      <c r="F730" s="62">
        <v>15824.779977564747</v>
      </c>
      <c r="G730" s="62">
        <v>0.89480485823211664</v>
      </c>
      <c r="H730" s="62">
        <v>15869.998369348967</v>
      </c>
      <c r="I730" s="62">
        <v>0.89755364387640146</v>
      </c>
      <c r="J730" s="62">
        <v>15760.604574510653</v>
      </c>
      <c r="K730" s="62">
        <v>0.89011874283051395</v>
      </c>
      <c r="L730" s="62">
        <f t="shared" si="119"/>
        <v>-4823.4789221576848</v>
      </c>
      <c r="M730" s="62">
        <f t="shared" si="120"/>
        <v>-0.27664951906052138</v>
      </c>
      <c r="N730" s="62">
        <f t="shared" si="121"/>
        <v>-4868.6973139419042</v>
      </c>
      <c r="O730" s="62">
        <f t="shared" si="122"/>
        <v>-0.2793983047048062</v>
      </c>
      <c r="P730" s="62">
        <f t="shared" si="123"/>
        <v>-4759.3035191035906</v>
      </c>
      <c r="Q730" s="62">
        <f t="shared" si="124"/>
        <v>-0.27196340365891869</v>
      </c>
      <c r="R730" s="62">
        <f t="shared" si="125"/>
        <v>14605.1657144371</v>
      </c>
      <c r="S730" s="62">
        <f t="shared" si="126"/>
        <v>21241.616469842451</v>
      </c>
      <c r="T730" s="62">
        <f t="shared" si="127"/>
        <v>21310.263774587085</v>
      </c>
      <c r="U730" s="62">
        <f t="shared" si="128"/>
        <v>21111.67422850056</v>
      </c>
      <c r="V730" s="62">
        <f t="shared" si="118"/>
        <v>1</v>
      </c>
      <c r="W730" s="62">
        <f t="shared" si="118"/>
        <v>0</v>
      </c>
      <c r="X730" s="62">
        <f t="shared" si="118"/>
        <v>0</v>
      </c>
      <c r="Y730" s="62">
        <f t="shared" si="117"/>
        <v>0</v>
      </c>
      <c r="AA730" s="94"/>
    </row>
    <row r="731" spans="2:27" x14ac:dyDescent="0.2">
      <c r="B731" s="94"/>
      <c r="C731" s="62">
        <v>692</v>
      </c>
      <c r="D731" s="62">
        <v>8827.3698777471618</v>
      </c>
      <c r="E731" s="62">
        <v>0.61778050396310691</v>
      </c>
      <c r="F731" s="62">
        <v>12681.616140014999</v>
      </c>
      <c r="G731" s="62">
        <v>0.89425064209488003</v>
      </c>
      <c r="H731" s="62">
        <v>12721.733783851583</v>
      </c>
      <c r="I731" s="62">
        <v>0.89757865408299009</v>
      </c>
      <c r="J731" s="62">
        <v>12632.09870196924</v>
      </c>
      <c r="K731" s="62">
        <v>0.88958587982480319</v>
      </c>
      <c r="L731" s="62">
        <f t="shared" si="119"/>
        <v>-3854.2462622678377</v>
      </c>
      <c r="M731" s="62">
        <f t="shared" si="120"/>
        <v>-0.27647013813177312</v>
      </c>
      <c r="N731" s="62">
        <f t="shared" si="121"/>
        <v>-3894.3639061044214</v>
      </c>
      <c r="O731" s="62">
        <f t="shared" si="122"/>
        <v>-0.27979815011988318</v>
      </c>
      <c r="P731" s="62">
        <f t="shared" si="123"/>
        <v>-3804.7288242220784</v>
      </c>
      <c r="Q731" s="62">
        <f t="shared" si="124"/>
        <v>-0.27180537586169629</v>
      </c>
      <c r="R731" s="62">
        <f t="shared" si="125"/>
        <v>16763.569718420578</v>
      </c>
      <c r="S731" s="62">
        <f t="shared" si="126"/>
        <v>24361.822458123308</v>
      </c>
      <c r="T731" s="62">
        <f t="shared" si="127"/>
        <v>24459.564382882199</v>
      </c>
      <c r="U731" s="62">
        <f t="shared" si="128"/>
        <v>24218.10678389341</v>
      </c>
      <c r="V731" s="62">
        <f t="shared" si="118"/>
        <v>1</v>
      </c>
      <c r="W731" s="62">
        <f t="shared" si="118"/>
        <v>0</v>
      </c>
      <c r="X731" s="62">
        <f t="shared" si="118"/>
        <v>0</v>
      </c>
      <c r="Y731" s="62">
        <f t="shared" si="117"/>
        <v>0</v>
      </c>
      <c r="AA731" s="94"/>
    </row>
    <row r="732" spans="2:27" x14ac:dyDescent="0.2">
      <c r="B732" s="94"/>
      <c r="C732" s="62">
        <v>693</v>
      </c>
      <c r="D732" s="62">
        <v>10474.659566201801</v>
      </c>
      <c r="E732" s="62">
        <v>0.61796307240092563</v>
      </c>
      <c r="F732" s="62">
        <v>15048.183414362387</v>
      </c>
      <c r="G732" s="62">
        <v>0.89367110696709595</v>
      </c>
      <c r="H732" s="62">
        <v>15098.838463992801</v>
      </c>
      <c r="I732" s="62">
        <v>0.89691579298945789</v>
      </c>
      <c r="J732" s="62">
        <v>14996.038119263505</v>
      </c>
      <c r="K732" s="62">
        <v>0.88947806884818648</v>
      </c>
      <c r="L732" s="62">
        <f t="shared" si="119"/>
        <v>-4573.5238481605866</v>
      </c>
      <c r="M732" s="62">
        <f t="shared" si="120"/>
        <v>-0.27570803456617032</v>
      </c>
      <c r="N732" s="62">
        <f t="shared" si="121"/>
        <v>-4624.1788977910001</v>
      </c>
      <c r="O732" s="62">
        <f t="shared" si="122"/>
        <v>-0.27895272058853227</v>
      </c>
      <c r="P732" s="62">
        <f t="shared" si="123"/>
        <v>-4521.3785530617042</v>
      </c>
      <c r="Q732" s="62">
        <f t="shared" si="124"/>
        <v>-0.27151499644726085</v>
      </c>
      <c r="R732" s="62">
        <f t="shared" si="125"/>
        <v>15123.842744934143</v>
      </c>
      <c r="S732" s="62">
        <f t="shared" si="126"/>
        <v>21971.248520642599</v>
      </c>
      <c r="T732" s="62">
        <f t="shared" si="127"/>
        <v>22055.001344802502</v>
      </c>
      <c r="U732" s="62">
        <f t="shared" si="128"/>
        <v>21849.701404703774</v>
      </c>
      <c r="V732" s="62">
        <f t="shared" si="118"/>
        <v>1</v>
      </c>
      <c r="W732" s="62">
        <f t="shared" si="118"/>
        <v>0</v>
      </c>
      <c r="X732" s="62">
        <f t="shared" si="118"/>
        <v>0</v>
      </c>
      <c r="Y732" s="62">
        <f t="shared" si="117"/>
        <v>0</v>
      </c>
      <c r="AA732" s="94"/>
    </row>
    <row r="733" spans="2:27" x14ac:dyDescent="0.2">
      <c r="B733" s="94"/>
      <c r="C733" s="62">
        <v>694</v>
      </c>
      <c r="D733" s="62">
        <v>9212.6369817850973</v>
      </c>
      <c r="E733" s="62">
        <v>0.61780415046809811</v>
      </c>
      <c r="F733" s="62">
        <v>13239.08945489351</v>
      </c>
      <c r="G733" s="62">
        <v>0.89384308479512276</v>
      </c>
      <c r="H733" s="62">
        <v>13288.059538314144</v>
      </c>
      <c r="I733" s="62">
        <v>0.8976340625759669</v>
      </c>
      <c r="J733" s="62">
        <v>13191.108927357625</v>
      </c>
      <c r="K733" s="62">
        <v>0.88967730093017894</v>
      </c>
      <c r="L733" s="62">
        <f t="shared" si="119"/>
        <v>-4026.452473108413</v>
      </c>
      <c r="M733" s="62">
        <f t="shared" si="120"/>
        <v>-0.27603893432702464</v>
      </c>
      <c r="N733" s="62">
        <f t="shared" si="121"/>
        <v>-4075.4225565290471</v>
      </c>
      <c r="O733" s="62">
        <f t="shared" si="122"/>
        <v>-0.27982991210786878</v>
      </c>
      <c r="P733" s="62">
        <f t="shared" si="123"/>
        <v>-3978.4719455725281</v>
      </c>
      <c r="Q733" s="62">
        <f t="shared" si="124"/>
        <v>-0.27187315046208083</v>
      </c>
      <c r="R733" s="62">
        <f t="shared" si="125"/>
        <v>16379.282147205398</v>
      </c>
      <c r="S733" s="62">
        <f t="shared" si="126"/>
        <v>23787.466489659651</v>
      </c>
      <c r="T733" s="62">
        <f t="shared" si="127"/>
        <v>23895.533869832707</v>
      </c>
      <c r="U733" s="62">
        <f t="shared" si="128"/>
        <v>23662.883586374108</v>
      </c>
      <c r="V733" s="62">
        <f t="shared" si="118"/>
        <v>1</v>
      </c>
      <c r="W733" s="62">
        <f t="shared" si="118"/>
        <v>0</v>
      </c>
      <c r="X733" s="62">
        <f t="shared" si="118"/>
        <v>0</v>
      </c>
      <c r="Y733" s="62">
        <f t="shared" si="117"/>
        <v>0</v>
      </c>
      <c r="AA733" s="94"/>
    </row>
    <row r="734" spans="2:27" x14ac:dyDescent="0.2">
      <c r="B734" s="94"/>
      <c r="C734" s="62">
        <v>695</v>
      </c>
      <c r="D734" s="62">
        <v>10260.679200727107</v>
      </c>
      <c r="E734" s="62">
        <v>0.61768679027204454</v>
      </c>
      <c r="F734" s="62">
        <v>14751.761051905401</v>
      </c>
      <c r="G734" s="62">
        <v>0.89374086125059471</v>
      </c>
      <c r="H734" s="62">
        <v>14802.292793113415</v>
      </c>
      <c r="I734" s="62">
        <v>0.89717992029463434</v>
      </c>
      <c r="J734" s="62">
        <v>14684.117956288763</v>
      </c>
      <c r="K734" s="62">
        <v>0.88860714275761188</v>
      </c>
      <c r="L734" s="62">
        <f t="shared" si="119"/>
        <v>-4491.0818511782945</v>
      </c>
      <c r="M734" s="62">
        <f t="shared" si="120"/>
        <v>-0.27605407097855017</v>
      </c>
      <c r="N734" s="62">
        <f t="shared" si="121"/>
        <v>-4541.6135923863076</v>
      </c>
      <c r="O734" s="62">
        <f t="shared" si="122"/>
        <v>-0.2794931300225898</v>
      </c>
      <c r="P734" s="62">
        <f t="shared" si="123"/>
        <v>-4423.4387555616559</v>
      </c>
      <c r="Q734" s="62">
        <f t="shared" si="124"/>
        <v>-0.27092035248556734</v>
      </c>
      <c r="R734" s="62">
        <f t="shared" si="125"/>
        <v>15326.378399502068</v>
      </c>
      <c r="S734" s="62">
        <f t="shared" si="126"/>
        <v>22270.560384539232</v>
      </c>
      <c r="T734" s="62">
        <f t="shared" si="127"/>
        <v>22362.488225171521</v>
      </c>
      <c r="U734" s="62">
        <f t="shared" si="128"/>
        <v>22125.544325302551</v>
      </c>
      <c r="V734" s="62">
        <f t="shared" si="118"/>
        <v>1</v>
      </c>
      <c r="W734" s="62">
        <f t="shared" si="118"/>
        <v>0</v>
      </c>
      <c r="X734" s="62">
        <f t="shared" si="118"/>
        <v>0</v>
      </c>
      <c r="Y734" s="62">
        <f t="shared" si="117"/>
        <v>0</v>
      </c>
      <c r="AA734" s="94"/>
    </row>
    <row r="735" spans="2:27" x14ac:dyDescent="0.2">
      <c r="B735" s="94"/>
      <c r="C735" s="62">
        <v>696</v>
      </c>
      <c r="D735" s="62">
        <v>11512.884098307783</v>
      </c>
      <c r="E735" s="62">
        <v>0.61772413906442269</v>
      </c>
      <c r="F735" s="62">
        <v>16560.925794540453</v>
      </c>
      <c r="G735" s="62">
        <v>0.89392336791057581</v>
      </c>
      <c r="H735" s="62">
        <v>16603.833564519406</v>
      </c>
      <c r="I735" s="62">
        <v>0.89640645046291767</v>
      </c>
      <c r="J735" s="62">
        <v>16488.675044150154</v>
      </c>
      <c r="K735" s="62">
        <v>0.888988695688813</v>
      </c>
      <c r="L735" s="62">
        <f t="shared" si="119"/>
        <v>-5048.0416962326708</v>
      </c>
      <c r="M735" s="62">
        <f t="shared" si="120"/>
        <v>-0.27619922884615311</v>
      </c>
      <c r="N735" s="62">
        <f t="shared" si="121"/>
        <v>-5090.9494662116231</v>
      </c>
      <c r="O735" s="62">
        <f t="shared" si="122"/>
        <v>-0.27868231139849498</v>
      </c>
      <c r="P735" s="62">
        <f t="shared" si="123"/>
        <v>-4975.790945842371</v>
      </c>
      <c r="Q735" s="62">
        <f t="shared" si="124"/>
        <v>-0.27126455662439031</v>
      </c>
      <c r="R735" s="62">
        <f t="shared" si="125"/>
        <v>14075.720638296862</v>
      </c>
      <c r="S735" s="62">
        <f t="shared" si="126"/>
        <v>20468.955797787239</v>
      </c>
      <c r="T735" s="62">
        <f t="shared" si="127"/>
        <v>20528.907239456497</v>
      </c>
      <c r="U735" s="62">
        <f t="shared" si="128"/>
        <v>20336.79268606324</v>
      </c>
      <c r="V735" s="62">
        <f t="shared" si="118"/>
        <v>1</v>
      </c>
      <c r="W735" s="62">
        <f t="shared" si="118"/>
        <v>0</v>
      </c>
      <c r="X735" s="62">
        <f t="shared" si="118"/>
        <v>0</v>
      </c>
      <c r="Y735" s="62">
        <f t="shared" si="117"/>
        <v>0</v>
      </c>
      <c r="AA735" s="94"/>
    </row>
    <row r="736" spans="2:27" x14ac:dyDescent="0.2">
      <c r="B736" s="94"/>
      <c r="C736" s="62">
        <v>697</v>
      </c>
      <c r="D736" s="62">
        <v>9504.6134580782909</v>
      </c>
      <c r="E736" s="62">
        <v>0.61762331163501538</v>
      </c>
      <c r="F736" s="62">
        <v>13656.240279260219</v>
      </c>
      <c r="G736" s="62">
        <v>0.89386854409165839</v>
      </c>
      <c r="H736" s="62">
        <v>13712.473289456622</v>
      </c>
      <c r="I736" s="62">
        <v>0.89796977149941826</v>
      </c>
      <c r="J736" s="62">
        <v>13600.192473600409</v>
      </c>
      <c r="K736" s="62">
        <v>0.88901790677753223</v>
      </c>
      <c r="L736" s="62">
        <f t="shared" si="119"/>
        <v>-4151.6268211819279</v>
      </c>
      <c r="M736" s="62">
        <f t="shared" si="120"/>
        <v>-0.27624523245664301</v>
      </c>
      <c r="N736" s="62">
        <f t="shared" si="121"/>
        <v>-4207.8598313783314</v>
      </c>
      <c r="O736" s="62">
        <f t="shared" si="122"/>
        <v>-0.28034645986440287</v>
      </c>
      <c r="P736" s="62">
        <f t="shared" si="123"/>
        <v>-4095.5790155221184</v>
      </c>
      <c r="Q736" s="62">
        <f t="shared" si="124"/>
        <v>-0.27139459514251685</v>
      </c>
      <c r="R736" s="62">
        <f t="shared" si="125"/>
        <v>16079.814603090586</v>
      </c>
      <c r="S736" s="62">
        <f t="shared" si="126"/>
        <v>23371.370291192641</v>
      </c>
      <c r="T736" s="62">
        <f t="shared" si="127"/>
        <v>23485.026525135279</v>
      </c>
      <c r="U736" s="62">
        <f t="shared" si="128"/>
        <v>23226.485296752086</v>
      </c>
      <c r="V736" s="62">
        <f t="shared" si="118"/>
        <v>1</v>
      </c>
      <c r="W736" s="62">
        <f t="shared" si="118"/>
        <v>0</v>
      </c>
      <c r="X736" s="62">
        <f t="shared" si="118"/>
        <v>0</v>
      </c>
      <c r="Y736" s="62">
        <f t="shared" si="117"/>
        <v>0</v>
      </c>
      <c r="AA736" s="94"/>
    </row>
    <row r="737" spans="2:27" x14ac:dyDescent="0.2">
      <c r="B737" s="94"/>
      <c r="C737" s="62">
        <v>698</v>
      </c>
      <c r="D737" s="62">
        <v>10938.127542117729</v>
      </c>
      <c r="E737" s="62">
        <v>0.61770375587275983</v>
      </c>
      <c r="F737" s="62">
        <v>15729.35914282042</v>
      </c>
      <c r="G737" s="62">
        <v>0.89405748784580419</v>
      </c>
      <c r="H737" s="62">
        <v>15770.394772395684</v>
      </c>
      <c r="I737" s="62">
        <v>0.89679072171112628</v>
      </c>
      <c r="J737" s="62">
        <v>15659.804312871587</v>
      </c>
      <c r="K737" s="62">
        <v>0.88904461271239443</v>
      </c>
      <c r="L737" s="62">
        <f t="shared" si="119"/>
        <v>-4791.2316007026911</v>
      </c>
      <c r="M737" s="62">
        <f t="shared" si="120"/>
        <v>-0.27635373197304436</v>
      </c>
      <c r="N737" s="62">
        <f t="shared" si="121"/>
        <v>-4832.2672302779556</v>
      </c>
      <c r="O737" s="62">
        <f t="shared" si="122"/>
        <v>-0.27908696583836645</v>
      </c>
      <c r="P737" s="62">
        <f t="shared" si="123"/>
        <v>-4721.6767707538584</v>
      </c>
      <c r="Q737" s="62">
        <f t="shared" si="124"/>
        <v>-0.2713408568396346</v>
      </c>
      <c r="R737" s="62">
        <f t="shared" si="125"/>
        <v>14649.632841155473</v>
      </c>
      <c r="S737" s="62">
        <f t="shared" si="126"/>
        <v>21306.078233704171</v>
      </c>
      <c r="T737" s="62">
        <f t="shared" si="127"/>
        <v>21378.264083766011</v>
      </c>
      <c r="U737" s="62">
        <f t="shared" si="128"/>
        <v>21167.979724126642</v>
      </c>
      <c r="V737" s="62">
        <f t="shared" si="118"/>
        <v>1</v>
      </c>
      <c r="W737" s="62">
        <f t="shared" si="118"/>
        <v>0</v>
      </c>
      <c r="X737" s="62">
        <f t="shared" si="118"/>
        <v>0</v>
      </c>
      <c r="Y737" s="62">
        <f t="shared" si="117"/>
        <v>0</v>
      </c>
      <c r="AA737" s="94"/>
    </row>
    <row r="738" spans="2:27" x14ac:dyDescent="0.2">
      <c r="B738" s="94"/>
      <c r="C738" s="62">
        <v>699</v>
      </c>
      <c r="D738" s="62">
        <v>8830.5002447203606</v>
      </c>
      <c r="E738" s="62">
        <v>0.61729634301192526</v>
      </c>
      <c r="F738" s="62">
        <v>12685.009319341774</v>
      </c>
      <c r="G738" s="62">
        <v>0.89359003019686134</v>
      </c>
      <c r="H738" s="62">
        <v>12736.229926481052</v>
      </c>
      <c r="I738" s="62">
        <v>0.89765833741637824</v>
      </c>
      <c r="J738" s="62">
        <v>12647.242960977015</v>
      </c>
      <c r="K738" s="62">
        <v>0.88983475838858639</v>
      </c>
      <c r="L738" s="62">
        <f t="shared" si="119"/>
        <v>-3854.5090746214137</v>
      </c>
      <c r="M738" s="62">
        <f t="shared" si="120"/>
        <v>-0.27629368718493608</v>
      </c>
      <c r="N738" s="62">
        <f t="shared" si="121"/>
        <v>-3905.7296817606912</v>
      </c>
      <c r="O738" s="62">
        <f t="shared" si="122"/>
        <v>-0.28036199440445297</v>
      </c>
      <c r="P738" s="62">
        <f t="shared" si="123"/>
        <v>-3816.7427162566546</v>
      </c>
      <c r="Q738" s="62">
        <f t="shared" si="124"/>
        <v>-0.27253841537666113</v>
      </c>
      <c r="R738" s="62">
        <f t="shared" si="125"/>
        <v>16740.383468205633</v>
      </c>
      <c r="S738" s="62">
        <f t="shared" si="126"/>
        <v>24331.064091533011</v>
      </c>
      <c r="T738" s="62">
        <f t="shared" si="127"/>
        <v>24448.369042655002</v>
      </c>
      <c r="U738" s="62">
        <f t="shared" si="128"/>
        <v>24213.272070511786</v>
      </c>
      <c r="V738" s="62">
        <f t="shared" si="118"/>
        <v>1</v>
      </c>
      <c r="W738" s="62">
        <f t="shared" si="118"/>
        <v>0</v>
      </c>
      <c r="X738" s="62">
        <f t="shared" si="118"/>
        <v>0</v>
      </c>
      <c r="Y738" s="62">
        <f t="shared" si="117"/>
        <v>0</v>
      </c>
      <c r="AA738" s="94"/>
    </row>
    <row r="739" spans="2:27" x14ac:dyDescent="0.2">
      <c r="B739" s="94"/>
      <c r="C739" s="62">
        <v>700</v>
      </c>
      <c r="D739" s="62">
        <v>9539.1137373473593</v>
      </c>
      <c r="E739" s="62">
        <v>0.6173475625169188</v>
      </c>
      <c r="F739" s="62">
        <v>13737.293731686354</v>
      </c>
      <c r="G739" s="62">
        <v>0.89516593793523636</v>
      </c>
      <c r="H739" s="62">
        <v>13764.674743676054</v>
      </c>
      <c r="I739" s="62">
        <v>0.89719841945465706</v>
      </c>
      <c r="J739" s="62">
        <v>13665.153821611073</v>
      </c>
      <c r="K739" s="62">
        <v>0.88939660018421418</v>
      </c>
      <c r="L739" s="62">
        <f t="shared" si="119"/>
        <v>-4198.1799943389942</v>
      </c>
      <c r="M739" s="62">
        <f t="shared" si="120"/>
        <v>-0.27781837541831755</v>
      </c>
      <c r="N739" s="62">
        <f t="shared" si="121"/>
        <v>-4225.5610063286949</v>
      </c>
      <c r="O739" s="62">
        <f t="shared" si="122"/>
        <v>-0.27985085693773826</v>
      </c>
      <c r="P739" s="62">
        <f t="shared" si="123"/>
        <v>-4126.0400842637137</v>
      </c>
      <c r="Q739" s="62">
        <f t="shared" si="124"/>
        <v>-0.27204903766729538</v>
      </c>
      <c r="R739" s="62">
        <f t="shared" si="125"/>
        <v>16033.891692353483</v>
      </c>
      <c r="S739" s="62">
        <f t="shared" si="126"/>
        <v>23344.060081342875</v>
      </c>
      <c r="T739" s="62">
        <f t="shared" si="127"/>
        <v>23400.87258381366</v>
      </c>
      <c r="U739" s="62">
        <f t="shared" si="128"/>
        <v>23177.210944419814</v>
      </c>
      <c r="V739" s="62">
        <f t="shared" si="118"/>
        <v>1</v>
      </c>
      <c r="W739" s="62">
        <f t="shared" si="118"/>
        <v>0</v>
      </c>
      <c r="X739" s="62">
        <f t="shared" si="118"/>
        <v>0</v>
      </c>
      <c r="Y739" s="62">
        <f t="shared" si="117"/>
        <v>0</v>
      </c>
      <c r="AA739" s="94"/>
    </row>
    <row r="740" spans="2:27" x14ac:dyDescent="0.2">
      <c r="B740" s="94"/>
      <c r="C740" s="62">
        <v>701</v>
      </c>
      <c r="D740" s="62">
        <v>11666.568671881549</v>
      </c>
      <c r="E740" s="62">
        <v>0.61718962857370707</v>
      </c>
      <c r="F740" s="62">
        <v>16793.971309982982</v>
      </c>
      <c r="G740" s="62">
        <v>0.89443233764709973</v>
      </c>
      <c r="H740" s="62">
        <v>16830.30491177972</v>
      </c>
      <c r="I740" s="62">
        <v>0.89659554424816212</v>
      </c>
      <c r="J740" s="62">
        <v>16724.619489033299</v>
      </c>
      <c r="K740" s="62">
        <v>0.88960200857346594</v>
      </c>
      <c r="L740" s="62">
        <f t="shared" si="119"/>
        <v>-5127.4026381014337</v>
      </c>
      <c r="M740" s="62">
        <f t="shared" si="120"/>
        <v>-0.27724270907339266</v>
      </c>
      <c r="N740" s="62">
        <f t="shared" si="121"/>
        <v>-5163.7362398981713</v>
      </c>
      <c r="O740" s="62">
        <f t="shared" si="122"/>
        <v>-0.27940591567445505</v>
      </c>
      <c r="P740" s="62">
        <f t="shared" si="123"/>
        <v>-5058.0508171517504</v>
      </c>
      <c r="Q740" s="62">
        <f t="shared" si="124"/>
        <v>-0.27241237999975887</v>
      </c>
      <c r="R740" s="62">
        <f t="shared" si="125"/>
        <v>13899.894502155694</v>
      </c>
      <c r="S740" s="62">
        <f t="shared" si="126"/>
        <v>20256.99384471048</v>
      </c>
      <c r="T740" s="62">
        <f t="shared" si="127"/>
        <v>20310.268913156149</v>
      </c>
      <c r="U740" s="62">
        <f t="shared" si="128"/>
        <v>20126.254114113952</v>
      </c>
      <c r="V740" s="62">
        <f t="shared" si="118"/>
        <v>1</v>
      </c>
      <c r="W740" s="62">
        <f t="shared" si="118"/>
        <v>0</v>
      </c>
      <c r="X740" s="62">
        <f t="shared" si="118"/>
        <v>0</v>
      </c>
      <c r="Y740" s="62">
        <f t="shared" si="117"/>
        <v>0</v>
      </c>
      <c r="AA740" s="94"/>
    </row>
    <row r="741" spans="2:27" x14ac:dyDescent="0.2">
      <c r="B741" s="94"/>
      <c r="C741" s="62">
        <v>702</v>
      </c>
      <c r="D741" s="62">
        <v>9314.8208181871778</v>
      </c>
      <c r="E741" s="62">
        <v>0.61790176287444409</v>
      </c>
      <c r="F741" s="62">
        <v>13389.128146996218</v>
      </c>
      <c r="G741" s="62">
        <v>0.89433714551159482</v>
      </c>
      <c r="H741" s="62">
        <v>13422.273418196768</v>
      </c>
      <c r="I741" s="62">
        <v>0.89687970835594766</v>
      </c>
      <c r="J741" s="62">
        <v>13343.083021301594</v>
      </c>
      <c r="K741" s="62">
        <v>0.89018145408221672</v>
      </c>
      <c r="L741" s="62">
        <f t="shared" si="119"/>
        <v>-4074.30732880904</v>
      </c>
      <c r="M741" s="62">
        <f t="shared" si="120"/>
        <v>-0.27643538263715073</v>
      </c>
      <c r="N741" s="62">
        <f t="shared" si="121"/>
        <v>-4107.4526000095902</v>
      </c>
      <c r="O741" s="62">
        <f t="shared" si="122"/>
        <v>-0.27897794548150356</v>
      </c>
      <c r="P741" s="62">
        <f t="shared" si="123"/>
        <v>-4028.2622031144165</v>
      </c>
      <c r="Q741" s="62">
        <f t="shared" si="124"/>
        <v>-0.27227969120777262</v>
      </c>
      <c r="R741" s="62">
        <f t="shared" si="125"/>
        <v>16281.141807123793</v>
      </c>
      <c r="S741" s="62">
        <f t="shared" si="126"/>
        <v>23657.893768676084</v>
      </c>
      <c r="T741" s="62">
        <f t="shared" si="127"/>
        <v>23730.071620740011</v>
      </c>
      <c r="U741" s="62">
        <f t="shared" si="128"/>
        <v>23531.793532600153</v>
      </c>
      <c r="V741" s="62">
        <f t="shared" si="118"/>
        <v>1</v>
      </c>
      <c r="W741" s="62">
        <f t="shared" si="118"/>
        <v>0</v>
      </c>
      <c r="X741" s="62">
        <f t="shared" si="118"/>
        <v>0</v>
      </c>
      <c r="Y741" s="62">
        <f t="shared" si="117"/>
        <v>0</v>
      </c>
      <c r="AA741" s="94"/>
    </row>
    <row r="742" spans="2:27" x14ac:dyDescent="0.2">
      <c r="B742" s="94"/>
      <c r="C742" s="62">
        <v>703</v>
      </c>
      <c r="D742" s="62">
        <v>8421.1826197825976</v>
      </c>
      <c r="E742" s="62">
        <v>0.61769305715392897</v>
      </c>
      <c r="F742" s="62">
        <v>12105.059440121562</v>
      </c>
      <c r="G742" s="62">
        <v>0.89424823848070667</v>
      </c>
      <c r="H742" s="62">
        <v>12139.860651375697</v>
      </c>
      <c r="I742" s="62">
        <v>0.89722188898813748</v>
      </c>
      <c r="J742" s="62">
        <v>12057.948084578378</v>
      </c>
      <c r="K742" s="62">
        <v>0.88973981647027656</v>
      </c>
      <c r="L742" s="62">
        <f t="shared" si="119"/>
        <v>-3683.8768203389645</v>
      </c>
      <c r="M742" s="62">
        <f t="shared" si="120"/>
        <v>-0.2765551813267777</v>
      </c>
      <c r="N742" s="62">
        <f t="shared" si="121"/>
        <v>-3718.6780315930991</v>
      </c>
      <c r="O742" s="62">
        <f t="shared" si="122"/>
        <v>-0.27952883183420851</v>
      </c>
      <c r="P742" s="62">
        <f t="shared" si="123"/>
        <v>-3636.7654647957806</v>
      </c>
      <c r="Q742" s="62">
        <f t="shared" si="124"/>
        <v>-0.27204675931634759</v>
      </c>
      <c r="R742" s="62">
        <f t="shared" si="125"/>
        <v>17166.134579761758</v>
      </c>
      <c r="S742" s="62">
        <f t="shared" si="126"/>
        <v>24938.279590703227</v>
      </c>
      <c r="T742" s="62">
        <f t="shared" si="127"/>
        <v>25026.658878068913</v>
      </c>
      <c r="U742" s="62">
        <f t="shared" si="128"/>
        <v>24798.634072886358</v>
      </c>
      <c r="V742" s="62">
        <f t="shared" si="118"/>
        <v>1</v>
      </c>
      <c r="W742" s="62">
        <f t="shared" si="118"/>
        <v>0</v>
      </c>
      <c r="X742" s="62">
        <f t="shared" si="118"/>
        <v>0</v>
      </c>
      <c r="Y742" s="62">
        <f t="shared" si="118"/>
        <v>0</v>
      </c>
      <c r="AA742" s="94"/>
    </row>
    <row r="743" spans="2:27" x14ac:dyDescent="0.2">
      <c r="B743" s="94"/>
      <c r="C743" s="62">
        <v>704</v>
      </c>
      <c r="D743" s="62">
        <v>10057.945847902185</v>
      </c>
      <c r="E743" s="62">
        <v>0.61782606265318674</v>
      </c>
      <c r="F743" s="62">
        <v>14457.271208521031</v>
      </c>
      <c r="G743" s="62">
        <v>0.89421487331171323</v>
      </c>
      <c r="H743" s="62">
        <v>14495.533663384665</v>
      </c>
      <c r="I743" s="62">
        <v>0.89690779811969024</v>
      </c>
      <c r="J743" s="62">
        <v>14403.485788589805</v>
      </c>
      <c r="K743" s="62">
        <v>0.88983107397654626</v>
      </c>
      <c r="L743" s="62">
        <f t="shared" si="119"/>
        <v>-4399.3253606188464</v>
      </c>
      <c r="M743" s="62">
        <f t="shared" si="120"/>
        <v>-0.2763888106585265</v>
      </c>
      <c r="N743" s="62">
        <f t="shared" si="121"/>
        <v>-4437.5878154824804</v>
      </c>
      <c r="O743" s="62">
        <f t="shared" si="122"/>
        <v>-0.2790817354665035</v>
      </c>
      <c r="P743" s="62">
        <f t="shared" si="123"/>
        <v>-4345.5399406876204</v>
      </c>
      <c r="Q743" s="62">
        <f t="shared" si="124"/>
        <v>-0.27200501132335952</v>
      </c>
      <c r="R743" s="62">
        <f t="shared" si="125"/>
        <v>15534.880971443421</v>
      </c>
      <c r="S743" s="62">
        <f t="shared" si="126"/>
        <v>22584.685703543379</v>
      </c>
      <c r="T743" s="62">
        <f t="shared" si="127"/>
        <v>22657.974965925379</v>
      </c>
      <c r="U743" s="62">
        <f t="shared" si="128"/>
        <v>22456.876619814644</v>
      </c>
      <c r="V743" s="62">
        <f t="shared" ref="V743:Y806" si="129">IF(MIN($R743:$U743)=R743,1,0)</f>
        <v>1</v>
      </c>
      <c r="W743" s="62">
        <f t="shared" si="129"/>
        <v>0</v>
      </c>
      <c r="X743" s="62">
        <f t="shared" si="129"/>
        <v>0</v>
      </c>
      <c r="Y743" s="62">
        <f t="shared" si="129"/>
        <v>0</v>
      </c>
      <c r="AA743" s="94"/>
    </row>
    <row r="744" spans="2:27" x14ac:dyDescent="0.2">
      <c r="B744" s="94"/>
      <c r="C744" s="62">
        <v>705</v>
      </c>
      <c r="D744" s="62">
        <v>12726.653150506187</v>
      </c>
      <c r="E744" s="62">
        <v>0.61796116832727754</v>
      </c>
      <c r="F744" s="62">
        <v>18288.532807841078</v>
      </c>
      <c r="G744" s="62">
        <v>0.89356569432775212</v>
      </c>
      <c r="H744" s="62">
        <v>18338.548447878613</v>
      </c>
      <c r="I744" s="62">
        <v>0.89640808747224343</v>
      </c>
      <c r="J744" s="62">
        <v>18229.050793380968</v>
      </c>
      <c r="K744" s="62">
        <v>0.88965349564287211</v>
      </c>
      <c r="L744" s="62">
        <f t="shared" ref="L744:L807" si="130">IF($C744&lt;=No_of_iterations_PSA,D744-$F744,"")</f>
        <v>-5561.8796573348918</v>
      </c>
      <c r="M744" s="62">
        <f t="shared" ref="M744:M807" si="131">IF($C744&lt;=No_of_iterations_PSA,E744-$G744,"")</f>
        <v>-0.27560452600047458</v>
      </c>
      <c r="N744" s="62">
        <f t="shared" ref="N744:N807" si="132">IF($C744&lt;=No_of_iterations_PSA,D744-$H744,"")</f>
        <v>-5611.8952973724263</v>
      </c>
      <c r="O744" s="62">
        <f t="shared" ref="O744:O807" si="133">IF($C744&lt;=No_of_iterations_PSA,E744-$I744,"")</f>
        <v>-0.27844691914496589</v>
      </c>
      <c r="P744" s="62">
        <f t="shared" ref="P744:P807" si="134">IF($C744&lt;=No_of_iterations_PSA,D744-$J744,"")</f>
        <v>-5502.397642874781</v>
      </c>
      <c r="Q744" s="62">
        <f t="shared" ref="Q744:Q807" si="135">IF($C744&lt;=No_of_iterations_PSA,E744-$K744,"")</f>
        <v>-0.27169232731559456</v>
      </c>
      <c r="R744" s="62">
        <f t="shared" ref="R744:R807" si="136">IF($C744&lt;=No_of_iterations_PSA,E744*c_WTP-D744,"")</f>
        <v>12871.770286282957</v>
      </c>
      <c r="S744" s="62">
        <f t="shared" ref="S744:S807" si="137">IF($C744&lt;=No_of_iterations_PSA,G744*c_WTP-F744,"")</f>
        <v>18726.532513991722</v>
      </c>
      <c r="T744" s="62">
        <f t="shared" ref="T744:T807" si="138">IF($C744&lt;=No_of_iterations_PSA,I744*c_WTP-H744,"")</f>
        <v>18794.260167571596</v>
      </c>
      <c r="U744" s="62">
        <f t="shared" ref="U744:U807" si="139">IF($C744&lt;=No_of_iterations_PSA,K744*c_WTP-J744,"")</f>
        <v>18623.955610129367</v>
      </c>
      <c r="V744" s="62">
        <f t="shared" si="129"/>
        <v>1</v>
      </c>
      <c r="W744" s="62">
        <f t="shared" si="129"/>
        <v>0</v>
      </c>
      <c r="X744" s="62">
        <f t="shared" si="129"/>
        <v>0</v>
      </c>
      <c r="Y744" s="62">
        <f t="shared" si="129"/>
        <v>0</v>
      </c>
      <c r="AA744" s="94"/>
    </row>
    <row r="745" spans="2:27" x14ac:dyDescent="0.2">
      <c r="B745" s="94"/>
      <c r="C745" s="62">
        <v>706</v>
      </c>
      <c r="D745" s="62">
        <v>10079.135072672703</v>
      </c>
      <c r="E745" s="62">
        <v>0.61777480537611296</v>
      </c>
      <c r="F745" s="62">
        <v>14484.565869237103</v>
      </c>
      <c r="G745" s="62">
        <v>0.89418355426537299</v>
      </c>
      <c r="H745" s="62">
        <v>14519.043776719434</v>
      </c>
      <c r="I745" s="62">
        <v>0.89659283575375692</v>
      </c>
      <c r="J745" s="62">
        <v>14421.540050505148</v>
      </c>
      <c r="K745" s="62">
        <v>0.88909793166812767</v>
      </c>
      <c r="L745" s="62">
        <f t="shared" si="130"/>
        <v>-4405.4307965644002</v>
      </c>
      <c r="M745" s="62">
        <f t="shared" si="131"/>
        <v>-0.27640874888926004</v>
      </c>
      <c r="N745" s="62">
        <f t="shared" si="132"/>
        <v>-4439.9087040467311</v>
      </c>
      <c r="O745" s="62">
        <f t="shared" si="133"/>
        <v>-0.27881803037764397</v>
      </c>
      <c r="P745" s="62">
        <f t="shared" si="134"/>
        <v>-4342.4049778324443</v>
      </c>
      <c r="Q745" s="62">
        <f t="shared" si="135"/>
        <v>-0.27132312629201472</v>
      </c>
      <c r="R745" s="62">
        <f t="shared" si="136"/>
        <v>15511.568465227399</v>
      </c>
      <c r="S745" s="62">
        <f t="shared" si="137"/>
        <v>22556.09368265171</v>
      </c>
      <c r="T745" s="62">
        <f t="shared" si="138"/>
        <v>22621.417851544193</v>
      </c>
      <c r="U745" s="62">
        <f t="shared" si="139"/>
        <v>22408.452670915376</v>
      </c>
      <c r="V745" s="62">
        <f t="shared" si="129"/>
        <v>1</v>
      </c>
      <c r="W745" s="62">
        <f t="shared" si="129"/>
        <v>0</v>
      </c>
      <c r="X745" s="62">
        <f t="shared" si="129"/>
        <v>0</v>
      </c>
      <c r="Y745" s="62">
        <f t="shared" si="129"/>
        <v>0</v>
      </c>
      <c r="AA745" s="94"/>
    </row>
    <row r="746" spans="2:27" x14ac:dyDescent="0.2">
      <c r="B746" s="94"/>
      <c r="C746" s="62">
        <v>707</v>
      </c>
      <c r="D746" s="62">
        <v>9576.0162332103191</v>
      </c>
      <c r="E746" s="62">
        <v>0.61769915331754099</v>
      </c>
      <c r="F746" s="62">
        <v>13762.189228671856</v>
      </c>
      <c r="G746" s="62">
        <v>0.8937938524130119</v>
      </c>
      <c r="H746" s="62">
        <v>13804.406916496211</v>
      </c>
      <c r="I746" s="62">
        <v>0.89687586180113743</v>
      </c>
      <c r="J746" s="62">
        <v>13703.830242559265</v>
      </c>
      <c r="K746" s="62">
        <v>0.88894450032305428</v>
      </c>
      <c r="L746" s="62">
        <f t="shared" si="130"/>
        <v>-4186.1729954615366</v>
      </c>
      <c r="M746" s="62">
        <f t="shared" si="131"/>
        <v>-0.27609469909547091</v>
      </c>
      <c r="N746" s="62">
        <f t="shared" si="132"/>
        <v>-4228.390683285892</v>
      </c>
      <c r="O746" s="62">
        <f t="shared" si="133"/>
        <v>-0.27917670848359644</v>
      </c>
      <c r="P746" s="62">
        <f t="shared" si="134"/>
        <v>-4127.8140093489455</v>
      </c>
      <c r="Q746" s="62">
        <f t="shared" si="135"/>
        <v>-0.27124534700551328</v>
      </c>
      <c r="R746" s="62">
        <f t="shared" si="136"/>
        <v>16011.553493815498</v>
      </c>
      <c r="S746" s="62">
        <f t="shared" si="137"/>
        <v>23262.327313684749</v>
      </c>
      <c r="T746" s="62">
        <f t="shared" si="138"/>
        <v>23347.778782754103</v>
      </c>
      <c r="U746" s="62">
        <f t="shared" si="139"/>
        <v>23119.806738822939</v>
      </c>
      <c r="V746" s="62">
        <f t="shared" si="129"/>
        <v>1</v>
      </c>
      <c r="W746" s="62">
        <f t="shared" si="129"/>
        <v>0</v>
      </c>
      <c r="X746" s="62">
        <f t="shared" si="129"/>
        <v>0</v>
      </c>
      <c r="Y746" s="62">
        <f t="shared" si="129"/>
        <v>0</v>
      </c>
      <c r="AA746" s="94"/>
    </row>
    <row r="747" spans="2:27" x14ac:dyDescent="0.2">
      <c r="B747" s="94"/>
      <c r="C747" s="62">
        <v>708</v>
      </c>
      <c r="D747" s="62">
        <v>10349.79096329136</v>
      </c>
      <c r="E747" s="62">
        <v>0.61756186349513364</v>
      </c>
      <c r="F747" s="62">
        <v>14883.28003263101</v>
      </c>
      <c r="G747" s="62">
        <v>0.8939969230050403</v>
      </c>
      <c r="H747" s="62">
        <v>14934.362981300566</v>
      </c>
      <c r="I747" s="62">
        <v>0.89746770595881165</v>
      </c>
      <c r="J747" s="62">
        <v>14819.628622729773</v>
      </c>
      <c r="K747" s="62">
        <v>0.8891702913963232</v>
      </c>
      <c r="L747" s="62">
        <f t="shared" si="130"/>
        <v>-4533.4890693396501</v>
      </c>
      <c r="M747" s="62">
        <f t="shared" si="131"/>
        <v>-0.27643505950990666</v>
      </c>
      <c r="N747" s="62">
        <f t="shared" si="132"/>
        <v>-4584.5720180092067</v>
      </c>
      <c r="O747" s="62">
        <f t="shared" si="133"/>
        <v>-0.279905842463678</v>
      </c>
      <c r="P747" s="62">
        <f t="shared" si="134"/>
        <v>-4469.8376594384135</v>
      </c>
      <c r="Q747" s="62">
        <f t="shared" si="135"/>
        <v>-0.27160842790118955</v>
      </c>
      <c r="R747" s="62">
        <f t="shared" si="136"/>
        <v>15232.091670131058</v>
      </c>
      <c r="S747" s="62">
        <f t="shared" si="137"/>
        <v>22149.648505929777</v>
      </c>
      <c r="T747" s="62">
        <f t="shared" si="138"/>
        <v>22242.339270337245</v>
      </c>
      <c r="U747" s="62">
        <f t="shared" si="139"/>
        <v>22013.361528071517</v>
      </c>
      <c r="V747" s="62">
        <f t="shared" si="129"/>
        <v>1</v>
      </c>
      <c r="W747" s="62">
        <f t="shared" si="129"/>
        <v>0</v>
      </c>
      <c r="X747" s="62">
        <f t="shared" si="129"/>
        <v>0</v>
      </c>
      <c r="Y747" s="62">
        <f t="shared" si="129"/>
        <v>0</v>
      </c>
      <c r="AA747" s="94"/>
    </row>
    <row r="748" spans="2:27" x14ac:dyDescent="0.2">
      <c r="B748" s="94"/>
      <c r="C748" s="62">
        <v>709</v>
      </c>
      <c r="D748" s="62">
        <v>10980.627951964572</v>
      </c>
      <c r="E748" s="62">
        <v>0.61773167784246819</v>
      </c>
      <c r="F748" s="62">
        <v>15779.089594817067</v>
      </c>
      <c r="G748" s="62">
        <v>0.89354254442963399</v>
      </c>
      <c r="H748" s="62">
        <v>15837.657772599598</v>
      </c>
      <c r="I748" s="62">
        <v>0.89710932963578205</v>
      </c>
      <c r="J748" s="62">
        <v>15721.914450564258</v>
      </c>
      <c r="K748" s="62">
        <v>0.88918558409446202</v>
      </c>
      <c r="L748" s="62">
        <f t="shared" si="130"/>
        <v>-4798.4616428524951</v>
      </c>
      <c r="M748" s="62">
        <f t="shared" si="131"/>
        <v>-0.2758108665871658</v>
      </c>
      <c r="N748" s="62">
        <f t="shared" si="132"/>
        <v>-4857.0298206350253</v>
      </c>
      <c r="O748" s="62">
        <f t="shared" si="133"/>
        <v>-0.27937765179331386</v>
      </c>
      <c r="P748" s="62">
        <f t="shared" si="134"/>
        <v>-4741.2864985996857</v>
      </c>
      <c r="Q748" s="62">
        <f t="shared" si="135"/>
        <v>-0.27145390625199384</v>
      </c>
      <c r="R748" s="62">
        <f t="shared" si="136"/>
        <v>14608.289070981831</v>
      </c>
      <c r="S748" s="62">
        <f t="shared" si="137"/>
        <v>21235.016765636094</v>
      </c>
      <c r="T748" s="62">
        <f t="shared" si="138"/>
        <v>21324.199098233039</v>
      </c>
      <c r="U748" s="62">
        <f t="shared" si="139"/>
        <v>21111.709184964737</v>
      </c>
      <c r="V748" s="62">
        <f t="shared" si="129"/>
        <v>1</v>
      </c>
      <c r="W748" s="62">
        <f t="shared" si="129"/>
        <v>0</v>
      </c>
      <c r="X748" s="62">
        <f t="shared" si="129"/>
        <v>0</v>
      </c>
      <c r="Y748" s="62">
        <f t="shared" si="129"/>
        <v>0</v>
      </c>
      <c r="AA748" s="94"/>
    </row>
    <row r="749" spans="2:27" x14ac:dyDescent="0.2">
      <c r="B749" s="94"/>
      <c r="C749" s="62">
        <v>710</v>
      </c>
      <c r="D749" s="62">
        <v>8768.187704569722</v>
      </c>
      <c r="E749" s="62">
        <v>0.61750253915735598</v>
      </c>
      <c r="F749" s="62">
        <v>12615.320103778264</v>
      </c>
      <c r="G749" s="62">
        <v>0.89447690127623758</v>
      </c>
      <c r="H749" s="62">
        <v>12649.985177111463</v>
      </c>
      <c r="I749" s="62">
        <v>0.89725051929432542</v>
      </c>
      <c r="J749" s="62">
        <v>12555.532293643286</v>
      </c>
      <c r="K749" s="62">
        <v>0.88919632398084625</v>
      </c>
      <c r="L749" s="62">
        <f t="shared" si="130"/>
        <v>-3847.1323992085418</v>
      </c>
      <c r="M749" s="62">
        <f t="shared" si="131"/>
        <v>-0.2769743621188816</v>
      </c>
      <c r="N749" s="62">
        <f t="shared" si="132"/>
        <v>-3881.7974725417407</v>
      </c>
      <c r="O749" s="62">
        <f t="shared" si="133"/>
        <v>-0.27974798013696944</v>
      </c>
      <c r="P749" s="62">
        <f t="shared" si="134"/>
        <v>-3787.3445890735638</v>
      </c>
      <c r="Q749" s="62">
        <f t="shared" si="135"/>
        <v>-0.27169378482349027</v>
      </c>
      <c r="R749" s="62">
        <f t="shared" si="136"/>
        <v>16811.237477484592</v>
      </c>
      <c r="S749" s="62">
        <f t="shared" si="137"/>
        <v>24437.491054688602</v>
      </c>
      <c r="T749" s="62">
        <f t="shared" si="138"/>
        <v>24517.720334136677</v>
      </c>
      <c r="U749" s="62">
        <f t="shared" si="139"/>
        <v>24278.536230939288</v>
      </c>
      <c r="V749" s="62">
        <f t="shared" si="129"/>
        <v>1</v>
      </c>
      <c r="W749" s="62">
        <f t="shared" si="129"/>
        <v>0</v>
      </c>
      <c r="X749" s="62">
        <f t="shared" si="129"/>
        <v>0</v>
      </c>
      <c r="Y749" s="62">
        <f t="shared" si="129"/>
        <v>0</v>
      </c>
      <c r="AA749" s="94"/>
    </row>
    <row r="750" spans="2:27" x14ac:dyDescent="0.2">
      <c r="B750" s="94"/>
      <c r="C750" s="62">
        <v>711</v>
      </c>
      <c r="D750" s="62">
        <v>9379.1388507783213</v>
      </c>
      <c r="E750" s="62">
        <v>0.61732787552990542</v>
      </c>
      <c r="F750" s="62">
        <v>13503.767150554304</v>
      </c>
      <c r="G750" s="62">
        <v>0.89537210356417729</v>
      </c>
      <c r="H750" s="62">
        <v>13529.433103664272</v>
      </c>
      <c r="I750" s="62">
        <v>0.89732191930260063</v>
      </c>
      <c r="J750" s="62">
        <v>13435.243724755972</v>
      </c>
      <c r="K750" s="62">
        <v>0.88959844833115687</v>
      </c>
      <c r="L750" s="62">
        <f t="shared" si="130"/>
        <v>-4124.6282997759827</v>
      </c>
      <c r="M750" s="62">
        <f t="shared" si="131"/>
        <v>-0.27804422803427187</v>
      </c>
      <c r="N750" s="62">
        <f t="shared" si="132"/>
        <v>-4150.2942528859512</v>
      </c>
      <c r="O750" s="62">
        <f t="shared" si="133"/>
        <v>-0.27999404377269521</v>
      </c>
      <c r="P750" s="62">
        <f t="shared" si="134"/>
        <v>-4056.1048739776506</v>
      </c>
      <c r="Q750" s="62">
        <f t="shared" si="135"/>
        <v>-0.27227057280125144</v>
      </c>
      <c r="R750" s="62">
        <f t="shared" si="136"/>
        <v>16193.051065172482</v>
      </c>
      <c r="S750" s="62">
        <f t="shared" si="137"/>
        <v>23586.126867488179</v>
      </c>
      <c r="T750" s="62">
        <f t="shared" si="138"/>
        <v>23641.230081526654</v>
      </c>
      <c r="U750" s="62">
        <f t="shared" si="139"/>
        <v>23415.482398913868</v>
      </c>
      <c r="V750" s="62">
        <f t="shared" si="129"/>
        <v>1</v>
      </c>
      <c r="W750" s="62">
        <f t="shared" si="129"/>
        <v>0</v>
      </c>
      <c r="X750" s="62">
        <f t="shared" si="129"/>
        <v>0</v>
      </c>
      <c r="Y750" s="62">
        <f t="shared" si="129"/>
        <v>0</v>
      </c>
      <c r="AA750" s="94"/>
    </row>
    <row r="751" spans="2:27" x14ac:dyDescent="0.2">
      <c r="B751" s="94"/>
      <c r="C751" s="62">
        <v>712</v>
      </c>
      <c r="D751" s="62">
        <v>11954.013504186651</v>
      </c>
      <c r="E751" s="62">
        <v>0.61742619254083209</v>
      </c>
      <c r="F751" s="62">
        <v>17207.978847320679</v>
      </c>
      <c r="G751" s="62">
        <v>0.89426787381800044</v>
      </c>
      <c r="H751" s="62">
        <v>17266.49488063293</v>
      </c>
      <c r="I751" s="62">
        <v>0.89755029369451145</v>
      </c>
      <c r="J751" s="62">
        <v>17127.573056098005</v>
      </c>
      <c r="K751" s="62">
        <v>0.88908286617608689</v>
      </c>
      <c r="L751" s="62">
        <f t="shared" si="130"/>
        <v>-5253.9653431340284</v>
      </c>
      <c r="M751" s="62">
        <f t="shared" si="131"/>
        <v>-0.27684168127716835</v>
      </c>
      <c r="N751" s="62">
        <f t="shared" si="132"/>
        <v>-5312.4813764462797</v>
      </c>
      <c r="O751" s="62">
        <f t="shared" si="133"/>
        <v>-0.28012410115367936</v>
      </c>
      <c r="P751" s="62">
        <f t="shared" si="134"/>
        <v>-5173.559551911354</v>
      </c>
      <c r="Q751" s="62">
        <f t="shared" si="135"/>
        <v>-0.27165667363525481</v>
      </c>
      <c r="R751" s="62">
        <f t="shared" si="136"/>
        <v>13622.249095624777</v>
      </c>
      <c r="S751" s="62">
        <f t="shared" si="137"/>
        <v>19836.173557716174</v>
      </c>
      <c r="T751" s="62">
        <f t="shared" si="138"/>
        <v>19913.62848536851</v>
      </c>
      <c r="U751" s="62">
        <f t="shared" si="139"/>
        <v>19701.795592380218</v>
      </c>
      <c r="V751" s="62">
        <f t="shared" si="129"/>
        <v>1</v>
      </c>
      <c r="W751" s="62">
        <f t="shared" si="129"/>
        <v>0</v>
      </c>
      <c r="X751" s="62">
        <f t="shared" si="129"/>
        <v>0</v>
      </c>
      <c r="Y751" s="62">
        <f t="shared" si="129"/>
        <v>0</v>
      </c>
      <c r="AA751" s="94"/>
    </row>
    <row r="752" spans="2:27" x14ac:dyDescent="0.2">
      <c r="B752" s="94"/>
      <c r="C752" s="62">
        <v>713</v>
      </c>
      <c r="D752" s="62">
        <v>8528.3631599690107</v>
      </c>
      <c r="E752" s="62">
        <v>0.617668767064528</v>
      </c>
      <c r="F752" s="62">
        <v>12256.840459598976</v>
      </c>
      <c r="G752" s="62">
        <v>0.89384747028710476</v>
      </c>
      <c r="H752" s="62">
        <v>12297.42156709954</v>
      </c>
      <c r="I752" s="62">
        <v>0.8971968376672752</v>
      </c>
      <c r="J752" s="62">
        <v>12210.926154533967</v>
      </c>
      <c r="K752" s="62">
        <v>0.88952136975351825</v>
      </c>
      <c r="L752" s="62">
        <f t="shared" si="130"/>
        <v>-3728.4772996299653</v>
      </c>
      <c r="M752" s="62">
        <f t="shared" si="131"/>
        <v>-0.27617870322257676</v>
      </c>
      <c r="N752" s="62">
        <f t="shared" si="132"/>
        <v>-3769.0584071305293</v>
      </c>
      <c r="O752" s="62">
        <f t="shared" si="133"/>
        <v>-0.2795280706027472</v>
      </c>
      <c r="P752" s="62">
        <f t="shared" si="134"/>
        <v>-3682.5629945649562</v>
      </c>
      <c r="Q752" s="62">
        <f t="shared" si="135"/>
        <v>-0.27185260268899025</v>
      </c>
      <c r="R752" s="62">
        <f t="shared" si="136"/>
        <v>17057.947846912</v>
      </c>
      <c r="S752" s="62">
        <f t="shared" si="137"/>
        <v>24769.897149574048</v>
      </c>
      <c r="T752" s="62">
        <f t="shared" si="138"/>
        <v>24868.060236429665</v>
      </c>
      <c r="U752" s="62">
        <f t="shared" si="139"/>
        <v>24636.607066135773</v>
      </c>
      <c r="V752" s="62">
        <f t="shared" si="129"/>
        <v>1</v>
      </c>
      <c r="W752" s="62">
        <f t="shared" si="129"/>
        <v>0</v>
      </c>
      <c r="X752" s="62">
        <f t="shared" si="129"/>
        <v>0</v>
      </c>
      <c r="Y752" s="62">
        <f t="shared" si="129"/>
        <v>0</v>
      </c>
      <c r="AA752" s="94"/>
    </row>
    <row r="753" spans="2:27" x14ac:dyDescent="0.2">
      <c r="B753" s="94"/>
      <c r="C753" s="62">
        <v>714</v>
      </c>
      <c r="D753" s="62">
        <v>12128.825358692475</v>
      </c>
      <c r="E753" s="62">
        <v>0.61771368434193319</v>
      </c>
      <c r="F753" s="62">
        <v>17465.463129095806</v>
      </c>
      <c r="G753" s="62">
        <v>0.89453836327537817</v>
      </c>
      <c r="H753" s="62">
        <v>17508.057753500074</v>
      </c>
      <c r="I753" s="62">
        <v>0.89698987519303008</v>
      </c>
      <c r="J753" s="62">
        <v>17380.911235047282</v>
      </c>
      <c r="K753" s="62">
        <v>0.88927750988729737</v>
      </c>
      <c r="L753" s="62">
        <f t="shared" si="130"/>
        <v>-5336.6377704033312</v>
      </c>
      <c r="M753" s="62">
        <f t="shared" si="131"/>
        <v>-0.27682467893344498</v>
      </c>
      <c r="N753" s="62">
        <f t="shared" si="132"/>
        <v>-5379.2323948075991</v>
      </c>
      <c r="O753" s="62">
        <f t="shared" si="133"/>
        <v>-0.27927619085109689</v>
      </c>
      <c r="P753" s="62">
        <f t="shared" si="134"/>
        <v>-5252.0858763548076</v>
      </c>
      <c r="Q753" s="62">
        <f t="shared" si="135"/>
        <v>-0.27156382554536418</v>
      </c>
      <c r="R753" s="62">
        <f t="shared" si="136"/>
        <v>13459.346301487765</v>
      </c>
      <c r="S753" s="62">
        <f t="shared" si="137"/>
        <v>19589.894031223463</v>
      </c>
      <c r="T753" s="62">
        <f t="shared" si="138"/>
        <v>19648.850836496003</v>
      </c>
      <c r="U753" s="62">
        <f t="shared" si="139"/>
        <v>19456.520334524121</v>
      </c>
      <c r="V753" s="62">
        <f t="shared" si="129"/>
        <v>1</v>
      </c>
      <c r="W753" s="62">
        <f t="shared" si="129"/>
        <v>0</v>
      </c>
      <c r="X753" s="62">
        <f t="shared" si="129"/>
        <v>0</v>
      </c>
      <c r="Y753" s="62">
        <f t="shared" si="129"/>
        <v>0</v>
      </c>
      <c r="AA753" s="94"/>
    </row>
    <row r="754" spans="2:27" x14ac:dyDescent="0.2">
      <c r="B754" s="94"/>
      <c r="C754" s="62">
        <v>715</v>
      </c>
      <c r="D754" s="62">
        <v>9640.2387584635253</v>
      </c>
      <c r="E754" s="62">
        <v>0.61741493425366933</v>
      </c>
      <c r="F754" s="62">
        <v>13871.743716175119</v>
      </c>
      <c r="G754" s="62">
        <v>0.89465453239243642</v>
      </c>
      <c r="H754" s="62">
        <v>13913.537906024912</v>
      </c>
      <c r="I754" s="62">
        <v>0.89760626234221585</v>
      </c>
      <c r="J754" s="62">
        <v>13801.036971236374</v>
      </c>
      <c r="K754" s="62">
        <v>0.88885379820667931</v>
      </c>
      <c r="L754" s="62">
        <f t="shared" si="130"/>
        <v>-4231.5049577115933</v>
      </c>
      <c r="M754" s="62">
        <f t="shared" si="131"/>
        <v>-0.27723959813876708</v>
      </c>
      <c r="N754" s="62">
        <f t="shared" si="132"/>
        <v>-4273.2991475613871</v>
      </c>
      <c r="O754" s="62">
        <f t="shared" si="133"/>
        <v>-0.28019132808854652</v>
      </c>
      <c r="P754" s="62">
        <f t="shared" si="134"/>
        <v>-4160.7982127728483</v>
      </c>
      <c r="Q754" s="62">
        <f t="shared" si="135"/>
        <v>-0.27143886395300998</v>
      </c>
      <c r="R754" s="62">
        <f t="shared" si="136"/>
        <v>15935.557478060473</v>
      </c>
      <c r="S754" s="62">
        <f t="shared" si="137"/>
        <v>23188.425633649171</v>
      </c>
      <c r="T754" s="62">
        <f t="shared" si="138"/>
        <v>23268.903905239036</v>
      </c>
      <c r="U754" s="62">
        <f t="shared" si="139"/>
        <v>23018.842765677109</v>
      </c>
      <c r="V754" s="62">
        <f t="shared" si="129"/>
        <v>1</v>
      </c>
      <c r="W754" s="62">
        <f t="shared" si="129"/>
        <v>0</v>
      </c>
      <c r="X754" s="62">
        <f t="shared" si="129"/>
        <v>0</v>
      </c>
      <c r="Y754" s="62">
        <f t="shared" si="129"/>
        <v>0</v>
      </c>
      <c r="AA754" s="94"/>
    </row>
    <row r="755" spans="2:27" x14ac:dyDescent="0.2">
      <c r="B755" s="94"/>
      <c r="C755" s="62">
        <v>716</v>
      </c>
      <c r="D755" s="62">
        <v>9305.2917280917554</v>
      </c>
      <c r="E755" s="62">
        <v>0.61768027506987044</v>
      </c>
      <c r="F755" s="62">
        <v>13375.258946289394</v>
      </c>
      <c r="G755" s="62">
        <v>0.89506359000817504</v>
      </c>
      <c r="H755" s="62">
        <v>13400.393327978893</v>
      </c>
      <c r="I755" s="62">
        <v>0.89711836681655821</v>
      </c>
      <c r="J755" s="62">
        <v>13318.462033172282</v>
      </c>
      <c r="K755" s="62">
        <v>0.88993836423652528</v>
      </c>
      <c r="L755" s="62">
        <f t="shared" si="130"/>
        <v>-4069.9672181976384</v>
      </c>
      <c r="M755" s="62">
        <f t="shared" si="131"/>
        <v>-0.27738331493830459</v>
      </c>
      <c r="N755" s="62">
        <f t="shared" si="132"/>
        <v>-4095.1015998871371</v>
      </c>
      <c r="O755" s="62">
        <f t="shared" si="133"/>
        <v>-0.27943809174668777</v>
      </c>
      <c r="P755" s="62">
        <f t="shared" si="134"/>
        <v>-4013.1703050805263</v>
      </c>
      <c r="Q755" s="62">
        <f t="shared" si="135"/>
        <v>-0.27225808916665484</v>
      </c>
      <c r="R755" s="62">
        <f t="shared" si="136"/>
        <v>16281.495986402557</v>
      </c>
      <c r="S755" s="62">
        <f t="shared" si="137"/>
        <v>23701.855206209249</v>
      </c>
      <c r="T755" s="62">
        <f t="shared" si="138"/>
        <v>23761.837899030215</v>
      </c>
      <c r="U755" s="62">
        <f t="shared" si="139"/>
        <v>23546.344766961542</v>
      </c>
      <c r="V755" s="62">
        <f t="shared" si="129"/>
        <v>1</v>
      </c>
      <c r="W755" s="62">
        <f t="shared" si="129"/>
        <v>0</v>
      </c>
      <c r="X755" s="62">
        <f t="shared" si="129"/>
        <v>0</v>
      </c>
      <c r="Y755" s="62">
        <f t="shared" si="129"/>
        <v>0</v>
      </c>
      <c r="AA755" s="94"/>
    </row>
    <row r="756" spans="2:27" x14ac:dyDescent="0.2">
      <c r="B756" s="94"/>
      <c r="C756" s="62">
        <v>717</v>
      </c>
      <c r="D756" s="62">
        <v>9619.8888694587076</v>
      </c>
      <c r="E756" s="62">
        <v>0.61750919321686137</v>
      </c>
      <c r="F756" s="62">
        <v>13828.66496700805</v>
      </c>
      <c r="G756" s="62">
        <v>0.89426260698631788</v>
      </c>
      <c r="H756" s="62">
        <v>13874.760912306267</v>
      </c>
      <c r="I756" s="62">
        <v>0.89745463493097</v>
      </c>
      <c r="J756" s="62">
        <v>13772.041287032804</v>
      </c>
      <c r="K756" s="62">
        <v>0.88954444880701677</v>
      </c>
      <c r="L756" s="62">
        <f t="shared" si="130"/>
        <v>-4208.776097549342</v>
      </c>
      <c r="M756" s="62">
        <f t="shared" si="131"/>
        <v>-0.2767534137694565</v>
      </c>
      <c r="N756" s="62">
        <f t="shared" si="132"/>
        <v>-4254.872042847559</v>
      </c>
      <c r="O756" s="62">
        <f t="shared" si="133"/>
        <v>-0.27994544171410862</v>
      </c>
      <c r="P756" s="62">
        <f t="shared" si="134"/>
        <v>-4152.152417574096</v>
      </c>
      <c r="Q756" s="62">
        <f t="shared" si="135"/>
        <v>-0.2720352555901554</v>
      </c>
      <c r="R756" s="62">
        <f t="shared" si="136"/>
        <v>15959.811950356558</v>
      </c>
      <c r="S756" s="62">
        <f t="shared" si="137"/>
        <v>23215.269264793184</v>
      </c>
      <c r="T756" s="62">
        <f t="shared" si="138"/>
        <v>23301.399885074235</v>
      </c>
      <c r="U756" s="62">
        <f t="shared" si="139"/>
        <v>23076.447960349058</v>
      </c>
      <c r="V756" s="62">
        <f t="shared" si="129"/>
        <v>1</v>
      </c>
      <c r="W756" s="62">
        <f t="shared" si="129"/>
        <v>0</v>
      </c>
      <c r="X756" s="62">
        <f t="shared" si="129"/>
        <v>0</v>
      </c>
      <c r="Y756" s="62">
        <f t="shared" si="129"/>
        <v>0</v>
      </c>
      <c r="AA756" s="94"/>
    </row>
    <row r="757" spans="2:27" x14ac:dyDescent="0.2">
      <c r="B757" s="94"/>
      <c r="C757" s="62">
        <v>718</v>
      </c>
      <c r="D757" s="62">
        <v>8512.1702032662579</v>
      </c>
      <c r="E757" s="62">
        <v>0.617906755410495</v>
      </c>
      <c r="F757" s="62">
        <v>12229.771587820858</v>
      </c>
      <c r="G757" s="62">
        <v>0.89447446928895991</v>
      </c>
      <c r="H757" s="62">
        <v>12264.603428865223</v>
      </c>
      <c r="I757" s="62">
        <v>0.89754848382167884</v>
      </c>
      <c r="J757" s="62">
        <v>12178.016137821578</v>
      </c>
      <c r="K757" s="62">
        <v>0.88958430653939657</v>
      </c>
      <c r="L757" s="62">
        <f t="shared" si="130"/>
        <v>-3717.6013845546004</v>
      </c>
      <c r="M757" s="62">
        <f t="shared" si="131"/>
        <v>-0.2765677138784649</v>
      </c>
      <c r="N757" s="62">
        <f t="shared" si="132"/>
        <v>-3752.4332255989648</v>
      </c>
      <c r="O757" s="62">
        <f t="shared" si="133"/>
        <v>-0.27964172841118384</v>
      </c>
      <c r="P757" s="62">
        <f t="shared" si="134"/>
        <v>-3665.8459345553201</v>
      </c>
      <c r="Q757" s="62">
        <f t="shared" si="135"/>
        <v>-0.27167755112890157</v>
      </c>
      <c r="R757" s="62">
        <f t="shared" si="136"/>
        <v>17083.999232858088</v>
      </c>
      <c r="S757" s="62">
        <f t="shared" si="137"/>
        <v>24822.938828005015</v>
      </c>
      <c r="T757" s="62">
        <f t="shared" si="138"/>
        <v>24915.444964964001</v>
      </c>
      <c r="U757" s="62">
        <f t="shared" si="139"/>
        <v>24672.124176266385</v>
      </c>
      <c r="V757" s="62">
        <f t="shared" si="129"/>
        <v>1</v>
      </c>
      <c r="W757" s="62">
        <f t="shared" si="129"/>
        <v>0</v>
      </c>
      <c r="X757" s="62">
        <f t="shared" si="129"/>
        <v>0</v>
      </c>
      <c r="Y757" s="62">
        <f t="shared" si="129"/>
        <v>0</v>
      </c>
      <c r="AA757" s="94"/>
    </row>
    <row r="758" spans="2:27" x14ac:dyDescent="0.2">
      <c r="B758" s="94"/>
      <c r="C758" s="62">
        <v>719</v>
      </c>
      <c r="D758" s="62">
        <v>11132.497780769292</v>
      </c>
      <c r="E758" s="62">
        <v>0.61785543963436951</v>
      </c>
      <c r="F758" s="62">
        <v>15996.675277329346</v>
      </c>
      <c r="G758" s="62">
        <v>0.89392055648908286</v>
      </c>
      <c r="H758" s="62">
        <v>16053.465138790229</v>
      </c>
      <c r="I758" s="62">
        <v>0.8974825351051221</v>
      </c>
      <c r="J758" s="62">
        <v>15925.762126955442</v>
      </c>
      <c r="K758" s="62">
        <v>0.88874183209874602</v>
      </c>
      <c r="L758" s="62">
        <f t="shared" si="130"/>
        <v>-4864.1774965600544</v>
      </c>
      <c r="M758" s="62">
        <f t="shared" si="131"/>
        <v>-0.27606511685471335</v>
      </c>
      <c r="N758" s="62">
        <f t="shared" si="132"/>
        <v>-4920.9673580209364</v>
      </c>
      <c r="O758" s="62">
        <f t="shared" si="133"/>
        <v>-0.2796270954707526</v>
      </c>
      <c r="P758" s="62">
        <f t="shared" si="134"/>
        <v>-4793.2643461861499</v>
      </c>
      <c r="Q758" s="62">
        <f t="shared" si="135"/>
        <v>-0.27088639246437651</v>
      </c>
      <c r="R758" s="62">
        <f t="shared" si="136"/>
        <v>14461.545950644831</v>
      </c>
      <c r="S758" s="62">
        <f t="shared" si="137"/>
        <v>21033.089854674421</v>
      </c>
      <c r="T758" s="62">
        <f t="shared" si="138"/>
        <v>21123.851395404352</v>
      </c>
      <c r="U758" s="62">
        <f t="shared" si="139"/>
        <v>20889.479525903014</v>
      </c>
      <c r="V758" s="62">
        <f t="shared" si="129"/>
        <v>1</v>
      </c>
      <c r="W758" s="62">
        <f t="shared" si="129"/>
        <v>0</v>
      </c>
      <c r="X758" s="62">
        <f t="shared" si="129"/>
        <v>0</v>
      </c>
      <c r="Y758" s="62">
        <f t="shared" si="129"/>
        <v>0</v>
      </c>
      <c r="AA758" s="94"/>
    </row>
    <row r="759" spans="2:27" x14ac:dyDescent="0.2">
      <c r="B759" s="94"/>
      <c r="C759" s="62">
        <v>720</v>
      </c>
      <c r="D759" s="62">
        <v>9284.1961992868255</v>
      </c>
      <c r="E759" s="62">
        <v>0.61725199126005126</v>
      </c>
      <c r="F759" s="62">
        <v>13349.872965277244</v>
      </c>
      <c r="G759" s="62">
        <v>0.89363795028306259</v>
      </c>
      <c r="H759" s="62">
        <v>13402.295381934367</v>
      </c>
      <c r="I759" s="62">
        <v>0.89764716136468303</v>
      </c>
      <c r="J759" s="62">
        <v>13299.593151532783</v>
      </c>
      <c r="K759" s="62">
        <v>0.88926185416338299</v>
      </c>
      <c r="L759" s="62">
        <f t="shared" si="130"/>
        <v>-4065.6767659904181</v>
      </c>
      <c r="M759" s="62">
        <f t="shared" si="131"/>
        <v>-0.27638595902301133</v>
      </c>
      <c r="N759" s="62">
        <f t="shared" si="132"/>
        <v>-4118.099182647542</v>
      </c>
      <c r="O759" s="62">
        <f t="shared" si="133"/>
        <v>-0.28039517010463177</v>
      </c>
      <c r="P759" s="62">
        <f t="shared" si="134"/>
        <v>-4015.3969522459574</v>
      </c>
      <c r="Q759" s="62">
        <f t="shared" si="135"/>
        <v>-0.27200986290333173</v>
      </c>
      <c r="R759" s="62">
        <f t="shared" si="136"/>
        <v>16284.850286669536</v>
      </c>
      <c r="S759" s="62">
        <f t="shared" si="137"/>
        <v>23668.185487248338</v>
      </c>
      <c r="T759" s="62">
        <f t="shared" si="138"/>
        <v>23781.840630436265</v>
      </c>
      <c r="U759" s="62">
        <f t="shared" si="139"/>
        <v>23537.189895331197</v>
      </c>
      <c r="V759" s="62">
        <f t="shared" si="129"/>
        <v>1</v>
      </c>
      <c r="W759" s="62">
        <f t="shared" si="129"/>
        <v>0</v>
      </c>
      <c r="X759" s="62">
        <f t="shared" si="129"/>
        <v>0</v>
      </c>
      <c r="Y759" s="62">
        <f t="shared" si="129"/>
        <v>0</v>
      </c>
      <c r="AA759" s="94"/>
    </row>
    <row r="760" spans="2:27" x14ac:dyDescent="0.2">
      <c r="B760" s="94"/>
      <c r="C760" s="62">
        <v>721</v>
      </c>
      <c r="D760" s="62">
        <v>8047.0340217526054</v>
      </c>
      <c r="E760" s="62">
        <v>0.61804003939346697</v>
      </c>
      <c r="F760" s="62">
        <v>11558.819108519876</v>
      </c>
      <c r="G760" s="62">
        <v>0.89419968962444019</v>
      </c>
      <c r="H760" s="62">
        <v>11591.451265122309</v>
      </c>
      <c r="I760" s="62">
        <v>0.89708475288549294</v>
      </c>
      <c r="J760" s="62">
        <v>11510.220896729597</v>
      </c>
      <c r="K760" s="62">
        <v>0.88930028898808799</v>
      </c>
      <c r="L760" s="62">
        <f t="shared" si="130"/>
        <v>-3511.7850867672705</v>
      </c>
      <c r="M760" s="62">
        <f t="shared" si="131"/>
        <v>-0.27615965023097322</v>
      </c>
      <c r="N760" s="62">
        <f t="shared" si="132"/>
        <v>-3544.4172433697031</v>
      </c>
      <c r="O760" s="62">
        <f t="shared" si="133"/>
        <v>-0.27904471349202598</v>
      </c>
      <c r="P760" s="62">
        <f t="shared" si="134"/>
        <v>-3463.1868749769919</v>
      </c>
      <c r="Q760" s="62">
        <f t="shared" si="135"/>
        <v>-0.27126024959462103</v>
      </c>
      <c r="R760" s="62">
        <f t="shared" si="136"/>
        <v>17554.65657008237</v>
      </c>
      <c r="S760" s="62">
        <f t="shared" si="137"/>
        <v>25482.508834482935</v>
      </c>
      <c r="T760" s="62">
        <f t="shared" si="138"/>
        <v>25569.387538406354</v>
      </c>
      <c r="U760" s="62">
        <f t="shared" si="139"/>
        <v>25328.154274312961</v>
      </c>
      <c r="V760" s="62">
        <f t="shared" si="129"/>
        <v>1</v>
      </c>
      <c r="W760" s="62">
        <f t="shared" si="129"/>
        <v>0</v>
      </c>
      <c r="X760" s="62">
        <f t="shared" si="129"/>
        <v>0</v>
      </c>
      <c r="Y760" s="62">
        <f t="shared" si="129"/>
        <v>0</v>
      </c>
      <c r="AA760" s="94"/>
    </row>
    <row r="761" spans="2:27" x14ac:dyDescent="0.2">
      <c r="B761" s="94"/>
      <c r="C761" s="62">
        <v>722</v>
      </c>
      <c r="D761" s="62">
        <v>10809.773674098627</v>
      </c>
      <c r="E761" s="62">
        <v>0.61717083808660234</v>
      </c>
      <c r="F761" s="62">
        <v>15552.479275822549</v>
      </c>
      <c r="G761" s="62">
        <v>0.89395811057551666</v>
      </c>
      <c r="H761" s="62">
        <v>15599.590452371402</v>
      </c>
      <c r="I761" s="62">
        <v>0.89705638196464277</v>
      </c>
      <c r="J761" s="62">
        <v>15491.109094640547</v>
      </c>
      <c r="K761" s="62">
        <v>0.88933680891513445</v>
      </c>
      <c r="L761" s="62">
        <f t="shared" si="130"/>
        <v>-4742.7056017239211</v>
      </c>
      <c r="M761" s="62">
        <f t="shared" si="131"/>
        <v>-0.27678727248891433</v>
      </c>
      <c r="N761" s="62">
        <f t="shared" si="132"/>
        <v>-4789.8167782727742</v>
      </c>
      <c r="O761" s="62">
        <f t="shared" si="133"/>
        <v>-0.27988554387804043</v>
      </c>
      <c r="P761" s="62">
        <f t="shared" si="134"/>
        <v>-4681.33542054192</v>
      </c>
      <c r="Q761" s="62">
        <f t="shared" si="135"/>
        <v>-0.27216597082853211</v>
      </c>
      <c r="R761" s="62">
        <f t="shared" si="136"/>
        <v>14755.911122800788</v>
      </c>
      <c r="S761" s="62">
        <f t="shared" si="137"/>
        <v>21478.841496657657</v>
      </c>
      <c r="T761" s="62">
        <f t="shared" si="138"/>
        <v>21560.073114131959</v>
      </c>
      <c r="U761" s="62">
        <f t="shared" si="139"/>
        <v>21348.778877859986</v>
      </c>
      <c r="V761" s="62">
        <f t="shared" si="129"/>
        <v>1</v>
      </c>
      <c r="W761" s="62">
        <f t="shared" si="129"/>
        <v>0</v>
      </c>
      <c r="X761" s="62">
        <f t="shared" si="129"/>
        <v>0</v>
      </c>
      <c r="Y761" s="62">
        <f t="shared" si="129"/>
        <v>0</v>
      </c>
      <c r="AA761" s="94"/>
    </row>
    <row r="762" spans="2:27" x14ac:dyDescent="0.2">
      <c r="B762" s="94"/>
      <c r="C762" s="62">
        <v>723</v>
      </c>
      <c r="D762" s="62">
        <v>9724.1657092408404</v>
      </c>
      <c r="E762" s="62">
        <v>0.61774758736269653</v>
      </c>
      <c r="F762" s="62">
        <v>13974.034485149947</v>
      </c>
      <c r="G762" s="62">
        <v>0.89424200693695322</v>
      </c>
      <c r="H762" s="62">
        <v>14016.537822257735</v>
      </c>
      <c r="I762" s="62">
        <v>0.89723017943063443</v>
      </c>
      <c r="J762" s="62">
        <v>13927.721184123568</v>
      </c>
      <c r="K762" s="62">
        <v>0.88998282324100819</v>
      </c>
      <c r="L762" s="62">
        <f t="shared" si="130"/>
        <v>-4249.8687759091063</v>
      </c>
      <c r="M762" s="62">
        <f t="shared" si="131"/>
        <v>-0.27649441957425669</v>
      </c>
      <c r="N762" s="62">
        <f t="shared" si="132"/>
        <v>-4292.3721130168942</v>
      </c>
      <c r="O762" s="62">
        <f t="shared" si="133"/>
        <v>-0.27948259206793791</v>
      </c>
      <c r="P762" s="62">
        <f t="shared" si="134"/>
        <v>-4203.5554748827271</v>
      </c>
      <c r="Q762" s="62">
        <f t="shared" si="135"/>
        <v>-0.27223523587831167</v>
      </c>
      <c r="R762" s="62">
        <f t="shared" si="136"/>
        <v>15865.410349671502</v>
      </c>
      <c r="S762" s="62">
        <f t="shared" si="137"/>
        <v>23069.0464102064</v>
      </c>
      <c r="T762" s="62">
        <f t="shared" si="138"/>
        <v>23150.325130476864</v>
      </c>
      <c r="U762" s="62">
        <f t="shared" si="139"/>
        <v>22938.927285811951</v>
      </c>
      <c r="V762" s="62">
        <f t="shared" si="129"/>
        <v>1</v>
      </c>
      <c r="W762" s="62">
        <f t="shared" si="129"/>
        <v>0</v>
      </c>
      <c r="X762" s="62">
        <f t="shared" si="129"/>
        <v>0</v>
      </c>
      <c r="Y762" s="62">
        <f t="shared" si="129"/>
        <v>0</v>
      </c>
      <c r="AA762" s="94"/>
    </row>
    <row r="763" spans="2:27" x14ac:dyDescent="0.2">
      <c r="B763" s="94"/>
      <c r="C763" s="62">
        <v>724</v>
      </c>
      <c r="D763" s="62">
        <v>10611.641584682549</v>
      </c>
      <c r="E763" s="62">
        <v>0.61772765195892021</v>
      </c>
      <c r="F763" s="62">
        <v>15263.966762203858</v>
      </c>
      <c r="G763" s="62">
        <v>0.89463491692273966</v>
      </c>
      <c r="H763" s="62">
        <v>15302.77010800622</v>
      </c>
      <c r="I763" s="62">
        <v>0.8971515612101959</v>
      </c>
      <c r="J763" s="62">
        <v>15186.107705747567</v>
      </c>
      <c r="K763" s="62">
        <v>0.88895399173598688</v>
      </c>
      <c r="L763" s="62">
        <f t="shared" si="130"/>
        <v>-4652.3251775213084</v>
      </c>
      <c r="M763" s="62">
        <f t="shared" si="131"/>
        <v>-0.27690726496381945</v>
      </c>
      <c r="N763" s="62">
        <f t="shared" si="132"/>
        <v>-4691.1285233236704</v>
      </c>
      <c r="O763" s="62">
        <f t="shared" si="133"/>
        <v>-0.27942390925127569</v>
      </c>
      <c r="P763" s="62">
        <f t="shared" si="134"/>
        <v>-4574.4661210650174</v>
      </c>
      <c r="Q763" s="62">
        <f t="shared" si="135"/>
        <v>-0.27122633977706667</v>
      </c>
      <c r="R763" s="62">
        <f t="shared" si="136"/>
        <v>14977.108670063762</v>
      </c>
      <c r="S763" s="62">
        <f t="shared" si="137"/>
        <v>21795.390036403707</v>
      </c>
      <c r="T763" s="62">
        <f t="shared" si="138"/>
        <v>21860.836163564934</v>
      </c>
      <c r="U763" s="62">
        <f t="shared" si="139"/>
        <v>21637.922447923953</v>
      </c>
      <c r="V763" s="62">
        <f t="shared" si="129"/>
        <v>1</v>
      </c>
      <c r="W763" s="62">
        <f t="shared" si="129"/>
        <v>0</v>
      </c>
      <c r="X763" s="62">
        <f t="shared" si="129"/>
        <v>0</v>
      </c>
      <c r="Y763" s="62">
        <f t="shared" si="129"/>
        <v>0</v>
      </c>
      <c r="AA763" s="94"/>
    </row>
    <row r="764" spans="2:27" x14ac:dyDescent="0.2">
      <c r="B764" s="94"/>
      <c r="C764" s="62">
        <v>725</v>
      </c>
      <c r="D764" s="62">
        <v>12040.898637840241</v>
      </c>
      <c r="E764" s="62">
        <v>0.61769551638586762</v>
      </c>
      <c r="F764" s="62">
        <v>17324.850308813489</v>
      </c>
      <c r="G764" s="62">
        <v>0.8946232388450015</v>
      </c>
      <c r="H764" s="62">
        <v>17372.493708061964</v>
      </c>
      <c r="I764" s="62">
        <v>0.8973266293996871</v>
      </c>
      <c r="J764" s="62">
        <v>17237.946092006572</v>
      </c>
      <c r="K764" s="62">
        <v>0.8889988587699198</v>
      </c>
      <c r="L764" s="62">
        <f t="shared" si="130"/>
        <v>-5283.9516709732488</v>
      </c>
      <c r="M764" s="62">
        <f t="shared" si="131"/>
        <v>-0.27692772245913388</v>
      </c>
      <c r="N764" s="62">
        <f t="shared" si="132"/>
        <v>-5331.5950702217233</v>
      </c>
      <c r="O764" s="62">
        <f t="shared" si="133"/>
        <v>-0.27963111301381949</v>
      </c>
      <c r="P764" s="62">
        <f t="shared" si="134"/>
        <v>-5197.0474541663316</v>
      </c>
      <c r="Q764" s="62">
        <f t="shared" si="135"/>
        <v>-0.27130334238405218</v>
      </c>
      <c r="R764" s="62">
        <f t="shared" si="136"/>
        <v>13546.52043292794</v>
      </c>
      <c r="S764" s="62">
        <f t="shared" si="137"/>
        <v>19734.022737101855</v>
      </c>
      <c r="T764" s="62">
        <f t="shared" si="138"/>
        <v>19798.364588190678</v>
      </c>
      <c r="U764" s="62">
        <f t="shared" si="139"/>
        <v>19587.942633678587</v>
      </c>
      <c r="V764" s="62">
        <f t="shared" si="129"/>
        <v>1</v>
      </c>
      <c r="W764" s="62">
        <f t="shared" si="129"/>
        <v>0</v>
      </c>
      <c r="X764" s="62">
        <f t="shared" si="129"/>
        <v>0</v>
      </c>
      <c r="Y764" s="62">
        <f t="shared" si="129"/>
        <v>0</v>
      </c>
      <c r="AA764" s="94"/>
    </row>
    <row r="765" spans="2:27" x14ac:dyDescent="0.2">
      <c r="B765" s="94"/>
      <c r="C765" s="62">
        <v>726</v>
      </c>
      <c r="D765" s="62">
        <v>11383.63233420705</v>
      </c>
      <c r="E765" s="62">
        <v>0.61742197866776338</v>
      </c>
      <c r="F765" s="62">
        <v>16385.826945360051</v>
      </c>
      <c r="G765" s="62">
        <v>0.89471391044090809</v>
      </c>
      <c r="H765" s="62">
        <v>16428.185886956977</v>
      </c>
      <c r="I765" s="62">
        <v>0.89725571340547361</v>
      </c>
      <c r="J765" s="62">
        <v>16310.433401630875</v>
      </c>
      <c r="K765" s="62">
        <v>0.8894235721864695</v>
      </c>
      <c r="L765" s="62">
        <f t="shared" si="130"/>
        <v>-5002.1946111530015</v>
      </c>
      <c r="M765" s="62">
        <f t="shared" si="131"/>
        <v>-0.27729193177314471</v>
      </c>
      <c r="N765" s="62">
        <f t="shared" si="132"/>
        <v>-5044.5535527499269</v>
      </c>
      <c r="O765" s="62">
        <f t="shared" si="133"/>
        <v>-0.27983373473771023</v>
      </c>
      <c r="P765" s="62">
        <f t="shared" si="134"/>
        <v>-4926.8010674238249</v>
      </c>
      <c r="Q765" s="62">
        <f t="shared" si="135"/>
        <v>-0.27200159351870612</v>
      </c>
      <c r="R765" s="62">
        <f t="shared" si="136"/>
        <v>14192.455710126382</v>
      </c>
      <c r="S765" s="62">
        <f t="shared" si="137"/>
        <v>20676.802080744128</v>
      </c>
      <c r="T765" s="62">
        <f t="shared" si="138"/>
        <v>20739.734785151362</v>
      </c>
      <c r="U765" s="62">
        <f t="shared" si="139"/>
        <v>20533.048652621441</v>
      </c>
      <c r="V765" s="62">
        <f t="shared" si="129"/>
        <v>1</v>
      </c>
      <c r="W765" s="62">
        <f t="shared" si="129"/>
        <v>0</v>
      </c>
      <c r="X765" s="62">
        <f t="shared" si="129"/>
        <v>0</v>
      </c>
      <c r="Y765" s="62">
        <f t="shared" si="129"/>
        <v>0</v>
      </c>
      <c r="AA765" s="94"/>
    </row>
    <row r="766" spans="2:27" x14ac:dyDescent="0.2">
      <c r="B766" s="94"/>
      <c r="C766" s="62">
        <v>727</v>
      </c>
      <c r="D766" s="62">
        <v>10127.082707234618</v>
      </c>
      <c r="E766" s="62">
        <v>0.61726188871508292</v>
      </c>
      <c r="F766" s="62">
        <v>14574.494288735061</v>
      </c>
      <c r="G766" s="62">
        <v>0.89452380596431769</v>
      </c>
      <c r="H766" s="62">
        <v>14612.687588343355</v>
      </c>
      <c r="I766" s="62">
        <v>0.8971504938724818</v>
      </c>
      <c r="J766" s="62">
        <v>14510.813838954793</v>
      </c>
      <c r="K766" s="62">
        <v>0.88943282699947268</v>
      </c>
      <c r="L766" s="62">
        <f t="shared" si="130"/>
        <v>-4447.4115815004425</v>
      </c>
      <c r="M766" s="62">
        <f t="shared" si="131"/>
        <v>-0.27726191724923477</v>
      </c>
      <c r="N766" s="62">
        <f t="shared" si="132"/>
        <v>-4485.6048811087367</v>
      </c>
      <c r="O766" s="62">
        <f t="shared" si="133"/>
        <v>-0.27988860515739888</v>
      </c>
      <c r="P766" s="62">
        <f t="shared" si="134"/>
        <v>-4383.7311317201747</v>
      </c>
      <c r="Q766" s="62">
        <f t="shared" si="135"/>
        <v>-0.27217093828438976</v>
      </c>
      <c r="R766" s="62">
        <f t="shared" si="136"/>
        <v>15442.373770898976</v>
      </c>
      <c r="S766" s="62">
        <f t="shared" si="137"/>
        <v>22480.259849530834</v>
      </c>
      <c r="T766" s="62">
        <f t="shared" si="138"/>
        <v>22550.874469830334</v>
      </c>
      <c r="U766" s="62">
        <f t="shared" si="139"/>
        <v>22333.051586671365</v>
      </c>
      <c r="V766" s="62">
        <f t="shared" si="129"/>
        <v>1</v>
      </c>
      <c r="W766" s="62">
        <f t="shared" si="129"/>
        <v>0</v>
      </c>
      <c r="X766" s="62">
        <f t="shared" si="129"/>
        <v>0</v>
      </c>
      <c r="Y766" s="62">
        <f t="shared" si="129"/>
        <v>0</v>
      </c>
      <c r="AA766" s="94"/>
    </row>
    <row r="767" spans="2:27" x14ac:dyDescent="0.2">
      <c r="B767" s="94"/>
      <c r="C767" s="62">
        <v>728</v>
      </c>
      <c r="D767" s="62">
        <v>10796.402670422527</v>
      </c>
      <c r="E767" s="62">
        <v>0.6181353124666864</v>
      </c>
      <c r="F767" s="62">
        <v>15531.974307792529</v>
      </c>
      <c r="G767" s="62">
        <v>0.89497684812130085</v>
      </c>
      <c r="H767" s="62">
        <v>15567.737871664676</v>
      </c>
      <c r="I767" s="62">
        <v>0.89738192162251673</v>
      </c>
      <c r="J767" s="62">
        <v>15455.415678490903</v>
      </c>
      <c r="K767" s="62">
        <v>0.88948023965165612</v>
      </c>
      <c r="L767" s="62">
        <f t="shared" si="130"/>
        <v>-4735.5716373700016</v>
      </c>
      <c r="M767" s="62">
        <f t="shared" si="131"/>
        <v>-0.27684153565461445</v>
      </c>
      <c r="N767" s="62">
        <f t="shared" si="132"/>
        <v>-4771.3352012421492</v>
      </c>
      <c r="O767" s="62">
        <f t="shared" si="133"/>
        <v>-0.27924660915583033</v>
      </c>
      <c r="P767" s="62">
        <f t="shared" si="134"/>
        <v>-4659.0130080683757</v>
      </c>
      <c r="Q767" s="62">
        <f t="shared" si="135"/>
        <v>-0.27134492718496972</v>
      </c>
      <c r="R767" s="62">
        <f t="shared" si="136"/>
        <v>14809.234513197489</v>
      </c>
      <c r="S767" s="62">
        <f t="shared" si="137"/>
        <v>21541.546648784235</v>
      </c>
      <c r="T767" s="62">
        <f t="shared" si="138"/>
        <v>21605.410849626453</v>
      </c>
      <c r="U767" s="62">
        <f t="shared" si="139"/>
        <v>21390.413768839298</v>
      </c>
      <c r="V767" s="62">
        <f t="shared" si="129"/>
        <v>1</v>
      </c>
      <c r="W767" s="62">
        <f t="shared" si="129"/>
        <v>0</v>
      </c>
      <c r="X767" s="62">
        <f t="shared" si="129"/>
        <v>0</v>
      </c>
      <c r="Y767" s="62">
        <f t="shared" si="129"/>
        <v>0</v>
      </c>
      <c r="AA767" s="94"/>
    </row>
    <row r="768" spans="2:27" x14ac:dyDescent="0.2">
      <c r="B768" s="94"/>
      <c r="C768" s="62">
        <v>729</v>
      </c>
      <c r="D768" s="62">
        <v>8523.3917937963779</v>
      </c>
      <c r="E768" s="62">
        <v>0.6172606829538495</v>
      </c>
      <c r="F768" s="62">
        <v>12260.44035536507</v>
      </c>
      <c r="G768" s="62">
        <v>0.89448483881784302</v>
      </c>
      <c r="H768" s="62">
        <v>12286.819263031664</v>
      </c>
      <c r="I768" s="62">
        <v>0.89680846953721072</v>
      </c>
      <c r="J768" s="62">
        <v>12205.069631163246</v>
      </c>
      <c r="K768" s="62">
        <v>0.88925526085879503</v>
      </c>
      <c r="L768" s="62">
        <f t="shared" si="130"/>
        <v>-3737.0485615686921</v>
      </c>
      <c r="M768" s="62">
        <f t="shared" si="131"/>
        <v>-0.27722415586399352</v>
      </c>
      <c r="N768" s="62">
        <f t="shared" si="132"/>
        <v>-3763.4274692352865</v>
      </c>
      <c r="O768" s="62">
        <f t="shared" si="133"/>
        <v>-0.27954778658336121</v>
      </c>
      <c r="P768" s="62">
        <f t="shared" si="134"/>
        <v>-3681.6778373668676</v>
      </c>
      <c r="Q768" s="62">
        <f t="shared" si="135"/>
        <v>-0.27199457790494552</v>
      </c>
      <c r="R768" s="62">
        <f t="shared" si="136"/>
        <v>17046.014736883884</v>
      </c>
      <c r="S768" s="62">
        <f t="shared" si="137"/>
        <v>24792.699607825256</v>
      </c>
      <c r="T768" s="62">
        <f t="shared" si="138"/>
        <v>24862.574779077753</v>
      </c>
      <c r="U768" s="62">
        <f t="shared" si="139"/>
        <v>24631.440294651478</v>
      </c>
      <c r="V768" s="62">
        <f t="shared" si="129"/>
        <v>1</v>
      </c>
      <c r="W768" s="62">
        <f t="shared" si="129"/>
        <v>0</v>
      </c>
      <c r="X768" s="62">
        <f t="shared" si="129"/>
        <v>0</v>
      </c>
      <c r="Y768" s="62">
        <f t="shared" si="129"/>
        <v>0</v>
      </c>
      <c r="AA768" s="94"/>
    </row>
    <row r="769" spans="2:27" x14ac:dyDescent="0.2">
      <c r="B769" s="94"/>
      <c r="C769" s="62">
        <v>730</v>
      </c>
      <c r="D769" s="62">
        <v>9477.866725323518</v>
      </c>
      <c r="E769" s="62">
        <v>0.61757644780280851</v>
      </c>
      <c r="F769" s="62">
        <v>13612.989447681975</v>
      </c>
      <c r="G769" s="62">
        <v>0.89376782935663213</v>
      </c>
      <c r="H769" s="62">
        <v>13654.626428944654</v>
      </c>
      <c r="I769" s="62">
        <v>0.89694775768192669</v>
      </c>
      <c r="J769" s="62">
        <v>13556.925880699026</v>
      </c>
      <c r="K769" s="62">
        <v>0.88879826733409173</v>
      </c>
      <c r="L769" s="62">
        <f t="shared" si="130"/>
        <v>-4135.1227223584574</v>
      </c>
      <c r="M769" s="62">
        <f t="shared" si="131"/>
        <v>-0.27619138155382361</v>
      </c>
      <c r="N769" s="62">
        <f t="shared" si="132"/>
        <v>-4176.7597036211355</v>
      </c>
      <c r="O769" s="62">
        <f t="shared" si="133"/>
        <v>-0.27937130987911818</v>
      </c>
      <c r="P769" s="62">
        <f t="shared" si="134"/>
        <v>-4079.0591553755075</v>
      </c>
      <c r="Q769" s="62">
        <f t="shared" si="135"/>
        <v>-0.27122181953128321</v>
      </c>
      <c r="R769" s="62">
        <f t="shared" si="136"/>
        <v>16104.620048460023</v>
      </c>
      <c r="S769" s="62">
        <f t="shared" si="137"/>
        <v>23410.449115587151</v>
      </c>
      <c r="T769" s="62">
        <f t="shared" si="138"/>
        <v>23500.537485271474</v>
      </c>
      <c r="U769" s="62">
        <f t="shared" si="139"/>
        <v>23260.653545348388</v>
      </c>
      <c r="V769" s="62">
        <f t="shared" si="129"/>
        <v>1</v>
      </c>
      <c r="W769" s="62">
        <f t="shared" si="129"/>
        <v>0</v>
      </c>
      <c r="X769" s="62">
        <f t="shared" si="129"/>
        <v>0</v>
      </c>
      <c r="Y769" s="62">
        <f t="shared" si="129"/>
        <v>0</v>
      </c>
      <c r="AA769" s="94"/>
    </row>
    <row r="770" spans="2:27" x14ac:dyDescent="0.2">
      <c r="B770" s="94"/>
      <c r="C770" s="62">
        <v>731</v>
      </c>
      <c r="D770" s="62">
        <v>11811.174647482778</v>
      </c>
      <c r="E770" s="62">
        <v>0.61749630527384747</v>
      </c>
      <c r="F770" s="62">
        <v>17013.796157134246</v>
      </c>
      <c r="G770" s="62">
        <v>0.89501777931319726</v>
      </c>
      <c r="H770" s="62">
        <v>17052.51143483799</v>
      </c>
      <c r="I770" s="62">
        <v>0.89744943079022843</v>
      </c>
      <c r="J770" s="62">
        <v>16919.118326517564</v>
      </c>
      <c r="K770" s="62">
        <v>0.88898028329456613</v>
      </c>
      <c r="L770" s="62">
        <f t="shared" si="130"/>
        <v>-5202.6215096514679</v>
      </c>
      <c r="M770" s="62">
        <f t="shared" si="131"/>
        <v>-0.27752147403934979</v>
      </c>
      <c r="N770" s="62">
        <f t="shared" si="132"/>
        <v>-5241.3367873552124</v>
      </c>
      <c r="O770" s="62">
        <f t="shared" si="133"/>
        <v>-0.27995312551638096</v>
      </c>
      <c r="P770" s="62">
        <f t="shared" si="134"/>
        <v>-5107.9436790347863</v>
      </c>
      <c r="Q770" s="62">
        <f t="shared" si="135"/>
        <v>-0.27148397802071866</v>
      </c>
      <c r="R770" s="62">
        <f t="shared" si="136"/>
        <v>13767.992302181079</v>
      </c>
      <c r="S770" s="62">
        <f t="shared" si="137"/>
        <v>20061.42033313564</v>
      </c>
      <c r="T770" s="62">
        <f t="shared" si="138"/>
        <v>20123.433786216436</v>
      </c>
      <c r="U770" s="62">
        <f t="shared" si="139"/>
        <v>19906.000928676542</v>
      </c>
      <c r="V770" s="62">
        <f t="shared" si="129"/>
        <v>1</v>
      </c>
      <c r="W770" s="62">
        <f t="shared" si="129"/>
        <v>0</v>
      </c>
      <c r="X770" s="62">
        <f t="shared" si="129"/>
        <v>0</v>
      </c>
      <c r="Y770" s="62">
        <f t="shared" si="129"/>
        <v>0</v>
      </c>
      <c r="AA770" s="94"/>
    </row>
    <row r="771" spans="2:27" x14ac:dyDescent="0.2">
      <c r="B771" s="94"/>
      <c r="C771" s="62">
        <v>732</v>
      </c>
      <c r="D771" s="62">
        <v>8823.5475023622967</v>
      </c>
      <c r="E771" s="62">
        <v>0.61779790565593684</v>
      </c>
      <c r="F771" s="62">
        <v>12687.598458819697</v>
      </c>
      <c r="G771" s="62">
        <v>0.89464466920790264</v>
      </c>
      <c r="H771" s="62">
        <v>12737.794434503679</v>
      </c>
      <c r="I771" s="62">
        <v>0.89862007609785899</v>
      </c>
      <c r="J771" s="62">
        <v>12626.910256359546</v>
      </c>
      <c r="K771" s="62">
        <v>0.88926262876688933</v>
      </c>
      <c r="L771" s="62">
        <f t="shared" si="130"/>
        <v>-3864.0509564574004</v>
      </c>
      <c r="M771" s="62">
        <f t="shared" si="131"/>
        <v>-0.2768467635519658</v>
      </c>
      <c r="N771" s="62">
        <f t="shared" si="132"/>
        <v>-3914.2469321413828</v>
      </c>
      <c r="O771" s="62">
        <f t="shared" si="133"/>
        <v>-0.28082217044192215</v>
      </c>
      <c r="P771" s="62">
        <f t="shared" si="134"/>
        <v>-3803.3627539972495</v>
      </c>
      <c r="Q771" s="62">
        <f t="shared" si="135"/>
        <v>-0.27146472311095249</v>
      </c>
      <c r="R771" s="62">
        <f t="shared" si="136"/>
        <v>16768.112941529231</v>
      </c>
      <c r="S771" s="62">
        <f t="shared" si="137"/>
        <v>24372.162318448463</v>
      </c>
      <c r="T771" s="62">
        <f t="shared" si="138"/>
        <v>24486.643597774033</v>
      </c>
      <c r="U771" s="62">
        <f t="shared" si="139"/>
        <v>24209.904877680077</v>
      </c>
      <c r="V771" s="62">
        <f t="shared" si="129"/>
        <v>1</v>
      </c>
      <c r="W771" s="62">
        <f t="shared" si="129"/>
        <v>0</v>
      </c>
      <c r="X771" s="62">
        <f t="shared" si="129"/>
        <v>0</v>
      </c>
      <c r="Y771" s="62">
        <f t="shared" si="129"/>
        <v>0</v>
      </c>
      <c r="AA771" s="94"/>
    </row>
    <row r="772" spans="2:27" x14ac:dyDescent="0.2">
      <c r="B772" s="94"/>
      <c r="C772" s="62">
        <v>733</v>
      </c>
      <c r="D772" s="62">
        <v>10718.002630600067</v>
      </c>
      <c r="E772" s="62">
        <v>0.61721747550170913</v>
      </c>
      <c r="F772" s="62">
        <v>15417.841633966502</v>
      </c>
      <c r="G772" s="62">
        <v>0.89368099810943524</v>
      </c>
      <c r="H772" s="62">
        <v>15475.715888205666</v>
      </c>
      <c r="I772" s="62">
        <v>0.89740426741667534</v>
      </c>
      <c r="J772" s="62">
        <v>15350.652313788782</v>
      </c>
      <c r="K772" s="62">
        <v>0.88872769475365143</v>
      </c>
      <c r="L772" s="62">
        <f t="shared" si="130"/>
        <v>-4699.8390033664346</v>
      </c>
      <c r="M772" s="62">
        <f t="shared" si="131"/>
        <v>-0.27646352260772611</v>
      </c>
      <c r="N772" s="62">
        <f t="shared" si="132"/>
        <v>-4757.7132576055992</v>
      </c>
      <c r="O772" s="62">
        <f t="shared" si="133"/>
        <v>-0.2801867919149662</v>
      </c>
      <c r="P772" s="62">
        <f t="shared" si="134"/>
        <v>-4632.6496831887143</v>
      </c>
      <c r="Q772" s="62">
        <f t="shared" si="135"/>
        <v>-0.2715102192519423</v>
      </c>
      <c r="R772" s="62">
        <f t="shared" si="136"/>
        <v>14849.614074582731</v>
      </c>
      <c r="S772" s="62">
        <f t="shared" si="137"/>
        <v>21602.000031718741</v>
      </c>
      <c r="T772" s="62">
        <f t="shared" si="138"/>
        <v>21698.358485262688</v>
      </c>
      <c r="U772" s="62">
        <f t="shared" si="139"/>
        <v>21464.003713686474</v>
      </c>
      <c r="V772" s="62">
        <f t="shared" si="129"/>
        <v>1</v>
      </c>
      <c r="W772" s="62">
        <f t="shared" si="129"/>
        <v>0</v>
      </c>
      <c r="X772" s="62">
        <f t="shared" si="129"/>
        <v>0</v>
      </c>
      <c r="Y772" s="62">
        <f t="shared" si="129"/>
        <v>0</v>
      </c>
      <c r="AA772" s="94"/>
    </row>
    <row r="773" spans="2:27" x14ac:dyDescent="0.2">
      <c r="B773" s="94"/>
      <c r="C773" s="62">
        <v>734</v>
      </c>
      <c r="D773" s="62">
        <v>11633.191904526575</v>
      </c>
      <c r="E773" s="62">
        <v>0.61757561513566506</v>
      </c>
      <c r="F773" s="62">
        <v>16729.952306857966</v>
      </c>
      <c r="G773" s="62">
        <v>0.89419490362078946</v>
      </c>
      <c r="H773" s="62">
        <v>16777.544933579029</v>
      </c>
      <c r="I773" s="62">
        <v>0.89697715357225327</v>
      </c>
      <c r="J773" s="62">
        <v>16664.447232924846</v>
      </c>
      <c r="K773" s="62">
        <v>0.88956175002311644</v>
      </c>
      <c r="L773" s="62">
        <f t="shared" si="130"/>
        <v>-5096.7604023313907</v>
      </c>
      <c r="M773" s="62">
        <f t="shared" si="131"/>
        <v>-0.2766192884851244</v>
      </c>
      <c r="N773" s="62">
        <f t="shared" si="132"/>
        <v>-5144.3530290524541</v>
      </c>
      <c r="O773" s="62">
        <f t="shared" si="133"/>
        <v>-0.27940153843658821</v>
      </c>
      <c r="P773" s="62">
        <f t="shared" si="134"/>
        <v>-5031.2553283982706</v>
      </c>
      <c r="Q773" s="62">
        <f t="shared" si="135"/>
        <v>-0.27198613488745138</v>
      </c>
      <c r="R773" s="62">
        <f t="shared" si="136"/>
        <v>13949.260376853214</v>
      </c>
      <c r="S773" s="62">
        <f t="shared" si="137"/>
        <v>20311.177380729619</v>
      </c>
      <c r="T773" s="62">
        <f t="shared" si="138"/>
        <v>20378.836675997987</v>
      </c>
      <c r="U773" s="62">
        <f t="shared" si="139"/>
        <v>20184.758700032733</v>
      </c>
      <c r="V773" s="62">
        <f t="shared" si="129"/>
        <v>1</v>
      </c>
      <c r="W773" s="62">
        <f t="shared" si="129"/>
        <v>0</v>
      </c>
      <c r="X773" s="62">
        <f t="shared" si="129"/>
        <v>0</v>
      </c>
      <c r="Y773" s="62">
        <f t="shared" si="129"/>
        <v>0</v>
      </c>
      <c r="AA773" s="94"/>
    </row>
    <row r="774" spans="2:27" x14ac:dyDescent="0.2">
      <c r="B774" s="94"/>
      <c r="C774" s="62">
        <v>735</v>
      </c>
      <c r="D774" s="62">
        <v>9372.6456404456076</v>
      </c>
      <c r="E774" s="62">
        <v>0.61764984362539743</v>
      </c>
      <c r="F774" s="62">
        <v>13484.198650135868</v>
      </c>
      <c r="G774" s="62">
        <v>0.89454812996536059</v>
      </c>
      <c r="H774" s="62">
        <v>13516.882636384125</v>
      </c>
      <c r="I774" s="62">
        <v>0.89713434043032969</v>
      </c>
      <c r="J774" s="62">
        <v>13424.627818674087</v>
      </c>
      <c r="K774" s="62">
        <v>0.88954114798579609</v>
      </c>
      <c r="L774" s="62">
        <f t="shared" si="130"/>
        <v>-4111.5530096902603</v>
      </c>
      <c r="M774" s="62">
        <f t="shared" si="131"/>
        <v>-0.27689828633996316</v>
      </c>
      <c r="N774" s="62">
        <f t="shared" si="132"/>
        <v>-4144.2369959385178</v>
      </c>
      <c r="O774" s="62">
        <f t="shared" si="133"/>
        <v>-0.27948449680493226</v>
      </c>
      <c r="P774" s="62">
        <f t="shared" si="134"/>
        <v>-4051.9821782284798</v>
      </c>
      <c r="Q774" s="62">
        <f t="shared" si="135"/>
        <v>-0.27189130436039866</v>
      </c>
      <c r="R774" s="62">
        <f t="shared" si="136"/>
        <v>16212.881481892855</v>
      </c>
      <c r="S774" s="62">
        <f t="shared" si="137"/>
        <v>23571.563085549227</v>
      </c>
      <c r="T774" s="62">
        <f t="shared" si="138"/>
        <v>23646.010281601852</v>
      </c>
      <c r="U774" s="62">
        <f t="shared" si="139"/>
        <v>23423.724695489531</v>
      </c>
      <c r="V774" s="62">
        <f t="shared" si="129"/>
        <v>1</v>
      </c>
      <c r="W774" s="62">
        <f t="shared" si="129"/>
        <v>0</v>
      </c>
      <c r="X774" s="62">
        <f t="shared" si="129"/>
        <v>0</v>
      </c>
      <c r="Y774" s="62">
        <f t="shared" si="129"/>
        <v>0</v>
      </c>
      <c r="AA774" s="94"/>
    </row>
    <row r="775" spans="2:27" x14ac:dyDescent="0.2">
      <c r="B775" s="94"/>
      <c r="C775" s="62">
        <v>736</v>
      </c>
      <c r="D775" s="62">
        <v>13359.554802999555</v>
      </c>
      <c r="E775" s="62">
        <v>0.61788256558103938</v>
      </c>
      <c r="F775" s="62">
        <v>19218.834363546128</v>
      </c>
      <c r="G775" s="62">
        <v>0.8944342702067648</v>
      </c>
      <c r="H775" s="62">
        <v>19273.653024870888</v>
      </c>
      <c r="I775" s="62">
        <v>0.89726463493366138</v>
      </c>
      <c r="J775" s="62">
        <v>19146.710472780236</v>
      </c>
      <c r="K775" s="62">
        <v>0.89005708120776528</v>
      </c>
      <c r="L775" s="62">
        <f t="shared" si="130"/>
        <v>-5859.2795605465726</v>
      </c>
      <c r="M775" s="62">
        <f t="shared" si="131"/>
        <v>-0.27655170462572543</v>
      </c>
      <c r="N775" s="62">
        <f t="shared" si="132"/>
        <v>-5914.0982218713325</v>
      </c>
      <c r="O775" s="62">
        <f t="shared" si="133"/>
        <v>-0.279382069352622</v>
      </c>
      <c r="P775" s="62">
        <f t="shared" si="134"/>
        <v>-5787.1556697806809</v>
      </c>
      <c r="Q775" s="62">
        <f t="shared" si="135"/>
        <v>-0.2721745156267259</v>
      </c>
      <c r="R775" s="62">
        <f t="shared" si="136"/>
        <v>12235.612593629419</v>
      </c>
      <c r="S775" s="62">
        <f t="shared" si="137"/>
        <v>17832.210845498899</v>
      </c>
      <c r="T775" s="62">
        <f t="shared" si="138"/>
        <v>17894.637212621099</v>
      </c>
      <c r="U775" s="62">
        <f t="shared" si="139"/>
        <v>17723.014059170229</v>
      </c>
      <c r="V775" s="62">
        <f t="shared" si="129"/>
        <v>1</v>
      </c>
      <c r="W775" s="62">
        <f t="shared" si="129"/>
        <v>0</v>
      </c>
      <c r="X775" s="62">
        <f t="shared" si="129"/>
        <v>0</v>
      </c>
      <c r="Y775" s="62">
        <f t="shared" si="129"/>
        <v>0</v>
      </c>
      <c r="AA775" s="94"/>
    </row>
    <row r="776" spans="2:27" x14ac:dyDescent="0.2">
      <c r="B776" s="94"/>
      <c r="C776" s="62">
        <v>737</v>
      </c>
      <c r="D776" s="62">
        <v>8906.9902570511858</v>
      </c>
      <c r="E776" s="62">
        <v>0.61742046363509351</v>
      </c>
      <c r="F776" s="62">
        <v>12795.767215470134</v>
      </c>
      <c r="G776" s="62">
        <v>0.89405241801719171</v>
      </c>
      <c r="H776" s="62">
        <v>12838.382318317332</v>
      </c>
      <c r="I776" s="62">
        <v>0.89740407508090669</v>
      </c>
      <c r="J776" s="62">
        <v>12750.820536747491</v>
      </c>
      <c r="K776" s="62">
        <v>0.88960169038567527</v>
      </c>
      <c r="L776" s="62">
        <f t="shared" si="130"/>
        <v>-3888.7769584189482</v>
      </c>
      <c r="M776" s="62">
        <f t="shared" si="131"/>
        <v>-0.2766319543820982</v>
      </c>
      <c r="N776" s="62">
        <f t="shared" si="132"/>
        <v>-3931.3920612661459</v>
      </c>
      <c r="O776" s="62">
        <f t="shared" si="133"/>
        <v>-0.27998361144581319</v>
      </c>
      <c r="P776" s="62">
        <f t="shared" si="134"/>
        <v>-3843.8302796963053</v>
      </c>
      <c r="Q776" s="62">
        <f t="shared" si="135"/>
        <v>-0.27218122675058176</v>
      </c>
      <c r="R776" s="62">
        <f t="shared" si="136"/>
        <v>16669.035028568927</v>
      </c>
      <c r="S776" s="62">
        <f t="shared" si="137"/>
        <v>24239.460148474012</v>
      </c>
      <c r="T776" s="62">
        <f t="shared" si="138"/>
        <v>24335.684087834146</v>
      </c>
      <c r="U776" s="62">
        <f t="shared" si="139"/>
        <v>24100.039885788723</v>
      </c>
      <c r="V776" s="62">
        <f t="shared" si="129"/>
        <v>1</v>
      </c>
      <c r="W776" s="62">
        <f t="shared" si="129"/>
        <v>0</v>
      </c>
      <c r="X776" s="62">
        <f t="shared" si="129"/>
        <v>0</v>
      </c>
      <c r="Y776" s="62">
        <f t="shared" si="129"/>
        <v>0</v>
      </c>
      <c r="AA776" s="94"/>
    </row>
    <row r="777" spans="2:27" x14ac:dyDescent="0.2">
      <c r="B777" s="94"/>
      <c r="C777" s="62">
        <v>738</v>
      </c>
      <c r="D777" s="62">
        <v>10107.436824714694</v>
      </c>
      <c r="E777" s="62">
        <v>0.61721203376152978</v>
      </c>
      <c r="F777" s="62">
        <v>14535.853485305071</v>
      </c>
      <c r="G777" s="62">
        <v>0.89375376452979738</v>
      </c>
      <c r="H777" s="62">
        <v>14572.484803233543</v>
      </c>
      <c r="I777" s="62">
        <v>0.89627921527692989</v>
      </c>
      <c r="J777" s="62">
        <v>14478.932304385949</v>
      </c>
      <c r="K777" s="62">
        <v>0.88917273150065346</v>
      </c>
      <c r="L777" s="62">
        <f t="shared" si="130"/>
        <v>-4428.4166605903774</v>
      </c>
      <c r="M777" s="62">
        <f t="shared" si="131"/>
        <v>-0.2765417307682676</v>
      </c>
      <c r="N777" s="62">
        <f t="shared" si="132"/>
        <v>-4465.047978518849</v>
      </c>
      <c r="O777" s="62">
        <f t="shared" si="133"/>
        <v>-0.27906718151540011</v>
      </c>
      <c r="P777" s="62">
        <f t="shared" si="134"/>
        <v>-4371.4954796712555</v>
      </c>
      <c r="Q777" s="62">
        <f t="shared" si="135"/>
        <v>-0.27196069773912368</v>
      </c>
      <c r="R777" s="62">
        <f t="shared" si="136"/>
        <v>15459.954461822914</v>
      </c>
      <c r="S777" s="62">
        <f t="shared" si="137"/>
        <v>22487.002456577255</v>
      </c>
      <c r="T777" s="62">
        <f t="shared" si="138"/>
        <v>22554.985410398003</v>
      </c>
      <c r="U777" s="62">
        <f t="shared" si="139"/>
        <v>22354.158925297124</v>
      </c>
      <c r="V777" s="62">
        <f t="shared" si="129"/>
        <v>1</v>
      </c>
      <c r="W777" s="62">
        <f t="shared" si="129"/>
        <v>0</v>
      </c>
      <c r="X777" s="62">
        <f t="shared" si="129"/>
        <v>0</v>
      </c>
      <c r="Y777" s="62">
        <f t="shared" si="129"/>
        <v>0</v>
      </c>
      <c r="AA777" s="94"/>
    </row>
    <row r="778" spans="2:27" x14ac:dyDescent="0.2">
      <c r="B778" s="94"/>
      <c r="C778" s="62">
        <v>739</v>
      </c>
      <c r="D778" s="62">
        <v>9568.4572595282862</v>
      </c>
      <c r="E778" s="62">
        <v>0.61760546074047873</v>
      </c>
      <c r="F778" s="62">
        <v>13757.937735946824</v>
      </c>
      <c r="G778" s="62">
        <v>0.89399295853895222</v>
      </c>
      <c r="H778" s="62">
        <v>13791.757088498101</v>
      </c>
      <c r="I778" s="62">
        <v>0.89660072353474962</v>
      </c>
      <c r="J778" s="62">
        <v>13703.637695812859</v>
      </c>
      <c r="K778" s="62">
        <v>0.88947660361037362</v>
      </c>
      <c r="L778" s="62">
        <f t="shared" si="130"/>
        <v>-4189.4804764185374</v>
      </c>
      <c r="M778" s="62">
        <f t="shared" si="131"/>
        <v>-0.27638749779847349</v>
      </c>
      <c r="N778" s="62">
        <f t="shared" si="132"/>
        <v>-4223.2998289698153</v>
      </c>
      <c r="O778" s="62">
        <f t="shared" si="133"/>
        <v>-0.27899526279427089</v>
      </c>
      <c r="P778" s="62">
        <f t="shared" si="134"/>
        <v>-4135.1804362845724</v>
      </c>
      <c r="Q778" s="62">
        <f t="shared" si="135"/>
        <v>-0.27187114286989489</v>
      </c>
      <c r="R778" s="62">
        <f t="shared" si="136"/>
        <v>16015.231346185306</v>
      </c>
      <c r="S778" s="62">
        <f t="shared" si="137"/>
        <v>23274.82657857073</v>
      </c>
      <c r="T778" s="62">
        <f t="shared" si="138"/>
        <v>23349.031283205368</v>
      </c>
      <c r="U778" s="62">
        <f t="shared" si="139"/>
        <v>23142.041132143255</v>
      </c>
      <c r="V778" s="62">
        <f t="shared" si="129"/>
        <v>1</v>
      </c>
      <c r="W778" s="62">
        <f t="shared" si="129"/>
        <v>0</v>
      </c>
      <c r="X778" s="62">
        <f t="shared" si="129"/>
        <v>0</v>
      </c>
      <c r="Y778" s="62">
        <f t="shared" si="129"/>
        <v>0</v>
      </c>
      <c r="AA778" s="94"/>
    </row>
    <row r="779" spans="2:27" x14ac:dyDescent="0.2">
      <c r="B779" s="94"/>
      <c r="C779" s="62">
        <v>740</v>
      </c>
      <c r="D779" s="62">
        <v>12762.97370950121</v>
      </c>
      <c r="E779" s="62">
        <v>0.61796383053720561</v>
      </c>
      <c r="F779" s="62">
        <v>18362.758338584717</v>
      </c>
      <c r="G779" s="62">
        <v>0.89429111893752788</v>
      </c>
      <c r="H779" s="62">
        <v>18426.597749444245</v>
      </c>
      <c r="I779" s="62">
        <v>0.89770672168616739</v>
      </c>
      <c r="J779" s="62">
        <v>18295.942488700861</v>
      </c>
      <c r="K779" s="62">
        <v>0.89005404627160911</v>
      </c>
      <c r="L779" s="62">
        <f t="shared" si="130"/>
        <v>-5599.7846290835078</v>
      </c>
      <c r="M779" s="62">
        <f t="shared" si="131"/>
        <v>-0.27632728840032228</v>
      </c>
      <c r="N779" s="62">
        <f t="shared" si="132"/>
        <v>-5663.6240399430353</v>
      </c>
      <c r="O779" s="62">
        <f t="shared" si="133"/>
        <v>-0.27974289114896178</v>
      </c>
      <c r="P779" s="62">
        <f t="shared" si="134"/>
        <v>-5532.9687791996512</v>
      </c>
      <c r="Q779" s="62">
        <f t="shared" si="135"/>
        <v>-0.27209021573440351</v>
      </c>
      <c r="R779" s="62">
        <f t="shared" si="136"/>
        <v>12835.560006671996</v>
      </c>
      <c r="S779" s="62">
        <f t="shared" si="137"/>
        <v>18682.356972283436</v>
      </c>
      <c r="T779" s="62">
        <f t="shared" si="138"/>
        <v>18760.005489683554</v>
      </c>
      <c r="U779" s="62">
        <f t="shared" si="139"/>
        <v>18573.656324054278</v>
      </c>
      <c r="V779" s="62">
        <f t="shared" si="129"/>
        <v>1</v>
      </c>
      <c r="W779" s="62">
        <f t="shared" si="129"/>
        <v>0</v>
      </c>
      <c r="X779" s="62">
        <f t="shared" si="129"/>
        <v>0</v>
      </c>
      <c r="Y779" s="62">
        <f t="shared" si="129"/>
        <v>0</v>
      </c>
      <c r="AA779" s="94"/>
    </row>
    <row r="780" spans="2:27" x14ac:dyDescent="0.2">
      <c r="B780" s="94"/>
      <c r="C780" s="62">
        <v>741</v>
      </c>
      <c r="D780" s="62">
        <v>10726.916817162739</v>
      </c>
      <c r="E780" s="62">
        <v>0.61752830160340644</v>
      </c>
      <c r="F780" s="62">
        <v>15432.630115369402</v>
      </c>
      <c r="G780" s="62">
        <v>0.89433889159120028</v>
      </c>
      <c r="H780" s="62">
        <v>15478.703013447672</v>
      </c>
      <c r="I780" s="62">
        <v>0.89735941213896808</v>
      </c>
      <c r="J780" s="62">
        <v>15361.047153116764</v>
      </c>
      <c r="K780" s="62">
        <v>0.88911914260685909</v>
      </c>
      <c r="L780" s="62">
        <f t="shared" si="130"/>
        <v>-4705.7132982066632</v>
      </c>
      <c r="M780" s="62">
        <f t="shared" si="131"/>
        <v>-0.27681058998779384</v>
      </c>
      <c r="N780" s="62">
        <f t="shared" si="132"/>
        <v>-4751.7861962849329</v>
      </c>
      <c r="O780" s="62">
        <f t="shared" si="133"/>
        <v>-0.27983111053556164</v>
      </c>
      <c r="P780" s="62">
        <f t="shared" si="134"/>
        <v>-4634.1303359540252</v>
      </c>
      <c r="Q780" s="62">
        <f t="shared" si="135"/>
        <v>-0.27159084100345265</v>
      </c>
      <c r="R780" s="62">
        <f t="shared" si="136"/>
        <v>14853.575548456771</v>
      </c>
      <c r="S780" s="62">
        <f t="shared" si="137"/>
        <v>21614.464129904482</v>
      </c>
      <c r="T780" s="62">
        <f t="shared" si="138"/>
        <v>21693.513274996942</v>
      </c>
      <c r="U780" s="62">
        <f t="shared" si="139"/>
        <v>21469.824210229766</v>
      </c>
      <c r="V780" s="62">
        <f t="shared" si="129"/>
        <v>1</v>
      </c>
      <c r="W780" s="62">
        <f t="shared" si="129"/>
        <v>0</v>
      </c>
      <c r="X780" s="62">
        <f t="shared" si="129"/>
        <v>0</v>
      </c>
      <c r="Y780" s="62">
        <f t="shared" si="129"/>
        <v>0</v>
      </c>
      <c r="AA780" s="94"/>
    </row>
    <row r="781" spans="2:27" x14ac:dyDescent="0.2">
      <c r="B781" s="94"/>
      <c r="C781" s="62">
        <v>742</v>
      </c>
      <c r="D781" s="62">
        <v>9038.4317722342512</v>
      </c>
      <c r="E781" s="62">
        <v>0.61747311575809483</v>
      </c>
      <c r="F781" s="62">
        <v>12998.409469897735</v>
      </c>
      <c r="G781" s="62">
        <v>0.89470368164152736</v>
      </c>
      <c r="H781" s="62">
        <v>13025.147061136737</v>
      </c>
      <c r="I781" s="62">
        <v>0.89682650971934896</v>
      </c>
      <c r="J781" s="62">
        <v>12947.872549049549</v>
      </c>
      <c r="K781" s="62">
        <v>0.89000075277831392</v>
      </c>
      <c r="L781" s="62">
        <f t="shared" si="130"/>
        <v>-3959.9776976634839</v>
      </c>
      <c r="M781" s="62">
        <f t="shared" si="131"/>
        <v>-0.27723056588343253</v>
      </c>
      <c r="N781" s="62">
        <f t="shared" si="132"/>
        <v>-3986.7152889024856</v>
      </c>
      <c r="O781" s="62">
        <f t="shared" si="133"/>
        <v>-0.27935339396125414</v>
      </c>
      <c r="P781" s="62">
        <f t="shared" si="134"/>
        <v>-3909.4407768152978</v>
      </c>
      <c r="Q781" s="62">
        <f t="shared" si="135"/>
        <v>-0.27252763702021909</v>
      </c>
      <c r="R781" s="62">
        <f t="shared" si="136"/>
        <v>16539.77457492907</v>
      </c>
      <c r="S781" s="62">
        <f t="shared" si="137"/>
        <v>24063.795838420898</v>
      </c>
      <c r="T781" s="62">
        <f t="shared" si="138"/>
        <v>24124.994277477574</v>
      </c>
      <c r="U781" s="62">
        <f t="shared" si="139"/>
        <v>23919.518634039327</v>
      </c>
      <c r="V781" s="62">
        <f t="shared" si="129"/>
        <v>1</v>
      </c>
      <c r="W781" s="62">
        <f t="shared" si="129"/>
        <v>0</v>
      </c>
      <c r="X781" s="62">
        <f t="shared" si="129"/>
        <v>0</v>
      </c>
      <c r="Y781" s="62">
        <f t="shared" si="129"/>
        <v>0</v>
      </c>
      <c r="AA781" s="94"/>
    </row>
    <row r="782" spans="2:27" x14ac:dyDescent="0.2">
      <c r="B782" s="94"/>
      <c r="C782" s="62">
        <v>743</v>
      </c>
      <c r="D782" s="62">
        <v>10144.906096230221</v>
      </c>
      <c r="E782" s="62">
        <v>0.61740482271705976</v>
      </c>
      <c r="F782" s="62">
        <v>14577.178001110902</v>
      </c>
      <c r="G782" s="62">
        <v>0.89383190424997228</v>
      </c>
      <c r="H782" s="62">
        <v>14633.27210432933</v>
      </c>
      <c r="I782" s="62">
        <v>0.89760728691540725</v>
      </c>
      <c r="J782" s="62">
        <v>14520.946193390109</v>
      </c>
      <c r="K782" s="62">
        <v>0.88897482023581464</v>
      </c>
      <c r="L782" s="62">
        <f t="shared" si="130"/>
        <v>-4432.2719048806812</v>
      </c>
      <c r="M782" s="62">
        <f t="shared" si="131"/>
        <v>-0.27642708153291251</v>
      </c>
      <c r="N782" s="62">
        <f t="shared" si="132"/>
        <v>-4488.3660080991085</v>
      </c>
      <c r="O782" s="62">
        <f t="shared" si="133"/>
        <v>-0.28020246419834749</v>
      </c>
      <c r="P782" s="62">
        <f t="shared" si="134"/>
        <v>-4376.0400971598883</v>
      </c>
      <c r="Q782" s="62">
        <f t="shared" si="135"/>
        <v>-0.27156999751875488</v>
      </c>
      <c r="R782" s="62">
        <f t="shared" si="136"/>
        <v>15430.471280001264</v>
      </c>
      <c r="S782" s="62">
        <f t="shared" si="137"/>
        <v>22448.914800539955</v>
      </c>
      <c r="T782" s="62">
        <f t="shared" si="138"/>
        <v>22549.212148854502</v>
      </c>
      <c r="U782" s="62">
        <f t="shared" si="139"/>
        <v>22303.946760058272</v>
      </c>
      <c r="V782" s="62">
        <f t="shared" si="129"/>
        <v>1</v>
      </c>
      <c r="W782" s="62">
        <f t="shared" si="129"/>
        <v>0</v>
      </c>
      <c r="X782" s="62">
        <f t="shared" si="129"/>
        <v>0</v>
      </c>
      <c r="Y782" s="62">
        <f t="shared" si="129"/>
        <v>0</v>
      </c>
      <c r="AA782" s="94"/>
    </row>
    <row r="783" spans="2:27" x14ac:dyDescent="0.2">
      <c r="B783" s="94"/>
      <c r="C783" s="62">
        <v>744</v>
      </c>
      <c r="D783" s="62">
        <v>10263.381844766702</v>
      </c>
      <c r="E783" s="62">
        <v>0.61762903356619536</v>
      </c>
      <c r="F783" s="62">
        <v>14763.148743187247</v>
      </c>
      <c r="G783" s="62">
        <v>0.89445245122675032</v>
      </c>
      <c r="H783" s="62">
        <v>14798.098882792756</v>
      </c>
      <c r="I783" s="62">
        <v>0.89679875315114999</v>
      </c>
      <c r="J783" s="62">
        <v>14690.679035778183</v>
      </c>
      <c r="K783" s="62">
        <v>0.88892129251270591</v>
      </c>
      <c r="L783" s="62">
        <f t="shared" si="130"/>
        <v>-4499.7668984205447</v>
      </c>
      <c r="M783" s="62">
        <f t="shared" si="131"/>
        <v>-0.27682341766055496</v>
      </c>
      <c r="N783" s="62">
        <f t="shared" si="132"/>
        <v>-4534.7170380260541</v>
      </c>
      <c r="O783" s="62">
        <f t="shared" si="133"/>
        <v>-0.27916971958495462</v>
      </c>
      <c r="P783" s="62">
        <f t="shared" si="134"/>
        <v>-4427.2971910114811</v>
      </c>
      <c r="Q783" s="62">
        <f t="shared" si="135"/>
        <v>-0.27129225894651054</v>
      </c>
      <c r="R783" s="62">
        <f t="shared" si="136"/>
        <v>15321.283241679374</v>
      </c>
      <c r="S783" s="62">
        <f t="shared" si="137"/>
        <v>22288.649596429663</v>
      </c>
      <c r="T783" s="62">
        <f t="shared" si="138"/>
        <v>22350.892667740482</v>
      </c>
      <c r="U783" s="62">
        <f t="shared" si="139"/>
        <v>22131.996585268145</v>
      </c>
      <c r="V783" s="62">
        <f t="shared" si="129"/>
        <v>1</v>
      </c>
      <c r="W783" s="62">
        <f t="shared" si="129"/>
        <v>0</v>
      </c>
      <c r="X783" s="62">
        <f t="shared" si="129"/>
        <v>0</v>
      </c>
      <c r="Y783" s="62">
        <f t="shared" si="129"/>
        <v>0</v>
      </c>
      <c r="AA783" s="94"/>
    </row>
    <row r="784" spans="2:27" x14ac:dyDescent="0.2">
      <c r="B784" s="94"/>
      <c r="C784" s="62">
        <v>745</v>
      </c>
      <c r="D784" s="62">
        <v>10649.395834619692</v>
      </c>
      <c r="E784" s="62">
        <v>0.61756810822213937</v>
      </c>
      <c r="F784" s="62">
        <v>15314.167320261982</v>
      </c>
      <c r="G784" s="62">
        <v>0.89375215639304806</v>
      </c>
      <c r="H784" s="62">
        <v>15351.164655560782</v>
      </c>
      <c r="I784" s="62">
        <v>0.8962125998402628</v>
      </c>
      <c r="J784" s="62">
        <v>15253.464824804081</v>
      </c>
      <c r="K784" s="62">
        <v>0.88923028435294149</v>
      </c>
      <c r="L784" s="62">
        <f t="shared" si="130"/>
        <v>-4664.7714856422899</v>
      </c>
      <c r="M784" s="62">
        <f t="shared" si="131"/>
        <v>-0.27618404817090869</v>
      </c>
      <c r="N784" s="62">
        <f t="shared" si="132"/>
        <v>-4701.7688209410899</v>
      </c>
      <c r="O784" s="62">
        <f t="shared" si="133"/>
        <v>-0.27864449161812344</v>
      </c>
      <c r="P784" s="62">
        <f t="shared" si="134"/>
        <v>-4604.0689901843889</v>
      </c>
      <c r="Q784" s="62">
        <f t="shared" si="135"/>
        <v>-0.27166217613080212</v>
      </c>
      <c r="R784" s="62">
        <f t="shared" si="136"/>
        <v>14932.745480374208</v>
      </c>
      <c r="S784" s="62">
        <f t="shared" si="137"/>
        <v>21708.622006163638</v>
      </c>
      <c r="T784" s="62">
        <f t="shared" si="138"/>
        <v>21773.546080222266</v>
      </c>
      <c r="U784" s="62">
        <f t="shared" si="139"/>
        <v>21582.010474232164</v>
      </c>
      <c r="V784" s="62">
        <f t="shared" si="129"/>
        <v>1</v>
      </c>
      <c r="W784" s="62">
        <f t="shared" si="129"/>
        <v>0</v>
      </c>
      <c r="X784" s="62">
        <f t="shared" si="129"/>
        <v>0</v>
      </c>
      <c r="Y784" s="62">
        <f t="shared" si="129"/>
        <v>0</v>
      </c>
      <c r="AA784" s="94"/>
    </row>
    <row r="785" spans="2:27" x14ac:dyDescent="0.2">
      <c r="B785" s="94"/>
      <c r="C785" s="62">
        <v>746</v>
      </c>
      <c r="D785" s="62">
        <v>9345.5880837476889</v>
      </c>
      <c r="E785" s="62">
        <v>0.61772155790405658</v>
      </c>
      <c r="F785" s="62">
        <v>13441.843313663323</v>
      </c>
      <c r="G785" s="62">
        <v>0.89409706485113671</v>
      </c>
      <c r="H785" s="62">
        <v>13485.513972935847</v>
      </c>
      <c r="I785" s="62">
        <v>0.89738411904836901</v>
      </c>
      <c r="J785" s="62">
        <v>13388.841700541381</v>
      </c>
      <c r="K785" s="62">
        <v>0.88973695281190202</v>
      </c>
      <c r="L785" s="62">
        <f t="shared" si="130"/>
        <v>-4096.2552299156341</v>
      </c>
      <c r="M785" s="62">
        <f t="shared" si="131"/>
        <v>-0.27637550694708013</v>
      </c>
      <c r="N785" s="62">
        <f t="shared" si="132"/>
        <v>-4139.9258891881582</v>
      </c>
      <c r="O785" s="62">
        <f t="shared" si="133"/>
        <v>-0.27966256114431243</v>
      </c>
      <c r="P785" s="62">
        <f t="shared" si="134"/>
        <v>-4043.2536167936923</v>
      </c>
      <c r="Q785" s="62">
        <f t="shared" si="135"/>
        <v>-0.27201539490784543</v>
      </c>
      <c r="R785" s="62">
        <f t="shared" si="136"/>
        <v>16242.909730869951</v>
      </c>
      <c r="S785" s="62">
        <f t="shared" si="137"/>
        <v>23595.233500730159</v>
      </c>
      <c r="T785" s="62">
        <f t="shared" si="138"/>
        <v>23687.725774523788</v>
      </c>
      <c r="U785" s="62">
        <f t="shared" si="139"/>
        <v>23467.621832738849</v>
      </c>
      <c r="V785" s="62">
        <f t="shared" si="129"/>
        <v>1</v>
      </c>
      <c r="W785" s="62">
        <f t="shared" si="129"/>
        <v>0</v>
      </c>
      <c r="X785" s="62">
        <f t="shared" si="129"/>
        <v>0</v>
      </c>
      <c r="Y785" s="62">
        <f t="shared" si="129"/>
        <v>0</v>
      </c>
      <c r="AA785" s="94"/>
    </row>
    <row r="786" spans="2:27" x14ac:dyDescent="0.2">
      <c r="B786" s="94"/>
      <c r="C786" s="62">
        <v>747</v>
      </c>
      <c r="D786" s="62">
        <v>8860.2805346487985</v>
      </c>
      <c r="E786" s="62">
        <v>0.61773148694696656</v>
      </c>
      <c r="F786" s="62">
        <v>12724.488262413544</v>
      </c>
      <c r="G786" s="62">
        <v>0.89419060859773392</v>
      </c>
      <c r="H786" s="62">
        <v>12766.862237189365</v>
      </c>
      <c r="I786" s="62">
        <v>0.89760785287022438</v>
      </c>
      <c r="J786" s="62">
        <v>12671.994854004684</v>
      </c>
      <c r="K786" s="62">
        <v>0.88927772007470196</v>
      </c>
      <c r="L786" s="62">
        <f t="shared" si="130"/>
        <v>-3864.2077277647459</v>
      </c>
      <c r="M786" s="62">
        <f t="shared" si="131"/>
        <v>-0.27645912165076736</v>
      </c>
      <c r="N786" s="62">
        <f t="shared" si="132"/>
        <v>-3906.5817025405668</v>
      </c>
      <c r="O786" s="62">
        <f t="shared" si="133"/>
        <v>-0.27987636592325782</v>
      </c>
      <c r="P786" s="62">
        <f t="shared" si="134"/>
        <v>-3811.7143193558859</v>
      </c>
      <c r="Q786" s="62">
        <f t="shared" si="135"/>
        <v>-0.2715462331277354</v>
      </c>
      <c r="R786" s="62">
        <f t="shared" si="136"/>
        <v>16728.628580642344</v>
      </c>
      <c r="S786" s="62">
        <f t="shared" si="137"/>
        <v>24316.463508138986</v>
      </c>
      <c r="T786" s="62">
        <f t="shared" si="138"/>
        <v>24415.645460106811</v>
      </c>
      <c r="U786" s="62">
        <f t="shared" si="139"/>
        <v>24165.445422369768</v>
      </c>
      <c r="V786" s="62">
        <f t="shared" si="129"/>
        <v>1</v>
      </c>
      <c r="W786" s="62">
        <f t="shared" si="129"/>
        <v>0</v>
      </c>
      <c r="X786" s="62">
        <f t="shared" si="129"/>
        <v>0</v>
      </c>
      <c r="Y786" s="62">
        <f t="shared" si="129"/>
        <v>0</v>
      </c>
      <c r="AA786" s="94"/>
    </row>
    <row r="787" spans="2:27" x14ac:dyDescent="0.2">
      <c r="B787" s="94"/>
      <c r="C787" s="62">
        <v>748</v>
      </c>
      <c r="D787" s="62">
        <v>8870.6276518386294</v>
      </c>
      <c r="E787" s="62">
        <v>0.6175636423484594</v>
      </c>
      <c r="F787" s="62">
        <v>12744.326829533591</v>
      </c>
      <c r="G787" s="62">
        <v>0.8935624696867559</v>
      </c>
      <c r="H787" s="62">
        <v>12790.782471464625</v>
      </c>
      <c r="I787" s="62">
        <v>0.8973176455865457</v>
      </c>
      <c r="J787" s="62">
        <v>12704.361176065158</v>
      </c>
      <c r="K787" s="62">
        <v>0.88988655285280782</v>
      </c>
      <c r="L787" s="62">
        <f t="shared" si="130"/>
        <v>-3873.6991776949617</v>
      </c>
      <c r="M787" s="62">
        <f t="shared" si="131"/>
        <v>-0.2759988273382965</v>
      </c>
      <c r="N787" s="62">
        <f t="shared" si="132"/>
        <v>-3920.1548196259955</v>
      </c>
      <c r="O787" s="62">
        <f t="shared" si="133"/>
        <v>-0.2797540032380863</v>
      </c>
      <c r="P787" s="62">
        <f t="shared" si="134"/>
        <v>-3833.733524226529</v>
      </c>
      <c r="Q787" s="62">
        <f t="shared" si="135"/>
        <v>-0.27232291050434843</v>
      </c>
      <c r="R787" s="62">
        <f t="shared" si="136"/>
        <v>16711.328668803952</v>
      </c>
      <c r="S787" s="62">
        <f t="shared" si="137"/>
        <v>24270.604914770589</v>
      </c>
      <c r="T787" s="62">
        <f t="shared" si="138"/>
        <v>24379.703679312443</v>
      </c>
      <c r="U787" s="62">
        <f t="shared" si="139"/>
        <v>24158.299389309552</v>
      </c>
      <c r="V787" s="62">
        <f t="shared" si="129"/>
        <v>1</v>
      </c>
      <c r="W787" s="62">
        <f t="shared" si="129"/>
        <v>0</v>
      </c>
      <c r="X787" s="62">
        <f t="shared" si="129"/>
        <v>0</v>
      </c>
      <c r="Y787" s="62">
        <f t="shared" si="129"/>
        <v>0</v>
      </c>
      <c r="AA787" s="94"/>
    </row>
    <row r="788" spans="2:27" x14ac:dyDescent="0.2">
      <c r="B788" s="94"/>
      <c r="C788" s="62">
        <v>749</v>
      </c>
      <c r="D788" s="62">
        <v>9797.8054601333788</v>
      </c>
      <c r="E788" s="62">
        <v>0.61815901840987619</v>
      </c>
      <c r="F788" s="62">
        <v>14073.210457943902</v>
      </c>
      <c r="G788" s="62">
        <v>0.89434202509380001</v>
      </c>
      <c r="H788" s="62">
        <v>14105.896388891497</v>
      </c>
      <c r="I788" s="62">
        <v>0.89663446585364337</v>
      </c>
      <c r="J788" s="62">
        <v>14009.414848096254</v>
      </c>
      <c r="K788" s="62">
        <v>0.88891380561223499</v>
      </c>
      <c r="L788" s="62">
        <f t="shared" si="130"/>
        <v>-4275.4049978105231</v>
      </c>
      <c r="M788" s="62">
        <f t="shared" si="131"/>
        <v>-0.27618300668392382</v>
      </c>
      <c r="N788" s="62">
        <f t="shared" si="132"/>
        <v>-4308.090928758118</v>
      </c>
      <c r="O788" s="62">
        <f t="shared" si="133"/>
        <v>-0.27847544744376718</v>
      </c>
      <c r="P788" s="62">
        <f t="shared" si="134"/>
        <v>-4211.6093879628752</v>
      </c>
      <c r="Q788" s="62">
        <f t="shared" si="135"/>
        <v>-0.27075478720235879</v>
      </c>
      <c r="R788" s="62">
        <f t="shared" si="136"/>
        <v>15808.813718477333</v>
      </c>
      <c r="S788" s="62">
        <f t="shared" si="137"/>
        <v>22974.013589541668</v>
      </c>
      <c r="T788" s="62">
        <f t="shared" si="138"/>
        <v>23036.289724629831</v>
      </c>
      <c r="U788" s="62">
        <f t="shared" si="139"/>
        <v>22812.950635584966</v>
      </c>
      <c r="V788" s="62">
        <f t="shared" si="129"/>
        <v>1</v>
      </c>
      <c r="W788" s="62">
        <f t="shared" si="129"/>
        <v>0</v>
      </c>
      <c r="X788" s="62">
        <f t="shared" si="129"/>
        <v>0</v>
      </c>
      <c r="Y788" s="62">
        <f t="shared" si="129"/>
        <v>0</v>
      </c>
      <c r="AA788" s="94"/>
    </row>
    <row r="789" spans="2:27" x14ac:dyDescent="0.2">
      <c r="B789" s="94"/>
      <c r="C789" s="62">
        <v>750</v>
      </c>
      <c r="D789" s="62">
        <v>8206.4522511557552</v>
      </c>
      <c r="E789" s="62">
        <v>0.61744413921706864</v>
      </c>
      <c r="F789" s="62">
        <v>11789.94847539134</v>
      </c>
      <c r="G789" s="62">
        <v>0.89369953145862113</v>
      </c>
      <c r="H789" s="62">
        <v>11833.56262268132</v>
      </c>
      <c r="I789" s="62">
        <v>0.89737146896442976</v>
      </c>
      <c r="J789" s="62">
        <v>11745.38197370838</v>
      </c>
      <c r="K789" s="62">
        <v>0.88914450390772026</v>
      </c>
      <c r="L789" s="62">
        <f t="shared" si="130"/>
        <v>-3583.496224235585</v>
      </c>
      <c r="M789" s="62">
        <f t="shared" si="131"/>
        <v>-0.27625539224155249</v>
      </c>
      <c r="N789" s="62">
        <f t="shared" si="132"/>
        <v>-3627.1103715255649</v>
      </c>
      <c r="O789" s="62">
        <f t="shared" si="133"/>
        <v>-0.27992732974736112</v>
      </c>
      <c r="P789" s="62">
        <f t="shared" si="134"/>
        <v>-3538.9297225526243</v>
      </c>
      <c r="Q789" s="62">
        <f t="shared" si="135"/>
        <v>-0.27170036469065162</v>
      </c>
      <c r="R789" s="62">
        <f t="shared" si="136"/>
        <v>17370.553771772094</v>
      </c>
      <c r="S789" s="62">
        <f t="shared" si="137"/>
        <v>25230.660915750581</v>
      </c>
      <c r="T789" s="62">
        <f t="shared" si="138"/>
        <v>25339.153107701219</v>
      </c>
      <c r="U789" s="62">
        <f t="shared" si="139"/>
        <v>25086.539956165023</v>
      </c>
      <c r="V789" s="62">
        <f t="shared" si="129"/>
        <v>1</v>
      </c>
      <c r="W789" s="62">
        <f t="shared" si="129"/>
        <v>0</v>
      </c>
      <c r="X789" s="62">
        <f t="shared" si="129"/>
        <v>0</v>
      </c>
      <c r="Y789" s="62">
        <f t="shared" si="129"/>
        <v>0</v>
      </c>
      <c r="AA789" s="94"/>
    </row>
    <row r="790" spans="2:27" x14ac:dyDescent="0.2">
      <c r="B790" s="94"/>
      <c r="C790" s="62">
        <v>751</v>
      </c>
      <c r="D790" s="62">
        <v>10919.059100098075</v>
      </c>
      <c r="E790" s="62">
        <v>0.61773878210281552</v>
      </c>
      <c r="F790" s="62">
        <v>15693.942330886188</v>
      </c>
      <c r="G790" s="62">
        <v>0.89407807964858754</v>
      </c>
      <c r="H790" s="62">
        <v>15731.021032493853</v>
      </c>
      <c r="I790" s="62">
        <v>0.89640902444961679</v>
      </c>
      <c r="J790" s="62">
        <v>15641.629925271638</v>
      </c>
      <c r="K790" s="62">
        <v>0.88989152276599082</v>
      </c>
      <c r="L790" s="62">
        <f t="shared" si="130"/>
        <v>-4774.883230788113</v>
      </c>
      <c r="M790" s="62">
        <f t="shared" si="131"/>
        <v>-0.27633929754577202</v>
      </c>
      <c r="N790" s="62">
        <f t="shared" si="132"/>
        <v>-4811.9619323957777</v>
      </c>
      <c r="O790" s="62">
        <f t="shared" si="133"/>
        <v>-0.27867024234680127</v>
      </c>
      <c r="P790" s="62">
        <f t="shared" si="134"/>
        <v>-4722.5708251735632</v>
      </c>
      <c r="Q790" s="62">
        <f t="shared" si="135"/>
        <v>-0.2721527406631753</v>
      </c>
      <c r="R790" s="62">
        <f t="shared" si="136"/>
        <v>14670.152209728956</v>
      </c>
      <c r="S790" s="62">
        <f t="shared" si="137"/>
        <v>21342.3480404769</v>
      </c>
      <c r="T790" s="62">
        <f t="shared" si="138"/>
        <v>21401.826396307071</v>
      </c>
      <c r="U790" s="62">
        <f t="shared" si="139"/>
        <v>21221.236513786764</v>
      </c>
      <c r="V790" s="62">
        <f t="shared" si="129"/>
        <v>1</v>
      </c>
      <c r="W790" s="62">
        <f t="shared" si="129"/>
        <v>0</v>
      </c>
      <c r="X790" s="62">
        <f t="shared" si="129"/>
        <v>0</v>
      </c>
      <c r="Y790" s="62">
        <f t="shared" si="129"/>
        <v>0</v>
      </c>
      <c r="AA790" s="94"/>
    </row>
    <row r="791" spans="2:27" x14ac:dyDescent="0.2">
      <c r="B791" s="94"/>
      <c r="C791" s="62">
        <v>752</v>
      </c>
      <c r="D791" s="62">
        <v>9486.4323940429276</v>
      </c>
      <c r="E791" s="62">
        <v>0.61812494690599962</v>
      </c>
      <c r="F791" s="62">
        <v>13624.356445957736</v>
      </c>
      <c r="G791" s="62">
        <v>0.89376968127806344</v>
      </c>
      <c r="H791" s="62">
        <v>13671.063051400606</v>
      </c>
      <c r="I791" s="62">
        <v>0.89718892697422492</v>
      </c>
      <c r="J791" s="62">
        <v>13573.323238283941</v>
      </c>
      <c r="K791" s="62">
        <v>0.88942867387474567</v>
      </c>
      <c r="L791" s="62">
        <f t="shared" si="130"/>
        <v>-4137.9240519148079</v>
      </c>
      <c r="M791" s="62">
        <f t="shared" si="131"/>
        <v>-0.27564473437206383</v>
      </c>
      <c r="N791" s="62">
        <f t="shared" si="132"/>
        <v>-4184.6306573576785</v>
      </c>
      <c r="O791" s="62">
        <f t="shared" si="133"/>
        <v>-0.2790639800682253</v>
      </c>
      <c r="P791" s="62">
        <f t="shared" si="134"/>
        <v>-4086.8908442410138</v>
      </c>
      <c r="Q791" s="62">
        <f t="shared" si="135"/>
        <v>-0.27130372696874605</v>
      </c>
      <c r="R791" s="62">
        <f t="shared" si="136"/>
        <v>16118.775406591201</v>
      </c>
      <c r="S791" s="62">
        <f t="shared" si="137"/>
        <v>23399.158831304765</v>
      </c>
      <c r="T791" s="62">
        <f t="shared" si="138"/>
        <v>23494.091059579689</v>
      </c>
      <c r="U791" s="62">
        <f t="shared" si="139"/>
        <v>23270.370148303526</v>
      </c>
      <c r="V791" s="62">
        <f t="shared" si="129"/>
        <v>1</v>
      </c>
      <c r="W791" s="62">
        <f t="shared" si="129"/>
        <v>0</v>
      </c>
      <c r="X791" s="62">
        <f t="shared" si="129"/>
        <v>0</v>
      </c>
      <c r="Y791" s="62">
        <f t="shared" si="129"/>
        <v>0</v>
      </c>
      <c r="AA791" s="94"/>
    </row>
    <row r="792" spans="2:27" x14ac:dyDescent="0.2">
      <c r="B792" s="94"/>
      <c r="C792" s="62">
        <v>753</v>
      </c>
      <c r="D792" s="62">
        <v>11763.116728445812</v>
      </c>
      <c r="E792" s="62">
        <v>0.61761618985769928</v>
      </c>
      <c r="F792" s="62">
        <v>16939.238353191224</v>
      </c>
      <c r="G792" s="62">
        <v>0.89473342790055899</v>
      </c>
      <c r="H792" s="62">
        <v>16987.578903356698</v>
      </c>
      <c r="I792" s="62">
        <v>0.89767053626353133</v>
      </c>
      <c r="J792" s="62">
        <v>16858.170841501051</v>
      </c>
      <c r="K792" s="62">
        <v>0.88951742706039771</v>
      </c>
      <c r="L792" s="62">
        <f t="shared" si="130"/>
        <v>-5176.1216247454122</v>
      </c>
      <c r="M792" s="62">
        <f t="shared" si="131"/>
        <v>-0.2771172380428597</v>
      </c>
      <c r="N792" s="62">
        <f t="shared" si="132"/>
        <v>-5224.4621749108865</v>
      </c>
      <c r="O792" s="62">
        <f t="shared" si="133"/>
        <v>-0.28005434640583204</v>
      </c>
      <c r="P792" s="62">
        <f t="shared" si="134"/>
        <v>-5095.0541130552392</v>
      </c>
      <c r="Q792" s="62">
        <f t="shared" si="135"/>
        <v>-0.27190123720269843</v>
      </c>
      <c r="R792" s="62">
        <f t="shared" si="136"/>
        <v>13821.016320219524</v>
      </c>
      <c r="S792" s="62">
        <f t="shared" si="137"/>
        <v>20124.199164161535</v>
      </c>
      <c r="T792" s="62">
        <f t="shared" si="138"/>
        <v>20197.525390823823</v>
      </c>
      <c r="U792" s="62">
        <f t="shared" si="139"/>
        <v>19989.199057048863</v>
      </c>
      <c r="V792" s="62">
        <f t="shared" si="129"/>
        <v>1</v>
      </c>
      <c r="W792" s="62">
        <f t="shared" si="129"/>
        <v>0</v>
      </c>
      <c r="X792" s="62">
        <f t="shared" si="129"/>
        <v>0</v>
      </c>
      <c r="Y792" s="62">
        <f t="shared" si="129"/>
        <v>0</v>
      </c>
      <c r="AA792" s="94"/>
    </row>
    <row r="793" spans="2:27" x14ac:dyDescent="0.2">
      <c r="B793" s="94"/>
      <c r="C793" s="62">
        <v>754</v>
      </c>
      <c r="D793" s="62">
        <v>13186.330202944217</v>
      </c>
      <c r="E793" s="62">
        <v>0.61755160217772687</v>
      </c>
      <c r="F793" s="62">
        <v>18986.205491801502</v>
      </c>
      <c r="G793" s="62">
        <v>0.89397527385841991</v>
      </c>
      <c r="H793" s="62">
        <v>19043.935886031173</v>
      </c>
      <c r="I793" s="62">
        <v>0.89696386238737746</v>
      </c>
      <c r="J793" s="62">
        <v>18901.092831063172</v>
      </c>
      <c r="K793" s="62">
        <v>0.88910924152382065</v>
      </c>
      <c r="L793" s="62">
        <f t="shared" si="130"/>
        <v>-5799.8752888572853</v>
      </c>
      <c r="M793" s="62">
        <f t="shared" si="131"/>
        <v>-0.27642367168069304</v>
      </c>
      <c r="N793" s="62">
        <f t="shared" si="132"/>
        <v>-5857.6056830869566</v>
      </c>
      <c r="O793" s="62">
        <f t="shared" si="133"/>
        <v>-0.2794122602096506</v>
      </c>
      <c r="P793" s="62">
        <f t="shared" si="134"/>
        <v>-5714.762628118955</v>
      </c>
      <c r="Q793" s="62">
        <f t="shared" si="135"/>
        <v>-0.27155763934609378</v>
      </c>
      <c r="R793" s="62">
        <f t="shared" si="136"/>
        <v>12395.12736566594</v>
      </c>
      <c r="S793" s="62">
        <f t="shared" si="137"/>
        <v>18045.826252509683</v>
      </c>
      <c r="T793" s="62">
        <f t="shared" si="138"/>
        <v>18111.895149503554</v>
      </c>
      <c r="U793" s="62">
        <f t="shared" si="139"/>
        <v>17929.368389819574</v>
      </c>
      <c r="V793" s="62">
        <f t="shared" si="129"/>
        <v>1</v>
      </c>
      <c r="W793" s="62">
        <f t="shared" si="129"/>
        <v>0</v>
      </c>
      <c r="X793" s="62">
        <f t="shared" si="129"/>
        <v>0</v>
      </c>
      <c r="Y793" s="62">
        <f t="shared" si="129"/>
        <v>0</v>
      </c>
      <c r="AA793" s="94"/>
    </row>
    <row r="794" spans="2:27" x14ac:dyDescent="0.2">
      <c r="B794" s="94"/>
      <c r="C794" s="62">
        <v>755</v>
      </c>
      <c r="D794" s="62">
        <v>11969.284910225681</v>
      </c>
      <c r="E794" s="62">
        <v>0.61730791018170361</v>
      </c>
      <c r="F794" s="62">
        <v>17229.917882654972</v>
      </c>
      <c r="G794" s="62">
        <v>0.89456538811602615</v>
      </c>
      <c r="H794" s="62">
        <v>17271.265454289463</v>
      </c>
      <c r="I794" s="62">
        <v>0.8967641025487163</v>
      </c>
      <c r="J794" s="62">
        <v>17148.0472424453</v>
      </c>
      <c r="K794" s="62">
        <v>0.88910780057712147</v>
      </c>
      <c r="L794" s="62">
        <f t="shared" si="130"/>
        <v>-5260.6329724292918</v>
      </c>
      <c r="M794" s="62">
        <f t="shared" si="131"/>
        <v>-0.27725747793432254</v>
      </c>
      <c r="N794" s="62">
        <f t="shared" si="132"/>
        <v>-5301.9805440637829</v>
      </c>
      <c r="O794" s="62">
        <f t="shared" si="133"/>
        <v>-0.27945619236701269</v>
      </c>
      <c r="P794" s="62">
        <f t="shared" si="134"/>
        <v>-5178.7623322196196</v>
      </c>
      <c r="Q794" s="62">
        <f t="shared" si="135"/>
        <v>-0.27179989039541785</v>
      </c>
      <c r="R794" s="62">
        <f t="shared" si="136"/>
        <v>13602.077961141211</v>
      </c>
      <c r="S794" s="62">
        <f t="shared" si="137"/>
        <v>19826.558754663292</v>
      </c>
      <c r="T794" s="62">
        <f t="shared" si="138"/>
        <v>19876.290729688564</v>
      </c>
      <c r="U794" s="62">
        <f t="shared" si="139"/>
        <v>19682.354288661376</v>
      </c>
      <c r="V794" s="62">
        <f t="shared" si="129"/>
        <v>1</v>
      </c>
      <c r="W794" s="62">
        <f t="shared" si="129"/>
        <v>0</v>
      </c>
      <c r="X794" s="62">
        <f t="shared" si="129"/>
        <v>0</v>
      </c>
      <c r="Y794" s="62">
        <f t="shared" si="129"/>
        <v>0</v>
      </c>
      <c r="AA794" s="94"/>
    </row>
    <row r="795" spans="2:27" x14ac:dyDescent="0.2">
      <c r="B795" s="94"/>
      <c r="C795" s="62">
        <v>756</v>
      </c>
      <c r="D795" s="62">
        <v>7597.1300914311614</v>
      </c>
      <c r="E795" s="62">
        <v>0.6173903837202267</v>
      </c>
      <c r="F795" s="62">
        <v>10904.706389234936</v>
      </c>
      <c r="G795" s="62">
        <v>0.89407186168986574</v>
      </c>
      <c r="H795" s="62">
        <v>10934.396206657813</v>
      </c>
      <c r="I795" s="62">
        <v>0.89688587162751676</v>
      </c>
      <c r="J795" s="62">
        <v>10863.681570377186</v>
      </c>
      <c r="K795" s="62">
        <v>0.88934294533305447</v>
      </c>
      <c r="L795" s="62">
        <f t="shared" si="130"/>
        <v>-3307.5762978037747</v>
      </c>
      <c r="M795" s="62">
        <f t="shared" si="131"/>
        <v>-0.27668147796963904</v>
      </c>
      <c r="N795" s="62">
        <f t="shared" si="132"/>
        <v>-3337.2661152266519</v>
      </c>
      <c r="O795" s="62">
        <f t="shared" si="133"/>
        <v>-0.27949548790729006</v>
      </c>
      <c r="P795" s="62">
        <f t="shared" si="134"/>
        <v>-3266.5514789460249</v>
      </c>
      <c r="Q795" s="62">
        <f t="shared" si="135"/>
        <v>-0.27195256161282777</v>
      </c>
      <c r="R795" s="62">
        <f t="shared" si="136"/>
        <v>17977.649163795508</v>
      </c>
      <c r="S795" s="62">
        <f t="shared" si="137"/>
        <v>26131.326409406061</v>
      </c>
      <c r="T795" s="62">
        <f t="shared" si="138"/>
        <v>26218.204139640442</v>
      </c>
      <c r="U795" s="62">
        <f t="shared" si="139"/>
        <v>25976.460597099263</v>
      </c>
      <c r="V795" s="62">
        <f t="shared" si="129"/>
        <v>1</v>
      </c>
      <c r="W795" s="62">
        <f t="shared" si="129"/>
        <v>0</v>
      </c>
      <c r="X795" s="62">
        <f t="shared" si="129"/>
        <v>0</v>
      </c>
      <c r="Y795" s="62">
        <f t="shared" si="129"/>
        <v>0</v>
      </c>
      <c r="AA795" s="94"/>
    </row>
    <row r="796" spans="2:27" x14ac:dyDescent="0.2">
      <c r="B796" s="94"/>
      <c r="C796" s="62">
        <v>757</v>
      </c>
      <c r="D796" s="62">
        <v>12303.596588414728</v>
      </c>
      <c r="E796" s="62">
        <v>0.6175221925198251</v>
      </c>
      <c r="F796" s="62">
        <v>17706.987961893468</v>
      </c>
      <c r="G796" s="62">
        <v>0.8945689382819374</v>
      </c>
      <c r="H796" s="62">
        <v>17766.072013371351</v>
      </c>
      <c r="I796" s="62">
        <v>0.89787499618412536</v>
      </c>
      <c r="J796" s="62">
        <v>17617.441383336343</v>
      </c>
      <c r="K796" s="62">
        <v>0.88896507060876651</v>
      </c>
      <c r="L796" s="62">
        <f t="shared" si="130"/>
        <v>-5403.3913734787402</v>
      </c>
      <c r="M796" s="62">
        <f t="shared" si="131"/>
        <v>-0.2770467457621123</v>
      </c>
      <c r="N796" s="62">
        <f t="shared" si="132"/>
        <v>-5462.4754249566231</v>
      </c>
      <c r="O796" s="62">
        <f t="shared" si="133"/>
        <v>-0.28035280366430027</v>
      </c>
      <c r="P796" s="62">
        <f t="shared" si="134"/>
        <v>-5313.8447949216152</v>
      </c>
      <c r="Q796" s="62">
        <f t="shared" si="135"/>
        <v>-0.27144287808894141</v>
      </c>
      <c r="R796" s="62">
        <f t="shared" si="136"/>
        <v>13276.642714526506</v>
      </c>
      <c r="S796" s="62">
        <f t="shared" si="137"/>
        <v>19349.635737497509</v>
      </c>
      <c r="T796" s="62">
        <f t="shared" si="138"/>
        <v>19427.50182855986</v>
      </c>
      <c r="U796" s="62">
        <f t="shared" si="139"/>
        <v>19207.047701561198</v>
      </c>
      <c r="V796" s="62">
        <f t="shared" si="129"/>
        <v>1</v>
      </c>
      <c r="W796" s="62">
        <f t="shared" si="129"/>
        <v>0</v>
      </c>
      <c r="X796" s="62">
        <f t="shared" si="129"/>
        <v>0</v>
      </c>
      <c r="Y796" s="62">
        <f t="shared" si="129"/>
        <v>0</v>
      </c>
      <c r="AA796" s="94"/>
    </row>
    <row r="797" spans="2:27" x14ac:dyDescent="0.2">
      <c r="B797" s="94"/>
      <c r="C797" s="62">
        <v>758</v>
      </c>
      <c r="D797" s="62">
        <v>9756.9792837427121</v>
      </c>
      <c r="E797" s="62">
        <v>0.61737591925549473</v>
      </c>
      <c r="F797" s="62">
        <v>14026.552100161512</v>
      </c>
      <c r="G797" s="62">
        <v>0.89415186322763163</v>
      </c>
      <c r="H797" s="62">
        <v>14068.191021012488</v>
      </c>
      <c r="I797" s="62">
        <v>0.89697854625208806</v>
      </c>
      <c r="J797" s="62">
        <v>13977.996375915762</v>
      </c>
      <c r="K797" s="62">
        <v>0.88977233511961706</v>
      </c>
      <c r="L797" s="62">
        <f t="shared" si="130"/>
        <v>-4269.5728164188004</v>
      </c>
      <c r="M797" s="62">
        <f t="shared" si="131"/>
        <v>-0.2767759439721369</v>
      </c>
      <c r="N797" s="62">
        <f t="shared" si="132"/>
        <v>-4311.2117372697758</v>
      </c>
      <c r="O797" s="62">
        <f t="shared" si="133"/>
        <v>-0.27960262699659333</v>
      </c>
      <c r="P797" s="62">
        <f t="shared" si="134"/>
        <v>-4221.0170921730496</v>
      </c>
      <c r="Q797" s="62">
        <f t="shared" si="135"/>
        <v>-0.27239641586412233</v>
      </c>
      <c r="R797" s="62">
        <f t="shared" si="136"/>
        <v>15817.200795496901</v>
      </c>
      <c r="S797" s="62">
        <f t="shared" si="137"/>
        <v>23012.794682179898</v>
      </c>
      <c r="T797" s="62">
        <f t="shared" si="138"/>
        <v>23088.24827893401</v>
      </c>
      <c r="U797" s="62">
        <f t="shared" si="139"/>
        <v>22879.932834079256</v>
      </c>
      <c r="V797" s="62">
        <f t="shared" si="129"/>
        <v>1</v>
      </c>
      <c r="W797" s="62">
        <f t="shared" si="129"/>
        <v>0</v>
      </c>
      <c r="X797" s="62">
        <f t="shared" si="129"/>
        <v>0</v>
      </c>
      <c r="Y797" s="62">
        <f t="shared" si="129"/>
        <v>0</v>
      </c>
      <c r="AA797" s="94"/>
    </row>
    <row r="798" spans="2:27" x14ac:dyDescent="0.2">
      <c r="B798" s="94"/>
      <c r="C798" s="62">
        <v>759</v>
      </c>
      <c r="D798" s="62">
        <v>9452.7725018529582</v>
      </c>
      <c r="E798" s="62">
        <v>0.61768335537811292</v>
      </c>
      <c r="F798" s="62">
        <v>13574.542857979128</v>
      </c>
      <c r="G798" s="62">
        <v>0.89406005302471991</v>
      </c>
      <c r="H798" s="62">
        <v>13609.452707756829</v>
      </c>
      <c r="I798" s="62">
        <v>0.89662436530943224</v>
      </c>
      <c r="J798" s="62">
        <v>13532.341757502307</v>
      </c>
      <c r="K798" s="62">
        <v>0.8900239075262415</v>
      </c>
      <c r="L798" s="62">
        <f t="shared" si="130"/>
        <v>-4121.7703561261696</v>
      </c>
      <c r="M798" s="62">
        <f t="shared" si="131"/>
        <v>-0.27637669764660699</v>
      </c>
      <c r="N798" s="62">
        <f t="shared" si="132"/>
        <v>-4156.680205903871</v>
      </c>
      <c r="O798" s="62">
        <f t="shared" si="133"/>
        <v>-0.27894100993131932</v>
      </c>
      <c r="P798" s="62">
        <f t="shared" si="134"/>
        <v>-4079.5692556493486</v>
      </c>
      <c r="Q798" s="62">
        <f t="shared" si="135"/>
        <v>-0.27234055214812858</v>
      </c>
      <c r="R798" s="62">
        <f t="shared" si="136"/>
        <v>16134.14281132999</v>
      </c>
      <c r="S798" s="62">
        <f t="shared" si="137"/>
        <v>23461.000778516871</v>
      </c>
      <c r="T798" s="62">
        <f t="shared" si="138"/>
        <v>23532.315000821094</v>
      </c>
      <c r="U798" s="62">
        <f t="shared" si="139"/>
        <v>23336.008587864722</v>
      </c>
      <c r="V798" s="62">
        <f t="shared" si="129"/>
        <v>1</v>
      </c>
      <c r="W798" s="62">
        <f t="shared" si="129"/>
        <v>0</v>
      </c>
      <c r="X798" s="62">
        <f t="shared" si="129"/>
        <v>0</v>
      </c>
      <c r="Y798" s="62">
        <f t="shared" si="129"/>
        <v>0</v>
      </c>
      <c r="AA798" s="94"/>
    </row>
    <row r="799" spans="2:27" x14ac:dyDescent="0.2">
      <c r="B799" s="94"/>
      <c r="C799" s="62">
        <v>760</v>
      </c>
      <c r="D799" s="62">
        <v>12386.018344790908</v>
      </c>
      <c r="E799" s="62">
        <v>0.61787929374742534</v>
      </c>
      <c r="F799" s="62">
        <v>17824.441046592921</v>
      </c>
      <c r="G799" s="62">
        <v>0.89460196319443941</v>
      </c>
      <c r="H799" s="62">
        <v>17870.014189113575</v>
      </c>
      <c r="I799" s="62">
        <v>0.89706971696890614</v>
      </c>
      <c r="J799" s="62">
        <v>17737.796450557875</v>
      </c>
      <c r="K799" s="62">
        <v>0.88917357224217086</v>
      </c>
      <c r="L799" s="62">
        <f t="shared" si="130"/>
        <v>-5438.4227018020138</v>
      </c>
      <c r="M799" s="62">
        <f t="shared" si="131"/>
        <v>-0.27672266944701407</v>
      </c>
      <c r="N799" s="62">
        <f t="shared" si="132"/>
        <v>-5483.9958443226678</v>
      </c>
      <c r="O799" s="62">
        <f t="shared" si="133"/>
        <v>-0.2791904232214808</v>
      </c>
      <c r="P799" s="62">
        <f t="shared" si="134"/>
        <v>-5351.7781057669672</v>
      </c>
      <c r="Q799" s="62">
        <f t="shared" si="135"/>
        <v>-0.27129427849474552</v>
      </c>
      <c r="R799" s="62">
        <f t="shared" si="136"/>
        <v>13209.013519402441</v>
      </c>
      <c r="S799" s="62">
        <f t="shared" si="137"/>
        <v>19233.550676773539</v>
      </c>
      <c r="T799" s="62">
        <f t="shared" si="138"/>
        <v>19290.201766606395</v>
      </c>
      <c r="U799" s="62">
        <f t="shared" si="139"/>
        <v>19095.329606001807</v>
      </c>
      <c r="V799" s="62">
        <f t="shared" si="129"/>
        <v>1</v>
      </c>
      <c r="W799" s="62">
        <f t="shared" si="129"/>
        <v>0</v>
      </c>
      <c r="X799" s="62">
        <f t="shared" si="129"/>
        <v>0</v>
      </c>
      <c r="Y799" s="62">
        <f t="shared" si="129"/>
        <v>0</v>
      </c>
      <c r="AA799" s="94"/>
    </row>
    <row r="800" spans="2:27" x14ac:dyDescent="0.2">
      <c r="B800" s="94"/>
      <c r="C800" s="62">
        <v>761</v>
      </c>
      <c r="D800" s="62">
        <v>11491.588416039149</v>
      </c>
      <c r="E800" s="62">
        <v>0.61773167025585929</v>
      </c>
      <c r="F800" s="62">
        <v>16530.083229705007</v>
      </c>
      <c r="G800" s="62">
        <v>0.89453985634670452</v>
      </c>
      <c r="H800" s="62">
        <v>16584.977630562993</v>
      </c>
      <c r="I800" s="62">
        <v>0.89778473398843095</v>
      </c>
      <c r="J800" s="62">
        <v>16450.17182419185</v>
      </c>
      <c r="K800" s="62">
        <v>0.88900603644065457</v>
      </c>
      <c r="L800" s="62">
        <f t="shared" si="130"/>
        <v>-5038.4948136658586</v>
      </c>
      <c r="M800" s="62">
        <f t="shared" si="131"/>
        <v>-0.27680818609084523</v>
      </c>
      <c r="N800" s="62">
        <f t="shared" si="132"/>
        <v>-5093.3892145238442</v>
      </c>
      <c r="O800" s="62">
        <f t="shared" si="133"/>
        <v>-0.28005306373257166</v>
      </c>
      <c r="P800" s="62">
        <f t="shared" si="134"/>
        <v>-4958.5834081527009</v>
      </c>
      <c r="Q800" s="62">
        <f t="shared" si="135"/>
        <v>-0.27127436618479528</v>
      </c>
      <c r="R800" s="62">
        <f t="shared" si="136"/>
        <v>14097.328292639568</v>
      </c>
      <c r="S800" s="62">
        <f t="shared" si="137"/>
        <v>20525.335779600879</v>
      </c>
      <c r="T800" s="62">
        <f t="shared" si="138"/>
        <v>20604.857190173774</v>
      </c>
      <c r="U800" s="62">
        <f t="shared" si="139"/>
        <v>20376.014229325825</v>
      </c>
      <c r="V800" s="62">
        <f t="shared" si="129"/>
        <v>1</v>
      </c>
      <c r="W800" s="62">
        <f t="shared" si="129"/>
        <v>0</v>
      </c>
      <c r="X800" s="62">
        <f t="shared" si="129"/>
        <v>0</v>
      </c>
      <c r="Y800" s="62">
        <f t="shared" si="129"/>
        <v>0</v>
      </c>
      <c r="AA800" s="94"/>
    </row>
    <row r="801" spans="2:27" x14ac:dyDescent="0.2">
      <c r="B801" s="94"/>
      <c r="C801" s="62">
        <v>762</v>
      </c>
      <c r="D801" s="62">
        <v>9286.7849398398193</v>
      </c>
      <c r="E801" s="62">
        <v>0.61769934993658626</v>
      </c>
      <c r="F801" s="62">
        <v>13339.766067808814</v>
      </c>
      <c r="G801" s="62">
        <v>0.89386380305231017</v>
      </c>
      <c r="H801" s="62">
        <v>13380.933078930904</v>
      </c>
      <c r="I801" s="62">
        <v>0.89704909484395212</v>
      </c>
      <c r="J801" s="62">
        <v>13280.414142480457</v>
      </c>
      <c r="K801" s="62">
        <v>0.88872937780304362</v>
      </c>
      <c r="L801" s="62">
        <f t="shared" si="130"/>
        <v>-4052.9811279689948</v>
      </c>
      <c r="M801" s="62">
        <f t="shared" si="131"/>
        <v>-0.27616445311572391</v>
      </c>
      <c r="N801" s="62">
        <f t="shared" si="132"/>
        <v>-4094.1481390910849</v>
      </c>
      <c r="O801" s="62">
        <f t="shared" si="133"/>
        <v>-0.27934974490736586</v>
      </c>
      <c r="P801" s="62">
        <f t="shared" si="134"/>
        <v>-3993.6292026406372</v>
      </c>
      <c r="Q801" s="62">
        <f t="shared" si="135"/>
        <v>-0.27103002786645736</v>
      </c>
      <c r="R801" s="62">
        <f t="shared" si="136"/>
        <v>16300.792931933329</v>
      </c>
      <c r="S801" s="62">
        <f t="shared" si="137"/>
        <v>23687.648109830079</v>
      </c>
      <c r="T801" s="62">
        <f t="shared" si="138"/>
        <v>23778.428625884968</v>
      </c>
      <c r="U801" s="62">
        <f t="shared" si="139"/>
        <v>23534.311603632821</v>
      </c>
      <c r="V801" s="62">
        <f t="shared" si="129"/>
        <v>1</v>
      </c>
      <c r="W801" s="62">
        <f t="shared" si="129"/>
        <v>0</v>
      </c>
      <c r="X801" s="62">
        <f t="shared" si="129"/>
        <v>0</v>
      </c>
      <c r="Y801" s="62">
        <f t="shared" si="129"/>
        <v>0</v>
      </c>
      <c r="AA801" s="94"/>
    </row>
    <row r="802" spans="2:27" x14ac:dyDescent="0.2">
      <c r="B802" s="94"/>
      <c r="C802" s="62">
        <v>763</v>
      </c>
      <c r="D802" s="62">
        <v>10939.586325433782</v>
      </c>
      <c r="E802" s="62">
        <v>0.61733485517700271</v>
      </c>
      <c r="F802" s="62">
        <v>15735.628398855813</v>
      </c>
      <c r="G802" s="62">
        <v>0.89406245554220265</v>
      </c>
      <c r="H802" s="62">
        <v>15781.66408735776</v>
      </c>
      <c r="I802" s="62">
        <v>0.89691723166256854</v>
      </c>
      <c r="J802" s="62">
        <v>15682.035277280323</v>
      </c>
      <c r="K802" s="62">
        <v>0.88998718771804586</v>
      </c>
      <c r="L802" s="62">
        <f t="shared" si="130"/>
        <v>-4796.0420734220315</v>
      </c>
      <c r="M802" s="62">
        <f t="shared" si="131"/>
        <v>-0.27672760036519994</v>
      </c>
      <c r="N802" s="62">
        <f t="shared" si="132"/>
        <v>-4842.077761923978</v>
      </c>
      <c r="O802" s="62">
        <f t="shared" si="133"/>
        <v>-0.27958237648556583</v>
      </c>
      <c r="P802" s="62">
        <f t="shared" si="134"/>
        <v>-4742.4489518465416</v>
      </c>
      <c r="Q802" s="62">
        <f t="shared" si="135"/>
        <v>-0.27265233254104315</v>
      </c>
      <c r="R802" s="62">
        <f t="shared" si="136"/>
        <v>14632.892715418377</v>
      </c>
      <c r="S802" s="62">
        <f t="shared" si="137"/>
        <v>21300.014759524391</v>
      </c>
      <c r="T802" s="62">
        <f t="shared" si="138"/>
        <v>21372.235317032482</v>
      </c>
      <c r="U802" s="62">
        <f t="shared" si="139"/>
        <v>21184.793986752011</v>
      </c>
      <c r="V802" s="62">
        <f t="shared" si="129"/>
        <v>1</v>
      </c>
      <c r="W802" s="62">
        <f t="shared" si="129"/>
        <v>0</v>
      </c>
      <c r="X802" s="62">
        <f t="shared" si="129"/>
        <v>0</v>
      </c>
      <c r="Y802" s="62">
        <f t="shared" si="129"/>
        <v>0</v>
      </c>
      <c r="AA802" s="94"/>
    </row>
    <row r="803" spans="2:27" x14ac:dyDescent="0.2">
      <c r="B803" s="94"/>
      <c r="C803" s="62">
        <v>764</v>
      </c>
      <c r="D803" s="62">
        <v>11440.784981278961</v>
      </c>
      <c r="E803" s="62">
        <v>0.61734270690559023</v>
      </c>
      <c r="F803" s="62">
        <v>16461.525472803416</v>
      </c>
      <c r="G803" s="62">
        <v>0.89408741414410098</v>
      </c>
      <c r="H803" s="62">
        <v>16522.582807665112</v>
      </c>
      <c r="I803" s="62">
        <v>0.89781244938456672</v>
      </c>
      <c r="J803" s="62">
        <v>16389.791249823375</v>
      </c>
      <c r="K803" s="62">
        <v>0.88906387216256455</v>
      </c>
      <c r="L803" s="62">
        <f t="shared" si="130"/>
        <v>-5020.7404915244551</v>
      </c>
      <c r="M803" s="62">
        <f t="shared" si="131"/>
        <v>-0.27674470723851075</v>
      </c>
      <c r="N803" s="62">
        <f t="shared" si="132"/>
        <v>-5081.7978263861514</v>
      </c>
      <c r="O803" s="62">
        <f t="shared" si="133"/>
        <v>-0.28046974247897649</v>
      </c>
      <c r="P803" s="62">
        <f t="shared" si="134"/>
        <v>-4949.0062685444136</v>
      </c>
      <c r="Q803" s="62">
        <f t="shared" si="135"/>
        <v>-0.27172116525697432</v>
      </c>
      <c r="R803" s="62">
        <f t="shared" si="136"/>
        <v>14132.019309578209</v>
      </c>
      <c r="S803" s="62">
        <f t="shared" si="137"/>
        <v>20575.151570701822</v>
      </c>
      <c r="T803" s="62">
        <f t="shared" si="138"/>
        <v>20668.40009564118</v>
      </c>
      <c r="U803" s="62">
        <f t="shared" si="139"/>
        <v>20438.790590638699</v>
      </c>
      <c r="V803" s="62">
        <f t="shared" si="129"/>
        <v>1</v>
      </c>
      <c r="W803" s="62">
        <f t="shared" si="129"/>
        <v>0</v>
      </c>
      <c r="X803" s="62">
        <f t="shared" si="129"/>
        <v>0</v>
      </c>
      <c r="Y803" s="62">
        <f t="shared" si="129"/>
        <v>0</v>
      </c>
      <c r="AA803" s="94"/>
    </row>
    <row r="804" spans="2:27" x14ac:dyDescent="0.2">
      <c r="B804" s="94"/>
      <c r="C804" s="62">
        <v>765</v>
      </c>
      <c r="D804" s="62">
        <v>9860.9539779005354</v>
      </c>
      <c r="E804" s="62">
        <v>0.61784072510565025</v>
      </c>
      <c r="F804" s="62">
        <v>14169.74766692981</v>
      </c>
      <c r="G804" s="62">
        <v>0.89472318650727434</v>
      </c>
      <c r="H804" s="62">
        <v>14208.123312664115</v>
      </c>
      <c r="I804" s="62">
        <v>0.89734854693699284</v>
      </c>
      <c r="J804" s="62">
        <v>14105.126198112146</v>
      </c>
      <c r="K804" s="62">
        <v>0.88922683960421711</v>
      </c>
      <c r="L804" s="62">
        <f t="shared" si="130"/>
        <v>-4308.7936890292749</v>
      </c>
      <c r="M804" s="62">
        <f t="shared" si="131"/>
        <v>-0.27688246140162409</v>
      </c>
      <c r="N804" s="62">
        <f t="shared" si="132"/>
        <v>-4347.1693347635792</v>
      </c>
      <c r="O804" s="62">
        <f t="shared" si="133"/>
        <v>-0.2795078218313426</v>
      </c>
      <c r="P804" s="62">
        <f t="shared" si="134"/>
        <v>-4244.1722202116107</v>
      </c>
      <c r="Q804" s="62">
        <f t="shared" si="135"/>
        <v>-0.27138611449856687</v>
      </c>
      <c r="R804" s="62">
        <f t="shared" si="136"/>
        <v>15732.48021887592</v>
      </c>
      <c r="S804" s="62">
        <f t="shared" si="137"/>
        <v>22893.265610947521</v>
      </c>
      <c r="T804" s="62">
        <f t="shared" si="138"/>
        <v>22963.642895653873</v>
      </c>
      <c r="U804" s="62">
        <f t="shared" si="139"/>
        <v>22730.206405652945</v>
      </c>
      <c r="V804" s="62">
        <f t="shared" si="129"/>
        <v>1</v>
      </c>
      <c r="W804" s="62">
        <f t="shared" si="129"/>
        <v>0</v>
      </c>
      <c r="X804" s="62">
        <f t="shared" si="129"/>
        <v>0</v>
      </c>
      <c r="Y804" s="62">
        <f t="shared" si="129"/>
        <v>0</v>
      </c>
      <c r="AA804" s="94"/>
    </row>
    <row r="805" spans="2:27" x14ac:dyDescent="0.2">
      <c r="B805" s="94"/>
      <c r="C805" s="62">
        <v>766</v>
      </c>
      <c r="D805" s="62">
        <v>9111.6476277082274</v>
      </c>
      <c r="E805" s="62">
        <v>0.61759329447642008</v>
      </c>
      <c r="F805" s="62">
        <v>13091.312341559609</v>
      </c>
      <c r="G805" s="62">
        <v>0.89399485534424983</v>
      </c>
      <c r="H805" s="62">
        <v>13134.933839684107</v>
      </c>
      <c r="I805" s="62">
        <v>0.89732126836913373</v>
      </c>
      <c r="J805" s="62">
        <v>13034.954849735237</v>
      </c>
      <c r="K805" s="62">
        <v>0.88900743351757161</v>
      </c>
      <c r="L805" s="62">
        <f t="shared" si="130"/>
        <v>-3979.6647138513817</v>
      </c>
      <c r="M805" s="62">
        <f t="shared" si="131"/>
        <v>-0.27640156086782974</v>
      </c>
      <c r="N805" s="62">
        <f t="shared" si="132"/>
        <v>-4023.2862119758793</v>
      </c>
      <c r="O805" s="62">
        <f t="shared" si="133"/>
        <v>-0.27972797389271364</v>
      </c>
      <c r="P805" s="62">
        <f t="shared" si="134"/>
        <v>-3923.3072220270096</v>
      </c>
      <c r="Q805" s="62">
        <f t="shared" si="135"/>
        <v>-0.27141413904115153</v>
      </c>
      <c r="R805" s="62">
        <f t="shared" si="136"/>
        <v>16471.537002682999</v>
      </c>
      <c r="S805" s="62">
        <f t="shared" si="137"/>
        <v>23941.530546220598</v>
      </c>
      <c r="T805" s="62">
        <f t="shared" si="138"/>
        <v>24035.702381238894</v>
      </c>
      <c r="U805" s="62">
        <f t="shared" si="139"/>
        <v>23791.289076296649</v>
      </c>
      <c r="V805" s="62">
        <f t="shared" si="129"/>
        <v>1</v>
      </c>
      <c r="W805" s="62">
        <f t="shared" si="129"/>
        <v>0</v>
      </c>
      <c r="X805" s="62">
        <f t="shared" si="129"/>
        <v>0</v>
      </c>
      <c r="Y805" s="62">
        <f t="shared" si="129"/>
        <v>0</v>
      </c>
      <c r="AA805" s="94"/>
    </row>
    <row r="806" spans="2:27" x14ac:dyDescent="0.2">
      <c r="B806" s="94"/>
      <c r="C806" s="62">
        <v>767</v>
      </c>
      <c r="D806" s="62">
        <v>10465.110692973003</v>
      </c>
      <c r="E806" s="62">
        <v>0.61767973283859412</v>
      </c>
      <c r="F806" s="62">
        <v>15059.45156269974</v>
      </c>
      <c r="G806" s="62">
        <v>0.89457768125100756</v>
      </c>
      <c r="H806" s="62">
        <v>15097.096857432953</v>
      </c>
      <c r="I806" s="62">
        <v>0.8971674330565883</v>
      </c>
      <c r="J806" s="62">
        <v>14982.017156352442</v>
      </c>
      <c r="K806" s="62">
        <v>0.88894331177422736</v>
      </c>
      <c r="L806" s="62">
        <f t="shared" si="130"/>
        <v>-4594.3408697267369</v>
      </c>
      <c r="M806" s="62">
        <f t="shared" si="131"/>
        <v>-0.27689794841241344</v>
      </c>
      <c r="N806" s="62">
        <f t="shared" si="132"/>
        <v>-4631.9861644599496</v>
      </c>
      <c r="O806" s="62">
        <f t="shared" si="133"/>
        <v>-0.27948770021799418</v>
      </c>
      <c r="P806" s="62">
        <f t="shared" si="134"/>
        <v>-4516.9064633794387</v>
      </c>
      <c r="Q806" s="62">
        <f t="shared" si="135"/>
        <v>-0.27126357893563324</v>
      </c>
      <c r="R806" s="62">
        <f t="shared" si="136"/>
        <v>15121.654560132918</v>
      </c>
      <c r="S806" s="62">
        <f t="shared" si="137"/>
        <v>21997.534305442001</v>
      </c>
      <c r="T806" s="62">
        <f t="shared" si="138"/>
        <v>22067.166889503162</v>
      </c>
      <c r="U806" s="62">
        <f t="shared" si="139"/>
        <v>21841.570590583149</v>
      </c>
      <c r="V806" s="62">
        <f t="shared" si="129"/>
        <v>1</v>
      </c>
      <c r="W806" s="62">
        <f t="shared" si="129"/>
        <v>0</v>
      </c>
      <c r="X806" s="62">
        <f t="shared" si="129"/>
        <v>0</v>
      </c>
      <c r="Y806" s="62">
        <f t="shared" ref="Y806:Y869" si="140">IF(MIN($R806:$U806)=U806,1,0)</f>
        <v>0</v>
      </c>
      <c r="AA806" s="94"/>
    </row>
    <row r="807" spans="2:27" x14ac:dyDescent="0.2">
      <c r="B807" s="94"/>
      <c r="C807" s="62">
        <v>768</v>
      </c>
      <c r="D807" s="62">
        <v>12338.797155014308</v>
      </c>
      <c r="E807" s="62">
        <v>0.61739286823154926</v>
      </c>
      <c r="F807" s="62">
        <v>17770.528183469403</v>
      </c>
      <c r="G807" s="62">
        <v>0.89479135629970818</v>
      </c>
      <c r="H807" s="62">
        <v>17831.967339543618</v>
      </c>
      <c r="I807" s="62">
        <v>0.89814821171615544</v>
      </c>
      <c r="J807" s="62">
        <v>17696.867850400613</v>
      </c>
      <c r="K807" s="62">
        <v>0.89002717588054847</v>
      </c>
      <c r="L807" s="62">
        <f t="shared" si="130"/>
        <v>-5431.7310284550949</v>
      </c>
      <c r="M807" s="62">
        <f t="shared" si="131"/>
        <v>-0.27739848806815892</v>
      </c>
      <c r="N807" s="62">
        <f t="shared" si="132"/>
        <v>-5493.1701845293101</v>
      </c>
      <c r="O807" s="62">
        <f t="shared" si="133"/>
        <v>-0.28075534348460618</v>
      </c>
      <c r="P807" s="62">
        <f t="shared" si="134"/>
        <v>-5358.0706953863046</v>
      </c>
      <c r="Q807" s="62">
        <f t="shared" si="135"/>
        <v>-0.27263430764899921</v>
      </c>
      <c r="R807" s="62">
        <f t="shared" si="136"/>
        <v>13236.085018609388</v>
      </c>
      <c r="S807" s="62">
        <f t="shared" si="137"/>
        <v>19295.308959889706</v>
      </c>
      <c r="T807" s="62">
        <f t="shared" si="138"/>
        <v>19372.924182586401</v>
      </c>
      <c r="U807" s="62">
        <f t="shared" si="139"/>
        <v>19171.61788327523</v>
      </c>
      <c r="V807" s="62">
        <f t="shared" ref="V807:Y870" si="141">IF(MIN($R807:$U807)=R807,1,0)</f>
        <v>1</v>
      </c>
      <c r="W807" s="62">
        <f t="shared" si="141"/>
        <v>0</v>
      </c>
      <c r="X807" s="62">
        <f t="shared" si="141"/>
        <v>0</v>
      </c>
      <c r="Y807" s="62">
        <f t="shared" si="140"/>
        <v>0</v>
      </c>
      <c r="AA807" s="94"/>
    </row>
    <row r="808" spans="2:27" x14ac:dyDescent="0.2">
      <c r="B808" s="94"/>
      <c r="C808" s="62">
        <v>769</v>
      </c>
      <c r="D808" s="62">
        <v>11448.829723999415</v>
      </c>
      <c r="E808" s="62">
        <v>0.61769548691487941</v>
      </c>
      <c r="F808" s="62">
        <v>16483.441734582982</v>
      </c>
      <c r="G808" s="62">
        <v>0.89487480576593414</v>
      </c>
      <c r="H808" s="62">
        <v>16513.379994422899</v>
      </c>
      <c r="I808" s="62">
        <v>0.89673383302783405</v>
      </c>
      <c r="J808" s="62">
        <v>16400.979831739776</v>
      </c>
      <c r="K808" s="62">
        <v>0.88941230317684317</v>
      </c>
      <c r="L808" s="62">
        <f t="shared" ref="L808:L871" si="142">IF($C808&lt;=No_of_iterations_PSA,D808-$F808,"")</f>
        <v>-5034.6120105835671</v>
      </c>
      <c r="M808" s="62">
        <f t="shared" ref="M808:M871" si="143">IF($C808&lt;=No_of_iterations_PSA,E808-$G808,"")</f>
        <v>-0.27717931885105473</v>
      </c>
      <c r="N808" s="62">
        <f t="shared" ref="N808:N871" si="144">IF($C808&lt;=No_of_iterations_PSA,D808-$H808,"")</f>
        <v>-5064.5502704234841</v>
      </c>
      <c r="O808" s="62">
        <f t="shared" ref="O808:O871" si="145">IF($C808&lt;=No_of_iterations_PSA,E808-$I808,"")</f>
        <v>-0.27903834611295464</v>
      </c>
      <c r="P808" s="62">
        <f t="shared" ref="P808:P871" si="146">IF($C808&lt;=No_of_iterations_PSA,D808-$J808,"")</f>
        <v>-4952.1501077403609</v>
      </c>
      <c r="Q808" s="62">
        <f t="shared" ref="Q808:Q871" si="147">IF($C808&lt;=No_of_iterations_PSA,E808-$K808,"")</f>
        <v>-0.27171681626196376</v>
      </c>
      <c r="R808" s="62">
        <f t="shared" ref="R808:R871" si="148">IF($C808&lt;=No_of_iterations_PSA,E808*c_WTP-D808,"")</f>
        <v>14138.588125962548</v>
      </c>
      <c r="S808" s="62">
        <f t="shared" ref="S808:S871" si="149">IF($C808&lt;=No_of_iterations_PSA,G808*c_WTP-F808,"")</f>
        <v>20585.852219465076</v>
      </c>
      <c r="T808" s="62">
        <f t="shared" ref="T808:T871" si="150">IF($C808&lt;=No_of_iterations_PSA,I808*c_WTP-H808,"")</f>
        <v>20632.9223049221</v>
      </c>
      <c r="U808" s="62">
        <f t="shared" ref="U808:U871" si="151">IF($C808&lt;=No_of_iterations_PSA,K808*c_WTP-J808,"")</f>
        <v>20442.035415057773</v>
      </c>
      <c r="V808" s="62">
        <f t="shared" si="141"/>
        <v>1</v>
      </c>
      <c r="W808" s="62">
        <f t="shared" si="141"/>
        <v>0</v>
      </c>
      <c r="X808" s="62">
        <f t="shared" si="141"/>
        <v>0</v>
      </c>
      <c r="Y808" s="62">
        <f t="shared" si="140"/>
        <v>0</v>
      </c>
      <c r="AA808" s="94"/>
    </row>
    <row r="809" spans="2:27" x14ac:dyDescent="0.2">
      <c r="B809" s="94"/>
      <c r="C809" s="62">
        <v>770</v>
      </c>
      <c r="D809" s="62">
        <v>11254.909696803223</v>
      </c>
      <c r="E809" s="62">
        <v>0.61760735710440906</v>
      </c>
      <c r="F809" s="62">
        <v>16182.218099744656</v>
      </c>
      <c r="G809" s="62">
        <v>0.89369505913438774</v>
      </c>
      <c r="H809" s="62">
        <v>16246.613413036781</v>
      </c>
      <c r="I809" s="62">
        <v>0.89760082781277273</v>
      </c>
      <c r="J809" s="62">
        <v>16124.484490281537</v>
      </c>
      <c r="K809" s="62">
        <v>0.88949278660917841</v>
      </c>
      <c r="L809" s="62">
        <f t="shared" si="142"/>
        <v>-4927.3084029414331</v>
      </c>
      <c r="M809" s="62">
        <f t="shared" si="143"/>
        <v>-0.27608770202997868</v>
      </c>
      <c r="N809" s="62">
        <f t="shared" si="144"/>
        <v>-4991.7037162335582</v>
      </c>
      <c r="O809" s="62">
        <f t="shared" si="145"/>
        <v>-0.27999347070836367</v>
      </c>
      <c r="P809" s="62">
        <f t="shared" si="146"/>
        <v>-4869.5747934783139</v>
      </c>
      <c r="Q809" s="62">
        <f t="shared" si="147"/>
        <v>-0.27188542950476935</v>
      </c>
      <c r="R809" s="62">
        <f t="shared" si="148"/>
        <v>14328.857463889819</v>
      </c>
      <c r="S809" s="62">
        <f t="shared" si="149"/>
        <v>20838.20602983822</v>
      </c>
      <c r="T809" s="62">
        <f t="shared" si="150"/>
        <v>20935.603278279516</v>
      </c>
      <c r="U809" s="62">
        <f t="shared" si="151"/>
        <v>20721.86470221707</v>
      </c>
      <c r="V809" s="62">
        <f t="shared" si="141"/>
        <v>1</v>
      </c>
      <c r="W809" s="62">
        <f t="shared" si="141"/>
        <v>0</v>
      </c>
      <c r="X809" s="62">
        <f t="shared" si="141"/>
        <v>0</v>
      </c>
      <c r="Y809" s="62">
        <f t="shared" si="140"/>
        <v>0</v>
      </c>
      <c r="AA809" s="94"/>
    </row>
    <row r="810" spans="2:27" x14ac:dyDescent="0.2">
      <c r="B810" s="94"/>
      <c r="C810" s="62">
        <v>771</v>
      </c>
      <c r="D810" s="62">
        <v>9388.9272318903641</v>
      </c>
      <c r="E810" s="62">
        <v>0.61764149001372437</v>
      </c>
      <c r="F810" s="62">
        <v>13487.851525364917</v>
      </c>
      <c r="G810" s="62">
        <v>0.89329871715456566</v>
      </c>
      <c r="H810" s="62">
        <v>13535.773386432847</v>
      </c>
      <c r="I810" s="62">
        <v>0.89694348137452584</v>
      </c>
      <c r="J810" s="62">
        <v>13451.944614736061</v>
      </c>
      <c r="K810" s="62">
        <v>0.88995471715792329</v>
      </c>
      <c r="L810" s="62">
        <f t="shared" si="142"/>
        <v>-4098.9242934745525</v>
      </c>
      <c r="M810" s="62">
        <f t="shared" si="143"/>
        <v>-0.27565722714084129</v>
      </c>
      <c r="N810" s="62">
        <f t="shared" si="144"/>
        <v>-4146.8461545424834</v>
      </c>
      <c r="O810" s="62">
        <f t="shared" si="145"/>
        <v>-0.27930199136080147</v>
      </c>
      <c r="P810" s="62">
        <f t="shared" si="146"/>
        <v>-4063.0173828456973</v>
      </c>
      <c r="Q810" s="62">
        <f t="shared" si="147"/>
        <v>-0.27231322714419892</v>
      </c>
      <c r="R810" s="62">
        <f t="shared" si="148"/>
        <v>16196.253850438155</v>
      </c>
      <c r="S810" s="62">
        <f t="shared" si="149"/>
        <v>23516.154534045811</v>
      </c>
      <c r="T810" s="62">
        <f t="shared" si="150"/>
        <v>23619.213386025513</v>
      </c>
      <c r="U810" s="62">
        <f t="shared" si="151"/>
        <v>23413.539588813754</v>
      </c>
      <c r="V810" s="62">
        <f t="shared" si="141"/>
        <v>1</v>
      </c>
      <c r="W810" s="62">
        <f t="shared" si="141"/>
        <v>0</v>
      </c>
      <c r="X810" s="62">
        <f t="shared" si="141"/>
        <v>0</v>
      </c>
      <c r="Y810" s="62">
        <f t="shared" si="140"/>
        <v>0</v>
      </c>
      <c r="AA810" s="94"/>
    </row>
    <row r="811" spans="2:27" x14ac:dyDescent="0.2">
      <c r="B811" s="94"/>
      <c r="C811" s="62">
        <v>772</v>
      </c>
      <c r="D811" s="62">
        <v>9703.6211378945009</v>
      </c>
      <c r="E811" s="62">
        <v>0.61770385490727242</v>
      </c>
      <c r="F811" s="62">
        <v>13955.304588020594</v>
      </c>
      <c r="G811" s="62">
        <v>0.89448273498793673</v>
      </c>
      <c r="H811" s="62">
        <v>13995.165181388125</v>
      </c>
      <c r="I811" s="62">
        <v>0.89742049107569277</v>
      </c>
      <c r="J811" s="62">
        <v>13900.448155303535</v>
      </c>
      <c r="K811" s="62">
        <v>0.8899561844345848</v>
      </c>
      <c r="L811" s="62">
        <f t="shared" si="142"/>
        <v>-4251.6834501260928</v>
      </c>
      <c r="M811" s="62">
        <f t="shared" si="143"/>
        <v>-0.27677888008066431</v>
      </c>
      <c r="N811" s="62">
        <f t="shared" si="144"/>
        <v>-4291.5440434936245</v>
      </c>
      <c r="O811" s="62">
        <f t="shared" si="145"/>
        <v>-0.27971663616842035</v>
      </c>
      <c r="P811" s="62">
        <f t="shared" si="146"/>
        <v>-4196.8270174090339</v>
      </c>
      <c r="Q811" s="62">
        <f t="shared" si="147"/>
        <v>-0.27225232952731238</v>
      </c>
      <c r="R811" s="62">
        <f t="shared" si="148"/>
        <v>15884.143347784353</v>
      </c>
      <c r="S811" s="62">
        <f t="shared" si="149"/>
        <v>23097.748226119696</v>
      </c>
      <c r="T811" s="62">
        <f t="shared" si="150"/>
        <v>23179.581240931373</v>
      </c>
      <c r="U811" s="62">
        <f t="shared" si="151"/>
        <v>22965.096828714704</v>
      </c>
      <c r="V811" s="62">
        <f t="shared" si="141"/>
        <v>1</v>
      </c>
      <c r="W811" s="62">
        <f t="shared" si="141"/>
        <v>0</v>
      </c>
      <c r="X811" s="62">
        <f t="shared" si="141"/>
        <v>0</v>
      </c>
      <c r="Y811" s="62">
        <f t="shared" si="140"/>
        <v>0</v>
      </c>
      <c r="AA811" s="94"/>
    </row>
    <row r="812" spans="2:27" x14ac:dyDescent="0.2">
      <c r="B812" s="94"/>
      <c r="C812" s="62">
        <v>773</v>
      </c>
      <c r="D812" s="62">
        <v>11557.016731938744</v>
      </c>
      <c r="E812" s="62">
        <v>0.6182013815781302</v>
      </c>
      <c r="F812" s="62">
        <v>16617.990038802887</v>
      </c>
      <c r="G812" s="62">
        <v>0.89501422397674768</v>
      </c>
      <c r="H812" s="62">
        <v>16657.322980202938</v>
      </c>
      <c r="I812" s="62">
        <v>0.89728365572984237</v>
      </c>
      <c r="J812" s="62">
        <v>16536.905280538849</v>
      </c>
      <c r="K812" s="62">
        <v>0.88936610658105719</v>
      </c>
      <c r="L812" s="62">
        <f t="shared" si="142"/>
        <v>-5060.9733068641435</v>
      </c>
      <c r="M812" s="62">
        <f t="shared" si="143"/>
        <v>-0.27681284239861748</v>
      </c>
      <c r="N812" s="62">
        <f t="shared" si="144"/>
        <v>-5100.3062482641944</v>
      </c>
      <c r="O812" s="62">
        <f t="shared" si="145"/>
        <v>-0.27908227415171216</v>
      </c>
      <c r="P812" s="62">
        <f t="shared" si="146"/>
        <v>-4979.8885486001054</v>
      </c>
      <c r="Q812" s="62">
        <f t="shared" si="147"/>
        <v>-0.27116472500292699</v>
      </c>
      <c r="R812" s="62">
        <f t="shared" si="148"/>
        <v>14051.357298553721</v>
      </c>
      <c r="S812" s="62">
        <f t="shared" si="149"/>
        <v>20457.079175209907</v>
      </c>
      <c r="T812" s="62">
        <f t="shared" si="150"/>
        <v>20511.755174750055</v>
      </c>
      <c r="U812" s="62">
        <f t="shared" si="151"/>
        <v>20304.196318474867</v>
      </c>
      <c r="V812" s="62">
        <f t="shared" si="141"/>
        <v>1</v>
      </c>
      <c r="W812" s="62">
        <f t="shared" si="141"/>
        <v>0</v>
      </c>
      <c r="X812" s="62">
        <f t="shared" si="141"/>
        <v>0</v>
      </c>
      <c r="Y812" s="62">
        <f t="shared" si="140"/>
        <v>0</v>
      </c>
      <c r="AA812" s="94"/>
    </row>
    <row r="813" spans="2:27" x14ac:dyDescent="0.2">
      <c r="B813" s="94"/>
      <c r="C813" s="62">
        <v>774</v>
      </c>
      <c r="D813" s="62">
        <v>9965.5136005042987</v>
      </c>
      <c r="E813" s="62">
        <v>0.61784078107442086</v>
      </c>
      <c r="F813" s="62">
        <v>14322.498564101239</v>
      </c>
      <c r="G813" s="62">
        <v>0.89394605111699399</v>
      </c>
      <c r="H813" s="62">
        <v>14358.160462324884</v>
      </c>
      <c r="I813" s="62">
        <v>0.89649299316557018</v>
      </c>
      <c r="J813" s="62">
        <v>14272.42473920574</v>
      </c>
      <c r="K813" s="62">
        <v>0.88981879754526183</v>
      </c>
      <c r="L813" s="62">
        <f t="shared" si="142"/>
        <v>-4356.9849635969404</v>
      </c>
      <c r="M813" s="62">
        <f t="shared" si="143"/>
        <v>-0.27610527004257313</v>
      </c>
      <c r="N813" s="62">
        <f t="shared" si="144"/>
        <v>-4392.6468618205854</v>
      </c>
      <c r="O813" s="62">
        <f t="shared" si="145"/>
        <v>-0.27865221209114932</v>
      </c>
      <c r="P813" s="62">
        <f t="shared" si="146"/>
        <v>-4306.9111387014418</v>
      </c>
      <c r="Q813" s="62">
        <f t="shared" si="147"/>
        <v>-0.27197801647084097</v>
      </c>
      <c r="R813" s="62">
        <f t="shared" si="148"/>
        <v>15627.922914722512</v>
      </c>
      <c r="S813" s="62">
        <f t="shared" si="149"/>
        <v>22708.322657369121</v>
      </c>
      <c r="T813" s="62">
        <f t="shared" si="150"/>
        <v>22778.165286565694</v>
      </c>
      <c r="U813" s="62">
        <f t="shared" si="151"/>
        <v>22587.429130309185</v>
      </c>
      <c r="V813" s="62">
        <f t="shared" si="141"/>
        <v>1</v>
      </c>
      <c r="W813" s="62">
        <f t="shared" si="141"/>
        <v>0</v>
      </c>
      <c r="X813" s="62">
        <f t="shared" si="141"/>
        <v>0</v>
      </c>
      <c r="Y813" s="62">
        <f t="shared" si="140"/>
        <v>0</v>
      </c>
      <c r="AA813" s="94"/>
    </row>
    <row r="814" spans="2:27" x14ac:dyDescent="0.2">
      <c r="B814" s="94"/>
      <c r="C814" s="62">
        <v>775</v>
      </c>
      <c r="D814" s="62">
        <v>10816.575526168859</v>
      </c>
      <c r="E814" s="62">
        <v>0.61789602122416154</v>
      </c>
      <c r="F814" s="62">
        <v>15568.02359281976</v>
      </c>
      <c r="G814" s="62">
        <v>0.89495181547577918</v>
      </c>
      <c r="H814" s="62">
        <v>15588.136750502852</v>
      </c>
      <c r="I814" s="62">
        <v>0.89624688729710544</v>
      </c>
      <c r="J814" s="62">
        <v>15492.445005814716</v>
      </c>
      <c r="K814" s="62">
        <v>0.88961610645151878</v>
      </c>
      <c r="L814" s="62">
        <f t="shared" si="142"/>
        <v>-4751.4480666509007</v>
      </c>
      <c r="M814" s="62">
        <f t="shared" si="143"/>
        <v>-0.27705579425161764</v>
      </c>
      <c r="N814" s="62">
        <f t="shared" si="144"/>
        <v>-4771.5612243339929</v>
      </c>
      <c r="O814" s="62">
        <f t="shared" si="145"/>
        <v>-0.2783508660729439</v>
      </c>
      <c r="P814" s="62">
        <f t="shared" si="146"/>
        <v>-4675.8694796458567</v>
      </c>
      <c r="Q814" s="62">
        <f t="shared" si="147"/>
        <v>-0.27172008522735724</v>
      </c>
      <c r="R814" s="62">
        <f t="shared" si="148"/>
        <v>14779.149257020808</v>
      </c>
      <c r="S814" s="62">
        <f t="shared" si="149"/>
        <v>21504.460411448919</v>
      </c>
      <c r="T814" s="62">
        <f t="shared" si="150"/>
        <v>21537.994308892441</v>
      </c>
      <c r="U814" s="62">
        <f t="shared" si="151"/>
        <v>21359.012587832996</v>
      </c>
      <c r="V814" s="62">
        <f t="shared" si="141"/>
        <v>1</v>
      </c>
      <c r="W814" s="62">
        <f t="shared" si="141"/>
        <v>0</v>
      </c>
      <c r="X814" s="62">
        <f t="shared" si="141"/>
        <v>0</v>
      </c>
      <c r="Y814" s="62">
        <f t="shared" si="140"/>
        <v>0</v>
      </c>
      <c r="AA814" s="94"/>
    </row>
    <row r="815" spans="2:27" x14ac:dyDescent="0.2">
      <c r="B815" s="94"/>
      <c r="C815" s="62">
        <v>776</v>
      </c>
      <c r="D815" s="62">
        <v>10211.27827244579</v>
      </c>
      <c r="E815" s="62">
        <v>0.6173983286822381</v>
      </c>
      <c r="F815" s="62">
        <v>14690.447153398753</v>
      </c>
      <c r="G815" s="62">
        <v>0.89471914165459276</v>
      </c>
      <c r="H815" s="62">
        <v>14713.413157844483</v>
      </c>
      <c r="I815" s="62">
        <v>0.89620236433811662</v>
      </c>
      <c r="J815" s="62">
        <v>14628.18773603087</v>
      </c>
      <c r="K815" s="62">
        <v>0.88968748963546884</v>
      </c>
      <c r="L815" s="62">
        <f t="shared" si="142"/>
        <v>-4479.1688809529624</v>
      </c>
      <c r="M815" s="62">
        <f t="shared" si="143"/>
        <v>-0.27732081297235467</v>
      </c>
      <c r="N815" s="62">
        <f t="shared" si="144"/>
        <v>-4502.1348853986929</v>
      </c>
      <c r="O815" s="62">
        <f t="shared" si="145"/>
        <v>-0.27880403565587852</v>
      </c>
      <c r="P815" s="62">
        <f t="shared" si="146"/>
        <v>-4416.9094635850797</v>
      </c>
      <c r="Q815" s="62">
        <f t="shared" si="147"/>
        <v>-0.27228916095323075</v>
      </c>
      <c r="R815" s="62">
        <f t="shared" si="148"/>
        <v>15363.830094887242</v>
      </c>
      <c r="S815" s="62">
        <f t="shared" si="149"/>
        <v>22372.3985705011</v>
      </c>
      <c r="T815" s="62">
        <f t="shared" si="150"/>
        <v>22410.873582497657</v>
      </c>
      <c r="U815" s="62">
        <f t="shared" si="151"/>
        <v>22226.226834628789</v>
      </c>
      <c r="V815" s="62">
        <f t="shared" si="141"/>
        <v>1</v>
      </c>
      <c r="W815" s="62">
        <f t="shared" si="141"/>
        <v>0</v>
      </c>
      <c r="X815" s="62">
        <f t="shared" si="141"/>
        <v>0</v>
      </c>
      <c r="Y815" s="62">
        <f t="shared" si="140"/>
        <v>0</v>
      </c>
      <c r="AA815" s="94"/>
    </row>
    <row r="816" spans="2:27" x14ac:dyDescent="0.2">
      <c r="B816" s="94"/>
      <c r="C816" s="62">
        <v>777</v>
      </c>
      <c r="D816" s="62">
        <v>8052.0074995271216</v>
      </c>
      <c r="E816" s="62">
        <v>0.61746333820528376</v>
      </c>
      <c r="F816" s="62">
        <v>11563.135399103687</v>
      </c>
      <c r="G816" s="62">
        <v>0.89389635098623621</v>
      </c>
      <c r="H816" s="62">
        <v>11603.058645800869</v>
      </c>
      <c r="I816" s="62">
        <v>0.89750197986510949</v>
      </c>
      <c r="J816" s="62">
        <v>11524.483980403415</v>
      </c>
      <c r="K816" s="62">
        <v>0.88963045812809249</v>
      </c>
      <c r="L816" s="62">
        <f t="shared" si="142"/>
        <v>-3511.1278995765651</v>
      </c>
      <c r="M816" s="62">
        <f t="shared" si="143"/>
        <v>-0.27643301278095245</v>
      </c>
      <c r="N816" s="62">
        <f t="shared" si="144"/>
        <v>-3551.0511462737477</v>
      </c>
      <c r="O816" s="62">
        <f t="shared" si="145"/>
        <v>-0.28003864165982573</v>
      </c>
      <c r="P816" s="62">
        <f t="shared" si="146"/>
        <v>-3472.476480876293</v>
      </c>
      <c r="Q816" s="62">
        <f t="shared" si="147"/>
        <v>-0.27216711992280873</v>
      </c>
      <c r="R816" s="62">
        <f t="shared" si="148"/>
        <v>17525.793822288553</v>
      </c>
      <c r="S816" s="62">
        <f t="shared" si="149"/>
        <v>25465.627044150162</v>
      </c>
      <c r="T816" s="62">
        <f t="shared" si="150"/>
        <v>25575.063368131428</v>
      </c>
      <c r="U816" s="62">
        <f t="shared" si="151"/>
        <v>25327.568117094692</v>
      </c>
      <c r="V816" s="62">
        <f t="shared" si="141"/>
        <v>1</v>
      </c>
      <c r="W816" s="62">
        <f t="shared" si="141"/>
        <v>0</v>
      </c>
      <c r="X816" s="62">
        <f t="shared" si="141"/>
        <v>0</v>
      </c>
      <c r="Y816" s="62">
        <f t="shared" si="140"/>
        <v>0</v>
      </c>
      <c r="AA816" s="94"/>
    </row>
    <row r="817" spans="2:27" x14ac:dyDescent="0.2">
      <c r="B817" s="94"/>
      <c r="C817" s="62">
        <v>778</v>
      </c>
      <c r="D817" s="62">
        <v>8508.2465179224928</v>
      </c>
      <c r="E817" s="62">
        <v>0.61740553129054776</v>
      </c>
      <c r="F817" s="62">
        <v>12231.935459095786</v>
      </c>
      <c r="G817" s="62">
        <v>0.89463475003419102</v>
      </c>
      <c r="H817" s="62">
        <v>12254.576990957266</v>
      </c>
      <c r="I817" s="62">
        <v>0.89655901635804225</v>
      </c>
      <c r="J817" s="62">
        <v>12175.208838901326</v>
      </c>
      <c r="K817" s="62">
        <v>0.88922555038351347</v>
      </c>
      <c r="L817" s="62">
        <f t="shared" si="142"/>
        <v>-3723.6889411732936</v>
      </c>
      <c r="M817" s="62">
        <f t="shared" si="143"/>
        <v>-0.27722921874364326</v>
      </c>
      <c r="N817" s="62">
        <f t="shared" si="144"/>
        <v>-3746.3304730347736</v>
      </c>
      <c r="O817" s="62">
        <f t="shared" si="145"/>
        <v>-0.27915348506749449</v>
      </c>
      <c r="P817" s="62">
        <f t="shared" si="146"/>
        <v>-3666.9623209788333</v>
      </c>
      <c r="Q817" s="62">
        <f t="shared" si="147"/>
        <v>-0.27182001909296571</v>
      </c>
      <c r="R817" s="62">
        <f t="shared" si="148"/>
        <v>17067.160210257156</v>
      </c>
      <c r="S817" s="62">
        <f t="shared" si="149"/>
        <v>24827.414426320538</v>
      </c>
      <c r="T817" s="62">
        <f t="shared" si="150"/>
        <v>24884.483702658279</v>
      </c>
      <c r="U817" s="62">
        <f t="shared" si="151"/>
        <v>24660.070360185335</v>
      </c>
      <c r="V817" s="62">
        <f t="shared" si="141"/>
        <v>1</v>
      </c>
      <c r="W817" s="62">
        <f t="shared" si="141"/>
        <v>0</v>
      </c>
      <c r="X817" s="62">
        <f t="shared" si="141"/>
        <v>0</v>
      </c>
      <c r="Y817" s="62">
        <f t="shared" si="140"/>
        <v>0</v>
      </c>
      <c r="AA817" s="94"/>
    </row>
    <row r="818" spans="2:27" x14ac:dyDescent="0.2">
      <c r="B818" s="94"/>
      <c r="C818" s="62">
        <v>779</v>
      </c>
      <c r="D818" s="62">
        <v>11012.805962892357</v>
      </c>
      <c r="E818" s="62">
        <v>0.61740567941058289</v>
      </c>
      <c r="F818" s="62">
        <v>15853.125548507758</v>
      </c>
      <c r="G818" s="62">
        <v>0.89460604335468352</v>
      </c>
      <c r="H818" s="62">
        <v>15892.93290230875</v>
      </c>
      <c r="I818" s="62">
        <v>0.89715184570285911</v>
      </c>
      <c r="J818" s="62">
        <v>15786.409389943867</v>
      </c>
      <c r="K818" s="62">
        <v>0.88974264271924786</v>
      </c>
      <c r="L818" s="62">
        <f t="shared" si="142"/>
        <v>-4840.3195856154016</v>
      </c>
      <c r="M818" s="62">
        <f t="shared" si="143"/>
        <v>-0.27720036394410064</v>
      </c>
      <c r="N818" s="62">
        <f t="shared" si="144"/>
        <v>-4880.1269394163937</v>
      </c>
      <c r="O818" s="62">
        <f t="shared" si="145"/>
        <v>-0.27974616629227622</v>
      </c>
      <c r="P818" s="62">
        <f t="shared" si="146"/>
        <v>-4773.6034270515102</v>
      </c>
      <c r="Q818" s="62">
        <f t="shared" si="147"/>
        <v>-0.27233696330866497</v>
      </c>
      <c r="R818" s="62">
        <f t="shared" si="148"/>
        <v>14562.606901011628</v>
      </c>
      <c r="S818" s="62">
        <f t="shared" si="149"/>
        <v>21205.035191416653</v>
      </c>
      <c r="T818" s="62">
        <f t="shared" si="150"/>
        <v>21270.685154086488</v>
      </c>
      <c r="U818" s="62">
        <f t="shared" si="151"/>
        <v>21070.289842058257</v>
      </c>
      <c r="V818" s="62">
        <f t="shared" si="141"/>
        <v>1</v>
      </c>
      <c r="W818" s="62">
        <f t="shared" si="141"/>
        <v>0</v>
      </c>
      <c r="X818" s="62">
        <f t="shared" si="141"/>
        <v>0</v>
      </c>
      <c r="Y818" s="62">
        <f t="shared" si="140"/>
        <v>0</v>
      </c>
      <c r="AA818" s="94"/>
    </row>
    <row r="819" spans="2:27" x14ac:dyDescent="0.2">
      <c r="B819" s="94"/>
      <c r="C819" s="62">
        <v>780</v>
      </c>
      <c r="D819" s="62">
        <v>12208.099045931527</v>
      </c>
      <c r="E819" s="62">
        <v>0.61819422778478628</v>
      </c>
      <c r="F819" s="62">
        <v>17537.090275214861</v>
      </c>
      <c r="G819" s="62">
        <v>0.89377311908185297</v>
      </c>
      <c r="H819" s="62">
        <v>17611.695037950252</v>
      </c>
      <c r="I819" s="62">
        <v>0.89794279861754611</v>
      </c>
      <c r="J819" s="62">
        <v>17471.638413718167</v>
      </c>
      <c r="K819" s="62">
        <v>0.88919693548250722</v>
      </c>
      <c r="L819" s="62">
        <f t="shared" si="142"/>
        <v>-5328.9912292833342</v>
      </c>
      <c r="M819" s="62">
        <f t="shared" si="143"/>
        <v>-0.2755788912970667</v>
      </c>
      <c r="N819" s="62">
        <f t="shared" si="144"/>
        <v>-5403.5959920187252</v>
      </c>
      <c r="O819" s="62">
        <f t="shared" si="145"/>
        <v>-0.27974857083275984</v>
      </c>
      <c r="P819" s="62">
        <f t="shared" si="146"/>
        <v>-5263.5393677866396</v>
      </c>
      <c r="Q819" s="62">
        <f t="shared" si="147"/>
        <v>-0.27100270769772095</v>
      </c>
      <c r="R819" s="62">
        <f t="shared" si="148"/>
        <v>13399.978645825458</v>
      </c>
      <c r="S819" s="62">
        <f t="shared" si="149"/>
        <v>19486.567409631818</v>
      </c>
      <c r="T819" s="62">
        <f t="shared" si="150"/>
        <v>19584.68745198298</v>
      </c>
      <c r="U819" s="62">
        <f t="shared" si="151"/>
        <v>19362.455441709215</v>
      </c>
      <c r="V819" s="62">
        <f t="shared" si="141"/>
        <v>1</v>
      </c>
      <c r="W819" s="62">
        <f t="shared" si="141"/>
        <v>0</v>
      </c>
      <c r="X819" s="62">
        <f t="shared" si="141"/>
        <v>0</v>
      </c>
      <c r="Y819" s="62">
        <f t="shared" si="140"/>
        <v>0</v>
      </c>
      <c r="AA819" s="94"/>
    </row>
    <row r="820" spans="2:27" x14ac:dyDescent="0.2">
      <c r="B820" s="94"/>
      <c r="C820" s="62">
        <v>781</v>
      </c>
      <c r="D820" s="62">
        <v>8005.4103326008108</v>
      </c>
      <c r="E820" s="62">
        <v>0.61780646186906518</v>
      </c>
      <c r="F820" s="62">
        <v>11501.265714425837</v>
      </c>
      <c r="G820" s="62">
        <v>0.89444544412151994</v>
      </c>
      <c r="H820" s="62">
        <v>11527.909415361853</v>
      </c>
      <c r="I820" s="62">
        <v>0.89682781129776767</v>
      </c>
      <c r="J820" s="62">
        <v>11453.611394763075</v>
      </c>
      <c r="K820" s="62">
        <v>0.88956063345166969</v>
      </c>
      <c r="L820" s="62">
        <f t="shared" si="142"/>
        <v>-3495.8553818250266</v>
      </c>
      <c r="M820" s="62">
        <f t="shared" si="143"/>
        <v>-0.27663898225245476</v>
      </c>
      <c r="N820" s="62">
        <f t="shared" si="144"/>
        <v>-3522.4990827610427</v>
      </c>
      <c r="O820" s="62">
        <f t="shared" si="145"/>
        <v>-0.27902134942870249</v>
      </c>
      <c r="P820" s="62">
        <f t="shared" si="146"/>
        <v>-3448.201062162264</v>
      </c>
      <c r="Q820" s="62">
        <f t="shared" si="147"/>
        <v>-0.27175417158260451</v>
      </c>
      <c r="R820" s="62">
        <f t="shared" si="148"/>
        <v>17586.604543863345</v>
      </c>
      <c r="S820" s="62">
        <f t="shared" si="149"/>
        <v>25550.242362864006</v>
      </c>
      <c r="T820" s="62">
        <f t="shared" si="150"/>
        <v>25622.285839836873</v>
      </c>
      <c r="U820" s="62">
        <f t="shared" si="151"/>
        <v>25395.548285338889</v>
      </c>
      <c r="V820" s="62">
        <f t="shared" si="141"/>
        <v>1</v>
      </c>
      <c r="W820" s="62">
        <f t="shared" si="141"/>
        <v>0</v>
      </c>
      <c r="X820" s="62">
        <f t="shared" si="141"/>
        <v>0</v>
      </c>
      <c r="Y820" s="62">
        <f t="shared" si="140"/>
        <v>0</v>
      </c>
      <c r="AA820" s="94"/>
    </row>
    <row r="821" spans="2:27" x14ac:dyDescent="0.2">
      <c r="B821" s="94"/>
      <c r="C821" s="62">
        <v>782</v>
      </c>
      <c r="D821" s="62">
        <v>11801.994234986469</v>
      </c>
      <c r="E821" s="62">
        <v>0.61726728135021069</v>
      </c>
      <c r="F821" s="62">
        <v>17006.632048659387</v>
      </c>
      <c r="G821" s="62">
        <v>0.89524505763758955</v>
      </c>
      <c r="H821" s="62">
        <v>17055.18278924331</v>
      </c>
      <c r="I821" s="62">
        <v>0.89801824006753594</v>
      </c>
      <c r="J821" s="62">
        <v>16919.881695833792</v>
      </c>
      <c r="K821" s="62">
        <v>0.88953178255606247</v>
      </c>
      <c r="L821" s="62">
        <f t="shared" si="142"/>
        <v>-5204.6378136729181</v>
      </c>
      <c r="M821" s="62">
        <f t="shared" si="143"/>
        <v>-0.27797777628737885</v>
      </c>
      <c r="N821" s="62">
        <f t="shared" si="144"/>
        <v>-5253.1885542568416</v>
      </c>
      <c r="O821" s="62">
        <f t="shared" si="145"/>
        <v>-0.28075095871732525</v>
      </c>
      <c r="P821" s="62">
        <f t="shared" si="146"/>
        <v>-5117.8874608473234</v>
      </c>
      <c r="Q821" s="62">
        <f t="shared" si="147"/>
        <v>-0.27226450120585177</v>
      </c>
      <c r="R821" s="62">
        <f t="shared" si="148"/>
        <v>13767.685627664658</v>
      </c>
      <c r="S821" s="62">
        <f t="shared" si="149"/>
        <v>20077.999218920126</v>
      </c>
      <c r="T821" s="62">
        <f t="shared" si="150"/>
        <v>20144.324787314301</v>
      </c>
      <c r="U821" s="62">
        <f t="shared" si="151"/>
        <v>19928.082864768541</v>
      </c>
      <c r="V821" s="62">
        <f t="shared" si="141"/>
        <v>1</v>
      </c>
      <c r="W821" s="62">
        <f t="shared" si="141"/>
        <v>0</v>
      </c>
      <c r="X821" s="62">
        <f t="shared" si="141"/>
        <v>0</v>
      </c>
      <c r="Y821" s="62">
        <f t="shared" si="140"/>
        <v>0</v>
      </c>
      <c r="AA821" s="94"/>
    </row>
    <row r="822" spans="2:27" x14ac:dyDescent="0.2">
      <c r="B822" s="94"/>
      <c r="C822" s="62">
        <v>783</v>
      </c>
      <c r="D822" s="62">
        <v>11651.189848143373</v>
      </c>
      <c r="E822" s="62">
        <v>0.61762437388969915</v>
      </c>
      <c r="F822" s="62">
        <v>16766.261765180883</v>
      </c>
      <c r="G822" s="62">
        <v>0.89456622693789745</v>
      </c>
      <c r="H822" s="62">
        <v>16821.230756403103</v>
      </c>
      <c r="I822" s="62">
        <v>0.8977998911501428</v>
      </c>
      <c r="J822" s="62">
        <v>16684.132051966801</v>
      </c>
      <c r="K822" s="62">
        <v>0.88917511280749928</v>
      </c>
      <c r="L822" s="62">
        <f t="shared" si="142"/>
        <v>-5115.0719170375105</v>
      </c>
      <c r="M822" s="62">
        <f t="shared" si="143"/>
        <v>-0.27694185304819829</v>
      </c>
      <c r="N822" s="62">
        <f t="shared" si="144"/>
        <v>-5170.0409082597307</v>
      </c>
      <c r="O822" s="62">
        <f t="shared" si="145"/>
        <v>-0.28017551726044365</v>
      </c>
      <c r="P822" s="62">
        <f t="shared" si="146"/>
        <v>-5032.9422038234279</v>
      </c>
      <c r="Q822" s="62">
        <f t="shared" si="147"/>
        <v>-0.27155073891780013</v>
      </c>
      <c r="R822" s="62">
        <f t="shared" si="148"/>
        <v>13933.282215863526</v>
      </c>
      <c r="S822" s="62">
        <f t="shared" si="149"/>
        <v>20290.249619494578</v>
      </c>
      <c r="T822" s="62">
        <f t="shared" si="150"/>
        <v>20369.231934600411</v>
      </c>
      <c r="U822" s="62">
        <f t="shared" si="151"/>
        <v>20149.057820971051</v>
      </c>
      <c r="V822" s="62">
        <f t="shared" si="141"/>
        <v>1</v>
      </c>
      <c r="W822" s="62">
        <f t="shared" si="141"/>
        <v>0</v>
      </c>
      <c r="X822" s="62">
        <f t="shared" si="141"/>
        <v>0</v>
      </c>
      <c r="Y822" s="62">
        <f t="shared" si="140"/>
        <v>0</v>
      </c>
      <c r="AA822" s="94"/>
    </row>
    <row r="823" spans="2:27" x14ac:dyDescent="0.2">
      <c r="B823" s="94"/>
      <c r="C823" s="62">
        <v>784</v>
      </c>
      <c r="D823" s="62">
        <v>10094.445626819441</v>
      </c>
      <c r="E823" s="62">
        <v>0.61722152806212238</v>
      </c>
      <c r="F823" s="62">
        <v>14522.494865066594</v>
      </c>
      <c r="G823" s="62">
        <v>0.89414827819667253</v>
      </c>
      <c r="H823" s="62">
        <v>14571.167329793978</v>
      </c>
      <c r="I823" s="62">
        <v>0.89761205033206226</v>
      </c>
      <c r="J823" s="62">
        <v>14454.218737968054</v>
      </c>
      <c r="K823" s="62">
        <v>0.88887474362715857</v>
      </c>
      <c r="L823" s="62">
        <f t="shared" si="142"/>
        <v>-4428.049238247153</v>
      </c>
      <c r="M823" s="62">
        <f t="shared" si="143"/>
        <v>-0.27692675013455015</v>
      </c>
      <c r="N823" s="62">
        <f t="shared" si="144"/>
        <v>-4476.721702974537</v>
      </c>
      <c r="O823" s="62">
        <f t="shared" si="145"/>
        <v>-0.28039052226993988</v>
      </c>
      <c r="P823" s="62">
        <f t="shared" si="146"/>
        <v>-4359.7731111486137</v>
      </c>
      <c r="Q823" s="62">
        <f t="shared" si="147"/>
        <v>-0.27165321556503619</v>
      </c>
      <c r="R823" s="62">
        <f t="shared" si="148"/>
        <v>15473.338951625916</v>
      </c>
      <c r="S823" s="62">
        <f t="shared" si="149"/>
        <v>22516.70341095237</v>
      </c>
      <c r="T823" s="62">
        <f t="shared" si="150"/>
        <v>22611.514243161371</v>
      </c>
      <c r="U823" s="62">
        <f t="shared" si="151"/>
        <v>22366.528642043362</v>
      </c>
      <c r="V823" s="62">
        <f t="shared" si="141"/>
        <v>1</v>
      </c>
      <c r="W823" s="62">
        <f t="shared" si="141"/>
        <v>0</v>
      </c>
      <c r="X823" s="62">
        <f t="shared" si="141"/>
        <v>0</v>
      </c>
      <c r="Y823" s="62">
        <f t="shared" si="140"/>
        <v>0</v>
      </c>
      <c r="AA823" s="94"/>
    </row>
    <row r="824" spans="2:27" x14ac:dyDescent="0.2">
      <c r="B824" s="94"/>
      <c r="C824" s="62">
        <v>785</v>
      </c>
      <c r="D824" s="62">
        <v>9013.4001245041109</v>
      </c>
      <c r="E824" s="62">
        <v>0.61785597682622606</v>
      </c>
      <c r="F824" s="62">
        <v>12961.041570360589</v>
      </c>
      <c r="G824" s="62">
        <v>0.89523623819213904</v>
      </c>
      <c r="H824" s="62">
        <v>12982.247914698335</v>
      </c>
      <c r="I824" s="62">
        <v>0.89694200880290476</v>
      </c>
      <c r="J824" s="62">
        <v>12893.266035558141</v>
      </c>
      <c r="K824" s="62">
        <v>0.88925325217928031</v>
      </c>
      <c r="L824" s="62">
        <f t="shared" si="142"/>
        <v>-3947.6414458564777</v>
      </c>
      <c r="M824" s="62">
        <f t="shared" si="143"/>
        <v>-0.27738026136591298</v>
      </c>
      <c r="N824" s="62">
        <f t="shared" si="144"/>
        <v>-3968.8477901942242</v>
      </c>
      <c r="O824" s="62">
        <f t="shared" si="145"/>
        <v>-0.27908603197667869</v>
      </c>
      <c r="P824" s="62">
        <f t="shared" si="146"/>
        <v>-3879.8659110540302</v>
      </c>
      <c r="Q824" s="62">
        <f t="shared" si="147"/>
        <v>-0.27139727535305425</v>
      </c>
      <c r="R824" s="62">
        <f t="shared" si="148"/>
        <v>16580.665859545479</v>
      </c>
      <c r="S824" s="62">
        <f t="shared" si="149"/>
        <v>24123.224360510576</v>
      </c>
      <c r="T824" s="62">
        <f t="shared" si="150"/>
        <v>24172.677857953193</v>
      </c>
      <c r="U824" s="62">
        <f t="shared" si="151"/>
        <v>23943.160682716371</v>
      </c>
      <c r="V824" s="62">
        <f t="shared" si="141"/>
        <v>1</v>
      </c>
      <c r="W824" s="62">
        <f t="shared" si="141"/>
        <v>0</v>
      </c>
      <c r="X824" s="62">
        <f t="shared" si="141"/>
        <v>0</v>
      </c>
      <c r="Y824" s="62">
        <f t="shared" si="140"/>
        <v>0</v>
      </c>
      <c r="AA824" s="94"/>
    </row>
    <row r="825" spans="2:27" x14ac:dyDescent="0.2">
      <c r="B825" s="94"/>
      <c r="C825" s="62">
        <v>786</v>
      </c>
      <c r="D825" s="62">
        <v>10811.424420947753</v>
      </c>
      <c r="E825" s="62">
        <v>0.61760151711250266</v>
      </c>
      <c r="F825" s="62">
        <v>15561.070233171175</v>
      </c>
      <c r="G825" s="62">
        <v>0.89494901493230961</v>
      </c>
      <c r="H825" s="62">
        <v>15583.680630863137</v>
      </c>
      <c r="I825" s="62">
        <v>0.89639606625784984</v>
      </c>
      <c r="J825" s="62">
        <v>15485.292660899129</v>
      </c>
      <c r="K825" s="62">
        <v>0.88943896493555941</v>
      </c>
      <c r="L825" s="62">
        <f t="shared" si="142"/>
        <v>-4749.6458122234217</v>
      </c>
      <c r="M825" s="62">
        <f t="shared" si="143"/>
        <v>-0.27734749781980694</v>
      </c>
      <c r="N825" s="62">
        <f t="shared" si="144"/>
        <v>-4772.2562099153838</v>
      </c>
      <c r="O825" s="62">
        <f t="shared" si="145"/>
        <v>-0.27879454914534718</v>
      </c>
      <c r="P825" s="62">
        <f t="shared" si="146"/>
        <v>-4673.8682399513764</v>
      </c>
      <c r="Q825" s="62">
        <f t="shared" si="147"/>
        <v>-0.27183744782305674</v>
      </c>
      <c r="R825" s="62">
        <f t="shared" si="148"/>
        <v>14772.100823920557</v>
      </c>
      <c r="S825" s="62">
        <f t="shared" si="149"/>
        <v>21511.29776138482</v>
      </c>
      <c r="T825" s="62">
        <f t="shared" si="150"/>
        <v>21548.630017802039</v>
      </c>
      <c r="U825" s="62">
        <f t="shared" si="151"/>
        <v>21358.827022591486</v>
      </c>
      <c r="V825" s="62">
        <f t="shared" si="141"/>
        <v>1</v>
      </c>
      <c r="W825" s="62">
        <f t="shared" si="141"/>
        <v>0</v>
      </c>
      <c r="X825" s="62">
        <f t="shared" si="141"/>
        <v>0</v>
      </c>
      <c r="Y825" s="62">
        <f t="shared" si="140"/>
        <v>0</v>
      </c>
      <c r="AA825" s="94"/>
    </row>
    <row r="826" spans="2:27" x14ac:dyDescent="0.2">
      <c r="B826" s="94"/>
      <c r="C826" s="62">
        <v>787</v>
      </c>
      <c r="D826" s="62">
        <v>11815.772776507289</v>
      </c>
      <c r="E826" s="62">
        <v>0.6173898726059005</v>
      </c>
      <c r="F826" s="62">
        <v>16997.246415441863</v>
      </c>
      <c r="G826" s="62">
        <v>0.89304624970793622</v>
      </c>
      <c r="H826" s="62">
        <v>17068.042184689748</v>
      </c>
      <c r="I826" s="62">
        <v>0.89718073189465808</v>
      </c>
      <c r="J826" s="62">
        <v>16922.470486344369</v>
      </c>
      <c r="K826" s="62">
        <v>0.88825635246899159</v>
      </c>
      <c r="L826" s="62">
        <f t="shared" si="142"/>
        <v>-5181.4736389345744</v>
      </c>
      <c r="M826" s="62">
        <f t="shared" si="143"/>
        <v>-0.27565637710203572</v>
      </c>
      <c r="N826" s="62">
        <f t="shared" si="144"/>
        <v>-5252.2694081824593</v>
      </c>
      <c r="O826" s="62">
        <f t="shared" si="145"/>
        <v>-0.27979085928875758</v>
      </c>
      <c r="P826" s="62">
        <f t="shared" si="146"/>
        <v>-5106.6977098370808</v>
      </c>
      <c r="Q826" s="62">
        <f t="shared" si="147"/>
        <v>-0.27086647986309109</v>
      </c>
      <c r="R826" s="62">
        <f t="shared" si="148"/>
        <v>13758.985306319533</v>
      </c>
      <c r="S826" s="62">
        <f t="shared" si="149"/>
        <v>19996.301432459688</v>
      </c>
      <c r="T826" s="62">
        <f t="shared" si="150"/>
        <v>20096.77245331457</v>
      </c>
      <c r="U826" s="62">
        <f t="shared" si="151"/>
        <v>19872.660658331137</v>
      </c>
      <c r="V826" s="62">
        <f t="shared" si="141"/>
        <v>1</v>
      </c>
      <c r="W826" s="62">
        <f t="shared" si="141"/>
        <v>0</v>
      </c>
      <c r="X826" s="62">
        <f t="shared" si="141"/>
        <v>0</v>
      </c>
      <c r="Y826" s="62">
        <f t="shared" si="140"/>
        <v>0</v>
      </c>
      <c r="AA826" s="94"/>
    </row>
    <row r="827" spans="2:27" x14ac:dyDescent="0.2">
      <c r="B827" s="94"/>
      <c r="C827" s="62">
        <v>788</v>
      </c>
      <c r="D827" s="62">
        <v>10590.359611575424</v>
      </c>
      <c r="E827" s="62">
        <v>0.61770108770276189</v>
      </c>
      <c r="F827" s="62">
        <v>15221.139671291445</v>
      </c>
      <c r="G827" s="62">
        <v>0.89357329420119236</v>
      </c>
      <c r="H827" s="62">
        <v>15275.057146075691</v>
      </c>
      <c r="I827" s="62">
        <v>0.89717771760484333</v>
      </c>
      <c r="J827" s="62">
        <v>15171.899493365172</v>
      </c>
      <c r="K827" s="62">
        <v>0.88979504165080159</v>
      </c>
      <c r="L827" s="62">
        <f t="shared" si="142"/>
        <v>-4630.7800597160203</v>
      </c>
      <c r="M827" s="62">
        <f t="shared" si="143"/>
        <v>-0.27587220649843047</v>
      </c>
      <c r="N827" s="62">
        <f t="shared" si="144"/>
        <v>-4684.6975345002666</v>
      </c>
      <c r="O827" s="62">
        <f t="shared" si="145"/>
        <v>-0.27947662990208144</v>
      </c>
      <c r="P827" s="62">
        <f t="shared" si="146"/>
        <v>-4581.5398817897476</v>
      </c>
      <c r="Q827" s="62">
        <f t="shared" si="147"/>
        <v>-0.2720939539480397</v>
      </c>
      <c r="R827" s="62">
        <f t="shared" si="148"/>
        <v>14997.290245423783</v>
      </c>
      <c r="S827" s="62">
        <f t="shared" si="149"/>
        <v>21794.24046769875</v>
      </c>
      <c r="T827" s="62">
        <f t="shared" si="150"/>
        <v>21889.632627987339</v>
      </c>
      <c r="U827" s="62">
        <f t="shared" si="151"/>
        <v>21686.970311977631</v>
      </c>
      <c r="V827" s="62">
        <f t="shared" si="141"/>
        <v>1</v>
      </c>
      <c r="W827" s="62">
        <f t="shared" si="141"/>
        <v>0</v>
      </c>
      <c r="X827" s="62">
        <f t="shared" si="141"/>
        <v>0</v>
      </c>
      <c r="Y827" s="62">
        <f t="shared" si="140"/>
        <v>0</v>
      </c>
      <c r="AA827" s="94"/>
    </row>
    <row r="828" spans="2:27" x14ac:dyDescent="0.2">
      <c r="B828" s="94"/>
      <c r="C828" s="62">
        <v>789</v>
      </c>
      <c r="D828" s="62">
        <v>9926.4271695758416</v>
      </c>
      <c r="E828" s="62">
        <v>0.61739530214517258</v>
      </c>
      <c r="F828" s="62">
        <v>14275.620294186212</v>
      </c>
      <c r="G828" s="62">
        <v>0.89427714077610021</v>
      </c>
      <c r="H828" s="62">
        <v>14319.399910374037</v>
      </c>
      <c r="I828" s="62">
        <v>0.89729692101710723</v>
      </c>
      <c r="J828" s="62">
        <v>14219.212982453359</v>
      </c>
      <c r="K828" s="62">
        <v>0.88964358390755083</v>
      </c>
      <c r="L828" s="62">
        <f t="shared" si="142"/>
        <v>-4349.1931246103704</v>
      </c>
      <c r="M828" s="62">
        <f t="shared" si="143"/>
        <v>-0.27688183863092763</v>
      </c>
      <c r="N828" s="62">
        <f t="shared" si="144"/>
        <v>-4392.9727407981954</v>
      </c>
      <c r="O828" s="62">
        <f t="shared" si="145"/>
        <v>-0.27990161887193465</v>
      </c>
      <c r="P828" s="62">
        <f t="shared" si="146"/>
        <v>-4292.7858128775169</v>
      </c>
      <c r="Q828" s="62">
        <f t="shared" si="147"/>
        <v>-0.27224828176237825</v>
      </c>
      <c r="R828" s="62">
        <f t="shared" si="148"/>
        <v>15648.555826485788</v>
      </c>
      <c r="S828" s="62">
        <f t="shared" si="149"/>
        <v>22768.915985322965</v>
      </c>
      <c r="T828" s="62">
        <f t="shared" si="150"/>
        <v>22850.227745838616</v>
      </c>
      <c r="U828" s="62">
        <f t="shared" si="151"/>
        <v>22633.382837333029</v>
      </c>
      <c r="V828" s="62">
        <f t="shared" si="141"/>
        <v>1</v>
      </c>
      <c r="W828" s="62">
        <f t="shared" si="141"/>
        <v>0</v>
      </c>
      <c r="X828" s="62">
        <f t="shared" si="141"/>
        <v>0</v>
      </c>
      <c r="Y828" s="62">
        <f t="shared" si="140"/>
        <v>0</v>
      </c>
      <c r="AA828" s="94"/>
    </row>
    <row r="829" spans="2:27" x14ac:dyDescent="0.2">
      <c r="B829" s="94"/>
      <c r="C829" s="62">
        <v>790</v>
      </c>
      <c r="D829" s="62">
        <v>9190.1187679818886</v>
      </c>
      <c r="E829" s="62">
        <v>0.61734689326221903</v>
      </c>
      <c r="F829" s="62">
        <v>13216.726345111319</v>
      </c>
      <c r="G829" s="62">
        <v>0.89437915727903683</v>
      </c>
      <c r="H829" s="62">
        <v>13251.383805332758</v>
      </c>
      <c r="I829" s="62">
        <v>0.89696822587455605</v>
      </c>
      <c r="J829" s="62">
        <v>13164.657825761204</v>
      </c>
      <c r="K829" s="62">
        <v>0.88966583626521167</v>
      </c>
      <c r="L829" s="62">
        <f t="shared" si="142"/>
        <v>-4026.6075771294309</v>
      </c>
      <c r="M829" s="62">
        <f t="shared" si="143"/>
        <v>-0.2770322640168178</v>
      </c>
      <c r="N829" s="62">
        <f t="shared" si="144"/>
        <v>-4061.2650373508695</v>
      </c>
      <c r="O829" s="62">
        <f t="shared" si="145"/>
        <v>-0.27962133261233701</v>
      </c>
      <c r="P829" s="62">
        <f t="shared" si="146"/>
        <v>-3974.539057779315</v>
      </c>
      <c r="Q829" s="62">
        <f t="shared" si="147"/>
        <v>-0.27231894300299264</v>
      </c>
      <c r="R829" s="62">
        <f t="shared" si="148"/>
        <v>16382.858938512274</v>
      </c>
      <c r="S829" s="62">
        <f t="shared" si="149"/>
        <v>23832.035866015503</v>
      </c>
      <c r="T829" s="62">
        <f t="shared" si="150"/>
        <v>23904.627983294857</v>
      </c>
      <c r="U829" s="62">
        <f t="shared" si="151"/>
        <v>23688.859775688921</v>
      </c>
      <c r="V829" s="62">
        <f t="shared" si="141"/>
        <v>1</v>
      </c>
      <c r="W829" s="62">
        <f t="shared" si="141"/>
        <v>0</v>
      </c>
      <c r="X829" s="62">
        <f t="shared" si="141"/>
        <v>0</v>
      </c>
      <c r="Y829" s="62">
        <f t="shared" si="140"/>
        <v>0</v>
      </c>
      <c r="AA829" s="94"/>
    </row>
    <row r="830" spans="2:27" x14ac:dyDescent="0.2">
      <c r="B830" s="94"/>
      <c r="C830" s="62">
        <v>791</v>
      </c>
      <c r="D830" s="62">
        <v>8689.5443807265037</v>
      </c>
      <c r="E830" s="62">
        <v>0.6174059022812648</v>
      </c>
      <c r="F830" s="62">
        <v>12480.591066895962</v>
      </c>
      <c r="G830" s="62">
        <v>0.89414482435925136</v>
      </c>
      <c r="H830" s="62">
        <v>12514.351204820608</v>
      </c>
      <c r="I830" s="62">
        <v>0.89700488248991972</v>
      </c>
      <c r="J830" s="62">
        <v>12426.499655956757</v>
      </c>
      <c r="K830" s="62">
        <v>0.88889859693103368</v>
      </c>
      <c r="L830" s="62">
        <f t="shared" si="142"/>
        <v>-3791.0466861694586</v>
      </c>
      <c r="M830" s="62">
        <f t="shared" si="143"/>
        <v>-0.27673892207798656</v>
      </c>
      <c r="N830" s="62">
        <f t="shared" si="144"/>
        <v>-3824.8068240941047</v>
      </c>
      <c r="O830" s="62">
        <f t="shared" si="145"/>
        <v>-0.27959898020865492</v>
      </c>
      <c r="P830" s="62">
        <f t="shared" si="146"/>
        <v>-3736.9552752302534</v>
      </c>
      <c r="Q830" s="62">
        <f t="shared" si="147"/>
        <v>-0.27149269464976888</v>
      </c>
      <c r="R830" s="62">
        <f t="shared" si="148"/>
        <v>16885.877715372608</v>
      </c>
      <c r="S830" s="62">
        <f t="shared" si="149"/>
        <v>24558.464137361669</v>
      </c>
      <c r="T830" s="62">
        <f t="shared" si="150"/>
        <v>24643.179047441823</v>
      </c>
      <c r="U830" s="62">
        <f t="shared" si="151"/>
        <v>24395.235823314382</v>
      </c>
      <c r="V830" s="62">
        <f t="shared" si="141"/>
        <v>1</v>
      </c>
      <c r="W830" s="62">
        <f t="shared" si="141"/>
        <v>0</v>
      </c>
      <c r="X830" s="62">
        <f t="shared" si="141"/>
        <v>0</v>
      </c>
      <c r="Y830" s="62">
        <f t="shared" si="140"/>
        <v>0</v>
      </c>
      <c r="AA830" s="94"/>
    </row>
    <row r="831" spans="2:27" x14ac:dyDescent="0.2">
      <c r="B831" s="94"/>
      <c r="C831" s="62">
        <v>792</v>
      </c>
      <c r="D831" s="62">
        <v>9288.570495490967</v>
      </c>
      <c r="E831" s="62">
        <v>0.6180181720275687</v>
      </c>
      <c r="F831" s="62">
        <v>13344.798388053539</v>
      </c>
      <c r="G831" s="62">
        <v>0.89438995917480146</v>
      </c>
      <c r="H831" s="62">
        <v>13381.582046974212</v>
      </c>
      <c r="I831" s="62">
        <v>0.89722465975670607</v>
      </c>
      <c r="J831" s="62">
        <v>13288.288527826926</v>
      </c>
      <c r="K831" s="62">
        <v>0.88948426645947865</v>
      </c>
      <c r="L831" s="62">
        <f t="shared" si="142"/>
        <v>-4056.2278925625724</v>
      </c>
      <c r="M831" s="62">
        <f t="shared" si="143"/>
        <v>-0.27637178714723276</v>
      </c>
      <c r="N831" s="62">
        <f t="shared" si="144"/>
        <v>-4093.0115514832451</v>
      </c>
      <c r="O831" s="62">
        <f t="shared" si="145"/>
        <v>-0.27920648772913736</v>
      </c>
      <c r="P831" s="62">
        <f t="shared" si="146"/>
        <v>-3999.7180323359589</v>
      </c>
      <c r="Q831" s="62">
        <f t="shared" si="147"/>
        <v>-0.27146609443190994</v>
      </c>
      <c r="R831" s="62">
        <f t="shared" si="148"/>
        <v>16312.21426257904</v>
      </c>
      <c r="S831" s="62">
        <f t="shared" si="149"/>
        <v>23704.411280803433</v>
      </c>
      <c r="T831" s="62">
        <f t="shared" si="150"/>
        <v>23785.052258787582</v>
      </c>
      <c r="U831" s="62">
        <f t="shared" si="151"/>
        <v>23557.70772599052</v>
      </c>
      <c r="V831" s="62">
        <f t="shared" si="141"/>
        <v>1</v>
      </c>
      <c r="W831" s="62">
        <f t="shared" si="141"/>
        <v>0</v>
      </c>
      <c r="X831" s="62">
        <f t="shared" si="141"/>
        <v>0</v>
      </c>
      <c r="Y831" s="62">
        <f t="shared" si="140"/>
        <v>0</v>
      </c>
      <c r="AA831" s="94"/>
    </row>
    <row r="832" spans="2:27" x14ac:dyDescent="0.2">
      <c r="B832" s="94"/>
      <c r="C832" s="62">
        <v>793</v>
      </c>
      <c r="D832" s="62">
        <v>9970.9691722489843</v>
      </c>
      <c r="E832" s="62">
        <v>0.61797719034217713</v>
      </c>
      <c r="F832" s="62">
        <v>14322.782668959622</v>
      </c>
      <c r="G832" s="62">
        <v>0.89410805597604148</v>
      </c>
      <c r="H832" s="62">
        <v>14361.983753825572</v>
      </c>
      <c r="I832" s="62">
        <v>0.89674031339817162</v>
      </c>
      <c r="J832" s="62">
        <v>14265.873628707843</v>
      </c>
      <c r="K832" s="62">
        <v>0.88925494262128213</v>
      </c>
      <c r="L832" s="62">
        <f t="shared" si="142"/>
        <v>-4351.813496710638</v>
      </c>
      <c r="M832" s="62">
        <f t="shared" si="143"/>
        <v>-0.27613086563386435</v>
      </c>
      <c r="N832" s="62">
        <f t="shared" si="144"/>
        <v>-4391.0145815765882</v>
      </c>
      <c r="O832" s="62">
        <f t="shared" si="145"/>
        <v>-0.27876312305599449</v>
      </c>
      <c r="P832" s="62">
        <f t="shared" si="146"/>
        <v>-4294.9044564588585</v>
      </c>
      <c r="Q832" s="62">
        <f t="shared" si="147"/>
        <v>-0.271277752279105</v>
      </c>
      <c r="R832" s="62">
        <f t="shared" si="148"/>
        <v>15628.117960485361</v>
      </c>
      <c r="S832" s="62">
        <f t="shared" si="149"/>
        <v>22714.749441791919</v>
      </c>
      <c r="T832" s="62">
        <f t="shared" si="150"/>
        <v>22784.586988380288</v>
      </c>
      <c r="U832" s="62">
        <f t="shared" si="151"/>
        <v>22570.623114436152</v>
      </c>
      <c r="V832" s="62">
        <f t="shared" si="141"/>
        <v>1</v>
      </c>
      <c r="W832" s="62">
        <f t="shared" si="141"/>
        <v>0</v>
      </c>
      <c r="X832" s="62">
        <f t="shared" si="141"/>
        <v>0</v>
      </c>
      <c r="Y832" s="62">
        <f t="shared" si="140"/>
        <v>0</v>
      </c>
      <c r="AA832" s="94"/>
    </row>
    <row r="833" spans="2:27" x14ac:dyDescent="0.2">
      <c r="B833" s="94"/>
      <c r="C833" s="62">
        <v>794</v>
      </c>
      <c r="D833" s="62">
        <v>8935.6846801355186</v>
      </c>
      <c r="E833" s="62">
        <v>0.61780438998875298</v>
      </c>
      <c r="F833" s="62">
        <v>12844.247164639246</v>
      </c>
      <c r="G833" s="62">
        <v>0.89429045797528683</v>
      </c>
      <c r="H833" s="62">
        <v>12878.809959415599</v>
      </c>
      <c r="I833" s="62">
        <v>0.89711545003791138</v>
      </c>
      <c r="J833" s="62">
        <v>12789.405617405693</v>
      </c>
      <c r="K833" s="62">
        <v>0.88926145390940081</v>
      </c>
      <c r="L833" s="62">
        <f t="shared" si="142"/>
        <v>-3908.5624845037273</v>
      </c>
      <c r="M833" s="62">
        <f t="shared" si="143"/>
        <v>-0.27648606798653386</v>
      </c>
      <c r="N833" s="62">
        <f t="shared" si="144"/>
        <v>-3943.1252792800806</v>
      </c>
      <c r="O833" s="62">
        <f t="shared" si="145"/>
        <v>-0.2793110600491584</v>
      </c>
      <c r="P833" s="62">
        <f t="shared" si="146"/>
        <v>-3853.7209372701745</v>
      </c>
      <c r="Q833" s="62">
        <f t="shared" si="147"/>
        <v>-0.27145706392064783</v>
      </c>
      <c r="R833" s="62">
        <f t="shared" si="148"/>
        <v>16656.244370758584</v>
      </c>
      <c r="S833" s="62">
        <f t="shared" si="149"/>
        <v>24200.840766529036</v>
      </c>
      <c r="T833" s="62">
        <f t="shared" si="150"/>
        <v>24283.300442954838</v>
      </c>
      <c r="U833" s="62">
        <f t="shared" si="151"/>
        <v>24047.360849337329</v>
      </c>
      <c r="V833" s="62">
        <f t="shared" si="141"/>
        <v>1</v>
      </c>
      <c r="W833" s="62">
        <f t="shared" si="141"/>
        <v>0</v>
      </c>
      <c r="X833" s="62">
        <f t="shared" si="141"/>
        <v>0</v>
      </c>
      <c r="Y833" s="62">
        <f t="shared" si="140"/>
        <v>0</v>
      </c>
      <c r="AA833" s="94"/>
    </row>
    <row r="834" spans="2:27" x14ac:dyDescent="0.2">
      <c r="B834" s="94"/>
      <c r="C834" s="62">
        <v>795</v>
      </c>
      <c r="D834" s="62">
        <v>9605.3874567239654</v>
      </c>
      <c r="E834" s="62">
        <v>0.61770742113525456</v>
      </c>
      <c r="F834" s="62">
        <v>13814.615234702191</v>
      </c>
      <c r="G834" s="62">
        <v>0.89518267389012418</v>
      </c>
      <c r="H834" s="62">
        <v>13833.01676468048</v>
      </c>
      <c r="I834" s="62">
        <v>0.89654798338690322</v>
      </c>
      <c r="J834" s="62">
        <v>13745.747790712832</v>
      </c>
      <c r="K834" s="62">
        <v>0.88936983494479216</v>
      </c>
      <c r="L834" s="62">
        <f t="shared" si="142"/>
        <v>-4209.2277779782253</v>
      </c>
      <c r="M834" s="62">
        <f t="shared" si="143"/>
        <v>-0.27747525275486962</v>
      </c>
      <c r="N834" s="62">
        <f t="shared" si="144"/>
        <v>-4227.6293079565148</v>
      </c>
      <c r="O834" s="62">
        <f t="shared" si="145"/>
        <v>-0.27884056225164866</v>
      </c>
      <c r="P834" s="62">
        <f t="shared" si="146"/>
        <v>-4140.3603339888668</v>
      </c>
      <c r="Q834" s="62">
        <f t="shared" si="147"/>
        <v>-0.2716624138095376</v>
      </c>
      <c r="R834" s="62">
        <f t="shared" si="148"/>
        <v>15982.52475638282</v>
      </c>
      <c r="S834" s="62">
        <f t="shared" si="149"/>
        <v>23267.431848522312</v>
      </c>
      <c r="T834" s="62">
        <f t="shared" si="150"/>
        <v>23305.586899138598</v>
      </c>
      <c r="U834" s="62">
        <f t="shared" si="151"/>
        <v>23095.508252040236</v>
      </c>
      <c r="V834" s="62">
        <f t="shared" si="141"/>
        <v>1</v>
      </c>
      <c r="W834" s="62">
        <f t="shared" si="141"/>
        <v>0</v>
      </c>
      <c r="X834" s="62">
        <f t="shared" si="141"/>
        <v>0</v>
      </c>
      <c r="Y834" s="62">
        <f t="shared" si="140"/>
        <v>0</v>
      </c>
      <c r="AA834" s="94"/>
    </row>
    <row r="835" spans="2:27" x14ac:dyDescent="0.2">
      <c r="B835" s="94"/>
      <c r="C835" s="62">
        <v>796</v>
      </c>
      <c r="D835" s="62">
        <v>10989.885434839811</v>
      </c>
      <c r="E835" s="62">
        <v>0.6177147190744694</v>
      </c>
      <c r="F835" s="62">
        <v>15818.856405961416</v>
      </c>
      <c r="G835" s="62">
        <v>0.8950151902068304</v>
      </c>
      <c r="H835" s="62">
        <v>15864.876794898268</v>
      </c>
      <c r="I835" s="62">
        <v>0.89781640291517373</v>
      </c>
      <c r="J835" s="62">
        <v>15744.556032379664</v>
      </c>
      <c r="K835" s="62">
        <v>0.88957720513915328</v>
      </c>
      <c r="L835" s="62">
        <f t="shared" si="142"/>
        <v>-4828.9709711216055</v>
      </c>
      <c r="M835" s="62">
        <f t="shared" si="143"/>
        <v>-0.277300471132361</v>
      </c>
      <c r="N835" s="62">
        <f t="shared" si="144"/>
        <v>-4874.9913600584568</v>
      </c>
      <c r="O835" s="62">
        <f t="shared" si="145"/>
        <v>-0.28010168384070433</v>
      </c>
      <c r="P835" s="62">
        <f t="shared" si="146"/>
        <v>-4754.6705975398527</v>
      </c>
      <c r="Q835" s="62">
        <f t="shared" si="147"/>
        <v>-0.27186248606468388</v>
      </c>
      <c r="R835" s="62">
        <f t="shared" si="148"/>
        <v>14598.329088101009</v>
      </c>
      <c r="S835" s="62">
        <f t="shared" si="149"/>
        <v>21256.252833166327</v>
      </c>
      <c r="T835" s="62">
        <f t="shared" si="150"/>
        <v>21326.269879459887</v>
      </c>
      <c r="U835" s="62">
        <f t="shared" si="151"/>
        <v>21105.290113304622</v>
      </c>
      <c r="V835" s="62">
        <f t="shared" si="141"/>
        <v>1</v>
      </c>
      <c r="W835" s="62">
        <f t="shared" si="141"/>
        <v>0</v>
      </c>
      <c r="X835" s="62">
        <f t="shared" si="141"/>
        <v>0</v>
      </c>
      <c r="Y835" s="62">
        <f t="shared" si="140"/>
        <v>0</v>
      </c>
      <c r="AA835" s="94"/>
    </row>
    <row r="836" spans="2:27" x14ac:dyDescent="0.2">
      <c r="B836" s="94"/>
      <c r="C836" s="62">
        <v>797</v>
      </c>
      <c r="D836" s="62">
        <v>10091.416842393566</v>
      </c>
      <c r="E836" s="62">
        <v>0.61764911585609905</v>
      </c>
      <c r="F836" s="62">
        <v>14498.072799005731</v>
      </c>
      <c r="G836" s="62">
        <v>0.89374853170185942</v>
      </c>
      <c r="H836" s="62">
        <v>14555.618769639197</v>
      </c>
      <c r="I836" s="62">
        <v>0.89772747086968829</v>
      </c>
      <c r="J836" s="62">
        <v>14436.168245305525</v>
      </c>
      <c r="K836" s="62">
        <v>0.88876917197765093</v>
      </c>
      <c r="L836" s="62">
        <f t="shared" si="142"/>
        <v>-4406.655956612165</v>
      </c>
      <c r="M836" s="62">
        <f t="shared" si="143"/>
        <v>-0.27609941584576037</v>
      </c>
      <c r="N836" s="62">
        <f t="shared" si="144"/>
        <v>-4464.2019272456309</v>
      </c>
      <c r="O836" s="62">
        <f t="shared" si="145"/>
        <v>-0.28007835501358924</v>
      </c>
      <c r="P836" s="62">
        <f t="shared" si="146"/>
        <v>-4344.7514029119593</v>
      </c>
      <c r="Q836" s="62">
        <f t="shared" si="147"/>
        <v>-0.27112005612155188</v>
      </c>
      <c r="R836" s="62">
        <f t="shared" si="148"/>
        <v>15494.08013282948</v>
      </c>
      <c r="S836" s="62">
        <f t="shared" si="149"/>
        <v>22524.566378212094</v>
      </c>
      <c r="T836" s="62">
        <f t="shared" si="150"/>
        <v>22631.843983666771</v>
      </c>
      <c r="U836" s="62">
        <f t="shared" si="151"/>
        <v>22380.205934696685</v>
      </c>
      <c r="V836" s="62">
        <f t="shared" si="141"/>
        <v>1</v>
      </c>
      <c r="W836" s="62">
        <f t="shared" si="141"/>
        <v>0</v>
      </c>
      <c r="X836" s="62">
        <f t="shared" si="141"/>
        <v>0</v>
      </c>
      <c r="Y836" s="62">
        <f t="shared" si="140"/>
        <v>0</v>
      </c>
      <c r="AA836" s="94"/>
    </row>
    <row r="837" spans="2:27" x14ac:dyDescent="0.2">
      <c r="B837" s="94"/>
      <c r="C837" s="62">
        <v>798</v>
      </c>
      <c r="D837" s="62">
        <v>9717.5216727005009</v>
      </c>
      <c r="E837" s="62">
        <v>0.61747977680921107</v>
      </c>
      <c r="F837" s="62">
        <v>13978.161690271336</v>
      </c>
      <c r="G837" s="62">
        <v>0.8947338089627529</v>
      </c>
      <c r="H837" s="62">
        <v>14020.778584714331</v>
      </c>
      <c r="I837" s="62">
        <v>0.89781428325765023</v>
      </c>
      <c r="J837" s="62">
        <v>13906.419757060219</v>
      </c>
      <c r="K837" s="62">
        <v>0.88889800322534296</v>
      </c>
      <c r="L837" s="62">
        <f t="shared" si="142"/>
        <v>-4260.640017570835</v>
      </c>
      <c r="M837" s="62">
        <f t="shared" si="143"/>
        <v>-0.27725403215354183</v>
      </c>
      <c r="N837" s="62">
        <f t="shared" si="144"/>
        <v>-4303.2569120138305</v>
      </c>
      <c r="O837" s="62">
        <f t="shared" si="145"/>
        <v>-0.28033450644843916</v>
      </c>
      <c r="P837" s="62">
        <f t="shared" si="146"/>
        <v>-4188.8980843597183</v>
      </c>
      <c r="Q837" s="62">
        <f t="shared" si="147"/>
        <v>-0.27141822641613189</v>
      </c>
      <c r="R837" s="62">
        <f t="shared" si="148"/>
        <v>15860.960601844259</v>
      </c>
      <c r="S837" s="62">
        <f t="shared" si="149"/>
        <v>23085.291612201741</v>
      </c>
      <c r="T837" s="62">
        <f t="shared" si="150"/>
        <v>23170.280284950575</v>
      </c>
      <c r="U837" s="62">
        <f t="shared" si="151"/>
        <v>22915.291128546385</v>
      </c>
      <c r="V837" s="62">
        <f t="shared" si="141"/>
        <v>1</v>
      </c>
      <c r="W837" s="62">
        <f t="shared" si="141"/>
        <v>0</v>
      </c>
      <c r="X837" s="62">
        <f t="shared" si="141"/>
        <v>0</v>
      </c>
      <c r="Y837" s="62">
        <f t="shared" si="140"/>
        <v>0</v>
      </c>
      <c r="AA837" s="94"/>
    </row>
    <row r="838" spans="2:27" x14ac:dyDescent="0.2">
      <c r="B838" s="94"/>
      <c r="C838" s="62">
        <v>799</v>
      </c>
      <c r="D838" s="62">
        <v>7963.0570839946959</v>
      </c>
      <c r="E838" s="62">
        <v>0.61747665824139963</v>
      </c>
      <c r="F838" s="62">
        <v>11437.957048274788</v>
      </c>
      <c r="G838" s="62">
        <v>0.89384836452346883</v>
      </c>
      <c r="H838" s="62">
        <v>11476.115401370527</v>
      </c>
      <c r="I838" s="62">
        <v>0.89747736592060445</v>
      </c>
      <c r="J838" s="62">
        <v>11405.287124955899</v>
      </c>
      <c r="K838" s="62">
        <v>0.89037369160206969</v>
      </c>
      <c r="L838" s="62">
        <f t="shared" si="142"/>
        <v>-3474.8999642800918</v>
      </c>
      <c r="M838" s="62">
        <f t="shared" si="143"/>
        <v>-0.2763717062820692</v>
      </c>
      <c r="N838" s="62">
        <f t="shared" si="144"/>
        <v>-3513.0583173758314</v>
      </c>
      <c r="O838" s="62">
        <f t="shared" si="145"/>
        <v>-0.28000070767920482</v>
      </c>
      <c r="P838" s="62">
        <f t="shared" si="146"/>
        <v>-3442.2300409612035</v>
      </c>
      <c r="Q838" s="62">
        <f t="shared" si="147"/>
        <v>-0.27289703336067006</v>
      </c>
      <c r="R838" s="62">
        <f t="shared" si="148"/>
        <v>17615.296006997043</v>
      </c>
      <c r="S838" s="62">
        <f t="shared" si="149"/>
        <v>25588.817603745389</v>
      </c>
      <c r="T838" s="62">
        <f t="shared" si="150"/>
        <v>25700.987004524588</v>
      </c>
      <c r="U838" s="62">
        <f t="shared" si="151"/>
        <v>25477.552675968236</v>
      </c>
      <c r="V838" s="62">
        <f t="shared" si="141"/>
        <v>1</v>
      </c>
      <c r="W838" s="62">
        <f t="shared" si="141"/>
        <v>0</v>
      </c>
      <c r="X838" s="62">
        <f t="shared" si="141"/>
        <v>0</v>
      </c>
      <c r="Y838" s="62">
        <f t="shared" si="140"/>
        <v>0</v>
      </c>
      <c r="AA838" s="94"/>
    </row>
    <row r="839" spans="2:27" x14ac:dyDescent="0.2">
      <c r="B839" s="94"/>
      <c r="C839" s="62">
        <v>800</v>
      </c>
      <c r="D839" s="62">
        <v>9605.1880350871324</v>
      </c>
      <c r="E839" s="62">
        <v>0.61796832615911634</v>
      </c>
      <c r="F839" s="62">
        <v>13799.861094423712</v>
      </c>
      <c r="G839" s="62">
        <v>0.89398033837610724</v>
      </c>
      <c r="H839" s="62">
        <v>13848.00043661539</v>
      </c>
      <c r="I839" s="62">
        <v>0.89750643967599131</v>
      </c>
      <c r="J839" s="62">
        <v>13743.394767132757</v>
      </c>
      <c r="K839" s="62">
        <v>0.88922317151212948</v>
      </c>
      <c r="L839" s="62">
        <f t="shared" si="142"/>
        <v>-4194.6730593365792</v>
      </c>
      <c r="M839" s="62">
        <f t="shared" si="143"/>
        <v>-0.2760120122169909</v>
      </c>
      <c r="N839" s="62">
        <f t="shared" si="144"/>
        <v>-4242.8124015282574</v>
      </c>
      <c r="O839" s="62">
        <f t="shared" si="145"/>
        <v>-0.27953811351687496</v>
      </c>
      <c r="P839" s="62">
        <f t="shared" si="146"/>
        <v>-4138.2067320456244</v>
      </c>
      <c r="Q839" s="62">
        <f t="shared" si="147"/>
        <v>-0.27125484535301314</v>
      </c>
      <c r="R839" s="62">
        <f t="shared" si="148"/>
        <v>15993.531907728102</v>
      </c>
      <c r="S839" s="62">
        <f t="shared" si="149"/>
        <v>23232.380442468155</v>
      </c>
      <c r="T839" s="62">
        <f t="shared" si="150"/>
        <v>23330.306320522875</v>
      </c>
      <c r="U839" s="62">
        <f t="shared" si="151"/>
        <v>23091.785889585699</v>
      </c>
      <c r="V839" s="62">
        <f t="shared" si="141"/>
        <v>1</v>
      </c>
      <c r="W839" s="62">
        <f t="shared" si="141"/>
        <v>0</v>
      </c>
      <c r="X839" s="62">
        <f t="shared" si="141"/>
        <v>0</v>
      </c>
      <c r="Y839" s="62">
        <f t="shared" si="140"/>
        <v>0</v>
      </c>
      <c r="AA839" s="94"/>
    </row>
    <row r="840" spans="2:27" x14ac:dyDescent="0.2">
      <c r="B840" s="94"/>
      <c r="C840" s="62">
        <v>801</v>
      </c>
      <c r="D840" s="62">
        <v>9946.3122156618683</v>
      </c>
      <c r="E840" s="62">
        <v>0.6181783143802525</v>
      </c>
      <c r="F840" s="62">
        <v>14296.411246020822</v>
      </c>
      <c r="G840" s="62">
        <v>0.89479270186373994</v>
      </c>
      <c r="H840" s="62">
        <v>14338.515020827566</v>
      </c>
      <c r="I840" s="62">
        <v>0.89778046507220421</v>
      </c>
      <c r="J840" s="62">
        <v>14237.49342594593</v>
      </c>
      <c r="K840" s="62">
        <v>0.89001652102571072</v>
      </c>
      <c r="L840" s="62">
        <f t="shared" si="142"/>
        <v>-4350.0990303589533</v>
      </c>
      <c r="M840" s="62">
        <f t="shared" si="143"/>
        <v>-0.27661438748348743</v>
      </c>
      <c r="N840" s="62">
        <f t="shared" si="144"/>
        <v>-4392.202805165698</v>
      </c>
      <c r="O840" s="62">
        <f t="shared" si="145"/>
        <v>-0.27960215069195171</v>
      </c>
      <c r="P840" s="62">
        <f t="shared" si="146"/>
        <v>-4291.1812102840613</v>
      </c>
      <c r="Q840" s="62">
        <f t="shared" si="147"/>
        <v>-0.27183820664545821</v>
      </c>
      <c r="R840" s="62">
        <f t="shared" si="148"/>
        <v>15661.106279225713</v>
      </c>
      <c r="S840" s="62">
        <f t="shared" si="149"/>
        <v>22769.481635982746</v>
      </c>
      <c r="T840" s="62">
        <f t="shared" si="150"/>
        <v>22851.142964323422</v>
      </c>
      <c r="U840" s="62">
        <f t="shared" si="151"/>
        <v>22630.550941023113</v>
      </c>
      <c r="V840" s="62">
        <f t="shared" si="141"/>
        <v>1</v>
      </c>
      <c r="W840" s="62">
        <f t="shared" si="141"/>
        <v>0</v>
      </c>
      <c r="X840" s="62">
        <f t="shared" si="141"/>
        <v>0</v>
      </c>
      <c r="Y840" s="62">
        <f t="shared" si="140"/>
        <v>0</v>
      </c>
      <c r="AA840" s="94"/>
    </row>
    <row r="841" spans="2:27" x14ac:dyDescent="0.2">
      <c r="B841" s="94"/>
      <c r="C841" s="62">
        <v>802</v>
      </c>
      <c r="D841" s="62">
        <v>7911.7035923379635</v>
      </c>
      <c r="E841" s="62">
        <v>0.61797083289978638</v>
      </c>
      <c r="F841" s="62">
        <v>11365.806377707855</v>
      </c>
      <c r="G841" s="62">
        <v>0.89470225728659969</v>
      </c>
      <c r="H841" s="62">
        <v>11397.071821881631</v>
      </c>
      <c r="I841" s="62">
        <v>0.89758504856429921</v>
      </c>
      <c r="J841" s="62">
        <v>11314.672509914535</v>
      </c>
      <c r="K841" s="62">
        <v>0.88956429521810099</v>
      </c>
      <c r="L841" s="62">
        <f t="shared" si="142"/>
        <v>-3454.1027853698915</v>
      </c>
      <c r="M841" s="62">
        <f t="shared" si="143"/>
        <v>-0.27673142438681331</v>
      </c>
      <c r="N841" s="62">
        <f t="shared" si="144"/>
        <v>-3485.3682295436674</v>
      </c>
      <c r="O841" s="62">
        <f t="shared" si="145"/>
        <v>-0.27961421566451283</v>
      </c>
      <c r="P841" s="62">
        <f t="shared" si="146"/>
        <v>-3402.9689175765716</v>
      </c>
      <c r="Q841" s="62">
        <f t="shared" si="147"/>
        <v>-0.2715934623183146</v>
      </c>
      <c r="R841" s="62">
        <f t="shared" si="148"/>
        <v>17687.12018970279</v>
      </c>
      <c r="S841" s="62">
        <f t="shared" si="149"/>
        <v>25696.339928132249</v>
      </c>
      <c r="T841" s="62">
        <f t="shared" si="150"/>
        <v>25784.491229845895</v>
      </c>
      <c r="U841" s="62">
        <f t="shared" si="151"/>
        <v>25534.638855200079</v>
      </c>
      <c r="V841" s="62">
        <f t="shared" si="141"/>
        <v>1</v>
      </c>
      <c r="W841" s="62">
        <f t="shared" si="141"/>
        <v>0</v>
      </c>
      <c r="X841" s="62">
        <f t="shared" si="141"/>
        <v>0</v>
      </c>
      <c r="Y841" s="62">
        <f t="shared" si="140"/>
        <v>0</v>
      </c>
      <c r="AA841" s="94"/>
    </row>
    <row r="842" spans="2:27" x14ac:dyDescent="0.2">
      <c r="B842" s="94"/>
      <c r="C842" s="62">
        <v>803</v>
      </c>
      <c r="D842" s="62">
        <v>9920.66511797969</v>
      </c>
      <c r="E842" s="62">
        <v>0.6171367504875378</v>
      </c>
      <c r="F842" s="62">
        <v>14268.69028778439</v>
      </c>
      <c r="G842" s="62">
        <v>0.89395722303159453</v>
      </c>
      <c r="H842" s="62">
        <v>14309.130369744871</v>
      </c>
      <c r="I842" s="62">
        <v>0.89680370377210594</v>
      </c>
      <c r="J842" s="62">
        <v>14206.978205905629</v>
      </c>
      <c r="K842" s="62">
        <v>0.88880169104517637</v>
      </c>
      <c r="L842" s="62">
        <f t="shared" si="142"/>
        <v>-4348.0251698046995</v>
      </c>
      <c r="M842" s="62">
        <f t="shared" si="143"/>
        <v>-0.27682047254405673</v>
      </c>
      <c r="N842" s="62">
        <f t="shared" si="144"/>
        <v>-4388.4652517651812</v>
      </c>
      <c r="O842" s="62">
        <f t="shared" si="145"/>
        <v>-0.27966695328456814</v>
      </c>
      <c r="P842" s="62">
        <f t="shared" si="146"/>
        <v>-4286.3130879259388</v>
      </c>
      <c r="Q842" s="62">
        <f t="shared" si="147"/>
        <v>-0.27166494055763857</v>
      </c>
      <c r="R842" s="62">
        <f t="shared" si="148"/>
        <v>15643.607634216074</v>
      </c>
      <c r="S842" s="62">
        <f t="shared" si="149"/>
        <v>22762.59371907638</v>
      </c>
      <c r="T842" s="62">
        <f t="shared" si="150"/>
        <v>22840.066255310845</v>
      </c>
      <c r="U842" s="62">
        <f t="shared" si="151"/>
        <v>22610.743043949755</v>
      </c>
      <c r="V842" s="62">
        <f t="shared" si="141"/>
        <v>1</v>
      </c>
      <c r="W842" s="62">
        <f t="shared" si="141"/>
        <v>0</v>
      </c>
      <c r="X842" s="62">
        <f t="shared" si="141"/>
        <v>0</v>
      </c>
      <c r="Y842" s="62">
        <f t="shared" si="140"/>
        <v>0</v>
      </c>
      <c r="AA842" s="94"/>
    </row>
    <row r="843" spans="2:27" x14ac:dyDescent="0.2">
      <c r="B843" s="94"/>
      <c r="C843" s="62">
        <v>804</v>
      </c>
      <c r="D843" s="62">
        <v>10215.292625172291</v>
      </c>
      <c r="E843" s="62">
        <v>0.61761994960847488</v>
      </c>
      <c r="F843" s="62">
        <v>14686.384557255627</v>
      </c>
      <c r="G843" s="62">
        <v>0.89373980237031547</v>
      </c>
      <c r="H843" s="62">
        <v>14740.014261369643</v>
      </c>
      <c r="I843" s="62">
        <v>0.89730600098424096</v>
      </c>
      <c r="J843" s="62">
        <v>14639.709545503767</v>
      </c>
      <c r="K843" s="62">
        <v>0.88994269137641568</v>
      </c>
      <c r="L843" s="62">
        <f t="shared" si="142"/>
        <v>-4471.0919320833364</v>
      </c>
      <c r="M843" s="62">
        <f t="shared" si="143"/>
        <v>-0.27611985276184059</v>
      </c>
      <c r="N843" s="62">
        <f t="shared" si="144"/>
        <v>-4524.7216361973515</v>
      </c>
      <c r="O843" s="62">
        <f t="shared" si="145"/>
        <v>-0.27968605137576608</v>
      </c>
      <c r="P843" s="62">
        <f t="shared" si="146"/>
        <v>-4424.4169203314759</v>
      </c>
      <c r="Q843" s="62">
        <f t="shared" si="147"/>
        <v>-0.2723227417679408</v>
      </c>
      <c r="R843" s="62">
        <f t="shared" si="148"/>
        <v>15368.996167409174</v>
      </c>
      <c r="S843" s="62">
        <f t="shared" si="149"/>
        <v>22335.893016132319</v>
      </c>
      <c r="T843" s="62">
        <f t="shared" si="150"/>
        <v>22429.989523401557</v>
      </c>
      <c r="U843" s="62">
        <f t="shared" si="151"/>
        <v>22225.276502072873</v>
      </c>
      <c r="V843" s="62">
        <f t="shared" si="141"/>
        <v>1</v>
      </c>
      <c r="W843" s="62">
        <f t="shared" si="141"/>
        <v>0</v>
      </c>
      <c r="X843" s="62">
        <f t="shared" si="141"/>
        <v>0</v>
      </c>
      <c r="Y843" s="62">
        <f t="shared" si="140"/>
        <v>0</v>
      </c>
      <c r="AA843" s="94"/>
    </row>
    <row r="844" spans="2:27" x14ac:dyDescent="0.2">
      <c r="B844" s="94"/>
      <c r="C844" s="62">
        <v>805</v>
      </c>
      <c r="D844" s="62">
        <v>9966.2196362411451</v>
      </c>
      <c r="E844" s="62">
        <v>0.61799584274630814</v>
      </c>
      <c r="F844" s="62">
        <v>14328.398077327714</v>
      </c>
      <c r="G844" s="62">
        <v>0.89431109506693152</v>
      </c>
      <c r="H844" s="62">
        <v>14368.360224465632</v>
      </c>
      <c r="I844" s="62">
        <v>0.89719943040668382</v>
      </c>
      <c r="J844" s="62">
        <v>14266.33692052512</v>
      </c>
      <c r="K844" s="62">
        <v>0.88937671299126064</v>
      </c>
      <c r="L844" s="62">
        <f t="shared" si="142"/>
        <v>-4362.1784410865694</v>
      </c>
      <c r="M844" s="62">
        <f t="shared" si="143"/>
        <v>-0.27631525232062337</v>
      </c>
      <c r="N844" s="62">
        <f t="shared" si="144"/>
        <v>-4402.1405882244871</v>
      </c>
      <c r="O844" s="62">
        <f t="shared" si="145"/>
        <v>-0.27920358766037567</v>
      </c>
      <c r="P844" s="62">
        <f t="shared" si="146"/>
        <v>-4300.1172842839751</v>
      </c>
      <c r="Q844" s="62">
        <f t="shared" si="147"/>
        <v>-0.2713808702449525</v>
      </c>
      <c r="R844" s="62">
        <f t="shared" si="148"/>
        <v>15633.640153681925</v>
      </c>
      <c r="S844" s="62">
        <f t="shared" si="149"/>
        <v>22717.544724724859</v>
      </c>
      <c r="T844" s="62">
        <f t="shared" si="150"/>
        <v>22797.228980700838</v>
      </c>
      <c r="U844" s="62">
        <f t="shared" si="151"/>
        <v>22575.204038424861</v>
      </c>
      <c r="V844" s="62">
        <f t="shared" si="141"/>
        <v>1</v>
      </c>
      <c r="W844" s="62">
        <f t="shared" si="141"/>
        <v>0</v>
      </c>
      <c r="X844" s="62">
        <f t="shared" si="141"/>
        <v>0</v>
      </c>
      <c r="Y844" s="62">
        <f t="shared" si="140"/>
        <v>0</v>
      </c>
      <c r="AA844" s="94"/>
    </row>
    <row r="845" spans="2:27" x14ac:dyDescent="0.2">
      <c r="B845" s="94"/>
      <c r="C845" s="62">
        <v>806</v>
      </c>
      <c r="D845" s="62">
        <v>9693.0621061231723</v>
      </c>
      <c r="E845" s="62">
        <v>0.61788727169638213</v>
      </c>
      <c r="F845" s="62">
        <v>13927.094712307466</v>
      </c>
      <c r="G845" s="62">
        <v>0.89413621896599682</v>
      </c>
      <c r="H845" s="62">
        <v>13969.87796512953</v>
      </c>
      <c r="I845" s="62">
        <v>0.89733526901928584</v>
      </c>
      <c r="J845" s="62">
        <v>13862.174225917683</v>
      </c>
      <c r="K845" s="62">
        <v>0.88880543940436185</v>
      </c>
      <c r="L845" s="62">
        <f t="shared" si="142"/>
        <v>-4234.0326061842934</v>
      </c>
      <c r="M845" s="62">
        <f t="shared" si="143"/>
        <v>-0.27624894726961469</v>
      </c>
      <c r="N845" s="62">
        <f t="shared" si="144"/>
        <v>-4276.8158590063576</v>
      </c>
      <c r="O845" s="62">
        <f t="shared" si="145"/>
        <v>-0.27944799732290371</v>
      </c>
      <c r="P845" s="62">
        <f t="shared" si="146"/>
        <v>-4169.1121197945104</v>
      </c>
      <c r="Q845" s="62">
        <f t="shared" si="147"/>
        <v>-0.27091816770797972</v>
      </c>
      <c r="R845" s="62">
        <f t="shared" si="148"/>
        <v>15902.300236627761</v>
      </c>
      <c r="S845" s="62">
        <f t="shared" si="149"/>
        <v>23111.604022139989</v>
      </c>
      <c r="T845" s="62">
        <f t="shared" si="150"/>
        <v>23201.33821872537</v>
      </c>
      <c r="U845" s="62">
        <f t="shared" si="151"/>
        <v>22955.7022959686</v>
      </c>
      <c r="V845" s="62">
        <f t="shared" si="141"/>
        <v>1</v>
      </c>
      <c r="W845" s="62">
        <f t="shared" si="141"/>
        <v>0</v>
      </c>
      <c r="X845" s="62">
        <f t="shared" si="141"/>
        <v>0</v>
      </c>
      <c r="Y845" s="62">
        <f t="shared" si="140"/>
        <v>0</v>
      </c>
      <c r="AA845" s="94"/>
    </row>
    <row r="846" spans="2:27" x14ac:dyDescent="0.2">
      <c r="B846" s="94"/>
      <c r="C846" s="62">
        <v>807</v>
      </c>
      <c r="D846" s="62">
        <v>11111.054180310628</v>
      </c>
      <c r="E846" s="62">
        <v>0.61807492856899815</v>
      </c>
      <c r="F846" s="62">
        <v>15975.333625224528</v>
      </c>
      <c r="G846" s="62">
        <v>0.89426604552208033</v>
      </c>
      <c r="H846" s="62">
        <v>16022.711518115459</v>
      </c>
      <c r="I846" s="62">
        <v>0.8972680466459626</v>
      </c>
      <c r="J846" s="62">
        <v>15900.98206523583</v>
      </c>
      <c r="K846" s="62">
        <v>0.8891118219632177</v>
      </c>
      <c r="L846" s="62">
        <f t="shared" si="142"/>
        <v>-4864.2794449139001</v>
      </c>
      <c r="M846" s="62">
        <f t="shared" si="143"/>
        <v>-0.27619111695308218</v>
      </c>
      <c r="N846" s="62">
        <f t="shared" si="144"/>
        <v>-4911.6573378048306</v>
      </c>
      <c r="O846" s="62">
        <f t="shared" si="145"/>
        <v>-0.27919311807696445</v>
      </c>
      <c r="P846" s="62">
        <f t="shared" si="146"/>
        <v>-4789.9278849252023</v>
      </c>
      <c r="Q846" s="62">
        <f t="shared" si="147"/>
        <v>-0.27103689339421955</v>
      </c>
      <c r="R846" s="62">
        <f t="shared" si="148"/>
        <v>14492.08166073155</v>
      </c>
      <c r="S846" s="62">
        <f t="shared" si="149"/>
        <v>21068.743044482129</v>
      </c>
      <c r="T846" s="62">
        <f t="shared" si="150"/>
        <v>21145.720046146896</v>
      </c>
      <c r="U846" s="62">
        <f t="shared" si="151"/>
        <v>20929.586047768498</v>
      </c>
      <c r="V846" s="62">
        <f t="shared" si="141"/>
        <v>1</v>
      </c>
      <c r="W846" s="62">
        <f t="shared" si="141"/>
        <v>0</v>
      </c>
      <c r="X846" s="62">
        <f t="shared" si="141"/>
        <v>0</v>
      </c>
      <c r="Y846" s="62">
        <f t="shared" si="140"/>
        <v>0</v>
      </c>
      <c r="AA846" s="94"/>
    </row>
    <row r="847" spans="2:27" x14ac:dyDescent="0.2">
      <c r="B847" s="94"/>
      <c r="C847" s="62">
        <v>808</v>
      </c>
      <c r="D847" s="62">
        <v>11357.48071551515</v>
      </c>
      <c r="E847" s="62">
        <v>0.61724450442393963</v>
      </c>
      <c r="F847" s="62">
        <v>16355.059691036691</v>
      </c>
      <c r="G847" s="62">
        <v>0.89549349783477883</v>
      </c>
      <c r="H847" s="62">
        <v>16389.395425550276</v>
      </c>
      <c r="I847" s="62">
        <v>0.89746431391749881</v>
      </c>
      <c r="J847" s="62">
        <v>16260.79056292136</v>
      </c>
      <c r="K847" s="62">
        <v>0.88893700583092172</v>
      </c>
      <c r="L847" s="62">
        <f t="shared" si="142"/>
        <v>-4997.578975521541</v>
      </c>
      <c r="M847" s="62">
        <f t="shared" si="143"/>
        <v>-0.2782489934108392</v>
      </c>
      <c r="N847" s="62">
        <f t="shared" si="144"/>
        <v>-5031.9147100351256</v>
      </c>
      <c r="O847" s="62">
        <f t="shared" si="145"/>
        <v>-0.28021980949355918</v>
      </c>
      <c r="P847" s="62">
        <f t="shared" si="146"/>
        <v>-4903.3098474062099</v>
      </c>
      <c r="Q847" s="62">
        <f t="shared" si="147"/>
        <v>-0.27169250140698209</v>
      </c>
      <c r="R847" s="62">
        <f t="shared" si="148"/>
        <v>14211.255635742124</v>
      </c>
      <c r="S847" s="62">
        <f t="shared" si="149"/>
        <v>20739.862963271185</v>
      </c>
      <c r="T847" s="62">
        <f t="shared" si="150"/>
        <v>20787.166314168193</v>
      </c>
      <c r="U847" s="62">
        <f t="shared" si="151"/>
        <v>20562.53596661874</v>
      </c>
      <c r="V847" s="62">
        <f t="shared" si="141"/>
        <v>1</v>
      </c>
      <c r="W847" s="62">
        <f t="shared" si="141"/>
        <v>0</v>
      </c>
      <c r="X847" s="62">
        <f t="shared" si="141"/>
        <v>0</v>
      </c>
      <c r="Y847" s="62">
        <f t="shared" si="140"/>
        <v>0</v>
      </c>
      <c r="AA847" s="94"/>
    </row>
    <row r="848" spans="2:27" x14ac:dyDescent="0.2">
      <c r="B848" s="94"/>
      <c r="C848" s="62">
        <v>809</v>
      </c>
      <c r="D848" s="62">
        <v>11159.14684907375</v>
      </c>
      <c r="E848" s="62">
        <v>0.61755862426676766</v>
      </c>
      <c r="F848" s="62">
        <v>16068.762941709247</v>
      </c>
      <c r="G848" s="62">
        <v>0.8949448146610961</v>
      </c>
      <c r="H848" s="62">
        <v>16095.977649974307</v>
      </c>
      <c r="I848" s="62">
        <v>0.89662319212512742</v>
      </c>
      <c r="J848" s="62">
        <v>15991.790545245511</v>
      </c>
      <c r="K848" s="62">
        <v>0.88959192612943616</v>
      </c>
      <c r="L848" s="62">
        <f t="shared" si="142"/>
        <v>-4909.6160926354969</v>
      </c>
      <c r="M848" s="62">
        <f t="shared" si="143"/>
        <v>-0.27738619039432844</v>
      </c>
      <c r="N848" s="62">
        <f t="shared" si="144"/>
        <v>-4936.8308009005577</v>
      </c>
      <c r="O848" s="62">
        <f t="shared" si="145"/>
        <v>-0.27906456785835976</v>
      </c>
      <c r="P848" s="62">
        <f t="shared" si="146"/>
        <v>-4832.6436961717609</v>
      </c>
      <c r="Q848" s="62">
        <f t="shared" si="147"/>
        <v>-0.2720333018626685</v>
      </c>
      <c r="R848" s="62">
        <f t="shared" si="148"/>
        <v>14422.601602552833</v>
      </c>
      <c r="S848" s="62">
        <f t="shared" si="149"/>
        <v>21003.431060811999</v>
      </c>
      <c r="T848" s="62">
        <f t="shared" si="150"/>
        <v>21045.74146061697</v>
      </c>
      <c r="U848" s="62">
        <f t="shared" si="151"/>
        <v>20858.665402740255</v>
      </c>
      <c r="V848" s="62">
        <f t="shared" si="141"/>
        <v>1</v>
      </c>
      <c r="W848" s="62">
        <f t="shared" si="141"/>
        <v>0</v>
      </c>
      <c r="X848" s="62">
        <f t="shared" si="141"/>
        <v>0</v>
      </c>
      <c r="Y848" s="62">
        <f t="shared" si="140"/>
        <v>0</v>
      </c>
      <c r="AA848" s="94"/>
    </row>
    <row r="849" spans="2:27" x14ac:dyDescent="0.2">
      <c r="B849" s="94"/>
      <c r="C849" s="62">
        <v>810</v>
      </c>
      <c r="D849" s="62">
        <v>9566.7226461484861</v>
      </c>
      <c r="E849" s="62">
        <v>0.61753741793848715</v>
      </c>
      <c r="F849" s="62">
        <v>13746.911778655889</v>
      </c>
      <c r="G849" s="62">
        <v>0.89331435831020345</v>
      </c>
      <c r="H849" s="62">
        <v>13804.345025160885</v>
      </c>
      <c r="I849" s="62">
        <v>0.89741950141919491</v>
      </c>
      <c r="J849" s="62">
        <v>13692.405649954355</v>
      </c>
      <c r="K849" s="62">
        <v>0.88872677068643879</v>
      </c>
      <c r="L849" s="62">
        <f t="shared" si="142"/>
        <v>-4180.189132507403</v>
      </c>
      <c r="M849" s="62">
        <f t="shared" si="143"/>
        <v>-0.27577694037171629</v>
      </c>
      <c r="N849" s="62">
        <f t="shared" si="144"/>
        <v>-4237.6223790123986</v>
      </c>
      <c r="O849" s="62">
        <f t="shared" si="145"/>
        <v>-0.27988208348070776</v>
      </c>
      <c r="P849" s="62">
        <f t="shared" si="146"/>
        <v>-4125.6830038058688</v>
      </c>
      <c r="Q849" s="62">
        <f t="shared" si="147"/>
        <v>-0.27118935274795164</v>
      </c>
      <c r="R849" s="62">
        <f t="shared" si="148"/>
        <v>16014.147354535406</v>
      </c>
      <c r="S849" s="62">
        <f t="shared" si="149"/>
        <v>23257.742199985976</v>
      </c>
      <c r="T849" s="62">
        <f t="shared" si="150"/>
        <v>23370.360401627844</v>
      </c>
      <c r="U849" s="62">
        <f t="shared" si="151"/>
        <v>23122.212098960688</v>
      </c>
      <c r="V849" s="62">
        <f t="shared" si="141"/>
        <v>1</v>
      </c>
      <c r="W849" s="62">
        <f t="shared" si="141"/>
        <v>0</v>
      </c>
      <c r="X849" s="62">
        <f t="shared" si="141"/>
        <v>0</v>
      </c>
      <c r="Y849" s="62">
        <f t="shared" si="140"/>
        <v>0</v>
      </c>
      <c r="AA849" s="94"/>
    </row>
    <row r="850" spans="2:27" x14ac:dyDescent="0.2">
      <c r="B850" s="94"/>
      <c r="C850" s="62">
        <v>811</v>
      </c>
      <c r="D850" s="62">
        <v>10773.416033628257</v>
      </c>
      <c r="E850" s="62">
        <v>0.61760274475647625</v>
      </c>
      <c r="F850" s="62">
        <v>15493.790925767589</v>
      </c>
      <c r="G850" s="62">
        <v>0.89420662002414264</v>
      </c>
      <c r="H850" s="62">
        <v>15533.457353038637</v>
      </c>
      <c r="I850" s="62">
        <v>0.89677485971704218</v>
      </c>
      <c r="J850" s="62">
        <v>15428.286760827657</v>
      </c>
      <c r="K850" s="62">
        <v>0.88929072396031306</v>
      </c>
      <c r="L850" s="62">
        <f t="shared" si="142"/>
        <v>-4720.3748921393326</v>
      </c>
      <c r="M850" s="62">
        <f t="shared" si="143"/>
        <v>-0.27660387526766639</v>
      </c>
      <c r="N850" s="62">
        <f t="shared" si="144"/>
        <v>-4760.0413194103803</v>
      </c>
      <c r="O850" s="62">
        <f t="shared" si="145"/>
        <v>-0.27917211496056593</v>
      </c>
      <c r="P850" s="62">
        <f t="shared" si="146"/>
        <v>-4654.8707271994008</v>
      </c>
      <c r="Q850" s="62">
        <f t="shared" si="147"/>
        <v>-0.2716879792038368</v>
      </c>
      <c r="R850" s="62">
        <f t="shared" si="148"/>
        <v>14810.160065164016</v>
      </c>
      <c r="S850" s="62">
        <f t="shared" si="149"/>
        <v>21547.824102112496</v>
      </c>
      <c r="T850" s="62">
        <f t="shared" si="150"/>
        <v>21614.544435880121</v>
      </c>
      <c r="U850" s="62">
        <f t="shared" si="151"/>
        <v>21409.692188504348</v>
      </c>
      <c r="V850" s="62">
        <f t="shared" si="141"/>
        <v>1</v>
      </c>
      <c r="W850" s="62">
        <f t="shared" si="141"/>
        <v>0</v>
      </c>
      <c r="X850" s="62">
        <f t="shared" si="141"/>
        <v>0</v>
      </c>
      <c r="Y850" s="62">
        <f t="shared" si="140"/>
        <v>0</v>
      </c>
      <c r="AA850" s="94"/>
    </row>
    <row r="851" spans="2:27" x14ac:dyDescent="0.2">
      <c r="B851" s="94"/>
      <c r="C851" s="62">
        <v>812</v>
      </c>
      <c r="D851" s="62">
        <v>9955.4505304490722</v>
      </c>
      <c r="E851" s="62">
        <v>0.61771564513421673</v>
      </c>
      <c r="F851" s="62">
        <v>14309.963524635246</v>
      </c>
      <c r="G851" s="62">
        <v>0.8941642860232718</v>
      </c>
      <c r="H851" s="62">
        <v>14361.432458083062</v>
      </c>
      <c r="I851" s="62">
        <v>0.8975997979783612</v>
      </c>
      <c r="J851" s="62">
        <v>14256.479011545456</v>
      </c>
      <c r="K851" s="62">
        <v>0.88960631874482443</v>
      </c>
      <c r="L851" s="62">
        <f t="shared" si="142"/>
        <v>-4354.5129941861742</v>
      </c>
      <c r="M851" s="62">
        <f t="shared" si="143"/>
        <v>-0.27644864088905508</v>
      </c>
      <c r="N851" s="62">
        <f t="shared" si="144"/>
        <v>-4405.9819276339895</v>
      </c>
      <c r="O851" s="62">
        <f t="shared" si="145"/>
        <v>-0.27988415284414447</v>
      </c>
      <c r="P851" s="62">
        <f t="shared" si="146"/>
        <v>-4301.028481096384</v>
      </c>
      <c r="Q851" s="62">
        <f t="shared" si="147"/>
        <v>-0.2718906736106077</v>
      </c>
      <c r="R851" s="62">
        <f t="shared" si="148"/>
        <v>15632.802353590721</v>
      </c>
      <c r="S851" s="62">
        <f t="shared" si="149"/>
        <v>22729.897859592762</v>
      </c>
      <c r="T851" s="62">
        <f t="shared" si="150"/>
        <v>22820.741573372576</v>
      </c>
      <c r="U851" s="62">
        <f t="shared" si="151"/>
        <v>22594.573136140152</v>
      </c>
      <c r="V851" s="62">
        <f t="shared" si="141"/>
        <v>1</v>
      </c>
      <c r="W851" s="62">
        <f t="shared" si="141"/>
        <v>0</v>
      </c>
      <c r="X851" s="62">
        <f t="shared" si="141"/>
        <v>0</v>
      </c>
      <c r="Y851" s="62">
        <f t="shared" si="140"/>
        <v>0</v>
      </c>
      <c r="AA851" s="94"/>
    </row>
    <row r="852" spans="2:27" x14ac:dyDescent="0.2">
      <c r="B852" s="94"/>
      <c r="C852" s="62">
        <v>813</v>
      </c>
      <c r="D852" s="62">
        <v>8960.3205499133619</v>
      </c>
      <c r="E852" s="62">
        <v>0.61737650047861847</v>
      </c>
      <c r="F852" s="62">
        <v>12882.117537931108</v>
      </c>
      <c r="G852" s="62">
        <v>0.8944244452863569</v>
      </c>
      <c r="H852" s="62">
        <v>12920.983897638282</v>
      </c>
      <c r="I852" s="62">
        <v>0.89752972439480894</v>
      </c>
      <c r="J852" s="62">
        <v>12836.3776974914</v>
      </c>
      <c r="K852" s="62">
        <v>0.89007009711676521</v>
      </c>
      <c r="L852" s="62">
        <f t="shared" si="142"/>
        <v>-3921.7969880177461</v>
      </c>
      <c r="M852" s="62">
        <f t="shared" si="143"/>
        <v>-0.27704794480773842</v>
      </c>
      <c r="N852" s="62">
        <f t="shared" si="144"/>
        <v>-3960.6633477249197</v>
      </c>
      <c r="O852" s="62">
        <f t="shared" si="145"/>
        <v>-0.28015322391619046</v>
      </c>
      <c r="P852" s="62">
        <f t="shared" si="146"/>
        <v>-3876.057147578038</v>
      </c>
      <c r="Q852" s="62">
        <f t="shared" si="147"/>
        <v>-0.27269359663814674</v>
      </c>
      <c r="R852" s="62">
        <f t="shared" si="148"/>
        <v>16613.883605912928</v>
      </c>
      <c r="S852" s="62">
        <f t="shared" si="149"/>
        <v>24168.520683610936</v>
      </c>
      <c r="T852" s="62">
        <f t="shared" si="150"/>
        <v>24258.287405692281</v>
      </c>
      <c r="U852" s="62">
        <f t="shared" si="151"/>
        <v>24033.886005473483</v>
      </c>
      <c r="V852" s="62">
        <f t="shared" si="141"/>
        <v>1</v>
      </c>
      <c r="W852" s="62">
        <f t="shared" si="141"/>
        <v>0</v>
      </c>
      <c r="X852" s="62">
        <f t="shared" si="141"/>
        <v>0</v>
      </c>
      <c r="Y852" s="62">
        <f t="shared" si="140"/>
        <v>0</v>
      </c>
      <c r="AA852" s="94"/>
    </row>
    <row r="853" spans="2:27" x14ac:dyDescent="0.2">
      <c r="B853" s="94"/>
      <c r="C853" s="62">
        <v>814</v>
      </c>
      <c r="D853" s="62">
        <v>10226.695168866956</v>
      </c>
      <c r="E853" s="62">
        <v>0.61746151436639252</v>
      </c>
      <c r="F853" s="62">
        <v>14720.386600414115</v>
      </c>
      <c r="G853" s="62">
        <v>0.8947122442188763</v>
      </c>
      <c r="H853" s="62">
        <v>14759.408147310309</v>
      </c>
      <c r="I853" s="62">
        <v>0.89745229770989066</v>
      </c>
      <c r="J853" s="62">
        <v>14655.057089187483</v>
      </c>
      <c r="K853" s="62">
        <v>0.88965507184153414</v>
      </c>
      <c r="L853" s="62">
        <f t="shared" si="142"/>
        <v>-4493.6914315471586</v>
      </c>
      <c r="M853" s="62">
        <f t="shared" si="143"/>
        <v>-0.27725072985248378</v>
      </c>
      <c r="N853" s="62">
        <f t="shared" si="144"/>
        <v>-4532.7129784433528</v>
      </c>
      <c r="O853" s="62">
        <f t="shared" si="145"/>
        <v>-0.27999078334349814</v>
      </c>
      <c r="P853" s="62">
        <f t="shared" si="146"/>
        <v>-4428.3619203205271</v>
      </c>
      <c r="Q853" s="62">
        <f t="shared" si="147"/>
        <v>-0.27219355747514162</v>
      </c>
      <c r="R853" s="62">
        <f t="shared" si="148"/>
        <v>15351.030602246488</v>
      </c>
      <c r="S853" s="62">
        <f t="shared" si="149"/>
        <v>22342.173404108617</v>
      </c>
      <c r="T853" s="62">
        <f t="shared" si="150"/>
        <v>22416.655833024204</v>
      </c>
      <c r="U853" s="62">
        <f t="shared" si="151"/>
        <v>22198.014606776225</v>
      </c>
      <c r="V853" s="62">
        <f t="shared" si="141"/>
        <v>1</v>
      </c>
      <c r="W853" s="62">
        <f t="shared" si="141"/>
        <v>0</v>
      </c>
      <c r="X853" s="62">
        <f t="shared" si="141"/>
        <v>0</v>
      </c>
      <c r="Y853" s="62">
        <f t="shared" si="140"/>
        <v>0</v>
      </c>
      <c r="AA853" s="94"/>
    </row>
    <row r="854" spans="2:27" x14ac:dyDescent="0.2">
      <c r="B854" s="94"/>
      <c r="C854" s="62">
        <v>815</v>
      </c>
      <c r="D854" s="62">
        <v>9237.9622572666431</v>
      </c>
      <c r="E854" s="62">
        <v>0.61705066562774058</v>
      </c>
      <c r="F854" s="62">
        <v>13294.488399003867</v>
      </c>
      <c r="G854" s="62">
        <v>0.89500940574566679</v>
      </c>
      <c r="H854" s="62">
        <v>13321.573978658967</v>
      </c>
      <c r="I854" s="62">
        <v>0.89712071766785428</v>
      </c>
      <c r="J854" s="62">
        <v>13237.34972222113</v>
      </c>
      <c r="K854" s="62">
        <v>0.88988278676947519</v>
      </c>
      <c r="L854" s="62">
        <f t="shared" si="142"/>
        <v>-4056.526141737224</v>
      </c>
      <c r="M854" s="62">
        <f t="shared" si="143"/>
        <v>-0.27795874011792621</v>
      </c>
      <c r="N854" s="62">
        <f t="shared" si="144"/>
        <v>-4083.6117213923244</v>
      </c>
      <c r="O854" s="62">
        <f t="shared" si="145"/>
        <v>-0.2800700520401137</v>
      </c>
      <c r="P854" s="62">
        <f t="shared" si="146"/>
        <v>-3999.3874649544869</v>
      </c>
      <c r="Q854" s="62">
        <f t="shared" si="147"/>
        <v>-0.27283212114173461</v>
      </c>
      <c r="R854" s="62">
        <f t="shared" si="148"/>
        <v>16322.744515696884</v>
      </c>
      <c r="S854" s="62">
        <f t="shared" si="149"/>
        <v>23780.381224604636</v>
      </c>
      <c r="T854" s="62">
        <f t="shared" si="150"/>
        <v>23840.754630014228</v>
      </c>
      <c r="U854" s="62">
        <f t="shared" si="151"/>
        <v>23625.154836917609</v>
      </c>
      <c r="V854" s="62">
        <f t="shared" si="141"/>
        <v>1</v>
      </c>
      <c r="W854" s="62">
        <f t="shared" si="141"/>
        <v>0</v>
      </c>
      <c r="X854" s="62">
        <f t="shared" si="141"/>
        <v>0</v>
      </c>
      <c r="Y854" s="62">
        <f t="shared" si="140"/>
        <v>0</v>
      </c>
      <c r="AA854" s="94"/>
    </row>
    <row r="855" spans="2:27" x14ac:dyDescent="0.2">
      <c r="B855" s="94"/>
      <c r="C855" s="62">
        <v>816</v>
      </c>
      <c r="D855" s="62">
        <v>11329.655138813616</v>
      </c>
      <c r="E855" s="62">
        <v>0.61758634046163385</v>
      </c>
      <c r="F855" s="62">
        <v>16300.200402066355</v>
      </c>
      <c r="G855" s="62">
        <v>0.89418512479623147</v>
      </c>
      <c r="H855" s="62">
        <v>16354.907646893249</v>
      </c>
      <c r="I855" s="62">
        <v>0.89749777430652911</v>
      </c>
      <c r="J855" s="62">
        <v>16233.526381821019</v>
      </c>
      <c r="K855" s="62">
        <v>0.88946787895964907</v>
      </c>
      <c r="L855" s="62">
        <f t="shared" si="142"/>
        <v>-4970.5452632527395</v>
      </c>
      <c r="M855" s="62">
        <f t="shared" si="143"/>
        <v>-0.27659878433459761</v>
      </c>
      <c r="N855" s="62">
        <f t="shared" si="144"/>
        <v>-5025.2525080796331</v>
      </c>
      <c r="O855" s="62">
        <f t="shared" si="145"/>
        <v>-0.27991143384489525</v>
      </c>
      <c r="P855" s="62">
        <f t="shared" si="146"/>
        <v>-4903.8712430074029</v>
      </c>
      <c r="Q855" s="62">
        <f t="shared" si="147"/>
        <v>-0.27188153849801522</v>
      </c>
      <c r="R855" s="62">
        <f t="shared" si="148"/>
        <v>14253.241428469106</v>
      </c>
      <c r="S855" s="62">
        <f t="shared" si="149"/>
        <v>20740.524207492734</v>
      </c>
      <c r="T855" s="62">
        <f t="shared" si="150"/>
        <v>20823.040155980416</v>
      </c>
      <c r="U855" s="62">
        <f t="shared" si="151"/>
        <v>20611.791036203485</v>
      </c>
      <c r="V855" s="62">
        <f t="shared" si="141"/>
        <v>1</v>
      </c>
      <c r="W855" s="62">
        <f t="shared" si="141"/>
        <v>0</v>
      </c>
      <c r="X855" s="62">
        <f t="shared" si="141"/>
        <v>0</v>
      </c>
      <c r="Y855" s="62">
        <f t="shared" si="140"/>
        <v>0</v>
      </c>
      <c r="AA855" s="94"/>
    </row>
    <row r="856" spans="2:27" x14ac:dyDescent="0.2">
      <c r="B856" s="94"/>
      <c r="C856" s="62">
        <v>817</v>
      </c>
      <c r="D856" s="62">
        <v>9433.8737868874141</v>
      </c>
      <c r="E856" s="62">
        <v>0.61783170822694233</v>
      </c>
      <c r="F856" s="62">
        <v>13562.995424274679</v>
      </c>
      <c r="G856" s="62">
        <v>0.89421338876226109</v>
      </c>
      <c r="H856" s="62">
        <v>13604.30420141104</v>
      </c>
      <c r="I856" s="62">
        <v>0.89737812335942335</v>
      </c>
      <c r="J856" s="62">
        <v>13515.6361429344</v>
      </c>
      <c r="K856" s="62">
        <v>0.89014947062631489</v>
      </c>
      <c r="L856" s="62">
        <f t="shared" si="142"/>
        <v>-4129.1216373872649</v>
      </c>
      <c r="M856" s="62">
        <f t="shared" si="143"/>
        <v>-0.27638168053531875</v>
      </c>
      <c r="N856" s="62">
        <f t="shared" si="144"/>
        <v>-4170.4304145236256</v>
      </c>
      <c r="O856" s="62">
        <f t="shared" si="145"/>
        <v>-0.27954641513248102</v>
      </c>
      <c r="P856" s="62">
        <f t="shared" si="146"/>
        <v>-4081.7623560469856</v>
      </c>
      <c r="Q856" s="62">
        <f t="shared" si="147"/>
        <v>-0.27231776239937255</v>
      </c>
      <c r="R856" s="62">
        <f t="shared" si="148"/>
        <v>16159.186894705445</v>
      </c>
      <c r="S856" s="62">
        <f t="shared" si="149"/>
        <v>23478.899991813221</v>
      </c>
      <c r="T856" s="62">
        <f t="shared" si="150"/>
        <v>23568.687180629713</v>
      </c>
      <c r="U856" s="62">
        <f t="shared" si="151"/>
        <v>23357.915528290065</v>
      </c>
      <c r="V856" s="62">
        <f t="shared" si="141"/>
        <v>1</v>
      </c>
      <c r="W856" s="62">
        <f t="shared" si="141"/>
        <v>0</v>
      </c>
      <c r="X856" s="62">
        <f t="shared" si="141"/>
        <v>0</v>
      </c>
      <c r="Y856" s="62">
        <f t="shared" si="140"/>
        <v>0</v>
      </c>
      <c r="AA856" s="94"/>
    </row>
    <row r="857" spans="2:27" x14ac:dyDescent="0.2">
      <c r="B857" s="94"/>
      <c r="C857" s="62">
        <v>818</v>
      </c>
      <c r="D857" s="62">
        <v>11154.356938650017</v>
      </c>
      <c r="E857" s="62">
        <v>0.61753115831562511</v>
      </c>
      <c r="F857" s="62">
        <v>16051.486640897316</v>
      </c>
      <c r="G857" s="62">
        <v>0.89464671791934292</v>
      </c>
      <c r="H857" s="62">
        <v>16087.438383803526</v>
      </c>
      <c r="I857" s="62">
        <v>0.89688827804005034</v>
      </c>
      <c r="J857" s="62">
        <v>15980.042713551851</v>
      </c>
      <c r="K857" s="62">
        <v>0.88955946521250406</v>
      </c>
      <c r="L857" s="62">
        <f t="shared" si="142"/>
        <v>-4897.1297022472991</v>
      </c>
      <c r="M857" s="62">
        <f t="shared" si="143"/>
        <v>-0.27711555960371781</v>
      </c>
      <c r="N857" s="62">
        <f t="shared" si="144"/>
        <v>-4933.0814451535098</v>
      </c>
      <c r="O857" s="62">
        <f t="shared" si="145"/>
        <v>-0.27935711972442523</v>
      </c>
      <c r="P857" s="62">
        <f t="shared" si="146"/>
        <v>-4825.6857749018345</v>
      </c>
      <c r="Q857" s="62">
        <f t="shared" si="147"/>
        <v>-0.27202830689687896</v>
      </c>
      <c r="R857" s="62">
        <f t="shared" si="148"/>
        <v>14426.253763416436</v>
      </c>
      <c r="S857" s="62">
        <f t="shared" si="149"/>
        <v>21008.359002193545</v>
      </c>
      <c r="T857" s="62">
        <f t="shared" si="150"/>
        <v>21065.261645727514</v>
      </c>
      <c r="U857" s="62">
        <f t="shared" si="151"/>
        <v>20869.068573410917</v>
      </c>
      <c r="V857" s="62">
        <f t="shared" si="141"/>
        <v>1</v>
      </c>
      <c r="W857" s="62">
        <f t="shared" si="141"/>
        <v>0</v>
      </c>
      <c r="X857" s="62">
        <f t="shared" si="141"/>
        <v>0</v>
      </c>
      <c r="Y857" s="62">
        <f t="shared" si="140"/>
        <v>0</v>
      </c>
      <c r="AA857" s="94"/>
    </row>
    <row r="858" spans="2:27" x14ac:dyDescent="0.2">
      <c r="B858" s="94"/>
      <c r="C858" s="62">
        <v>819</v>
      </c>
      <c r="D858" s="62">
        <v>9613.892653880177</v>
      </c>
      <c r="E858" s="62">
        <v>0.61731440438741747</v>
      </c>
      <c r="F858" s="62">
        <v>13826.743749774232</v>
      </c>
      <c r="G858" s="62">
        <v>0.89424223197460406</v>
      </c>
      <c r="H858" s="62">
        <v>13867.391589698505</v>
      </c>
      <c r="I858" s="62">
        <v>0.89723066502481041</v>
      </c>
      <c r="J858" s="62">
        <v>13762.425117137951</v>
      </c>
      <c r="K858" s="62">
        <v>0.88896460173964675</v>
      </c>
      <c r="L858" s="62">
        <f t="shared" si="142"/>
        <v>-4212.8510958940551</v>
      </c>
      <c r="M858" s="62">
        <f t="shared" si="143"/>
        <v>-0.27692782758718659</v>
      </c>
      <c r="N858" s="62">
        <f t="shared" si="144"/>
        <v>-4253.4989358183284</v>
      </c>
      <c r="O858" s="62">
        <f t="shared" si="145"/>
        <v>-0.27991626063739294</v>
      </c>
      <c r="P858" s="62">
        <f t="shared" si="146"/>
        <v>-4148.532463257774</v>
      </c>
      <c r="Q858" s="62">
        <f t="shared" si="147"/>
        <v>-0.27165019735222928</v>
      </c>
      <c r="R858" s="62">
        <f t="shared" si="148"/>
        <v>15957.739233464205</v>
      </c>
      <c r="S858" s="62">
        <f t="shared" si="149"/>
        <v>23216.346467541767</v>
      </c>
      <c r="T858" s="62">
        <f t="shared" si="150"/>
        <v>23299.491478289245</v>
      </c>
      <c r="U858" s="62">
        <f t="shared" si="151"/>
        <v>23062.044545325174</v>
      </c>
      <c r="V858" s="62">
        <f t="shared" si="141"/>
        <v>1</v>
      </c>
      <c r="W858" s="62">
        <f t="shared" si="141"/>
        <v>0</v>
      </c>
      <c r="X858" s="62">
        <f t="shared" si="141"/>
        <v>0</v>
      </c>
      <c r="Y858" s="62">
        <f t="shared" si="140"/>
        <v>0</v>
      </c>
      <c r="AA858" s="94"/>
    </row>
    <row r="859" spans="2:27" x14ac:dyDescent="0.2">
      <c r="B859" s="94"/>
      <c r="C859" s="62">
        <v>820</v>
      </c>
      <c r="D859" s="62">
        <v>11074.098276481083</v>
      </c>
      <c r="E859" s="62">
        <v>0.61727630906033315</v>
      </c>
      <c r="F859" s="62">
        <v>15948.567472062563</v>
      </c>
      <c r="G859" s="62">
        <v>0.89420387774170673</v>
      </c>
      <c r="H859" s="62">
        <v>15991.210565538418</v>
      </c>
      <c r="I859" s="62">
        <v>0.89687270305791456</v>
      </c>
      <c r="J859" s="62">
        <v>15872.874477041645</v>
      </c>
      <c r="K859" s="62">
        <v>0.88901089979588899</v>
      </c>
      <c r="L859" s="62">
        <f t="shared" si="142"/>
        <v>-4874.4691955814797</v>
      </c>
      <c r="M859" s="62">
        <f t="shared" si="143"/>
        <v>-0.27692756868137358</v>
      </c>
      <c r="N859" s="62">
        <f t="shared" si="144"/>
        <v>-4917.1122890573351</v>
      </c>
      <c r="O859" s="62">
        <f t="shared" si="145"/>
        <v>-0.2795963939975814</v>
      </c>
      <c r="P859" s="62">
        <f t="shared" si="146"/>
        <v>-4798.7762005605618</v>
      </c>
      <c r="Q859" s="62">
        <f t="shared" si="147"/>
        <v>-0.27173459073555584</v>
      </c>
      <c r="R859" s="62">
        <f t="shared" si="148"/>
        <v>14495.955550034156</v>
      </c>
      <c r="S859" s="62">
        <f t="shared" si="149"/>
        <v>21092.933959509901</v>
      </c>
      <c r="T859" s="62">
        <f t="shared" si="150"/>
        <v>21160.844285932635</v>
      </c>
      <c r="U859" s="62">
        <f t="shared" si="151"/>
        <v>20953.513036103257</v>
      </c>
      <c r="V859" s="62">
        <f t="shared" si="141"/>
        <v>1</v>
      </c>
      <c r="W859" s="62">
        <f t="shared" si="141"/>
        <v>0</v>
      </c>
      <c r="X859" s="62">
        <f t="shared" si="141"/>
        <v>0</v>
      </c>
      <c r="Y859" s="62">
        <f t="shared" si="140"/>
        <v>0</v>
      </c>
      <c r="AA859" s="94"/>
    </row>
    <row r="860" spans="2:27" x14ac:dyDescent="0.2">
      <c r="B860" s="94"/>
      <c r="C860" s="62">
        <v>821</v>
      </c>
      <c r="D860" s="62">
        <v>8569.4650925930619</v>
      </c>
      <c r="E860" s="62">
        <v>0.61755879813984549</v>
      </c>
      <c r="F860" s="62">
        <v>12313.192957374165</v>
      </c>
      <c r="G860" s="62">
        <v>0.89364028421708031</v>
      </c>
      <c r="H860" s="62">
        <v>12356.221023257227</v>
      </c>
      <c r="I860" s="62">
        <v>0.89726558418054259</v>
      </c>
      <c r="J860" s="62">
        <v>12263.009137303223</v>
      </c>
      <c r="K860" s="62">
        <v>0.88897570336469189</v>
      </c>
      <c r="L860" s="62">
        <f t="shared" si="142"/>
        <v>-3743.7278647811036</v>
      </c>
      <c r="M860" s="62">
        <f t="shared" si="143"/>
        <v>-0.27608148607723482</v>
      </c>
      <c r="N860" s="62">
        <f t="shared" si="144"/>
        <v>-3786.7559306641651</v>
      </c>
      <c r="O860" s="62">
        <f t="shared" si="145"/>
        <v>-0.2797067860406971</v>
      </c>
      <c r="P860" s="62">
        <f t="shared" si="146"/>
        <v>-3693.544044710161</v>
      </c>
      <c r="Q860" s="62">
        <f t="shared" si="147"/>
        <v>-0.27141690522484641</v>
      </c>
      <c r="R860" s="62">
        <f t="shared" si="148"/>
        <v>17012.290561551898</v>
      </c>
      <c r="S860" s="62">
        <f t="shared" si="149"/>
        <v>24704.962176034169</v>
      </c>
      <c r="T860" s="62">
        <f t="shared" si="150"/>
        <v>24812.108535837571</v>
      </c>
      <c r="U860" s="62">
        <f t="shared" si="151"/>
        <v>24561.920398875776</v>
      </c>
      <c r="V860" s="62">
        <f t="shared" si="141"/>
        <v>1</v>
      </c>
      <c r="W860" s="62">
        <f t="shared" si="141"/>
        <v>0</v>
      </c>
      <c r="X860" s="62">
        <f t="shared" si="141"/>
        <v>0</v>
      </c>
      <c r="Y860" s="62">
        <f t="shared" si="140"/>
        <v>0</v>
      </c>
      <c r="AA860" s="94"/>
    </row>
    <row r="861" spans="2:27" x14ac:dyDescent="0.2">
      <c r="B861" s="94"/>
      <c r="C861" s="62">
        <v>822</v>
      </c>
      <c r="D861" s="62">
        <v>10254.403218863765</v>
      </c>
      <c r="E861" s="62">
        <v>0.61787228483576684</v>
      </c>
      <c r="F861" s="62">
        <v>14740.090067903016</v>
      </c>
      <c r="G861" s="62">
        <v>0.89381722900315497</v>
      </c>
      <c r="H861" s="62">
        <v>14795.571232809622</v>
      </c>
      <c r="I861" s="62">
        <v>0.89761481475859384</v>
      </c>
      <c r="J861" s="62">
        <v>14684.414879587726</v>
      </c>
      <c r="K861" s="62">
        <v>0.88947219224866247</v>
      </c>
      <c r="L861" s="62">
        <f t="shared" si="142"/>
        <v>-4485.6868490392517</v>
      </c>
      <c r="M861" s="62">
        <f t="shared" si="143"/>
        <v>-0.27594494416738813</v>
      </c>
      <c r="N861" s="62">
        <f t="shared" si="144"/>
        <v>-4541.1680139458567</v>
      </c>
      <c r="O861" s="62">
        <f t="shared" si="145"/>
        <v>-0.279742529922827</v>
      </c>
      <c r="P861" s="62">
        <f t="shared" si="146"/>
        <v>-4430.0116607239615</v>
      </c>
      <c r="Q861" s="62">
        <f t="shared" si="147"/>
        <v>-0.27159990741289564</v>
      </c>
      <c r="R861" s="62">
        <f t="shared" si="148"/>
        <v>15340.338308173039</v>
      </c>
      <c r="S861" s="62">
        <f t="shared" si="149"/>
        <v>22285.394826323674</v>
      </c>
      <c r="T861" s="62">
        <f t="shared" si="150"/>
        <v>22387.224853750369</v>
      </c>
      <c r="U861" s="62">
        <f t="shared" si="151"/>
        <v>22161.081212120866</v>
      </c>
      <c r="V861" s="62">
        <f t="shared" si="141"/>
        <v>1</v>
      </c>
      <c r="W861" s="62">
        <f t="shared" si="141"/>
        <v>0</v>
      </c>
      <c r="X861" s="62">
        <f t="shared" si="141"/>
        <v>0</v>
      </c>
      <c r="Y861" s="62">
        <f t="shared" si="140"/>
        <v>0</v>
      </c>
      <c r="AA861" s="94"/>
    </row>
    <row r="862" spans="2:27" x14ac:dyDescent="0.2">
      <c r="B862" s="94"/>
      <c r="C862" s="62">
        <v>823</v>
      </c>
      <c r="D862" s="62">
        <v>9219.1568325438548</v>
      </c>
      <c r="E862" s="62">
        <v>0.61752880851626868</v>
      </c>
      <c r="F862" s="62">
        <v>13255.568331592163</v>
      </c>
      <c r="G862" s="62">
        <v>0.89466014571959629</v>
      </c>
      <c r="H862" s="62">
        <v>13284.073399000656</v>
      </c>
      <c r="I862" s="62">
        <v>0.89672307437688514</v>
      </c>
      <c r="J862" s="62">
        <v>13194.585818263256</v>
      </c>
      <c r="K862" s="62">
        <v>0.889241463641534</v>
      </c>
      <c r="L862" s="62">
        <f t="shared" si="142"/>
        <v>-4036.4114990483085</v>
      </c>
      <c r="M862" s="62">
        <f t="shared" si="143"/>
        <v>-0.27713133720332761</v>
      </c>
      <c r="N862" s="62">
        <f t="shared" si="144"/>
        <v>-4064.9165664568009</v>
      </c>
      <c r="O862" s="62">
        <f t="shared" si="145"/>
        <v>-0.27919426586061646</v>
      </c>
      <c r="P862" s="62">
        <f t="shared" si="146"/>
        <v>-3975.4289857194017</v>
      </c>
      <c r="Q862" s="62">
        <f t="shared" si="147"/>
        <v>-0.27171265512526532</v>
      </c>
      <c r="R862" s="62">
        <f t="shared" si="148"/>
        <v>16361.356531434058</v>
      </c>
      <c r="S862" s="62">
        <f t="shared" si="149"/>
        <v>23804.83354469639</v>
      </c>
      <c r="T862" s="62">
        <f t="shared" si="150"/>
        <v>23861.783233987437</v>
      </c>
      <c r="U862" s="62">
        <f t="shared" si="151"/>
        <v>23641.352571623647</v>
      </c>
      <c r="V862" s="62">
        <f t="shared" si="141"/>
        <v>1</v>
      </c>
      <c r="W862" s="62">
        <f t="shared" si="141"/>
        <v>0</v>
      </c>
      <c r="X862" s="62">
        <f t="shared" si="141"/>
        <v>0</v>
      </c>
      <c r="Y862" s="62">
        <f t="shared" si="140"/>
        <v>0</v>
      </c>
      <c r="AA862" s="94"/>
    </row>
    <row r="863" spans="2:27" x14ac:dyDescent="0.2">
      <c r="B863" s="94"/>
      <c r="C863" s="62">
        <v>824</v>
      </c>
      <c r="D863" s="62">
        <v>11571.608230993192</v>
      </c>
      <c r="E863" s="62">
        <v>0.61775701629469326</v>
      </c>
      <c r="F863" s="62">
        <v>16640.316981989214</v>
      </c>
      <c r="G863" s="62">
        <v>0.8938704393033744</v>
      </c>
      <c r="H863" s="62">
        <v>16705.204478426193</v>
      </c>
      <c r="I863" s="62">
        <v>0.89771253277878094</v>
      </c>
      <c r="J863" s="62">
        <v>16580.550234326973</v>
      </c>
      <c r="K863" s="62">
        <v>0.88970433815915317</v>
      </c>
      <c r="L863" s="62">
        <f t="shared" si="142"/>
        <v>-5068.708750996022</v>
      </c>
      <c r="M863" s="62">
        <f t="shared" si="143"/>
        <v>-0.27611342300868114</v>
      </c>
      <c r="N863" s="62">
        <f t="shared" si="144"/>
        <v>-5133.5962474330008</v>
      </c>
      <c r="O863" s="62">
        <f t="shared" si="145"/>
        <v>-0.27995551648408767</v>
      </c>
      <c r="P863" s="62">
        <f t="shared" si="146"/>
        <v>-5008.942003333781</v>
      </c>
      <c r="Q863" s="62">
        <f t="shared" si="147"/>
        <v>-0.27194732186445991</v>
      </c>
      <c r="R863" s="62">
        <f t="shared" si="148"/>
        <v>14018.358411998182</v>
      </c>
      <c r="S863" s="62">
        <f t="shared" si="149"/>
        <v>20387.37209571377</v>
      </c>
      <c r="T863" s="62">
        <f t="shared" si="150"/>
        <v>20481.639479402027</v>
      </c>
      <c r="U863" s="62">
        <f t="shared" si="151"/>
        <v>20274.562269577789</v>
      </c>
      <c r="V863" s="62">
        <f t="shared" si="141"/>
        <v>1</v>
      </c>
      <c r="W863" s="62">
        <f t="shared" si="141"/>
        <v>0</v>
      </c>
      <c r="X863" s="62">
        <f t="shared" si="141"/>
        <v>0</v>
      </c>
      <c r="Y863" s="62">
        <f t="shared" si="140"/>
        <v>0</v>
      </c>
      <c r="AA863" s="94"/>
    </row>
    <row r="864" spans="2:27" x14ac:dyDescent="0.2">
      <c r="B864" s="94"/>
      <c r="C864" s="62">
        <v>825</v>
      </c>
      <c r="D864" s="62">
        <v>11718.434328393196</v>
      </c>
      <c r="E864" s="62">
        <v>0.61780744340249483</v>
      </c>
      <c r="F864" s="62">
        <v>16858.605270295291</v>
      </c>
      <c r="G864" s="62">
        <v>0.89466196318039248</v>
      </c>
      <c r="H864" s="62">
        <v>16917.931637312249</v>
      </c>
      <c r="I864" s="62">
        <v>0.89804856633392582</v>
      </c>
      <c r="J864" s="62">
        <v>16767.816955796567</v>
      </c>
      <c r="K864" s="62">
        <v>0.88869703088030605</v>
      </c>
      <c r="L864" s="62">
        <f t="shared" si="142"/>
        <v>-5140.1709419020954</v>
      </c>
      <c r="M864" s="62">
        <f t="shared" si="143"/>
        <v>-0.27685451977789766</v>
      </c>
      <c r="N864" s="62">
        <f t="shared" si="144"/>
        <v>-5199.4973089190535</v>
      </c>
      <c r="O864" s="62">
        <f t="shared" si="145"/>
        <v>-0.280241122931431</v>
      </c>
      <c r="P864" s="62">
        <f t="shared" si="146"/>
        <v>-5049.3826274033709</v>
      </c>
      <c r="Q864" s="62">
        <f t="shared" si="147"/>
        <v>-0.27088958747781122</v>
      </c>
      <c r="R864" s="62">
        <f t="shared" si="148"/>
        <v>13873.621207111752</v>
      </c>
      <c r="S864" s="62">
        <f t="shared" si="149"/>
        <v>20201.871892489286</v>
      </c>
      <c r="T864" s="62">
        <f t="shared" si="150"/>
        <v>20282.832174504292</v>
      </c>
      <c r="U864" s="62">
        <f t="shared" si="151"/>
        <v>20045.568851389231</v>
      </c>
      <c r="V864" s="62">
        <f t="shared" si="141"/>
        <v>1</v>
      </c>
      <c r="W864" s="62">
        <f t="shared" si="141"/>
        <v>0</v>
      </c>
      <c r="X864" s="62">
        <f t="shared" si="141"/>
        <v>0</v>
      </c>
      <c r="Y864" s="62">
        <f t="shared" si="140"/>
        <v>0</v>
      </c>
      <c r="AA864" s="94"/>
    </row>
    <row r="865" spans="2:27" x14ac:dyDescent="0.2">
      <c r="B865" s="94"/>
      <c r="C865" s="62">
        <v>826</v>
      </c>
      <c r="D865" s="62">
        <v>10748.338249228344</v>
      </c>
      <c r="E865" s="62">
        <v>0.6174529553121948</v>
      </c>
      <c r="F865" s="62">
        <v>15453.821247751077</v>
      </c>
      <c r="G865" s="62">
        <v>0.89402590874348908</v>
      </c>
      <c r="H865" s="62">
        <v>15496.990530875586</v>
      </c>
      <c r="I865" s="62">
        <v>0.89689803140458713</v>
      </c>
      <c r="J865" s="62">
        <v>15398.000736426482</v>
      </c>
      <c r="K865" s="62">
        <v>0.88972685414263009</v>
      </c>
      <c r="L865" s="62">
        <f t="shared" si="142"/>
        <v>-4705.4829985227334</v>
      </c>
      <c r="M865" s="62">
        <f t="shared" si="143"/>
        <v>-0.27657295343129429</v>
      </c>
      <c r="N865" s="62">
        <f t="shared" si="144"/>
        <v>-4748.6522816472425</v>
      </c>
      <c r="O865" s="62">
        <f t="shared" si="145"/>
        <v>-0.27944507609239233</v>
      </c>
      <c r="P865" s="62">
        <f t="shared" si="146"/>
        <v>-4649.6624871981385</v>
      </c>
      <c r="Q865" s="62">
        <f t="shared" si="147"/>
        <v>-0.27227389883043529</v>
      </c>
      <c r="R865" s="62">
        <f t="shared" si="148"/>
        <v>14829.032971624014</v>
      </c>
      <c r="S865" s="62">
        <f t="shared" si="149"/>
        <v>21580.307996039213</v>
      </c>
      <c r="T865" s="62">
        <f t="shared" si="150"/>
        <v>21656.113522028034</v>
      </c>
      <c r="U865" s="62">
        <f t="shared" si="151"/>
        <v>21458.044469577828</v>
      </c>
      <c r="V865" s="62">
        <f t="shared" si="141"/>
        <v>1</v>
      </c>
      <c r="W865" s="62">
        <f t="shared" si="141"/>
        <v>0</v>
      </c>
      <c r="X865" s="62">
        <f t="shared" si="141"/>
        <v>0</v>
      </c>
      <c r="Y865" s="62">
        <f t="shared" si="140"/>
        <v>0</v>
      </c>
      <c r="AA865" s="94"/>
    </row>
    <row r="866" spans="2:27" x14ac:dyDescent="0.2">
      <c r="B866" s="94"/>
      <c r="C866" s="62">
        <v>827</v>
      </c>
      <c r="D866" s="62">
        <v>8426.525203956553</v>
      </c>
      <c r="E866" s="62">
        <v>0.61734378325362982</v>
      </c>
      <c r="F866" s="62">
        <v>12109.937328788043</v>
      </c>
      <c r="G866" s="62">
        <v>0.89400182155567476</v>
      </c>
      <c r="H866" s="62">
        <v>12143.305010526505</v>
      </c>
      <c r="I866" s="62">
        <v>0.89692509330690029</v>
      </c>
      <c r="J866" s="62">
        <v>12063.092653757009</v>
      </c>
      <c r="K866" s="62">
        <v>0.88940959995506874</v>
      </c>
      <c r="L866" s="62">
        <f t="shared" si="142"/>
        <v>-3683.4121248314896</v>
      </c>
      <c r="M866" s="62">
        <f t="shared" si="143"/>
        <v>-0.27665803830204494</v>
      </c>
      <c r="N866" s="62">
        <f t="shared" si="144"/>
        <v>-3716.7798065699517</v>
      </c>
      <c r="O866" s="62">
        <f t="shared" si="145"/>
        <v>-0.27958131005327047</v>
      </c>
      <c r="P866" s="62">
        <f t="shared" si="146"/>
        <v>-3636.5674498004555</v>
      </c>
      <c r="Q866" s="62">
        <f t="shared" si="147"/>
        <v>-0.27206581670143892</v>
      </c>
      <c r="R866" s="62">
        <f t="shared" si="148"/>
        <v>17146.323673541807</v>
      </c>
      <c r="S866" s="62">
        <f t="shared" si="149"/>
        <v>24923.194127334224</v>
      </c>
      <c r="T866" s="62">
        <f t="shared" si="150"/>
        <v>25010.920054618531</v>
      </c>
      <c r="U866" s="62">
        <f t="shared" si="151"/>
        <v>24779.810614781756</v>
      </c>
      <c r="V866" s="62">
        <f t="shared" si="141"/>
        <v>1</v>
      </c>
      <c r="W866" s="62">
        <f t="shared" si="141"/>
        <v>0</v>
      </c>
      <c r="X866" s="62">
        <f t="shared" si="141"/>
        <v>0</v>
      </c>
      <c r="Y866" s="62">
        <f t="shared" si="140"/>
        <v>0</v>
      </c>
      <c r="AA866" s="94"/>
    </row>
    <row r="867" spans="2:27" x14ac:dyDescent="0.2">
      <c r="B867" s="94"/>
      <c r="C867" s="62">
        <v>828</v>
      </c>
      <c r="D867" s="62">
        <v>8987.8099862217259</v>
      </c>
      <c r="E867" s="62">
        <v>0.6175318089312597</v>
      </c>
      <c r="F867" s="62">
        <v>12921.696126139432</v>
      </c>
      <c r="G867" s="62">
        <v>0.89363209379245068</v>
      </c>
      <c r="H867" s="62">
        <v>12970.628017048295</v>
      </c>
      <c r="I867" s="62">
        <v>0.89751975104896264</v>
      </c>
      <c r="J867" s="62">
        <v>12865.325784219965</v>
      </c>
      <c r="K867" s="62">
        <v>0.88881813490393635</v>
      </c>
      <c r="L867" s="62">
        <f t="shared" si="142"/>
        <v>-3933.8861399177058</v>
      </c>
      <c r="M867" s="62">
        <f t="shared" si="143"/>
        <v>-0.27610028486119098</v>
      </c>
      <c r="N867" s="62">
        <f t="shared" si="144"/>
        <v>-3982.8180308265692</v>
      </c>
      <c r="O867" s="62">
        <f t="shared" si="145"/>
        <v>-0.27998794211770295</v>
      </c>
      <c r="P867" s="62">
        <f t="shared" si="146"/>
        <v>-3877.5157979982396</v>
      </c>
      <c r="Q867" s="62">
        <f t="shared" si="147"/>
        <v>-0.27128632597267666</v>
      </c>
      <c r="R867" s="62">
        <f t="shared" si="148"/>
        <v>16592.827666946774</v>
      </c>
      <c r="S867" s="62">
        <f t="shared" si="149"/>
        <v>24096.119727119047</v>
      </c>
      <c r="T867" s="62">
        <f t="shared" si="150"/>
        <v>24208.230150403935</v>
      </c>
      <c r="U867" s="62">
        <f t="shared" si="151"/>
        <v>23953.076636040692</v>
      </c>
      <c r="V867" s="62">
        <f t="shared" si="141"/>
        <v>1</v>
      </c>
      <c r="W867" s="62">
        <f t="shared" si="141"/>
        <v>0</v>
      </c>
      <c r="X867" s="62">
        <f t="shared" si="141"/>
        <v>0</v>
      </c>
      <c r="Y867" s="62">
        <f t="shared" si="140"/>
        <v>0</v>
      </c>
      <c r="AA867" s="94"/>
    </row>
    <row r="868" spans="2:27" x14ac:dyDescent="0.2">
      <c r="B868" s="94"/>
      <c r="C868" s="62">
        <v>829</v>
      </c>
      <c r="D868" s="62">
        <v>7719.2930891769256</v>
      </c>
      <c r="E868" s="62">
        <v>0.61746392456585664</v>
      </c>
      <c r="F868" s="62">
        <v>11089.538645297802</v>
      </c>
      <c r="G868" s="62">
        <v>0.89393401427243435</v>
      </c>
      <c r="H868" s="62">
        <v>11129.56458645318</v>
      </c>
      <c r="I868" s="62">
        <v>0.89771306366220516</v>
      </c>
      <c r="J868" s="62">
        <v>11053.876711671253</v>
      </c>
      <c r="K868" s="62">
        <v>0.8899677632619919</v>
      </c>
      <c r="L868" s="62">
        <f t="shared" si="142"/>
        <v>-3370.2455561208762</v>
      </c>
      <c r="M868" s="62">
        <f t="shared" si="143"/>
        <v>-0.27647008970657772</v>
      </c>
      <c r="N868" s="62">
        <f t="shared" si="144"/>
        <v>-3410.2714972762542</v>
      </c>
      <c r="O868" s="62">
        <f t="shared" si="145"/>
        <v>-0.28024913909634852</v>
      </c>
      <c r="P868" s="62">
        <f t="shared" si="146"/>
        <v>-3334.5836224943278</v>
      </c>
      <c r="Q868" s="62">
        <f t="shared" si="147"/>
        <v>-0.27250383869613526</v>
      </c>
      <c r="R868" s="62">
        <f t="shared" si="148"/>
        <v>17858.532522039121</v>
      </c>
      <c r="S868" s="62">
        <f t="shared" si="149"/>
        <v>25940.78396192352</v>
      </c>
      <c r="T868" s="62">
        <f t="shared" si="150"/>
        <v>26057.30136269001</v>
      </c>
      <c r="U868" s="62">
        <f t="shared" si="151"/>
        <v>25812.147913693494</v>
      </c>
      <c r="V868" s="62">
        <f t="shared" si="141"/>
        <v>1</v>
      </c>
      <c r="W868" s="62">
        <f t="shared" si="141"/>
        <v>0</v>
      </c>
      <c r="X868" s="62">
        <f t="shared" si="141"/>
        <v>0</v>
      </c>
      <c r="Y868" s="62">
        <f t="shared" si="140"/>
        <v>0</v>
      </c>
      <c r="AA868" s="94"/>
    </row>
    <row r="869" spans="2:27" x14ac:dyDescent="0.2">
      <c r="B869" s="94"/>
      <c r="C869" s="62">
        <v>830</v>
      </c>
      <c r="D869" s="62">
        <v>8427.7636835648191</v>
      </c>
      <c r="E869" s="62">
        <v>0.61764396227155094</v>
      </c>
      <c r="F869" s="62">
        <v>12099.720050452064</v>
      </c>
      <c r="G869" s="62">
        <v>0.8935256056931421</v>
      </c>
      <c r="H869" s="62">
        <v>12143.127291185763</v>
      </c>
      <c r="I869" s="62">
        <v>0.89725868218426053</v>
      </c>
      <c r="J869" s="62">
        <v>12057.65056598871</v>
      </c>
      <c r="K869" s="62">
        <v>0.8892813017558725</v>
      </c>
      <c r="L869" s="62">
        <f t="shared" si="142"/>
        <v>-3671.9563668872452</v>
      </c>
      <c r="M869" s="62">
        <f t="shared" si="143"/>
        <v>-0.27588164342159116</v>
      </c>
      <c r="N869" s="62">
        <f t="shared" si="144"/>
        <v>-3715.3636076209441</v>
      </c>
      <c r="O869" s="62">
        <f t="shared" si="145"/>
        <v>-0.27961471991270959</v>
      </c>
      <c r="P869" s="62">
        <f t="shared" si="146"/>
        <v>-3629.8868824238907</v>
      </c>
      <c r="Q869" s="62">
        <f t="shared" si="147"/>
        <v>-0.27163733948432156</v>
      </c>
      <c r="R869" s="62">
        <f t="shared" si="148"/>
        <v>17157.519809571906</v>
      </c>
      <c r="S869" s="62">
        <f t="shared" si="149"/>
        <v>24913.684639780651</v>
      </c>
      <c r="T869" s="62">
        <f t="shared" si="150"/>
        <v>25024.916359615043</v>
      </c>
      <c r="U869" s="62">
        <f t="shared" si="151"/>
        <v>24779.93807794655</v>
      </c>
      <c r="V869" s="62">
        <f t="shared" si="141"/>
        <v>1</v>
      </c>
      <c r="W869" s="62">
        <f t="shared" si="141"/>
        <v>0</v>
      </c>
      <c r="X869" s="62">
        <f t="shared" si="141"/>
        <v>0</v>
      </c>
      <c r="Y869" s="62">
        <f t="shared" si="140"/>
        <v>0</v>
      </c>
      <c r="AA869" s="94"/>
    </row>
    <row r="870" spans="2:27" x14ac:dyDescent="0.2">
      <c r="B870" s="94"/>
      <c r="C870" s="62">
        <v>831</v>
      </c>
      <c r="D870" s="62">
        <v>10187.729973697114</v>
      </c>
      <c r="E870" s="62">
        <v>0.61742594328227507</v>
      </c>
      <c r="F870" s="62">
        <v>14661.484894397998</v>
      </c>
      <c r="G870" s="62">
        <v>0.8939536420234675</v>
      </c>
      <c r="H870" s="62">
        <v>14698.180277313142</v>
      </c>
      <c r="I870" s="62">
        <v>0.89643087949875611</v>
      </c>
      <c r="J870" s="62">
        <v>14603.418072830205</v>
      </c>
      <c r="K870" s="62">
        <v>0.88950482717232715</v>
      </c>
      <c r="L870" s="62">
        <f t="shared" si="142"/>
        <v>-4473.7549207008833</v>
      </c>
      <c r="M870" s="62">
        <f t="shared" si="143"/>
        <v>-0.27652769874119243</v>
      </c>
      <c r="N870" s="62">
        <f t="shared" si="144"/>
        <v>-4510.4503036160277</v>
      </c>
      <c r="O870" s="62">
        <f t="shared" si="145"/>
        <v>-0.27900493621648104</v>
      </c>
      <c r="P870" s="62">
        <f t="shared" si="146"/>
        <v>-4415.6880991330909</v>
      </c>
      <c r="Q870" s="62">
        <f t="shared" si="147"/>
        <v>-0.27207888389005208</v>
      </c>
      <c r="R870" s="62">
        <f t="shared" si="148"/>
        <v>15388.522300827848</v>
      </c>
      <c r="S870" s="62">
        <f t="shared" si="149"/>
        <v>22369.650772782123</v>
      </c>
      <c r="T870" s="62">
        <f t="shared" si="150"/>
        <v>22435.572475043329</v>
      </c>
      <c r="U870" s="62">
        <f t="shared" si="151"/>
        <v>22243.429887956274</v>
      </c>
      <c r="V870" s="62">
        <f t="shared" si="141"/>
        <v>1</v>
      </c>
      <c r="W870" s="62">
        <f t="shared" si="141"/>
        <v>0</v>
      </c>
      <c r="X870" s="62">
        <f t="shared" si="141"/>
        <v>0</v>
      </c>
      <c r="Y870" s="62">
        <f t="shared" si="141"/>
        <v>0</v>
      </c>
      <c r="AA870" s="94"/>
    </row>
    <row r="871" spans="2:27" x14ac:dyDescent="0.2">
      <c r="B871" s="94"/>
      <c r="C871" s="62">
        <v>832</v>
      </c>
      <c r="D871" s="62">
        <v>9953.5699968484314</v>
      </c>
      <c r="E871" s="62">
        <v>0.61780120643073122</v>
      </c>
      <c r="F871" s="62">
        <v>14320.044832756406</v>
      </c>
      <c r="G871" s="62">
        <v>0.89521839480198406</v>
      </c>
      <c r="H871" s="62">
        <v>14343.899524725699</v>
      </c>
      <c r="I871" s="62">
        <v>0.89687463746277829</v>
      </c>
      <c r="J871" s="62">
        <v>14246.911589737036</v>
      </c>
      <c r="K871" s="62">
        <v>0.8893386646840663</v>
      </c>
      <c r="L871" s="62">
        <f t="shared" si="142"/>
        <v>-4366.4748359079749</v>
      </c>
      <c r="M871" s="62">
        <f t="shared" si="143"/>
        <v>-0.27741718837125284</v>
      </c>
      <c r="N871" s="62">
        <f t="shared" si="144"/>
        <v>-4390.3295278772675</v>
      </c>
      <c r="O871" s="62">
        <f t="shared" si="145"/>
        <v>-0.27907343103204707</v>
      </c>
      <c r="P871" s="62">
        <f t="shared" si="146"/>
        <v>-4293.3415928886043</v>
      </c>
      <c r="Q871" s="62">
        <f t="shared" si="147"/>
        <v>-0.27153745825333508</v>
      </c>
      <c r="R871" s="62">
        <f t="shared" si="148"/>
        <v>15638.227178338178</v>
      </c>
      <c r="S871" s="62">
        <f t="shared" si="149"/>
        <v>22763.481953520983</v>
      </c>
      <c r="T871" s="62">
        <f t="shared" si="150"/>
        <v>22808.235457532428</v>
      </c>
      <c r="U871" s="62">
        <f t="shared" si="151"/>
        <v>22593.053256135725</v>
      </c>
      <c r="V871" s="62">
        <f t="shared" ref="V871:Y934" si="152">IF(MIN($R871:$U871)=R871,1,0)</f>
        <v>1</v>
      </c>
      <c r="W871" s="62">
        <f t="shared" si="152"/>
        <v>0</v>
      </c>
      <c r="X871" s="62">
        <f t="shared" si="152"/>
        <v>0</v>
      </c>
      <c r="Y871" s="62">
        <f t="shared" si="152"/>
        <v>0</v>
      </c>
      <c r="AA871" s="94"/>
    </row>
    <row r="872" spans="2:27" x14ac:dyDescent="0.2">
      <c r="B872" s="94"/>
      <c r="C872" s="62">
        <v>833</v>
      </c>
      <c r="D872" s="62">
        <v>9690.1521511664505</v>
      </c>
      <c r="E872" s="62">
        <v>0.61793310191811757</v>
      </c>
      <c r="F872" s="62">
        <v>13928.794344509828</v>
      </c>
      <c r="G872" s="62">
        <v>0.89400543868938376</v>
      </c>
      <c r="H872" s="62">
        <v>13971.636479029943</v>
      </c>
      <c r="I872" s="62">
        <v>0.89703879414972265</v>
      </c>
      <c r="J872" s="62">
        <v>13877.347751735071</v>
      </c>
      <c r="K872" s="62">
        <v>0.88971205132205466</v>
      </c>
      <c r="L872" s="62">
        <f t="shared" ref="L872:L935" si="153">IF($C872&lt;=No_of_iterations_PSA,D872-$F872,"")</f>
        <v>-4238.6421933433776</v>
      </c>
      <c r="M872" s="62">
        <f t="shared" ref="M872:M935" si="154">IF($C872&lt;=No_of_iterations_PSA,E872-$G872,"")</f>
        <v>-0.27607233677126619</v>
      </c>
      <c r="N872" s="62">
        <f t="shared" ref="N872:N935" si="155">IF($C872&lt;=No_of_iterations_PSA,D872-$H872,"")</f>
        <v>-4281.4843278634926</v>
      </c>
      <c r="O872" s="62">
        <f t="shared" ref="O872:O935" si="156">IF($C872&lt;=No_of_iterations_PSA,E872-$I872,"")</f>
        <v>-0.27910569223160508</v>
      </c>
      <c r="P872" s="62">
        <f t="shared" ref="P872:P935" si="157">IF($C872&lt;=No_of_iterations_PSA,D872-$J872,"")</f>
        <v>-4187.1956005686206</v>
      </c>
      <c r="Q872" s="62">
        <f t="shared" ref="Q872:Q935" si="158">IF($C872&lt;=No_of_iterations_PSA,E872-$K872,"")</f>
        <v>-0.2717789494039371</v>
      </c>
      <c r="R872" s="62">
        <f t="shared" ref="R872:R935" si="159">IF($C872&lt;=No_of_iterations_PSA,E872*c_WTP-D872,"")</f>
        <v>15907.10866268965</v>
      </c>
      <c r="S872" s="62">
        <f t="shared" ref="S872:S935" si="160">IF($C872&lt;=No_of_iterations_PSA,G872*c_WTP-F872,"")</f>
        <v>23104.486947759207</v>
      </c>
      <c r="T872" s="62">
        <f t="shared" ref="T872:T935" si="161">IF($C872&lt;=No_of_iterations_PSA,I872*c_WTP-H872,"")</f>
        <v>23187.298529828171</v>
      </c>
      <c r="U872" s="62">
        <f t="shared" ref="U872:U935" si="162">IF($C872&lt;=No_of_iterations_PSA,K872*c_WTP-J872,"")</f>
        <v>22978.08426222972</v>
      </c>
      <c r="V872" s="62">
        <f t="shared" si="152"/>
        <v>1</v>
      </c>
      <c r="W872" s="62">
        <f t="shared" si="152"/>
        <v>0</v>
      </c>
      <c r="X872" s="62">
        <f t="shared" si="152"/>
        <v>0</v>
      </c>
      <c r="Y872" s="62">
        <f t="shared" si="152"/>
        <v>0</v>
      </c>
      <c r="AA872" s="94"/>
    </row>
    <row r="873" spans="2:27" x14ac:dyDescent="0.2">
      <c r="B873" s="94"/>
      <c r="C873" s="62">
        <v>834</v>
      </c>
      <c r="D873" s="62">
        <v>11627.657691805824</v>
      </c>
      <c r="E873" s="62">
        <v>0.61791686933618151</v>
      </c>
      <c r="F873" s="62">
        <v>16703.472470860739</v>
      </c>
      <c r="G873" s="62">
        <v>0.89391618772088055</v>
      </c>
      <c r="H873" s="62">
        <v>16756.322969344965</v>
      </c>
      <c r="I873" s="62">
        <v>0.89707979382034941</v>
      </c>
      <c r="J873" s="62">
        <v>16634.212042660467</v>
      </c>
      <c r="K873" s="62">
        <v>0.88884668084194784</v>
      </c>
      <c r="L873" s="62">
        <f t="shared" si="153"/>
        <v>-5075.8147790549156</v>
      </c>
      <c r="M873" s="62">
        <f t="shared" si="154"/>
        <v>-0.27599931838469904</v>
      </c>
      <c r="N873" s="62">
        <f t="shared" si="155"/>
        <v>-5128.6652775391412</v>
      </c>
      <c r="O873" s="62">
        <f t="shared" si="156"/>
        <v>-0.27916292448416791</v>
      </c>
      <c r="P873" s="62">
        <f t="shared" si="157"/>
        <v>-5006.5543508546434</v>
      </c>
      <c r="Q873" s="62">
        <f t="shared" si="158"/>
        <v>-0.27092981150576634</v>
      </c>
      <c r="R873" s="62">
        <f t="shared" si="159"/>
        <v>13968.930703576159</v>
      </c>
      <c r="S873" s="62">
        <f t="shared" si="160"/>
        <v>20326.11168928902</v>
      </c>
      <c r="T873" s="62">
        <f t="shared" si="161"/>
        <v>20404.310409869187</v>
      </c>
      <c r="U873" s="62">
        <f t="shared" si="162"/>
        <v>20185.372864536381</v>
      </c>
      <c r="V873" s="62">
        <f t="shared" si="152"/>
        <v>1</v>
      </c>
      <c r="W873" s="62">
        <f t="shared" si="152"/>
        <v>0</v>
      </c>
      <c r="X873" s="62">
        <f t="shared" si="152"/>
        <v>0</v>
      </c>
      <c r="Y873" s="62">
        <f t="shared" si="152"/>
        <v>0</v>
      </c>
      <c r="AA873" s="94"/>
    </row>
    <row r="874" spans="2:27" x14ac:dyDescent="0.2">
      <c r="B874" s="94"/>
      <c r="C874" s="62">
        <v>835</v>
      </c>
      <c r="D874" s="62">
        <v>11896.398755951526</v>
      </c>
      <c r="E874" s="62">
        <v>0.6178217298135702</v>
      </c>
      <c r="F874" s="62">
        <v>17097.319584336386</v>
      </c>
      <c r="G874" s="62">
        <v>0.89392140842103507</v>
      </c>
      <c r="H874" s="62">
        <v>17155.179148494084</v>
      </c>
      <c r="I874" s="62">
        <v>0.89716842184576573</v>
      </c>
      <c r="J874" s="62">
        <v>17034.386398792016</v>
      </c>
      <c r="K874" s="62">
        <v>0.88948952240203683</v>
      </c>
      <c r="L874" s="62">
        <f t="shared" si="153"/>
        <v>-5200.9208283848602</v>
      </c>
      <c r="M874" s="62">
        <f t="shared" si="154"/>
        <v>-0.27609967860746487</v>
      </c>
      <c r="N874" s="62">
        <f t="shared" si="155"/>
        <v>-5258.7803925425578</v>
      </c>
      <c r="O874" s="62">
        <f t="shared" si="156"/>
        <v>-0.27934669203219553</v>
      </c>
      <c r="P874" s="62">
        <f t="shared" si="157"/>
        <v>-5137.9876428404896</v>
      </c>
      <c r="Q874" s="62">
        <f t="shared" si="158"/>
        <v>-0.27166779258846663</v>
      </c>
      <c r="R874" s="62">
        <f t="shared" si="159"/>
        <v>13696.248579845807</v>
      </c>
      <c r="S874" s="62">
        <f t="shared" si="160"/>
        <v>19932.48083809657</v>
      </c>
      <c r="T874" s="62">
        <f t="shared" si="161"/>
        <v>20009.125558044914</v>
      </c>
      <c r="U874" s="62">
        <f t="shared" si="162"/>
        <v>19811.827577189961</v>
      </c>
      <c r="V874" s="62">
        <f t="shared" si="152"/>
        <v>1</v>
      </c>
      <c r="W874" s="62">
        <f t="shared" si="152"/>
        <v>0</v>
      </c>
      <c r="X874" s="62">
        <f t="shared" si="152"/>
        <v>0</v>
      </c>
      <c r="Y874" s="62">
        <f t="shared" si="152"/>
        <v>0</v>
      </c>
      <c r="AA874" s="94"/>
    </row>
    <row r="875" spans="2:27" x14ac:dyDescent="0.2">
      <c r="B875" s="94"/>
      <c r="C875" s="62">
        <v>836</v>
      </c>
      <c r="D875" s="62">
        <v>9757.7183282608512</v>
      </c>
      <c r="E875" s="62">
        <v>0.61750344602885809</v>
      </c>
      <c r="F875" s="62">
        <v>14023.042046574843</v>
      </c>
      <c r="G875" s="62">
        <v>0.89382019727540452</v>
      </c>
      <c r="H875" s="62">
        <v>14063.915814115424</v>
      </c>
      <c r="I875" s="62">
        <v>0.89660041225762854</v>
      </c>
      <c r="J875" s="62">
        <v>13976.758264875583</v>
      </c>
      <c r="K875" s="62">
        <v>0.88980879380621813</v>
      </c>
      <c r="L875" s="62">
        <f t="shared" si="153"/>
        <v>-4265.3237183139918</v>
      </c>
      <c r="M875" s="62">
        <f t="shared" si="154"/>
        <v>-0.27631675124654642</v>
      </c>
      <c r="N875" s="62">
        <f t="shared" si="155"/>
        <v>-4306.1974858545727</v>
      </c>
      <c r="O875" s="62">
        <f t="shared" si="156"/>
        <v>-0.27909696622877045</v>
      </c>
      <c r="P875" s="62">
        <f t="shared" si="157"/>
        <v>-4219.0399366147321</v>
      </c>
      <c r="Q875" s="62">
        <f t="shared" si="158"/>
        <v>-0.27230534777736004</v>
      </c>
      <c r="R875" s="62">
        <f t="shared" si="159"/>
        <v>15821.744420038567</v>
      </c>
      <c r="S875" s="62">
        <f t="shared" si="160"/>
        <v>23002.565805361515</v>
      </c>
      <c r="T875" s="62">
        <f t="shared" si="161"/>
        <v>23076.859663244577</v>
      </c>
      <c r="U875" s="62">
        <f t="shared" si="162"/>
        <v>22882.681209753195</v>
      </c>
      <c r="V875" s="62">
        <f t="shared" si="152"/>
        <v>1</v>
      </c>
      <c r="W875" s="62">
        <f t="shared" si="152"/>
        <v>0</v>
      </c>
      <c r="X875" s="62">
        <f t="shared" si="152"/>
        <v>0</v>
      </c>
      <c r="Y875" s="62">
        <f t="shared" si="152"/>
        <v>0</v>
      </c>
      <c r="AA875" s="94"/>
    </row>
    <row r="876" spans="2:27" x14ac:dyDescent="0.2">
      <c r="B876" s="94"/>
      <c r="C876" s="62">
        <v>837</v>
      </c>
      <c r="D876" s="62">
        <v>9182.44734751541</v>
      </c>
      <c r="E876" s="62">
        <v>0.6176388113309792</v>
      </c>
      <c r="F876" s="62">
        <v>13200.950434751905</v>
      </c>
      <c r="G876" s="62">
        <v>0.89447375961659015</v>
      </c>
      <c r="H876" s="62">
        <v>13239.334613957988</v>
      </c>
      <c r="I876" s="62">
        <v>0.89746120838258203</v>
      </c>
      <c r="J876" s="62">
        <v>13141.826225002656</v>
      </c>
      <c r="K876" s="62">
        <v>0.88927434020217733</v>
      </c>
      <c r="L876" s="62">
        <f t="shared" si="153"/>
        <v>-4018.503087236495</v>
      </c>
      <c r="M876" s="62">
        <f t="shared" si="154"/>
        <v>-0.27683494828561095</v>
      </c>
      <c r="N876" s="62">
        <f t="shared" si="155"/>
        <v>-4056.887266442578</v>
      </c>
      <c r="O876" s="62">
        <f t="shared" si="156"/>
        <v>-0.27982239705160283</v>
      </c>
      <c r="P876" s="62">
        <f t="shared" si="157"/>
        <v>-3959.3788774872464</v>
      </c>
      <c r="Q876" s="62">
        <f t="shared" si="158"/>
        <v>-0.27163552887119813</v>
      </c>
      <c r="R876" s="62">
        <f t="shared" si="159"/>
        <v>16402.622773059069</v>
      </c>
      <c r="S876" s="62">
        <f t="shared" si="160"/>
        <v>23851.730583605728</v>
      </c>
      <c r="T876" s="62">
        <f t="shared" si="161"/>
        <v>23937.098482082089</v>
      </c>
      <c r="U876" s="62">
        <f t="shared" si="162"/>
        <v>23695.474043532337</v>
      </c>
      <c r="V876" s="62">
        <f t="shared" si="152"/>
        <v>1</v>
      </c>
      <c r="W876" s="62">
        <f t="shared" si="152"/>
        <v>0</v>
      </c>
      <c r="X876" s="62">
        <f t="shared" si="152"/>
        <v>0</v>
      </c>
      <c r="Y876" s="62">
        <f t="shared" si="152"/>
        <v>0</v>
      </c>
      <c r="AA876" s="94"/>
    </row>
    <row r="877" spans="2:27" x14ac:dyDescent="0.2">
      <c r="B877" s="94"/>
      <c r="C877" s="62">
        <v>838</v>
      </c>
      <c r="D877" s="62">
        <v>11330.416961288871</v>
      </c>
      <c r="E877" s="62">
        <v>0.61743336238554225</v>
      </c>
      <c r="F877" s="62">
        <v>16300.961182681085</v>
      </c>
      <c r="G877" s="62">
        <v>0.89400890608503236</v>
      </c>
      <c r="H877" s="62">
        <v>16353.264477642291</v>
      </c>
      <c r="I877" s="62">
        <v>0.89730256694998756</v>
      </c>
      <c r="J877" s="62">
        <v>16229.592603479596</v>
      </c>
      <c r="K877" s="62">
        <v>0.88910367982621274</v>
      </c>
      <c r="L877" s="62">
        <f t="shared" si="153"/>
        <v>-4970.5442213922142</v>
      </c>
      <c r="M877" s="62">
        <f t="shared" si="154"/>
        <v>-0.27657554369949011</v>
      </c>
      <c r="N877" s="62">
        <f t="shared" si="155"/>
        <v>-5022.8475163534204</v>
      </c>
      <c r="O877" s="62">
        <f t="shared" si="156"/>
        <v>-0.27986920456444531</v>
      </c>
      <c r="P877" s="62">
        <f t="shared" si="157"/>
        <v>-4899.1756421907248</v>
      </c>
      <c r="Q877" s="62">
        <f t="shared" si="158"/>
        <v>-0.27167031744067049</v>
      </c>
      <c r="R877" s="62">
        <f t="shared" si="159"/>
        <v>14246.142642169832</v>
      </c>
      <c r="S877" s="62">
        <f t="shared" si="160"/>
        <v>20732.463742985296</v>
      </c>
      <c r="T877" s="62">
        <f t="shared" si="161"/>
        <v>20816.597055693994</v>
      </c>
      <c r="U877" s="62">
        <f t="shared" si="162"/>
        <v>20600.638229641441</v>
      </c>
      <c r="V877" s="62">
        <f t="shared" si="152"/>
        <v>1</v>
      </c>
      <c r="W877" s="62">
        <f t="shared" si="152"/>
        <v>0</v>
      </c>
      <c r="X877" s="62">
        <f t="shared" si="152"/>
        <v>0</v>
      </c>
      <c r="Y877" s="62">
        <f t="shared" si="152"/>
        <v>0</v>
      </c>
      <c r="AA877" s="94"/>
    </row>
    <row r="878" spans="2:27" x14ac:dyDescent="0.2">
      <c r="B878" s="94"/>
      <c r="C878" s="62">
        <v>839</v>
      </c>
      <c r="D878" s="62">
        <v>10326.229636514006</v>
      </c>
      <c r="E878" s="62">
        <v>0.61749993045718765</v>
      </c>
      <c r="F878" s="62">
        <v>14857.870289260951</v>
      </c>
      <c r="G878" s="62">
        <v>0.89433174550196604</v>
      </c>
      <c r="H878" s="62">
        <v>14898.049070399849</v>
      </c>
      <c r="I878" s="62">
        <v>0.89718635834650273</v>
      </c>
      <c r="J878" s="62">
        <v>14790.541858710407</v>
      </c>
      <c r="K878" s="62">
        <v>0.88936720395058688</v>
      </c>
      <c r="L878" s="62">
        <f t="shared" si="153"/>
        <v>-4531.6406527469444</v>
      </c>
      <c r="M878" s="62">
        <f t="shared" si="154"/>
        <v>-0.27683181504477838</v>
      </c>
      <c r="N878" s="62">
        <f t="shared" si="155"/>
        <v>-4571.819433885843</v>
      </c>
      <c r="O878" s="62">
        <f t="shared" si="156"/>
        <v>-0.27968642788931508</v>
      </c>
      <c r="P878" s="62">
        <f t="shared" si="157"/>
        <v>-4464.3122221964004</v>
      </c>
      <c r="Q878" s="62">
        <f t="shared" si="158"/>
        <v>-0.27186727349339923</v>
      </c>
      <c r="R878" s="62">
        <f t="shared" si="159"/>
        <v>15253.087482744533</v>
      </c>
      <c r="S878" s="62">
        <f t="shared" si="160"/>
        <v>22188.927936412489</v>
      </c>
      <c r="T878" s="62">
        <f t="shared" si="161"/>
        <v>22266.998637745681</v>
      </c>
      <c r="U878" s="62">
        <f t="shared" si="162"/>
        <v>22050.605197738703</v>
      </c>
      <c r="V878" s="62">
        <f t="shared" si="152"/>
        <v>1</v>
      </c>
      <c r="W878" s="62">
        <f t="shared" si="152"/>
        <v>0</v>
      </c>
      <c r="X878" s="62">
        <f t="shared" si="152"/>
        <v>0</v>
      </c>
      <c r="Y878" s="62">
        <f t="shared" si="152"/>
        <v>0</v>
      </c>
      <c r="AA878" s="94"/>
    </row>
    <row r="879" spans="2:27" x14ac:dyDescent="0.2">
      <c r="B879" s="94"/>
      <c r="C879" s="62">
        <v>840</v>
      </c>
      <c r="D879" s="62">
        <v>10871.196381049409</v>
      </c>
      <c r="E879" s="62">
        <v>0.61808494179698803</v>
      </c>
      <c r="F879" s="62">
        <v>15627.692398592482</v>
      </c>
      <c r="G879" s="62">
        <v>0.89467584360844987</v>
      </c>
      <c r="H879" s="62">
        <v>15667.236021720266</v>
      </c>
      <c r="I879" s="62">
        <v>0.8970318178683846</v>
      </c>
      <c r="J879" s="62">
        <v>15557.280220335932</v>
      </c>
      <c r="K879" s="62">
        <v>0.88943703847422184</v>
      </c>
      <c r="L879" s="62">
        <f t="shared" si="153"/>
        <v>-4756.4960175430733</v>
      </c>
      <c r="M879" s="62">
        <f t="shared" si="154"/>
        <v>-0.27659090181146184</v>
      </c>
      <c r="N879" s="62">
        <f t="shared" si="155"/>
        <v>-4796.0396406708569</v>
      </c>
      <c r="O879" s="62">
        <f t="shared" si="156"/>
        <v>-0.27894687607139657</v>
      </c>
      <c r="P879" s="62">
        <f t="shared" si="157"/>
        <v>-4686.0838392865226</v>
      </c>
      <c r="Q879" s="62">
        <f t="shared" si="158"/>
        <v>-0.27135209667723381</v>
      </c>
      <c r="R879" s="62">
        <f t="shared" si="159"/>
        <v>14732.354247949024</v>
      </c>
      <c r="S879" s="62">
        <f t="shared" si="160"/>
        <v>21433.359747043949</v>
      </c>
      <c r="T879" s="62">
        <f t="shared" si="161"/>
        <v>21491.4100016597</v>
      </c>
      <c r="U879" s="62">
        <f t="shared" si="162"/>
        <v>21286.759661420234</v>
      </c>
      <c r="V879" s="62">
        <f t="shared" si="152"/>
        <v>1</v>
      </c>
      <c r="W879" s="62">
        <f t="shared" si="152"/>
        <v>0</v>
      </c>
      <c r="X879" s="62">
        <f t="shared" si="152"/>
        <v>0</v>
      </c>
      <c r="Y879" s="62">
        <f t="shared" si="152"/>
        <v>0</v>
      </c>
      <c r="AA879" s="94"/>
    </row>
    <row r="880" spans="2:27" x14ac:dyDescent="0.2">
      <c r="B880" s="94"/>
      <c r="C880" s="62">
        <v>841</v>
      </c>
      <c r="D880" s="62">
        <v>8234.1659942358492</v>
      </c>
      <c r="E880" s="62">
        <v>0.61748174679780976</v>
      </c>
      <c r="F880" s="62">
        <v>11815.97671717354</v>
      </c>
      <c r="G880" s="62">
        <v>0.89324693962115342</v>
      </c>
      <c r="H880" s="62">
        <v>11866.699599347066</v>
      </c>
      <c r="I880" s="62">
        <v>0.89747975134871993</v>
      </c>
      <c r="J880" s="62">
        <v>11782.994754281879</v>
      </c>
      <c r="K880" s="62">
        <v>0.88939064601755347</v>
      </c>
      <c r="L880" s="62">
        <f t="shared" si="153"/>
        <v>-3581.810722937691</v>
      </c>
      <c r="M880" s="62">
        <f t="shared" si="154"/>
        <v>-0.27576519282334366</v>
      </c>
      <c r="N880" s="62">
        <f t="shared" si="155"/>
        <v>-3632.5336051112172</v>
      </c>
      <c r="O880" s="62">
        <f t="shared" si="156"/>
        <v>-0.27999800455091017</v>
      </c>
      <c r="P880" s="62">
        <f t="shared" si="157"/>
        <v>-3548.8287600460299</v>
      </c>
      <c r="Q880" s="62">
        <f t="shared" si="158"/>
        <v>-0.2719088992197437</v>
      </c>
      <c r="R880" s="62">
        <f t="shared" si="159"/>
        <v>17344.397885116621</v>
      </c>
      <c r="S880" s="62">
        <f t="shared" si="160"/>
        <v>25185.884509693122</v>
      </c>
      <c r="T880" s="62">
        <f t="shared" si="161"/>
        <v>25310.501620522311</v>
      </c>
      <c r="U880" s="62">
        <f t="shared" si="162"/>
        <v>25059.12336634926</v>
      </c>
      <c r="V880" s="62">
        <f t="shared" si="152"/>
        <v>1</v>
      </c>
      <c r="W880" s="62">
        <f t="shared" si="152"/>
        <v>0</v>
      </c>
      <c r="X880" s="62">
        <f t="shared" si="152"/>
        <v>0</v>
      </c>
      <c r="Y880" s="62">
        <f t="shared" si="152"/>
        <v>0</v>
      </c>
      <c r="AA880" s="94"/>
    </row>
    <row r="881" spans="2:27" x14ac:dyDescent="0.2">
      <c r="B881" s="94"/>
      <c r="C881" s="62">
        <v>842</v>
      </c>
      <c r="D881" s="62">
        <v>10708.388409707954</v>
      </c>
      <c r="E881" s="62">
        <v>0.61779461399540792</v>
      </c>
      <c r="F881" s="62">
        <v>15398.341717970559</v>
      </c>
      <c r="G881" s="62">
        <v>0.89431775724194529</v>
      </c>
      <c r="H881" s="62">
        <v>15453.801352548286</v>
      </c>
      <c r="I881" s="62">
        <v>0.89788410704387556</v>
      </c>
      <c r="J881" s="62">
        <v>15320.513319548252</v>
      </c>
      <c r="K881" s="62">
        <v>0.88856599160642424</v>
      </c>
      <c r="L881" s="62">
        <f t="shared" si="153"/>
        <v>-4689.9533082626058</v>
      </c>
      <c r="M881" s="62">
        <f t="shared" si="154"/>
        <v>-0.27652314324653737</v>
      </c>
      <c r="N881" s="62">
        <f t="shared" si="155"/>
        <v>-4745.4129428403321</v>
      </c>
      <c r="O881" s="62">
        <f t="shared" si="156"/>
        <v>-0.28008949304846764</v>
      </c>
      <c r="P881" s="62">
        <f t="shared" si="157"/>
        <v>-4612.1249098402986</v>
      </c>
      <c r="Q881" s="62">
        <f t="shared" si="158"/>
        <v>-0.27077137761101633</v>
      </c>
      <c r="R881" s="62">
        <f t="shared" si="159"/>
        <v>14883.135680437823</v>
      </c>
      <c r="S881" s="62">
        <f t="shared" si="160"/>
        <v>21647.877058019782</v>
      </c>
      <c r="T881" s="62">
        <f t="shared" si="161"/>
        <v>21740.149897637213</v>
      </c>
      <c r="U881" s="62">
        <f t="shared" si="162"/>
        <v>21487.444316756268</v>
      </c>
      <c r="V881" s="62">
        <f t="shared" si="152"/>
        <v>1</v>
      </c>
      <c r="W881" s="62">
        <f t="shared" si="152"/>
        <v>0</v>
      </c>
      <c r="X881" s="62">
        <f t="shared" si="152"/>
        <v>0</v>
      </c>
      <c r="Y881" s="62">
        <f t="shared" si="152"/>
        <v>0</v>
      </c>
      <c r="AA881" s="94"/>
    </row>
    <row r="882" spans="2:27" x14ac:dyDescent="0.2">
      <c r="B882" s="94"/>
      <c r="C882" s="62">
        <v>843</v>
      </c>
      <c r="D882" s="62">
        <v>8934.6429938817473</v>
      </c>
      <c r="E882" s="62">
        <v>0.6178005856073171</v>
      </c>
      <c r="F882" s="62">
        <v>12829.631903653968</v>
      </c>
      <c r="G882" s="62">
        <v>0.89400854845874278</v>
      </c>
      <c r="H882" s="62">
        <v>12870.611138748929</v>
      </c>
      <c r="I882" s="62">
        <v>0.89724551550785314</v>
      </c>
      <c r="J882" s="62">
        <v>12777.100973331386</v>
      </c>
      <c r="K882" s="62">
        <v>0.88911176591038532</v>
      </c>
      <c r="L882" s="62">
        <f t="shared" si="153"/>
        <v>-3894.9889097722207</v>
      </c>
      <c r="M882" s="62">
        <f t="shared" si="154"/>
        <v>-0.27620796285142568</v>
      </c>
      <c r="N882" s="62">
        <f t="shared" si="155"/>
        <v>-3935.9681448671818</v>
      </c>
      <c r="O882" s="62">
        <f t="shared" si="156"/>
        <v>-0.27944492990053604</v>
      </c>
      <c r="P882" s="62">
        <f t="shared" si="157"/>
        <v>-3842.4579794496385</v>
      </c>
      <c r="Q882" s="62">
        <f t="shared" si="158"/>
        <v>-0.27131118030306822</v>
      </c>
      <c r="R882" s="62">
        <f t="shared" si="159"/>
        <v>16657.128464315756</v>
      </c>
      <c r="S882" s="62">
        <f t="shared" si="160"/>
        <v>24203.778207700994</v>
      </c>
      <c r="T882" s="62">
        <f t="shared" si="161"/>
        <v>24296.887095648381</v>
      </c>
      <c r="U882" s="62">
        <f t="shared" si="162"/>
        <v>24053.464817740416</v>
      </c>
      <c r="V882" s="62">
        <f t="shared" si="152"/>
        <v>1</v>
      </c>
      <c r="W882" s="62">
        <f t="shared" si="152"/>
        <v>0</v>
      </c>
      <c r="X882" s="62">
        <f t="shared" si="152"/>
        <v>0</v>
      </c>
      <c r="Y882" s="62">
        <f t="shared" si="152"/>
        <v>0</v>
      </c>
      <c r="AA882" s="94"/>
    </row>
    <row r="883" spans="2:27" x14ac:dyDescent="0.2">
      <c r="B883" s="94"/>
      <c r="C883" s="62">
        <v>844</v>
      </c>
      <c r="D883" s="62">
        <v>9548.2786873793375</v>
      </c>
      <c r="E883" s="62">
        <v>0.61779105672395429</v>
      </c>
      <c r="F883" s="62">
        <v>13732.94248998635</v>
      </c>
      <c r="G883" s="62">
        <v>0.89416841524802915</v>
      </c>
      <c r="H883" s="62">
        <v>13783.037875977378</v>
      </c>
      <c r="I883" s="62">
        <v>0.89795460186832887</v>
      </c>
      <c r="J883" s="62">
        <v>13671.064721168701</v>
      </c>
      <c r="K883" s="62">
        <v>0.88924085415004162</v>
      </c>
      <c r="L883" s="62">
        <f t="shared" si="153"/>
        <v>-4184.6638026070123</v>
      </c>
      <c r="M883" s="62">
        <f t="shared" si="154"/>
        <v>-0.27637735852407486</v>
      </c>
      <c r="N883" s="62">
        <f t="shared" si="155"/>
        <v>-4234.7591885980401</v>
      </c>
      <c r="O883" s="62">
        <f t="shared" si="156"/>
        <v>-0.28016354514437458</v>
      </c>
      <c r="P883" s="62">
        <f t="shared" si="157"/>
        <v>-4122.7860337893635</v>
      </c>
      <c r="Q883" s="62">
        <f t="shared" si="158"/>
        <v>-0.27144979742608732</v>
      </c>
      <c r="R883" s="62">
        <f t="shared" si="159"/>
        <v>16043.098046353745</v>
      </c>
      <c r="S883" s="62">
        <f t="shared" si="160"/>
        <v>23307.089943248007</v>
      </c>
      <c r="T883" s="62">
        <f t="shared" si="161"/>
        <v>23413.833551816275</v>
      </c>
      <c r="U883" s="62">
        <f t="shared" si="162"/>
        <v>23164.848421142618</v>
      </c>
      <c r="V883" s="62">
        <f t="shared" si="152"/>
        <v>1</v>
      </c>
      <c r="W883" s="62">
        <f t="shared" si="152"/>
        <v>0</v>
      </c>
      <c r="X883" s="62">
        <f t="shared" si="152"/>
        <v>0</v>
      </c>
      <c r="Y883" s="62">
        <f t="shared" si="152"/>
        <v>0</v>
      </c>
      <c r="AA883" s="94"/>
    </row>
    <row r="884" spans="2:27" x14ac:dyDescent="0.2">
      <c r="B884" s="94"/>
      <c r="C884" s="62">
        <v>845</v>
      </c>
      <c r="D884" s="62">
        <v>10975.433911359452</v>
      </c>
      <c r="E884" s="62">
        <v>0.6175638037935578</v>
      </c>
      <c r="F884" s="62">
        <v>15789.999680431834</v>
      </c>
      <c r="G884" s="62">
        <v>0.89439034557942454</v>
      </c>
      <c r="H884" s="62">
        <v>15826.862631546875</v>
      </c>
      <c r="I884" s="62">
        <v>0.89673383808445284</v>
      </c>
      <c r="J884" s="62">
        <v>15726.195104759023</v>
      </c>
      <c r="K884" s="62">
        <v>0.88973564908592595</v>
      </c>
      <c r="L884" s="62">
        <f t="shared" si="153"/>
        <v>-4814.565769072382</v>
      </c>
      <c r="M884" s="62">
        <f t="shared" si="154"/>
        <v>-0.27682654178586674</v>
      </c>
      <c r="N884" s="62">
        <f t="shared" si="155"/>
        <v>-4851.4287201874231</v>
      </c>
      <c r="O884" s="62">
        <f t="shared" si="156"/>
        <v>-0.27917003429089504</v>
      </c>
      <c r="P884" s="62">
        <f t="shared" si="157"/>
        <v>-4750.7611933995704</v>
      </c>
      <c r="Q884" s="62">
        <f t="shared" si="158"/>
        <v>-0.27217184529236815</v>
      </c>
      <c r="R884" s="62">
        <f t="shared" si="159"/>
        <v>14606.529096984885</v>
      </c>
      <c r="S884" s="62">
        <f t="shared" si="160"/>
        <v>21259.225994850247</v>
      </c>
      <c r="T884" s="62">
        <f t="shared" si="161"/>
        <v>21319.4398772635</v>
      </c>
      <c r="U884" s="62">
        <f t="shared" si="162"/>
        <v>21130.214422976376</v>
      </c>
      <c r="V884" s="62">
        <f t="shared" si="152"/>
        <v>1</v>
      </c>
      <c r="W884" s="62">
        <f t="shared" si="152"/>
        <v>0</v>
      </c>
      <c r="X884" s="62">
        <f t="shared" si="152"/>
        <v>0</v>
      </c>
      <c r="Y884" s="62">
        <f t="shared" si="152"/>
        <v>0</v>
      </c>
      <c r="AA884" s="94"/>
    </row>
    <row r="885" spans="2:27" x14ac:dyDescent="0.2">
      <c r="B885" s="94"/>
      <c r="C885" s="62">
        <v>846</v>
      </c>
      <c r="D885" s="62">
        <v>11241.837564904337</v>
      </c>
      <c r="E885" s="62">
        <v>0.61744596932605422</v>
      </c>
      <c r="F885" s="62">
        <v>16166.048036713504</v>
      </c>
      <c r="G885" s="62">
        <v>0.89360260492719401</v>
      </c>
      <c r="H885" s="62">
        <v>16226.404144047681</v>
      </c>
      <c r="I885" s="62">
        <v>0.89731213655978714</v>
      </c>
      <c r="J885" s="62">
        <v>16114.955810531461</v>
      </c>
      <c r="K885" s="62">
        <v>0.88982578261914513</v>
      </c>
      <c r="L885" s="62">
        <f t="shared" si="153"/>
        <v>-4924.2104718091668</v>
      </c>
      <c r="M885" s="62">
        <f t="shared" si="154"/>
        <v>-0.27615663560113979</v>
      </c>
      <c r="N885" s="62">
        <f t="shared" si="155"/>
        <v>-4984.5665791433439</v>
      </c>
      <c r="O885" s="62">
        <f t="shared" si="156"/>
        <v>-0.27986616723373292</v>
      </c>
      <c r="P885" s="62">
        <f t="shared" si="157"/>
        <v>-4873.1182456271235</v>
      </c>
      <c r="Q885" s="62">
        <f t="shared" si="158"/>
        <v>-0.27237981329309091</v>
      </c>
      <c r="R885" s="62">
        <f t="shared" si="159"/>
        <v>14335.244268458133</v>
      </c>
      <c r="S885" s="62">
        <f t="shared" si="160"/>
        <v>20850.546269790582</v>
      </c>
      <c r="T885" s="62">
        <f t="shared" si="161"/>
        <v>20943.853800804944</v>
      </c>
      <c r="U885" s="62">
        <f t="shared" si="162"/>
        <v>20745.187408684007</v>
      </c>
      <c r="V885" s="62">
        <f t="shared" si="152"/>
        <v>1</v>
      </c>
      <c r="W885" s="62">
        <f t="shared" si="152"/>
        <v>0</v>
      </c>
      <c r="X885" s="62">
        <f t="shared" si="152"/>
        <v>0</v>
      </c>
      <c r="Y885" s="62">
        <f t="shared" si="152"/>
        <v>0</v>
      </c>
      <c r="AA885" s="94"/>
    </row>
    <row r="886" spans="2:27" x14ac:dyDescent="0.2">
      <c r="B886" s="94"/>
      <c r="C886" s="62">
        <v>847</v>
      </c>
      <c r="D886" s="62">
        <v>10803.534110274913</v>
      </c>
      <c r="E886" s="62">
        <v>0.61813482108553874</v>
      </c>
      <c r="F886" s="62">
        <v>15527.698008972555</v>
      </c>
      <c r="G886" s="62">
        <v>0.89409736889913405</v>
      </c>
      <c r="H886" s="62">
        <v>15568.167055986547</v>
      </c>
      <c r="I886" s="62">
        <v>0.89669687965875722</v>
      </c>
      <c r="J886" s="62">
        <v>15471.405060064715</v>
      </c>
      <c r="K886" s="62">
        <v>0.88987507151599887</v>
      </c>
      <c r="L886" s="62">
        <f t="shared" si="153"/>
        <v>-4724.1638986976413</v>
      </c>
      <c r="M886" s="62">
        <f t="shared" si="154"/>
        <v>-0.2759625478135953</v>
      </c>
      <c r="N886" s="62">
        <f t="shared" si="155"/>
        <v>-4764.6329457116335</v>
      </c>
      <c r="O886" s="62">
        <f t="shared" si="156"/>
        <v>-0.27856205857321847</v>
      </c>
      <c r="P886" s="62">
        <f t="shared" si="157"/>
        <v>-4667.8709497898017</v>
      </c>
      <c r="Q886" s="62">
        <f t="shared" si="158"/>
        <v>-0.27174025043046013</v>
      </c>
      <c r="R886" s="62">
        <f t="shared" si="159"/>
        <v>14802.082718372445</v>
      </c>
      <c r="S886" s="62">
        <f t="shared" si="160"/>
        <v>21509.391400305176</v>
      </c>
      <c r="T886" s="62">
        <f t="shared" si="161"/>
        <v>21576.604486997814</v>
      </c>
      <c r="U886" s="62">
        <f t="shared" si="162"/>
        <v>21390.779902414019</v>
      </c>
      <c r="V886" s="62">
        <f t="shared" si="152"/>
        <v>1</v>
      </c>
      <c r="W886" s="62">
        <f t="shared" si="152"/>
        <v>0</v>
      </c>
      <c r="X886" s="62">
        <f t="shared" si="152"/>
        <v>0</v>
      </c>
      <c r="Y886" s="62">
        <f t="shared" si="152"/>
        <v>0</v>
      </c>
      <c r="AA886" s="94"/>
    </row>
    <row r="887" spans="2:27" x14ac:dyDescent="0.2">
      <c r="B887" s="94"/>
      <c r="C887" s="62">
        <v>848</v>
      </c>
      <c r="D887" s="62">
        <v>8949.9649489301773</v>
      </c>
      <c r="E887" s="62">
        <v>0.61818361205576544</v>
      </c>
      <c r="F887" s="62">
        <v>12854.899555290856</v>
      </c>
      <c r="G887" s="62">
        <v>0.89435992443394707</v>
      </c>
      <c r="H887" s="62">
        <v>12898.836407564717</v>
      </c>
      <c r="I887" s="62">
        <v>0.89784426066823853</v>
      </c>
      <c r="J887" s="62">
        <v>12793.843811654069</v>
      </c>
      <c r="K887" s="62">
        <v>0.88898338854229653</v>
      </c>
      <c r="L887" s="62">
        <f t="shared" si="153"/>
        <v>-3904.934606360679</v>
      </c>
      <c r="M887" s="62">
        <f t="shared" si="154"/>
        <v>-0.27617631237818163</v>
      </c>
      <c r="N887" s="62">
        <f t="shared" si="155"/>
        <v>-3948.8714586345395</v>
      </c>
      <c r="O887" s="62">
        <f t="shared" si="156"/>
        <v>-0.27966064861247308</v>
      </c>
      <c r="P887" s="62">
        <f t="shared" si="157"/>
        <v>-3843.8788627238919</v>
      </c>
      <c r="Q887" s="62">
        <f t="shared" si="158"/>
        <v>-0.27079977648653109</v>
      </c>
      <c r="R887" s="62">
        <f t="shared" si="159"/>
        <v>16657.672996867852</v>
      </c>
      <c r="S887" s="62">
        <f t="shared" si="160"/>
        <v>24193.06595446097</v>
      </c>
      <c r="T887" s="62">
        <f t="shared" si="161"/>
        <v>24293.464246356394</v>
      </c>
      <c r="U887" s="62">
        <f t="shared" si="162"/>
        <v>24031.404075322018</v>
      </c>
      <c r="V887" s="62">
        <f t="shared" si="152"/>
        <v>1</v>
      </c>
      <c r="W887" s="62">
        <f t="shared" si="152"/>
        <v>0</v>
      </c>
      <c r="X887" s="62">
        <f t="shared" si="152"/>
        <v>0</v>
      </c>
      <c r="Y887" s="62">
        <f t="shared" si="152"/>
        <v>0</v>
      </c>
      <c r="AA887" s="94"/>
    </row>
    <row r="888" spans="2:27" x14ac:dyDescent="0.2">
      <c r="B888" s="94"/>
      <c r="C888" s="62">
        <v>849</v>
      </c>
      <c r="D888" s="62">
        <v>9714.6998804202194</v>
      </c>
      <c r="E888" s="62">
        <v>0.61783582340213916</v>
      </c>
      <c r="F888" s="62">
        <v>13958.029231539271</v>
      </c>
      <c r="G888" s="62">
        <v>0.89403017335984325</v>
      </c>
      <c r="H888" s="62">
        <v>14000.086808951657</v>
      </c>
      <c r="I888" s="62">
        <v>0.89705327775026777</v>
      </c>
      <c r="J888" s="62">
        <v>13903.655331804053</v>
      </c>
      <c r="K888" s="62">
        <v>0.88940215888457108</v>
      </c>
      <c r="L888" s="62">
        <f t="shared" si="153"/>
        <v>-4243.3293511190514</v>
      </c>
      <c r="M888" s="62">
        <f t="shared" si="154"/>
        <v>-0.27619434995770409</v>
      </c>
      <c r="N888" s="62">
        <f t="shared" si="155"/>
        <v>-4285.3869285314377</v>
      </c>
      <c r="O888" s="62">
        <f t="shared" si="156"/>
        <v>-0.27921745434812861</v>
      </c>
      <c r="P888" s="62">
        <f t="shared" si="157"/>
        <v>-4188.9554513838339</v>
      </c>
      <c r="Q888" s="62">
        <f t="shared" si="158"/>
        <v>-0.27156633548243192</v>
      </c>
      <c r="R888" s="62">
        <f t="shared" si="159"/>
        <v>15878.531268189992</v>
      </c>
      <c r="S888" s="62">
        <f t="shared" si="160"/>
        <v>23076.276669718871</v>
      </c>
      <c r="T888" s="62">
        <f t="shared" si="161"/>
        <v>23159.448168575436</v>
      </c>
      <c r="U888" s="62">
        <f t="shared" si="162"/>
        <v>22938.939697830421</v>
      </c>
      <c r="V888" s="62">
        <f t="shared" si="152"/>
        <v>1</v>
      </c>
      <c r="W888" s="62">
        <f t="shared" si="152"/>
        <v>0</v>
      </c>
      <c r="X888" s="62">
        <f t="shared" si="152"/>
        <v>0</v>
      </c>
      <c r="Y888" s="62">
        <f t="shared" si="152"/>
        <v>0</v>
      </c>
      <c r="AA888" s="94"/>
    </row>
    <row r="889" spans="2:27" x14ac:dyDescent="0.2">
      <c r="B889" s="94"/>
      <c r="C889" s="62">
        <v>850</v>
      </c>
      <c r="D889" s="62">
        <v>9375.8052823545277</v>
      </c>
      <c r="E889" s="62">
        <v>0.61768490527638376</v>
      </c>
      <c r="F889" s="62">
        <v>13484.148546469385</v>
      </c>
      <c r="G889" s="62">
        <v>0.89449503802444696</v>
      </c>
      <c r="H889" s="62">
        <v>13512.229884270548</v>
      </c>
      <c r="I889" s="62">
        <v>0.89661527721704037</v>
      </c>
      <c r="J889" s="62">
        <v>13423.345723186969</v>
      </c>
      <c r="K889" s="62">
        <v>0.88945255338982721</v>
      </c>
      <c r="L889" s="62">
        <f t="shared" si="153"/>
        <v>-4108.3432641148574</v>
      </c>
      <c r="M889" s="62">
        <f t="shared" si="154"/>
        <v>-0.27681013274806321</v>
      </c>
      <c r="N889" s="62">
        <f t="shared" si="155"/>
        <v>-4136.42460191602</v>
      </c>
      <c r="O889" s="62">
        <f t="shared" si="156"/>
        <v>-0.27893037194065662</v>
      </c>
      <c r="P889" s="62">
        <f t="shared" si="157"/>
        <v>-4047.5404408324412</v>
      </c>
      <c r="Q889" s="62">
        <f t="shared" si="158"/>
        <v>-0.27176764811344345</v>
      </c>
      <c r="R889" s="62">
        <f t="shared" si="159"/>
        <v>16211.174233814394</v>
      </c>
      <c r="S889" s="62">
        <f t="shared" si="160"/>
        <v>23569.413908655311</v>
      </c>
      <c r="T889" s="62">
        <f t="shared" si="161"/>
        <v>23629.161359168131</v>
      </c>
      <c r="U889" s="62">
        <f t="shared" si="162"/>
        <v>23421.336848433231</v>
      </c>
      <c r="V889" s="62">
        <f t="shared" si="152"/>
        <v>1</v>
      </c>
      <c r="W889" s="62">
        <f t="shared" si="152"/>
        <v>0</v>
      </c>
      <c r="X889" s="62">
        <f t="shared" si="152"/>
        <v>0</v>
      </c>
      <c r="Y889" s="62">
        <f t="shared" si="152"/>
        <v>0</v>
      </c>
      <c r="AA889" s="94"/>
    </row>
    <row r="890" spans="2:27" x14ac:dyDescent="0.2">
      <c r="B890" s="94"/>
      <c r="C890" s="62">
        <v>851</v>
      </c>
      <c r="D890" s="62">
        <v>10550.811512796618</v>
      </c>
      <c r="E890" s="62">
        <v>0.61795341686810668</v>
      </c>
      <c r="F890" s="62">
        <v>15169.312137400493</v>
      </c>
      <c r="G890" s="62">
        <v>0.89467084291915866</v>
      </c>
      <c r="H890" s="62">
        <v>15215.245716040277</v>
      </c>
      <c r="I890" s="62">
        <v>0.89770162146950583</v>
      </c>
      <c r="J890" s="62">
        <v>15097.608924007945</v>
      </c>
      <c r="K890" s="62">
        <v>0.88925417191455769</v>
      </c>
      <c r="L890" s="62">
        <f t="shared" si="153"/>
        <v>-4618.5006246038756</v>
      </c>
      <c r="M890" s="62">
        <f t="shared" si="154"/>
        <v>-0.27671742605105198</v>
      </c>
      <c r="N890" s="62">
        <f t="shared" si="155"/>
        <v>-4664.4342032436598</v>
      </c>
      <c r="O890" s="62">
        <f t="shared" si="156"/>
        <v>-0.27974820460139915</v>
      </c>
      <c r="P890" s="62">
        <f t="shared" si="157"/>
        <v>-4546.7974112113279</v>
      </c>
      <c r="Q890" s="62">
        <f t="shared" si="158"/>
        <v>-0.27130075504645101</v>
      </c>
      <c r="R890" s="62">
        <f t="shared" si="159"/>
        <v>15047.290827547835</v>
      </c>
      <c r="S890" s="62">
        <f t="shared" si="160"/>
        <v>21891.532859682738</v>
      </c>
      <c r="T890" s="62">
        <f t="shared" si="161"/>
        <v>21971.146251712533</v>
      </c>
      <c r="U890" s="62">
        <f t="shared" si="162"/>
        <v>21738.855893380693</v>
      </c>
      <c r="V890" s="62">
        <f t="shared" si="152"/>
        <v>1</v>
      </c>
      <c r="W890" s="62">
        <f t="shared" si="152"/>
        <v>0</v>
      </c>
      <c r="X890" s="62">
        <f t="shared" si="152"/>
        <v>0</v>
      </c>
      <c r="Y890" s="62">
        <f t="shared" si="152"/>
        <v>0</v>
      </c>
      <c r="AA890" s="94"/>
    </row>
    <row r="891" spans="2:27" x14ac:dyDescent="0.2">
      <c r="B891" s="94"/>
      <c r="C891" s="62">
        <v>852</v>
      </c>
      <c r="D891" s="62">
        <v>10391.076008867965</v>
      </c>
      <c r="E891" s="62">
        <v>0.61744186260234146</v>
      </c>
      <c r="F891" s="62">
        <v>14944.484080760723</v>
      </c>
      <c r="G891" s="62">
        <v>0.89401219816234412</v>
      </c>
      <c r="H891" s="62">
        <v>15003.665039569765</v>
      </c>
      <c r="I891" s="62">
        <v>0.89788437632687657</v>
      </c>
      <c r="J891" s="62">
        <v>14878.53635254915</v>
      </c>
      <c r="K891" s="62">
        <v>0.88902194379382837</v>
      </c>
      <c r="L891" s="62">
        <f t="shared" si="153"/>
        <v>-4553.408071892758</v>
      </c>
      <c r="M891" s="62">
        <f t="shared" si="154"/>
        <v>-0.27657033556000266</v>
      </c>
      <c r="N891" s="62">
        <f t="shared" si="155"/>
        <v>-4612.5890307017999</v>
      </c>
      <c r="O891" s="62">
        <f t="shared" si="156"/>
        <v>-0.2804425137245351</v>
      </c>
      <c r="P891" s="62">
        <f t="shared" si="157"/>
        <v>-4487.4603436811849</v>
      </c>
      <c r="Q891" s="62">
        <f t="shared" si="158"/>
        <v>-0.27158008119148691</v>
      </c>
      <c r="R891" s="62">
        <f t="shared" si="159"/>
        <v>15185.835707571428</v>
      </c>
      <c r="S891" s="62">
        <f t="shared" si="160"/>
        <v>22089.077215916215</v>
      </c>
      <c r="T891" s="62">
        <f t="shared" si="161"/>
        <v>22190.29736539477</v>
      </c>
      <c r="U891" s="62">
        <f t="shared" si="162"/>
        <v>21948.308647166399</v>
      </c>
      <c r="V891" s="62">
        <f t="shared" si="152"/>
        <v>1</v>
      </c>
      <c r="W891" s="62">
        <f t="shared" si="152"/>
        <v>0</v>
      </c>
      <c r="X891" s="62">
        <f t="shared" si="152"/>
        <v>0</v>
      </c>
      <c r="Y891" s="62">
        <f t="shared" si="152"/>
        <v>0</v>
      </c>
      <c r="AA891" s="94"/>
    </row>
    <row r="892" spans="2:27" x14ac:dyDescent="0.2">
      <c r="B892" s="94"/>
      <c r="C892" s="62">
        <v>853</v>
      </c>
      <c r="D892" s="62">
        <v>11573.657702023793</v>
      </c>
      <c r="E892" s="62">
        <v>0.61767495749223122</v>
      </c>
      <c r="F892" s="62">
        <v>16639.974677434668</v>
      </c>
      <c r="G892" s="62">
        <v>0.89460105966676329</v>
      </c>
      <c r="H892" s="62">
        <v>16675.561782880101</v>
      </c>
      <c r="I892" s="62">
        <v>0.89674998964713326</v>
      </c>
      <c r="J892" s="62">
        <v>16570.75661684123</v>
      </c>
      <c r="K892" s="62">
        <v>0.88952044334030367</v>
      </c>
      <c r="L892" s="62">
        <f t="shared" si="153"/>
        <v>-5066.3169754108749</v>
      </c>
      <c r="M892" s="62">
        <f t="shared" si="154"/>
        <v>-0.27692610217453206</v>
      </c>
      <c r="N892" s="62">
        <f t="shared" si="155"/>
        <v>-5101.9040808563077</v>
      </c>
      <c r="O892" s="62">
        <f t="shared" si="156"/>
        <v>-0.27907503215490204</v>
      </c>
      <c r="P892" s="62">
        <f t="shared" si="157"/>
        <v>-4997.0989148174376</v>
      </c>
      <c r="Q892" s="62">
        <f t="shared" si="158"/>
        <v>-0.27184548584807244</v>
      </c>
      <c r="R892" s="62">
        <f t="shared" si="159"/>
        <v>14012.909737134392</v>
      </c>
      <c r="S892" s="62">
        <f t="shared" si="160"/>
        <v>20417.979618201334</v>
      </c>
      <c r="T892" s="62">
        <f t="shared" si="161"/>
        <v>20471.40978826275</v>
      </c>
      <c r="U892" s="62">
        <f t="shared" si="162"/>
        <v>20276.73822808751</v>
      </c>
      <c r="V892" s="62">
        <f t="shared" si="152"/>
        <v>1</v>
      </c>
      <c r="W892" s="62">
        <f t="shared" si="152"/>
        <v>0</v>
      </c>
      <c r="X892" s="62">
        <f t="shared" si="152"/>
        <v>0</v>
      </c>
      <c r="Y892" s="62">
        <f t="shared" si="152"/>
        <v>0</v>
      </c>
      <c r="AA892" s="94"/>
    </row>
    <row r="893" spans="2:27" x14ac:dyDescent="0.2">
      <c r="B893" s="94"/>
      <c r="C893" s="62">
        <v>854</v>
      </c>
      <c r="D893" s="62">
        <v>9581.9754415139287</v>
      </c>
      <c r="E893" s="62">
        <v>0.61800119250705488</v>
      </c>
      <c r="F893" s="62">
        <v>13767.423349475375</v>
      </c>
      <c r="G893" s="62">
        <v>0.89435951700383876</v>
      </c>
      <c r="H893" s="62">
        <v>13809.158102080355</v>
      </c>
      <c r="I893" s="62">
        <v>0.89752567425602148</v>
      </c>
      <c r="J893" s="62">
        <v>13707.619130989822</v>
      </c>
      <c r="K893" s="62">
        <v>0.88931250885657309</v>
      </c>
      <c r="L893" s="62">
        <f t="shared" si="153"/>
        <v>-4185.4479079614466</v>
      </c>
      <c r="M893" s="62">
        <f t="shared" si="154"/>
        <v>-0.27635832449678388</v>
      </c>
      <c r="N893" s="62">
        <f t="shared" si="155"/>
        <v>-4227.1826605664264</v>
      </c>
      <c r="O893" s="62">
        <f t="shared" si="156"/>
        <v>-0.2795244817489666</v>
      </c>
      <c r="P893" s="62">
        <f t="shared" si="157"/>
        <v>-4125.6436894758936</v>
      </c>
      <c r="Q893" s="62">
        <f t="shared" si="158"/>
        <v>-0.27131131634951822</v>
      </c>
      <c r="R893" s="62">
        <f t="shared" si="159"/>
        <v>16018.105956898311</v>
      </c>
      <c r="S893" s="62">
        <f t="shared" si="160"/>
        <v>23280.525282891638</v>
      </c>
      <c r="T893" s="62">
        <f t="shared" si="161"/>
        <v>23369.945428301078</v>
      </c>
      <c r="U893" s="62">
        <f t="shared" si="162"/>
        <v>23131.26223588486</v>
      </c>
      <c r="V893" s="62">
        <f t="shared" si="152"/>
        <v>1</v>
      </c>
      <c r="W893" s="62">
        <f t="shared" si="152"/>
        <v>0</v>
      </c>
      <c r="X893" s="62">
        <f t="shared" si="152"/>
        <v>0</v>
      </c>
      <c r="Y893" s="62">
        <f t="shared" si="152"/>
        <v>0</v>
      </c>
      <c r="AA893" s="94"/>
    </row>
    <row r="894" spans="2:27" x14ac:dyDescent="0.2">
      <c r="B894" s="94"/>
      <c r="C894" s="62">
        <v>855</v>
      </c>
      <c r="D894" s="62">
        <v>8144.4215188253374</v>
      </c>
      <c r="E894" s="62">
        <v>0.61779371991307019</v>
      </c>
      <c r="F894" s="62">
        <v>11710.848020363072</v>
      </c>
      <c r="G894" s="62">
        <v>0.89524051448801334</v>
      </c>
      <c r="H894" s="62">
        <v>11730.315787457655</v>
      </c>
      <c r="I894" s="62">
        <v>0.89706252162391209</v>
      </c>
      <c r="J894" s="62">
        <v>11651.492373282015</v>
      </c>
      <c r="K894" s="62">
        <v>0.88939640178613322</v>
      </c>
      <c r="L894" s="62">
        <f t="shared" si="153"/>
        <v>-3566.4265015377341</v>
      </c>
      <c r="M894" s="62">
        <f t="shared" si="154"/>
        <v>-0.27744679457494315</v>
      </c>
      <c r="N894" s="62">
        <f t="shared" si="155"/>
        <v>-3585.894268632318</v>
      </c>
      <c r="O894" s="62">
        <f t="shared" si="156"/>
        <v>-0.2792688017108419</v>
      </c>
      <c r="P894" s="62">
        <f t="shared" si="157"/>
        <v>-3507.0708544566778</v>
      </c>
      <c r="Q894" s="62">
        <f t="shared" si="158"/>
        <v>-0.27160268187306302</v>
      </c>
      <c r="R894" s="62">
        <f t="shared" si="159"/>
        <v>17447.065534853682</v>
      </c>
      <c r="S894" s="62">
        <f t="shared" si="160"/>
        <v>25373.595051788394</v>
      </c>
      <c r="T894" s="62">
        <f t="shared" si="161"/>
        <v>25429.602108291278</v>
      </c>
      <c r="U894" s="62">
        <f t="shared" si="162"/>
        <v>25190.864174306764</v>
      </c>
      <c r="V894" s="62">
        <f t="shared" si="152"/>
        <v>1</v>
      </c>
      <c r="W894" s="62">
        <f t="shared" si="152"/>
        <v>0</v>
      </c>
      <c r="X894" s="62">
        <f t="shared" si="152"/>
        <v>0</v>
      </c>
      <c r="Y894" s="62">
        <f t="shared" si="152"/>
        <v>0</v>
      </c>
      <c r="AA894" s="94"/>
    </row>
    <row r="895" spans="2:27" x14ac:dyDescent="0.2">
      <c r="B895" s="94"/>
      <c r="C895" s="62">
        <v>856</v>
      </c>
      <c r="D895" s="62">
        <v>9557.0885063967617</v>
      </c>
      <c r="E895" s="62">
        <v>0.61786450098963075</v>
      </c>
      <c r="F895" s="62">
        <v>13730.92694276725</v>
      </c>
      <c r="G895" s="62">
        <v>0.89435912936917739</v>
      </c>
      <c r="H895" s="62">
        <v>13777.496768152592</v>
      </c>
      <c r="I895" s="62">
        <v>0.89765050619241804</v>
      </c>
      <c r="J895" s="62">
        <v>13673.099782486046</v>
      </c>
      <c r="K895" s="62">
        <v>0.88932553909549139</v>
      </c>
      <c r="L895" s="62">
        <f t="shared" si="153"/>
        <v>-4173.8384363704881</v>
      </c>
      <c r="M895" s="62">
        <f t="shared" si="154"/>
        <v>-0.27649462837954664</v>
      </c>
      <c r="N895" s="62">
        <f t="shared" si="155"/>
        <v>-4220.4082617558306</v>
      </c>
      <c r="O895" s="62">
        <f t="shared" si="156"/>
        <v>-0.27978600520278729</v>
      </c>
      <c r="P895" s="62">
        <f t="shared" si="157"/>
        <v>-4116.0112760892844</v>
      </c>
      <c r="Q895" s="62">
        <f t="shared" si="158"/>
        <v>-0.27146103810586064</v>
      </c>
      <c r="R895" s="62">
        <f t="shared" si="159"/>
        <v>16037.330582597704</v>
      </c>
      <c r="S895" s="62">
        <f t="shared" si="160"/>
        <v>23317.005632221553</v>
      </c>
      <c r="T895" s="62">
        <f t="shared" si="161"/>
        <v>23406.777800362132</v>
      </c>
      <c r="U895" s="62">
        <f t="shared" si="162"/>
        <v>23166.321349005586</v>
      </c>
      <c r="V895" s="62">
        <f t="shared" si="152"/>
        <v>1</v>
      </c>
      <c r="W895" s="62">
        <f t="shared" si="152"/>
        <v>0</v>
      </c>
      <c r="X895" s="62">
        <f t="shared" si="152"/>
        <v>0</v>
      </c>
      <c r="Y895" s="62">
        <f t="shared" si="152"/>
        <v>0</v>
      </c>
      <c r="AA895" s="94"/>
    </row>
    <row r="896" spans="2:27" x14ac:dyDescent="0.2">
      <c r="B896" s="94"/>
      <c r="C896" s="62">
        <v>857</v>
      </c>
      <c r="D896" s="62">
        <v>9926.1595258074358</v>
      </c>
      <c r="E896" s="62">
        <v>0.61809660539012623</v>
      </c>
      <c r="F896" s="62">
        <v>14264.199018047721</v>
      </c>
      <c r="G896" s="62">
        <v>0.89454365375279177</v>
      </c>
      <c r="H896" s="62">
        <v>14295.063289753469</v>
      </c>
      <c r="I896" s="62">
        <v>0.89680851065800227</v>
      </c>
      <c r="J896" s="62">
        <v>14205.84235943217</v>
      </c>
      <c r="K896" s="62">
        <v>0.88976913403174474</v>
      </c>
      <c r="L896" s="62">
        <f t="shared" si="153"/>
        <v>-4338.0394922402847</v>
      </c>
      <c r="M896" s="62">
        <f t="shared" si="154"/>
        <v>-0.27644704836266554</v>
      </c>
      <c r="N896" s="62">
        <f t="shared" si="155"/>
        <v>-4368.903763946033</v>
      </c>
      <c r="O896" s="62">
        <f t="shared" si="156"/>
        <v>-0.27871190526787604</v>
      </c>
      <c r="P896" s="62">
        <f t="shared" si="157"/>
        <v>-4279.6828336247345</v>
      </c>
      <c r="Q896" s="62">
        <f t="shared" si="158"/>
        <v>-0.2716725286416185</v>
      </c>
      <c r="R896" s="62">
        <f t="shared" si="159"/>
        <v>15677.874255873152</v>
      </c>
      <c r="S896" s="62">
        <f t="shared" si="160"/>
        <v>22791.377295007922</v>
      </c>
      <c r="T896" s="62">
        <f t="shared" si="161"/>
        <v>22854.332455743621</v>
      </c>
      <c r="U896" s="62">
        <f t="shared" si="162"/>
        <v>22651.954248698821</v>
      </c>
      <c r="V896" s="62">
        <f t="shared" si="152"/>
        <v>1</v>
      </c>
      <c r="W896" s="62">
        <f t="shared" si="152"/>
        <v>0</v>
      </c>
      <c r="X896" s="62">
        <f t="shared" si="152"/>
        <v>0</v>
      </c>
      <c r="Y896" s="62">
        <f t="shared" si="152"/>
        <v>0</v>
      </c>
      <c r="AA896" s="94"/>
    </row>
    <row r="897" spans="2:27" x14ac:dyDescent="0.2">
      <c r="B897" s="94"/>
      <c r="C897" s="62">
        <v>858</v>
      </c>
      <c r="D897" s="62">
        <v>9747.2630261900267</v>
      </c>
      <c r="E897" s="62">
        <v>0.61751814432558416</v>
      </c>
      <c r="F897" s="62">
        <v>14017.60679900363</v>
      </c>
      <c r="G897" s="62">
        <v>0.89429711537095657</v>
      </c>
      <c r="H897" s="62">
        <v>14044.162194038279</v>
      </c>
      <c r="I897" s="62">
        <v>0.89627848080093531</v>
      </c>
      <c r="J897" s="62">
        <v>13967.158789289604</v>
      </c>
      <c r="K897" s="62">
        <v>0.88997937651000436</v>
      </c>
      <c r="L897" s="62">
        <f t="shared" si="153"/>
        <v>-4270.3437728136032</v>
      </c>
      <c r="M897" s="62">
        <f t="shared" si="154"/>
        <v>-0.27677897104537241</v>
      </c>
      <c r="N897" s="62">
        <f t="shared" si="155"/>
        <v>-4296.8991678482525</v>
      </c>
      <c r="O897" s="62">
        <f t="shared" si="156"/>
        <v>-0.27876033647535114</v>
      </c>
      <c r="P897" s="62">
        <f t="shared" si="157"/>
        <v>-4219.8957630995774</v>
      </c>
      <c r="Q897" s="62">
        <f t="shared" si="158"/>
        <v>-0.2724612321844202</v>
      </c>
      <c r="R897" s="62">
        <f t="shared" si="159"/>
        <v>15832.808584352973</v>
      </c>
      <c r="S897" s="62">
        <f t="shared" si="160"/>
        <v>23027.756908122872</v>
      </c>
      <c r="T897" s="62">
        <f t="shared" si="161"/>
        <v>23083.277594659663</v>
      </c>
      <c r="U897" s="62">
        <f t="shared" si="162"/>
        <v>22899.346903260812</v>
      </c>
      <c r="V897" s="62">
        <f t="shared" si="152"/>
        <v>1</v>
      </c>
      <c r="W897" s="62">
        <f t="shared" si="152"/>
        <v>0</v>
      </c>
      <c r="X897" s="62">
        <f t="shared" si="152"/>
        <v>0</v>
      </c>
      <c r="Y897" s="62">
        <f t="shared" si="152"/>
        <v>0</v>
      </c>
      <c r="AA897" s="94"/>
    </row>
    <row r="898" spans="2:27" x14ac:dyDescent="0.2">
      <c r="B898" s="94"/>
      <c r="C898" s="62">
        <v>859</v>
      </c>
      <c r="D898" s="62">
        <v>9419.2171039887562</v>
      </c>
      <c r="E898" s="62">
        <v>0.61749038374903276</v>
      </c>
      <c r="F898" s="62">
        <v>13545.355691299124</v>
      </c>
      <c r="G898" s="62">
        <v>0.89421296324287525</v>
      </c>
      <c r="H898" s="62">
        <v>13595.188188964983</v>
      </c>
      <c r="I898" s="62">
        <v>0.89790301882792645</v>
      </c>
      <c r="J898" s="62">
        <v>13485.267112955777</v>
      </c>
      <c r="K898" s="62">
        <v>0.88904764471698805</v>
      </c>
      <c r="L898" s="62">
        <f t="shared" si="153"/>
        <v>-4126.1385873103682</v>
      </c>
      <c r="M898" s="62">
        <f t="shared" si="154"/>
        <v>-0.27672257949384249</v>
      </c>
      <c r="N898" s="62">
        <f t="shared" si="155"/>
        <v>-4175.9710849762268</v>
      </c>
      <c r="O898" s="62">
        <f t="shared" si="156"/>
        <v>-0.28041263507889369</v>
      </c>
      <c r="P898" s="62">
        <f t="shared" si="157"/>
        <v>-4066.0500089670204</v>
      </c>
      <c r="Q898" s="62">
        <f t="shared" si="158"/>
        <v>-0.27155726096795529</v>
      </c>
      <c r="R898" s="62">
        <f t="shared" si="159"/>
        <v>16159.704552431178</v>
      </c>
      <c r="S898" s="62">
        <f t="shared" si="160"/>
        <v>23496.522098073736</v>
      </c>
      <c r="T898" s="62">
        <f t="shared" si="161"/>
        <v>23599.546462963044</v>
      </c>
      <c r="U898" s="62">
        <f t="shared" si="162"/>
        <v>23342.642521800735</v>
      </c>
      <c r="V898" s="62">
        <f t="shared" si="152"/>
        <v>1</v>
      </c>
      <c r="W898" s="62">
        <f t="shared" si="152"/>
        <v>0</v>
      </c>
      <c r="X898" s="62">
        <f t="shared" si="152"/>
        <v>0</v>
      </c>
      <c r="Y898" s="62">
        <f t="shared" si="152"/>
        <v>0</v>
      </c>
      <c r="AA898" s="94"/>
    </row>
    <row r="899" spans="2:27" x14ac:dyDescent="0.2">
      <c r="B899" s="94"/>
      <c r="C899" s="62">
        <v>860</v>
      </c>
      <c r="D899" s="62">
        <v>10511.668391231411</v>
      </c>
      <c r="E899" s="62">
        <v>0.61739694909600618</v>
      </c>
      <c r="F899" s="62">
        <v>15128.04201559094</v>
      </c>
      <c r="G899" s="62">
        <v>0.89454655983631293</v>
      </c>
      <c r="H899" s="62">
        <v>15175.330955120593</v>
      </c>
      <c r="I899" s="62">
        <v>0.89759133069000652</v>
      </c>
      <c r="J899" s="62">
        <v>15062.358307090411</v>
      </c>
      <c r="K899" s="62">
        <v>0.88957383907243415</v>
      </c>
      <c r="L899" s="62">
        <f t="shared" si="153"/>
        <v>-4616.3736243595285</v>
      </c>
      <c r="M899" s="62">
        <f t="shared" si="154"/>
        <v>-0.27714961074030675</v>
      </c>
      <c r="N899" s="62">
        <f t="shared" si="155"/>
        <v>-4663.6625638891819</v>
      </c>
      <c r="O899" s="62">
        <f t="shared" si="156"/>
        <v>-0.28019438159400034</v>
      </c>
      <c r="P899" s="62">
        <f t="shared" si="157"/>
        <v>-4550.6899158590004</v>
      </c>
      <c r="Q899" s="62">
        <f t="shared" si="158"/>
        <v>-0.27217688997642797</v>
      </c>
      <c r="R899" s="62">
        <f t="shared" si="159"/>
        <v>15063.38282812155</v>
      </c>
      <c r="S899" s="62">
        <f t="shared" si="160"/>
        <v>21927.654679068488</v>
      </c>
      <c r="T899" s="62">
        <f t="shared" si="161"/>
        <v>22006.492327382239</v>
      </c>
      <c r="U899" s="62">
        <f t="shared" si="162"/>
        <v>21787.348402646101</v>
      </c>
      <c r="V899" s="62">
        <f t="shared" si="152"/>
        <v>1</v>
      </c>
      <c r="W899" s="62">
        <f t="shared" si="152"/>
        <v>0</v>
      </c>
      <c r="X899" s="62">
        <f t="shared" si="152"/>
        <v>0</v>
      </c>
      <c r="Y899" s="62">
        <f t="shared" si="152"/>
        <v>0</v>
      </c>
      <c r="AA899" s="94"/>
    </row>
    <row r="900" spans="2:27" x14ac:dyDescent="0.2">
      <c r="B900" s="94"/>
      <c r="C900" s="62">
        <v>861</v>
      </c>
      <c r="D900" s="62">
        <v>10679.879431316851</v>
      </c>
      <c r="E900" s="62">
        <v>0.61728047650681106</v>
      </c>
      <c r="F900" s="62">
        <v>15357.302401657244</v>
      </c>
      <c r="G900" s="62">
        <v>0.8931912646501069</v>
      </c>
      <c r="H900" s="62">
        <v>15421.95566514677</v>
      </c>
      <c r="I900" s="62">
        <v>0.89732500739545795</v>
      </c>
      <c r="J900" s="62">
        <v>15311.455990165048</v>
      </c>
      <c r="K900" s="62">
        <v>0.88959135985761162</v>
      </c>
      <c r="L900" s="62">
        <f t="shared" si="153"/>
        <v>-4677.4229703403926</v>
      </c>
      <c r="M900" s="62">
        <f t="shared" si="154"/>
        <v>-0.27591078814329584</v>
      </c>
      <c r="N900" s="62">
        <f t="shared" si="155"/>
        <v>-4742.0762338299191</v>
      </c>
      <c r="O900" s="62">
        <f t="shared" si="156"/>
        <v>-0.28004453088864689</v>
      </c>
      <c r="P900" s="62">
        <f t="shared" si="157"/>
        <v>-4631.5765588481972</v>
      </c>
      <c r="Q900" s="62">
        <f t="shared" si="158"/>
        <v>-0.27231088335080056</v>
      </c>
      <c r="R900" s="62">
        <f t="shared" si="159"/>
        <v>14890.347027501291</v>
      </c>
      <c r="S900" s="62">
        <f t="shared" si="160"/>
        <v>21642.252545208779</v>
      </c>
      <c r="T900" s="62">
        <f t="shared" si="161"/>
        <v>21748.835441202675</v>
      </c>
      <c r="U900" s="62">
        <f t="shared" si="162"/>
        <v>21538.976500576653</v>
      </c>
      <c r="V900" s="62">
        <f t="shared" si="152"/>
        <v>1</v>
      </c>
      <c r="W900" s="62">
        <f t="shared" si="152"/>
        <v>0</v>
      </c>
      <c r="X900" s="62">
        <f t="shared" si="152"/>
        <v>0</v>
      </c>
      <c r="Y900" s="62">
        <f t="shared" si="152"/>
        <v>0</v>
      </c>
      <c r="AA900" s="94"/>
    </row>
    <row r="901" spans="2:27" x14ac:dyDescent="0.2">
      <c r="B901" s="94"/>
      <c r="C901" s="62">
        <v>862</v>
      </c>
      <c r="D901" s="62">
        <v>10382.533821788589</v>
      </c>
      <c r="E901" s="62">
        <v>0.6173249838284034</v>
      </c>
      <c r="F901" s="62">
        <v>14952.886999822505</v>
      </c>
      <c r="G901" s="62">
        <v>0.89473419952001598</v>
      </c>
      <c r="H901" s="62">
        <v>14997.36517777285</v>
      </c>
      <c r="I901" s="62">
        <v>0.89775030324204697</v>
      </c>
      <c r="J901" s="62">
        <v>14877.636215465474</v>
      </c>
      <c r="K901" s="62">
        <v>0.88926279411274689</v>
      </c>
      <c r="L901" s="62">
        <f t="shared" si="153"/>
        <v>-4570.3531780339163</v>
      </c>
      <c r="M901" s="62">
        <f t="shared" si="154"/>
        <v>-0.27740921569161259</v>
      </c>
      <c r="N901" s="62">
        <f t="shared" si="155"/>
        <v>-4614.8313559842609</v>
      </c>
      <c r="O901" s="62">
        <f t="shared" si="156"/>
        <v>-0.28042531941364357</v>
      </c>
      <c r="P901" s="62">
        <f t="shared" si="157"/>
        <v>-4495.1023936768852</v>
      </c>
      <c r="Q901" s="62">
        <f t="shared" si="158"/>
        <v>-0.2719378102843435</v>
      </c>
      <c r="R901" s="62">
        <f t="shared" si="159"/>
        <v>15189.536308319193</v>
      </c>
      <c r="S901" s="62">
        <f t="shared" si="160"/>
        <v>22110.582481094636</v>
      </c>
      <c r="T901" s="62">
        <f t="shared" si="161"/>
        <v>22191.043383725701</v>
      </c>
      <c r="U901" s="62">
        <f t="shared" si="162"/>
        <v>21959.185767860956</v>
      </c>
      <c r="V901" s="62">
        <f t="shared" si="152"/>
        <v>1</v>
      </c>
      <c r="W901" s="62">
        <f t="shared" si="152"/>
        <v>0</v>
      </c>
      <c r="X901" s="62">
        <f t="shared" si="152"/>
        <v>0</v>
      </c>
      <c r="Y901" s="62">
        <f t="shared" si="152"/>
        <v>0</v>
      </c>
      <c r="AA901" s="94"/>
    </row>
    <row r="902" spans="2:27" x14ac:dyDescent="0.2">
      <c r="B902" s="94"/>
      <c r="C902" s="62">
        <v>863</v>
      </c>
      <c r="D902" s="62">
        <v>10001.456558678228</v>
      </c>
      <c r="E902" s="62">
        <v>0.61783104652923149</v>
      </c>
      <c r="F902" s="62">
        <v>14386.447530355237</v>
      </c>
      <c r="G902" s="62">
        <v>0.89471432050799216</v>
      </c>
      <c r="H902" s="62">
        <v>14429.958045252046</v>
      </c>
      <c r="I902" s="62">
        <v>0.89766952760196594</v>
      </c>
      <c r="J902" s="62">
        <v>14323.515405987164</v>
      </c>
      <c r="K902" s="62">
        <v>0.8898397613004938</v>
      </c>
      <c r="L902" s="62">
        <f t="shared" si="153"/>
        <v>-4384.9909716770089</v>
      </c>
      <c r="M902" s="62">
        <f t="shared" si="154"/>
        <v>-0.27688327397876067</v>
      </c>
      <c r="N902" s="62">
        <f t="shared" si="155"/>
        <v>-4428.5014865738176</v>
      </c>
      <c r="O902" s="62">
        <f t="shared" si="156"/>
        <v>-0.27983848107273446</v>
      </c>
      <c r="P902" s="62">
        <f t="shared" si="157"/>
        <v>-4322.0588473089356</v>
      </c>
      <c r="Q902" s="62">
        <f t="shared" si="158"/>
        <v>-0.27200871477126232</v>
      </c>
      <c r="R902" s="62">
        <f t="shared" si="159"/>
        <v>15591.576712748656</v>
      </c>
      <c r="S902" s="62">
        <f t="shared" si="160"/>
        <v>22676.198482367829</v>
      </c>
      <c r="T902" s="62">
        <f t="shared" si="161"/>
        <v>22755.104466131794</v>
      </c>
      <c r="U902" s="62">
        <f t="shared" si="162"/>
        <v>22537.206866124492</v>
      </c>
      <c r="V902" s="62">
        <f t="shared" si="152"/>
        <v>1</v>
      </c>
      <c r="W902" s="62">
        <f t="shared" si="152"/>
        <v>0</v>
      </c>
      <c r="X902" s="62">
        <f t="shared" si="152"/>
        <v>0</v>
      </c>
      <c r="Y902" s="62">
        <f t="shared" si="152"/>
        <v>0</v>
      </c>
      <c r="AA902" s="94"/>
    </row>
    <row r="903" spans="2:27" x14ac:dyDescent="0.2">
      <c r="B903" s="94"/>
      <c r="C903" s="62">
        <v>864</v>
      </c>
      <c r="D903" s="62">
        <v>10937.232565932194</v>
      </c>
      <c r="E903" s="62">
        <v>0.61788611831451468</v>
      </c>
      <c r="F903" s="62">
        <v>15736.650864188849</v>
      </c>
      <c r="G903" s="62">
        <v>0.89467077303910669</v>
      </c>
      <c r="H903" s="62">
        <v>15767.882119751657</v>
      </c>
      <c r="I903" s="62">
        <v>0.89671217467880915</v>
      </c>
      <c r="J903" s="62">
        <v>15659.479994907722</v>
      </c>
      <c r="K903" s="62">
        <v>0.88924285749784526</v>
      </c>
      <c r="L903" s="62">
        <f t="shared" si="153"/>
        <v>-4799.4182982566545</v>
      </c>
      <c r="M903" s="62">
        <f t="shared" si="154"/>
        <v>-0.27678465472459202</v>
      </c>
      <c r="N903" s="62">
        <f t="shared" si="155"/>
        <v>-4830.6495538194631</v>
      </c>
      <c r="O903" s="62">
        <f t="shared" si="156"/>
        <v>-0.27882605636429447</v>
      </c>
      <c r="P903" s="62">
        <f t="shared" si="157"/>
        <v>-4722.2474289755282</v>
      </c>
      <c r="Q903" s="62">
        <f t="shared" si="158"/>
        <v>-0.27135673918333059</v>
      </c>
      <c r="R903" s="62">
        <f t="shared" si="159"/>
        <v>14658.081999128262</v>
      </c>
      <c r="S903" s="62">
        <f t="shared" si="160"/>
        <v>21324.191238183106</v>
      </c>
      <c r="T903" s="62">
        <f t="shared" si="161"/>
        <v>21377.523004143331</v>
      </c>
      <c r="U903" s="62">
        <f t="shared" si="162"/>
        <v>21176.516134083024</v>
      </c>
      <c r="V903" s="62">
        <f t="shared" si="152"/>
        <v>1</v>
      </c>
      <c r="W903" s="62">
        <f t="shared" si="152"/>
        <v>0</v>
      </c>
      <c r="X903" s="62">
        <f t="shared" si="152"/>
        <v>0</v>
      </c>
      <c r="Y903" s="62">
        <f t="shared" si="152"/>
        <v>0</v>
      </c>
      <c r="AA903" s="94"/>
    </row>
    <row r="904" spans="2:27" x14ac:dyDescent="0.2">
      <c r="B904" s="94"/>
      <c r="C904" s="62">
        <v>865</v>
      </c>
      <c r="D904" s="62">
        <v>12894.547579039241</v>
      </c>
      <c r="E904" s="62">
        <v>0.61773935850961093</v>
      </c>
      <c r="F904" s="62">
        <v>18550.45827549752</v>
      </c>
      <c r="G904" s="62">
        <v>0.89406777464699982</v>
      </c>
      <c r="H904" s="62">
        <v>18615.352806673691</v>
      </c>
      <c r="I904" s="62">
        <v>0.8973509984142638</v>
      </c>
      <c r="J904" s="62">
        <v>18474.22544934693</v>
      </c>
      <c r="K904" s="62">
        <v>0.88930549360651534</v>
      </c>
      <c r="L904" s="62">
        <f t="shared" si="153"/>
        <v>-5655.9106964582788</v>
      </c>
      <c r="M904" s="62">
        <f t="shared" si="154"/>
        <v>-0.2763284161373889</v>
      </c>
      <c r="N904" s="62">
        <f t="shared" si="155"/>
        <v>-5720.8052276344497</v>
      </c>
      <c r="O904" s="62">
        <f t="shared" si="156"/>
        <v>-0.27961163990465288</v>
      </c>
      <c r="P904" s="62">
        <f t="shared" si="157"/>
        <v>-5579.6778703076889</v>
      </c>
      <c r="Q904" s="62">
        <f t="shared" si="158"/>
        <v>-0.27156613509690442</v>
      </c>
      <c r="R904" s="62">
        <f t="shared" si="159"/>
        <v>12694.687607862881</v>
      </c>
      <c r="S904" s="62">
        <f t="shared" si="160"/>
        <v>18485.405221479799</v>
      </c>
      <c r="T904" s="62">
        <f t="shared" si="161"/>
        <v>18556.514951638776</v>
      </c>
      <c r="U904" s="62">
        <f t="shared" si="162"/>
        <v>18364.365317809359</v>
      </c>
      <c r="V904" s="62">
        <f t="shared" si="152"/>
        <v>1</v>
      </c>
      <c r="W904" s="62">
        <f t="shared" si="152"/>
        <v>0</v>
      </c>
      <c r="X904" s="62">
        <f t="shared" si="152"/>
        <v>0</v>
      </c>
      <c r="Y904" s="62">
        <f t="shared" si="152"/>
        <v>0</v>
      </c>
      <c r="AA904" s="94"/>
    </row>
    <row r="905" spans="2:27" x14ac:dyDescent="0.2">
      <c r="B905" s="94"/>
      <c r="C905" s="62">
        <v>866</v>
      </c>
      <c r="D905" s="62">
        <v>9818.2597153094866</v>
      </c>
      <c r="E905" s="62">
        <v>0.61734531363267353</v>
      </c>
      <c r="F905" s="62">
        <v>14131.968022566656</v>
      </c>
      <c r="G905" s="62">
        <v>0.89472171504766385</v>
      </c>
      <c r="H905" s="62">
        <v>14166.999365058748</v>
      </c>
      <c r="I905" s="62">
        <v>0.89724961592972086</v>
      </c>
      <c r="J905" s="62">
        <v>14050.473210488666</v>
      </c>
      <c r="K905" s="62">
        <v>0.88839636378346765</v>
      </c>
      <c r="L905" s="62">
        <f t="shared" si="153"/>
        <v>-4313.7083072571695</v>
      </c>
      <c r="M905" s="62">
        <f t="shared" si="154"/>
        <v>-0.27737640141499031</v>
      </c>
      <c r="N905" s="62">
        <f t="shared" si="155"/>
        <v>-4348.7396497492609</v>
      </c>
      <c r="O905" s="62">
        <f t="shared" si="156"/>
        <v>-0.27990430229704732</v>
      </c>
      <c r="P905" s="62">
        <f t="shared" si="157"/>
        <v>-4232.2134951791795</v>
      </c>
      <c r="Q905" s="62">
        <f t="shared" si="158"/>
        <v>-0.27105105015079412</v>
      </c>
      <c r="R905" s="62">
        <f t="shared" si="159"/>
        <v>15754.652556610381</v>
      </c>
      <c r="S905" s="62">
        <f t="shared" si="160"/>
        <v>22930.984301567772</v>
      </c>
      <c r="T905" s="62">
        <f t="shared" si="161"/>
        <v>23000.668725214011</v>
      </c>
      <c r="U905" s="62">
        <f t="shared" si="162"/>
        <v>22750.457762877697</v>
      </c>
      <c r="V905" s="62">
        <f t="shared" si="152"/>
        <v>1</v>
      </c>
      <c r="W905" s="62">
        <f t="shared" si="152"/>
        <v>0</v>
      </c>
      <c r="X905" s="62">
        <f t="shared" si="152"/>
        <v>0</v>
      </c>
      <c r="Y905" s="62">
        <f t="shared" si="152"/>
        <v>0</v>
      </c>
      <c r="AA905" s="94"/>
    </row>
    <row r="906" spans="2:27" x14ac:dyDescent="0.2">
      <c r="B906" s="94"/>
      <c r="C906" s="62">
        <v>867</v>
      </c>
      <c r="D906" s="62">
        <v>9975.9889741413463</v>
      </c>
      <c r="E906" s="62">
        <v>0.61794644386621767</v>
      </c>
      <c r="F906" s="62">
        <v>14342.218987221906</v>
      </c>
      <c r="G906" s="62">
        <v>0.89455140296557278</v>
      </c>
      <c r="H906" s="62">
        <v>14374.484298648071</v>
      </c>
      <c r="I906" s="62">
        <v>0.89679355307872433</v>
      </c>
      <c r="J906" s="62">
        <v>14268.608590006668</v>
      </c>
      <c r="K906" s="62">
        <v>0.88874120504822518</v>
      </c>
      <c r="L906" s="62">
        <f t="shared" si="153"/>
        <v>-4366.2300130805597</v>
      </c>
      <c r="M906" s="62">
        <f t="shared" si="154"/>
        <v>-0.27660495909935512</v>
      </c>
      <c r="N906" s="62">
        <f t="shared" si="155"/>
        <v>-4398.4953245067245</v>
      </c>
      <c r="O906" s="62">
        <f t="shared" si="156"/>
        <v>-0.27884710921250666</v>
      </c>
      <c r="P906" s="62">
        <f t="shared" si="157"/>
        <v>-4292.619615865322</v>
      </c>
      <c r="Q906" s="62">
        <f t="shared" si="158"/>
        <v>-0.27079476118200752</v>
      </c>
      <c r="R906" s="62">
        <f t="shared" si="159"/>
        <v>15621.824516572855</v>
      </c>
      <c r="S906" s="62">
        <f t="shared" si="160"/>
        <v>22713.678329223982</v>
      </c>
      <c r="T906" s="62">
        <f t="shared" si="161"/>
        <v>22774.291844085004</v>
      </c>
      <c r="U906" s="62">
        <f t="shared" si="162"/>
        <v>22546.607087911012</v>
      </c>
      <c r="V906" s="62">
        <f t="shared" si="152"/>
        <v>1</v>
      </c>
      <c r="W906" s="62">
        <f t="shared" si="152"/>
        <v>0</v>
      </c>
      <c r="X906" s="62">
        <f t="shared" si="152"/>
        <v>0</v>
      </c>
      <c r="Y906" s="62">
        <f t="shared" si="152"/>
        <v>0</v>
      </c>
      <c r="AA906" s="94"/>
    </row>
    <row r="907" spans="2:27" x14ac:dyDescent="0.2">
      <c r="B907" s="94"/>
      <c r="C907" s="62">
        <v>868</v>
      </c>
      <c r="D907" s="62">
        <v>10597.060636850851</v>
      </c>
      <c r="E907" s="62">
        <v>0.61771627597615064</v>
      </c>
      <c r="F907" s="62">
        <v>15231.243948300422</v>
      </c>
      <c r="G907" s="62">
        <v>0.89370424732094</v>
      </c>
      <c r="H907" s="62">
        <v>15281.875850811333</v>
      </c>
      <c r="I907" s="62">
        <v>0.89705467024348273</v>
      </c>
      <c r="J907" s="62">
        <v>15170.040215151312</v>
      </c>
      <c r="K907" s="62">
        <v>0.88909668706215639</v>
      </c>
      <c r="L907" s="62">
        <f t="shared" si="153"/>
        <v>-4634.1833114495712</v>
      </c>
      <c r="M907" s="62">
        <f t="shared" si="154"/>
        <v>-0.27598797134478936</v>
      </c>
      <c r="N907" s="62">
        <f t="shared" si="155"/>
        <v>-4684.8152139604827</v>
      </c>
      <c r="O907" s="62">
        <f t="shared" si="156"/>
        <v>-0.27933839426733209</v>
      </c>
      <c r="P907" s="62">
        <f t="shared" si="157"/>
        <v>-4572.9795783004611</v>
      </c>
      <c r="Q907" s="62">
        <f t="shared" si="158"/>
        <v>-0.27138041108600575</v>
      </c>
      <c r="R907" s="62">
        <f t="shared" si="159"/>
        <v>14991.218379185213</v>
      </c>
      <c r="S907" s="62">
        <f t="shared" si="160"/>
        <v>21789.560792722201</v>
      </c>
      <c r="T907" s="62">
        <f t="shared" si="161"/>
        <v>21877.716809354701</v>
      </c>
      <c r="U907" s="62">
        <f t="shared" si="162"/>
        <v>21659.900949711453</v>
      </c>
      <c r="V907" s="62">
        <f t="shared" si="152"/>
        <v>1</v>
      </c>
      <c r="W907" s="62">
        <f t="shared" si="152"/>
        <v>0</v>
      </c>
      <c r="X907" s="62">
        <f t="shared" si="152"/>
        <v>0</v>
      </c>
      <c r="Y907" s="62">
        <f t="shared" si="152"/>
        <v>0</v>
      </c>
      <c r="AA907" s="94"/>
    </row>
    <row r="908" spans="2:27" x14ac:dyDescent="0.2">
      <c r="B908" s="94"/>
      <c r="C908" s="62">
        <v>869</v>
      </c>
      <c r="D908" s="62">
        <v>11452.061516974874</v>
      </c>
      <c r="E908" s="62">
        <v>0.61770236744008067</v>
      </c>
      <c r="F908" s="62">
        <v>16471.719077818139</v>
      </c>
      <c r="G908" s="62">
        <v>0.89396465412464587</v>
      </c>
      <c r="H908" s="62">
        <v>16519.28293280381</v>
      </c>
      <c r="I908" s="62">
        <v>0.89665482342677694</v>
      </c>
      <c r="J908" s="62">
        <v>16406.73043323915</v>
      </c>
      <c r="K908" s="62">
        <v>0.88939543784874908</v>
      </c>
      <c r="L908" s="62">
        <f t="shared" si="153"/>
        <v>-5019.6575608432649</v>
      </c>
      <c r="M908" s="62">
        <f t="shared" si="154"/>
        <v>-0.27626228668456521</v>
      </c>
      <c r="N908" s="62">
        <f t="shared" si="155"/>
        <v>-5067.2214158289353</v>
      </c>
      <c r="O908" s="62">
        <f t="shared" si="156"/>
        <v>-0.27895245598669627</v>
      </c>
      <c r="P908" s="62">
        <f t="shared" si="157"/>
        <v>-4954.668916264276</v>
      </c>
      <c r="Q908" s="62">
        <f t="shared" si="158"/>
        <v>-0.27169307040866841</v>
      </c>
      <c r="R908" s="62">
        <f t="shared" si="159"/>
        <v>14135.641351863029</v>
      </c>
      <c r="S908" s="62">
        <f t="shared" si="160"/>
        <v>20559.87275464119</v>
      </c>
      <c r="T908" s="62">
        <f t="shared" si="161"/>
        <v>20623.746472826995</v>
      </c>
      <c r="U908" s="62">
        <f t="shared" si="162"/>
        <v>20435.58618420743</v>
      </c>
      <c r="V908" s="62">
        <f t="shared" si="152"/>
        <v>1</v>
      </c>
      <c r="W908" s="62">
        <f t="shared" si="152"/>
        <v>0</v>
      </c>
      <c r="X908" s="62">
        <f t="shared" si="152"/>
        <v>0</v>
      </c>
      <c r="Y908" s="62">
        <f t="shared" si="152"/>
        <v>0</v>
      </c>
      <c r="AA908" s="94"/>
    </row>
    <row r="909" spans="2:27" x14ac:dyDescent="0.2">
      <c r="B909" s="94"/>
      <c r="C909" s="62">
        <v>870</v>
      </c>
      <c r="D909" s="62">
        <v>10878.675465803241</v>
      </c>
      <c r="E909" s="62">
        <v>0.6173899063553937</v>
      </c>
      <c r="F909" s="62">
        <v>15647.918152207962</v>
      </c>
      <c r="G909" s="62">
        <v>0.89348841347195429</v>
      </c>
      <c r="H909" s="62">
        <v>15706.262337313257</v>
      </c>
      <c r="I909" s="62">
        <v>0.89732659448747887</v>
      </c>
      <c r="J909" s="62">
        <v>15594.05789307572</v>
      </c>
      <c r="K909" s="62">
        <v>0.88941067653855699</v>
      </c>
      <c r="L909" s="62">
        <f t="shared" si="153"/>
        <v>-4769.2426864047211</v>
      </c>
      <c r="M909" s="62">
        <f t="shared" si="154"/>
        <v>-0.27609850711656059</v>
      </c>
      <c r="N909" s="62">
        <f t="shared" si="155"/>
        <v>-4827.5868715100169</v>
      </c>
      <c r="O909" s="62">
        <f t="shared" si="156"/>
        <v>-0.27993668813208517</v>
      </c>
      <c r="P909" s="62">
        <f t="shared" si="157"/>
        <v>-4715.3824272724796</v>
      </c>
      <c r="Q909" s="62">
        <f t="shared" si="158"/>
        <v>-0.27202077018316329</v>
      </c>
      <c r="R909" s="62">
        <f t="shared" si="159"/>
        <v>14696.084015062588</v>
      </c>
      <c r="S909" s="62">
        <f t="shared" si="160"/>
        <v>21363.945887454276</v>
      </c>
      <c r="T909" s="62">
        <f t="shared" si="161"/>
        <v>21464.594512736068</v>
      </c>
      <c r="U909" s="62">
        <f t="shared" si="162"/>
        <v>21248.889971857468</v>
      </c>
      <c r="V909" s="62">
        <f t="shared" si="152"/>
        <v>1</v>
      </c>
      <c r="W909" s="62">
        <f t="shared" si="152"/>
        <v>0</v>
      </c>
      <c r="X909" s="62">
        <f t="shared" si="152"/>
        <v>0</v>
      </c>
      <c r="Y909" s="62">
        <f t="shared" si="152"/>
        <v>0</v>
      </c>
      <c r="AA909" s="94"/>
    </row>
    <row r="910" spans="2:27" x14ac:dyDescent="0.2">
      <c r="B910" s="94"/>
      <c r="C910" s="62">
        <v>871</v>
      </c>
      <c r="D910" s="62">
        <v>10255.347552405912</v>
      </c>
      <c r="E910" s="62">
        <v>0.61764557450322755</v>
      </c>
      <c r="F910" s="62">
        <v>14746.708938296844</v>
      </c>
      <c r="G910" s="62">
        <v>0.89446809460347865</v>
      </c>
      <c r="H910" s="62">
        <v>14787.248665780535</v>
      </c>
      <c r="I910" s="62">
        <v>0.89720300995153002</v>
      </c>
      <c r="J910" s="62">
        <v>14677.743048355067</v>
      </c>
      <c r="K910" s="62">
        <v>0.88907913227101143</v>
      </c>
      <c r="L910" s="62">
        <f t="shared" si="153"/>
        <v>-4491.3613858909321</v>
      </c>
      <c r="M910" s="62">
        <f t="shared" si="154"/>
        <v>-0.2768225201002511</v>
      </c>
      <c r="N910" s="62">
        <f t="shared" si="155"/>
        <v>-4531.9011133746226</v>
      </c>
      <c r="O910" s="62">
        <f t="shared" si="156"/>
        <v>-0.27955743544830247</v>
      </c>
      <c r="P910" s="62">
        <f t="shared" si="157"/>
        <v>-4422.3954959491548</v>
      </c>
      <c r="Q910" s="62">
        <f t="shared" si="158"/>
        <v>-0.27143355776778388</v>
      </c>
      <c r="R910" s="62">
        <f t="shared" si="159"/>
        <v>15330.002725815784</v>
      </c>
      <c r="S910" s="62">
        <f t="shared" si="160"/>
        <v>22305.737412557657</v>
      </c>
      <c r="T910" s="62">
        <f t="shared" si="161"/>
        <v>22378.488818451646</v>
      </c>
      <c r="U910" s="62">
        <f t="shared" si="162"/>
        <v>22151.470926839309</v>
      </c>
      <c r="V910" s="62">
        <f t="shared" si="152"/>
        <v>1</v>
      </c>
      <c r="W910" s="62">
        <f t="shared" si="152"/>
        <v>0</v>
      </c>
      <c r="X910" s="62">
        <f t="shared" si="152"/>
        <v>0</v>
      </c>
      <c r="Y910" s="62">
        <f t="shared" si="152"/>
        <v>0</v>
      </c>
      <c r="AA910" s="94"/>
    </row>
    <row r="911" spans="2:27" x14ac:dyDescent="0.2">
      <c r="B911" s="94"/>
      <c r="C911" s="62">
        <v>872</v>
      </c>
      <c r="D911" s="62">
        <v>10272.805370239686</v>
      </c>
      <c r="E911" s="62">
        <v>0.6177166461715945</v>
      </c>
      <c r="F911" s="62">
        <v>14757.268616694228</v>
      </c>
      <c r="G911" s="62">
        <v>0.89388725527747881</v>
      </c>
      <c r="H911" s="62">
        <v>14810.321838965596</v>
      </c>
      <c r="I911" s="62">
        <v>0.89747111352498965</v>
      </c>
      <c r="J911" s="62">
        <v>14700.754214009186</v>
      </c>
      <c r="K911" s="62">
        <v>0.88925315158170959</v>
      </c>
      <c r="L911" s="62">
        <f t="shared" si="153"/>
        <v>-4484.4632464545411</v>
      </c>
      <c r="M911" s="62">
        <f t="shared" si="154"/>
        <v>-0.27617060910588431</v>
      </c>
      <c r="N911" s="62">
        <f t="shared" si="155"/>
        <v>-4537.5164687259094</v>
      </c>
      <c r="O911" s="62">
        <f t="shared" si="156"/>
        <v>-0.27975446735339515</v>
      </c>
      <c r="P911" s="62">
        <f t="shared" si="157"/>
        <v>-4427.9488437694999</v>
      </c>
      <c r="Q911" s="62">
        <f t="shared" si="158"/>
        <v>-0.27153650541011509</v>
      </c>
      <c r="R911" s="62">
        <f t="shared" si="159"/>
        <v>15315.488980772443</v>
      </c>
      <c r="S911" s="62">
        <f t="shared" si="160"/>
        <v>22271.117045920051</v>
      </c>
      <c r="T911" s="62">
        <f t="shared" si="161"/>
        <v>22366.521567693577</v>
      </c>
      <c r="U911" s="62">
        <f t="shared" si="162"/>
        <v>22135.668337111554</v>
      </c>
      <c r="V911" s="62">
        <f t="shared" si="152"/>
        <v>1</v>
      </c>
      <c r="W911" s="62">
        <f t="shared" si="152"/>
        <v>0</v>
      </c>
      <c r="X911" s="62">
        <f t="shared" si="152"/>
        <v>0</v>
      </c>
      <c r="Y911" s="62">
        <f t="shared" si="152"/>
        <v>0</v>
      </c>
      <c r="AA911" s="94"/>
    </row>
    <row r="912" spans="2:27" x14ac:dyDescent="0.2">
      <c r="B912" s="94"/>
      <c r="C912" s="62">
        <v>873</v>
      </c>
      <c r="D912" s="62">
        <v>8908.1506636626564</v>
      </c>
      <c r="E912" s="62">
        <v>0.61780220812535414</v>
      </c>
      <c r="F912" s="62">
        <v>12794.259832939753</v>
      </c>
      <c r="G912" s="62">
        <v>0.89421033848031795</v>
      </c>
      <c r="H912" s="62">
        <v>12833.856653812543</v>
      </c>
      <c r="I912" s="62">
        <v>0.89737148903644415</v>
      </c>
      <c r="J912" s="62">
        <v>12742.398695720287</v>
      </c>
      <c r="K912" s="62">
        <v>0.88935190074623571</v>
      </c>
      <c r="L912" s="62">
        <f t="shared" si="153"/>
        <v>-3886.109169277097</v>
      </c>
      <c r="M912" s="62">
        <f t="shared" si="154"/>
        <v>-0.27640813035496381</v>
      </c>
      <c r="N912" s="62">
        <f t="shared" si="155"/>
        <v>-3925.7059901498869</v>
      </c>
      <c r="O912" s="62">
        <f t="shared" si="156"/>
        <v>-0.27956928091109001</v>
      </c>
      <c r="P912" s="62">
        <f t="shared" si="157"/>
        <v>-3834.2480320576306</v>
      </c>
      <c r="Q912" s="62">
        <f t="shared" si="158"/>
        <v>-0.27154969262088158</v>
      </c>
      <c r="R912" s="62">
        <f t="shared" si="159"/>
        <v>16683.688005722011</v>
      </c>
      <c r="S912" s="62">
        <f t="shared" si="160"/>
        <v>24247.509228268937</v>
      </c>
      <c r="T912" s="62">
        <f t="shared" si="161"/>
        <v>24338.859908033119</v>
      </c>
      <c r="U912" s="62">
        <f t="shared" si="162"/>
        <v>24098.114440791782</v>
      </c>
      <c r="V912" s="62">
        <f t="shared" si="152"/>
        <v>1</v>
      </c>
      <c r="W912" s="62">
        <f t="shared" si="152"/>
        <v>0</v>
      </c>
      <c r="X912" s="62">
        <f t="shared" si="152"/>
        <v>0</v>
      </c>
      <c r="Y912" s="62">
        <f t="shared" si="152"/>
        <v>0</v>
      </c>
      <c r="AA912" s="94"/>
    </row>
    <row r="913" spans="2:27" x14ac:dyDescent="0.2">
      <c r="B913" s="94"/>
      <c r="C913" s="62">
        <v>874</v>
      </c>
      <c r="D913" s="62">
        <v>11421.503428331891</v>
      </c>
      <c r="E913" s="62">
        <v>0.61790572094582541</v>
      </c>
      <c r="F913" s="62">
        <v>16424.050267134291</v>
      </c>
      <c r="G913" s="62">
        <v>0.8939735098441669</v>
      </c>
      <c r="H913" s="62">
        <v>16475.174178092326</v>
      </c>
      <c r="I913" s="62">
        <v>0.89695673773737872</v>
      </c>
      <c r="J913" s="62">
        <v>16353.433479635411</v>
      </c>
      <c r="K913" s="62">
        <v>0.88907962324344902</v>
      </c>
      <c r="L913" s="62">
        <f t="shared" si="153"/>
        <v>-5002.5468388024001</v>
      </c>
      <c r="M913" s="62">
        <f t="shared" si="154"/>
        <v>-0.27606778889834149</v>
      </c>
      <c r="N913" s="62">
        <f t="shared" si="155"/>
        <v>-5053.6707497604348</v>
      </c>
      <c r="O913" s="62">
        <f t="shared" si="156"/>
        <v>-0.27905101679155331</v>
      </c>
      <c r="P913" s="62">
        <f t="shared" si="157"/>
        <v>-4931.9300513035196</v>
      </c>
      <c r="Q913" s="62">
        <f t="shared" si="158"/>
        <v>-0.27117390229762361</v>
      </c>
      <c r="R913" s="62">
        <f t="shared" si="159"/>
        <v>14174.62315612798</v>
      </c>
      <c r="S913" s="62">
        <f t="shared" si="160"/>
        <v>20607.908404650479</v>
      </c>
      <c r="T913" s="62">
        <f t="shared" si="161"/>
        <v>20680.361725940849</v>
      </c>
      <c r="U913" s="62">
        <f t="shared" si="162"/>
        <v>20475.800833601221</v>
      </c>
      <c r="V913" s="62">
        <f t="shared" si="152"/>
        <v>1</v>
      </c>
      <c r="W913" s="62">
        <f t="shared" si="152"/>
        <v>0</v>
      </c>
      <c r="X913" s="62">
        <f t="shared" si="152"/>
        <v>0</v>
      </c>
      <c r="Y913" s="62">
        <f t="shared" si="152"/>
        <v>0</v>
      </c>
      <c r="AA913" s="94"/>
    </row>
    <row r="914" spans="2:27" x14ac:dyDescent="0.2">
      <c r="B914" s="94"/>
      <c r="C914" s="62">
        <v>875</v>
      </c>
      <c r="D914" s="62">
        <v>10484.593781399355</v>
      </c>
      <c r="E914" s="62">
        <v>0.61751036637640611</v>
      </c>
      <c r="F914" s="62">
        <v>15076.045269824455</v>
      </c>
      <c r="G914" s="62">
        <v>0.89408376207898077</v>
      </c>
      <c r="H914" s="62">
        <v>15113.143069496598</v>
      </c>
      <c r="I914" s="62">
        <v>0.89653093403890138</v>
      </c>
      <c r="J914" s="62">
        <v>15016.83800568048</v>
      </c>
      <c r="K914" s="62">
        <v>0.88947835851968726</v>
      </c>
      <c r="L914" s="62">
        <f t="shared" si="153"/>
        <v>-4591.4514884251003</v>
      </c>
      <c r="M914" s="62">
        <f t="shared" si="154"/>
        <v>-0.27657339570257466</v>
      </c>
      <c r="N914" s="62">
        <f t="shared" si="155"/>
        <v>-4628.5492880972433</v>
      </c>
      <c r="O914" s="62">
        <f t="shared" si="156"/>
        <v>-0.27902056766249528</v>
      </c>
      <c r="P914" s="62">
        <f t="shared" si="157"/>
        <v>-4532.2442242811248</v>
      </c>
      <c r="Q914" s="62">
        <f t="shared" si="158"/>
        <v>-0.27196799214328116</v>
      </c>
      <c r="R914" s="62">
        <f t="shared" si="159"/>
        <v>15095.15563537689</v>
      </c>
      <c r="S914" s="62">
        <f t="shared" si="160"/>
        <v>21960.480490535243</v>
      </c>
      <c r="T914" s="62">
        <f t="shared" si="161"/>
        <v>22024.754342130851</v>
      </c>
      <c r="U914" s="62">
        <f t="shared" si="162"/>
        <v>21828.913517639041</v>
      </c>
      <c r="V914" s="62">
        <f t="shared" si="152"/>
        <v>1</v>
      </c>
      <c r="W914" s="62">
        <f t="shared" si="152"/>
        <v>0</v>
      </c>
      <c r="X914" s="62">
        <f t="shared" si="152"/>
        <v>0</v>
      </c>
      <c r="Y914" s="62">
        <f t="shared" si="152"/>
        <v>0</v>
      </c>
      <c r="AA914" s="94"/>
    </row>
    <row r="915" spans="2:27" x14ac:dyDescent="0.2">
      <c r="B915" s="94"/>
      <c r="C915" s="62">
        <v>876</v>
      </c>
      <c r="D915" s="62">
        <v>10452.158248498694</v>
      </c>
      <c r="E915" s="62">
        <v>0.61782060938872807</v>
      </c>
      <c r="F915" s="62">
        <v>15030.93012678187</v>
      </c>
      <c r="G915" s="62">
        <v>0.89418666789599388</v>
      </c>
      <c r="H915" s="62">
        <v>15093.370260335098</v>
      </c>
      <c r="I915" s="62">
        <v>0.89818066209904046</v>
      </c>
      <c r="J915" s="62">
        <v>14965.404255041411</v>
      </c>
      <c r="K915" s="62">
        <v>0.8891488326639716</v>
      </c>
      <c r="L915" s="62">
        <f t="shared" si="153"/>
        <v>-4578.7718782831762</v>
      </c>
      <c r="M915" s="62">
        <f t="shared" si="154"/>
        <v>-0.27636605850726581</v>
      </c>
      <c r="N915" s="62">
        <f t="shared" si="155"/>
        <v>-4641.2120118364037</v>
      </c>
      <c r="O915" s="62">
        <f t="shared" si="156"/>
        <v>-0.28036005271031239</v>
      </c>
      <c r="P915" s="62">
        <f t="shared" si="157"/>
        <v>-4513.2460065427167</v>
      </c>
      <c r="Q915" s="62">
        <f t="shared" si="158"/>
        <v>-0.27132822327524353</v>
      </c>
      <c r="R915" s="62">
        <f t="shared" si="159"/>
        <v>15140.442674819977</v>
      </c>
      <c r="S915" s="62">
        <f t="shared" si="160"/>
        <v>22009.858404141782</v>
      </c>
      <c r="T915" s="62">
        <f t="shared" si="161"/>
        <v>22112.865486455557</v>
      </c>
      <c r="U915" s="62">
        <f t="shared" si="162"/>
        <v>21866.69698923095</v>
      </c>
      <c r="V915" s="62">
        <f t="shared" si="152"/>
        <v>1</v>
      </c>
      <c r="W915" s="62">
        <f t="shared" si="152"/>
        <v>0</v>
      </c>
      <c r="X915" s="62">
        <f t="shared" si="152"/>
        <v>0</v>
      </c>
      <c r="Y915" s="62">
        <f t="shared" si="152"/>
        <v>0</v>
      </c>
      <c r="AA915" s="94"/>
    </row>
    <row r="916" spans="2:27" x14ac:dyDescent="0.2">
      <c r="B916" s="94"/>
      <c r="C916" s="62">
        <v>877</v>
      </c>
      <c r="D916" s="62">
        <v>8617.4046884109703</v>
      </c>
      <c r="E916" s="62">
        <v>0.61757445844642644</v>
      </c>
      <c r="F916" s="62">
        <v>12384.135043436598</v>
      </c>
      <c r="G916" s="62">
        <v>0.89410881637737238</v>
      </c>
      <c r="H916" s="62">
        <v>12421.231737012129</v>
      </c>
      <c r="I916" s="62">
        <v>0.89729062475572541</v>
      </c>
      <c r="J916" s="62">
        <v>12329.541704007283</v>
      </c>
      <c r="K916" s="62">
        <v>0.88912594449047622</v>
      </c>
      <c r="L916" s="62">
        <f t="shared" si="153"/>
        <v>-3766.7303550256274</v>
      </c>
      <c r="M916" s="62">
        <f t="shared" si="154"/>
        <v>-0.27653435793094594</v>
      </c>
      <c r="N916" s="62">
        <f t="shared" si="155"/>
        <v>-3803.8270486011588</v>
      </c>
      <c r="O916" s="62">
        <f t="shared" si="156"/>
        <v>-0.27971616630929896</v>
      </c>
      <c r="P916" s="62">
        <f t="shared" si="157"/>
        <v>-3712.1370155963123</v>
      </c>
      <c r="Q916" s="62">
        <f t="shared" si="158"/>
        <v>-0.27155148604404977</v>
      </c>
      <c r="R916" s="62">
        <f t="shared" si="159"/>
        <v>16964.999678273798</v>
      </c>
      <c r="S916" s="62">
        <f t="shared" si="160"/>
        <v>24653.428566179675</v>
      </c>
      <c r="T916" s="62">
        <f t="shared" si="161"/>
        <v>24748.135102869041</v>
      </c>
      <c r="U916" s="62">
        <f t="shared" si="162"/>
        <v>24501.611420566205</v>
      </c>
      <c r="V916" s="62">
        <f t="shared" si="152"/>
        <v>1</v>
      </c>
      <c r="W916" s="62">
        <f t="shared" si="152"/>
        <v>0</v>
      </c>
      <c r="X916" s="62">
        <f t="shared" si="152"/>
        <v>0</v>
      </c>
      <c r="Y916" s="62">
        <f t="shared" si="152"/>
        <v>0</v>
      </c>
      <c r="AA916" s="94"/>
    </row>
    <row r="917" spans="2:27" x14ac:dyDescent="0.2">
      <c r="B917" s="94"/>
      <c r="C917" s="62">
        <v>878</v>
      </c>
      <c r="D917" s="62">
        <v>9941.7476557539503</v>
      </c>
      <c r="E917" s="62">
        <v>0.61786476823817704</v>
      </c>
      <c r="F917" s="62">
        <v>14287.169961615571</v>
      </c>
      <c r="G917" s="62">
        <v>0.89368254490231014</v>
      </c>
      <c r="H917" s="62">
        <v>14348.43711825235</v>
      </c>
      <c r="I917" s="62">
        <v>0.89799157907099303</v>
      </c>
      <c r="J917" s="62">
        <v>14231.096989503278</v>
      </c>
      <c r="K917" s="62">
        <v>0.8891860692412098</v>
      </c>
      <c r="L917" s="62">
        <f t="shared" si="153"/>
        <v>-4345.4223058616208</v>
      </c>
      <c r="M917" s="62">
        <f t="shared" si="154"/>
        <v>-0.2758177766641331</v>
      </c>
      <c r="N917" s="62">
        <f t="shared" si="155"/>
        <v>-4406.6894624983997</v>
      </c>
      <c r="O917" s="62">
        <f t="shared" si="156"/>
        <v>-0.28012681083281599</v>
      </c>
      <c r="P917" s="62">
        <f t="shared" si="157"/>
        <v>-4289.3493337493273</v>
      </c>
      <c r="Q917" s="62">
        <f t="shared" si="158"/>
        <v>-0.27132130100303276</v>
      </c>
      <c r="R917" s="62">
        <f t="shared" si="159"/>
        <v>15652.682503744296</v>
      </c>
      <c r="S917" s="62">
        <f t="shared" si="160"/>
        <v>22732.735778417726</v>
      </c>
      <c r="T917" s="62">
        <f t="shared" si="161"/>
        <v>22849.966053184467</v>
      </c>
      <c r="U917" s="62">
        <f t="shared" si="162"/>
        <v>22602.546742744598</v>
      </c>
      <c r="V917" s="62">
        <f t="shared" si="152"/>
        <v>1</v>
      </c>
      <c r="W917" s="62">
        <f t="shared" si="152"/>
        <v>0</v>
      </c>
      <c r="X917" s="62">
        <f t="shared" si="152"/>
        <v>0</v>
      </c>
      <c r="Y917" s="62">
        <f t="shared" si="152"/>
        <v>0</v>
      </c>
      <c r="AA917" s="94"/>
    </row>
    <row r="918" spans="2:27" x14ac:dyDescent="0.2">
      <c r="B918" s="94"/>
      <c r="C918" s="62">
        <v>879</v>
      </c>
      <c r="D918" s="62">
        <v>11109.168563098736</v>
      </c>
      <c r="E918" s="62">
        <v>0.61766336464303861</v>
      </c>
      <c r="F918" s="62">
        <v>15981.191119675945</v>
      </c>
      <c r="G918" s="62">
        <v>0.89421726868486806</v>
      </c>
      <c r="H918" s="62">
        <v>16033.586483506782</v>
      </c>
      <c r="I918" s="62">
        <v>0.89740686738842068</v>
      </c>
      <c r="J918" s="62">
        <v>15922.619125766791</v>
      </c>
      <c r="K918" s="62">
        <v>0.88987479174980122</v>
      </c>
      <c r="L918" s="62">
        <f t="shared" si="153"/>
        <v>-4872.0225565772089</v>
      </c>
      <c r="M918" s="62">
        <f t="shared" si="154"/>
        <v>-0.27655390404182945</v>
      </c>
      <c r="N918" s="62">
        <f t="shared" si="155"/>
        <v>-4924.4179204080465</v>
      </c>
      <c r="O918" s="62">
        <f t="shared" si="156"/>
        <v>-0.27974350274538207</v>
      </c>
      <c r="P918" s="62">
        <f t="shared" si="157"/>
        <v>-4813.4505626680548</v>
      </c>
      <c r="Q918" s="62">
        <f t="shared" si="158"/>
        <v>-0.2722114271067626</v>
      </c>
      <c r="R918" s="62">
        <f t="shared" si="159"/>
        <v>14476.918653874496</v>
      </c>
      <c r="S918" s="62">
        <f t="shared" si="160"/>
        <v>21060.865018326025</v>
      </c>
      <c r="T918" s="62">
        <f t="shared" si="161"/>
        <v>21140.595591191151</v>
      </c>
      <c r="U918" s="62">
        <f t="shared" si="162"/>
        <v>20939.554247676977</v>
      </c>
      <c r="V918" s="62">
        <f t="shared" si="152"/>
        <v>1</v>
      </c>
      <c r="W918" s="62">
        <f t="shared" si="152"/>
        <v>0</v>
      </c>
      <c r="X918" s="62">
        <f t="shared" si="152"/>
        <v>0</v>
      </c>
      <c r="Y918" s="62">
        <f t="shared" si="152"/>
        <v>0</v>
      </c>
      <c r="AA918" s="94"/>
    </row>
    <row r="919" spans="2:27" x14ac:dyDescent="0.2">
      <c r="B919" s="94"/>
      <c r="C919" s="62">
        <v>880</v>
      </c>
      <c r="D919" s="62">
        <v>8530.1550895714627</v>
      </c>
      <c r="E919" s="62">
        <v>0.6178129351128463</v>
      </c>
      <c r="F919" s="62">
        <v>12250.256247804065</v>
      </c>
      <c r="G919" s="62">
        <v>0.89431338609186273</v>
      </c>
      <c r="H919" s="62">
        <v>12284.211675511982</v>
      </c>
      <c r="I919" s="62">
        <v>0.89705777635406703</v>
      </c>
      <c r="J919" s="62">
        <v>12198.030438656022</v>
      </c>
      <c r="K919" s="62">
        <v>0.8892183230234213</v>
      </c>
      <c r="L919" s="62">
        <f t="shared" si="153"/>
        <v>-3720.1011582326028</v>
      </c>
      <c r="M919" s="62">
        <f t="shared" si="154"/>
        <v>-0.27650045097901643</v>
      </c>
      <c r="N919" s="62">
        <f t="shared" si="155"/>
        <v>-3754.0565859405197</v>
      </c>
      <c r="O919" s="62">
        <f t="shared" si="156"/>
        <v>-0.27924484124122073</v>
      </c>
      <c r="P919" s="62">
        <f t="shared" si="157"/>
        <v>-3667.8753490845593</v>
      </c>
      <c r="Q919" s="62">
        <f t="shared" si="158"/>
        <v>-0.271405387910575</v>
      </c>
      <c r="R919" s="62">
        <f t="shared" si="159"/>
        <v>17062.127934543081</v>
      </c>
      <c r="S919" s="62">
        <f t="shared" si="160"/>
        <v>24795.78145766526</v>
      </c>
      <c r="T919" s="62">
        <f t="shared" si="161"/>
        <v>24875.509652178891</v>
      </c>
      <c r="U919" s="62">
        <f t="shared" si="162"/>
        <v>24636.94937426618</v>
      </c>
      <c r="V919" s="62">
        <f t="shared" si="152"/>
        <v>1</v>
      </c>
      <c r="W919" s="62">
        <f t="shared" si="152"/>
        <v>0</v>
      </c>
      <c r="X919" s="62">
        <f t="shared" si="152"/>
        <v>0</v>
      </c>
      <c r="Y919" s="62">
        <f t="shared" si="152"/>
        <v>0</v>
      </c>
      <c r="AA919" s="94"/>
    </row>
    <row r="920" spans="2:27" x14ac:dyDescent="0.2">
      <c r="B920" s="94"/>
      <c r="C920" s="62">
        <v>881</v>
      </c>
      <c r="D920" s="62">
        <v>10307.312994991398</v>
      </c>
      <c r="E920" s="62">
        <v>0.61792275000645225</v>
      </c>
      <c r="F920" s="62">
        <v>14818.84766600207</v>
      </c>
      <c r="G920" s="62">
        <v>0.89451133414220008</v>
      </c>
      <c r="H920" s="62">
        <v>14857.16577107583</v>
      </c>
      <c r="I920" s="62">
        <v>0.89710344304860923</v>
      </c>
      <c r="J920" s="62">
        <v>14755.942971256542</v>
      </c>
      <c r="K920" s="62">
        <v>0.88962553336963524</v>
      </c>
      <c r="L920" s="62">
        <f t="shared" si="153"/>
        <v>-4511.5346710106714</v>
      </c>
      <c r="M920" s="62">
        <f t="shared" si="154"/>
        <v>-0.27658858413574783</v>
      </c>
      <c r="N920" s="62">
        <f t="shared" si="155"/>
        <v>-4549.8527760844318</v>
      </c>
      <c r="O920" s="62">
        <f t="shared" si="156"/>
        <v>-0.27918069304215698</v>
      </c>
      <c r="P920" s="62">
        <f t="shared" si="157"/>
        <v>-4448.6299762651433</v>
      </c>
      <c r="Q920" s="62">
        <f t="shared" si="158"/>
        <v>-0.27170278336318299</v>
      </c>
      <c r="R920" s="62">
        <f t="shared" si="159"/>
        <v>15289.519001275881</v>
      </c>
      <c r="S920" s="62">
        <f t="shared" si="160"/>
        <v>22235.389839504431</v>
      </c>
      <c r="T920" s="62">
        <f t="shared" si="161"/>
        <v>22304.447253769758</v>
      </c>
      <c r="U920" s="62">
        <f t="shared" si="162"/>
        <v>22095.905123047232</v>
      </c>
      <c r="V920" s="62">
        <f t="shared" si="152"/>
        <v>1</v>
      </c>
      <c r="W920" s="62">
        <f t="shared" si="152"/>
        <v>0</v>
      </c>
      <c r="X920" s="62">
        <f t="shared" si="152"/>
        <v>0</v>
      </c>
      <c r="Y920" s="62">
        <f t="shared" si="152"/>
        <v>0</v>
      </c>
      <c r="AA920" s="94"/>
    </row>
    <row r="921" spans="2:27" x14ac:dyDescent="0.2">
      <c r="B921" s="94"/>
      <c r="C921" s="62">
        <v>882</v>
      </c>
      <c r="D921" s="62">
        <v>9047.7681797179939</v>
      </c>
      <c r="E921" s="62">
        <v>0.61796516228516241</v>
      </c>
      <c r="F921" s="62">
        <v>13003.579940326419</v>
      </c>
      <c r="G921" s="62">
        <v>0.89424620675002853</v>
      </c>
      <c r="H921" s="62">
        <v>13044.530020521643</v>
      </c>
      <c r="I921" s="62">
        <v>0.89746421384079034</v>
      </c>
      <c r="J921" s="62">
        <v>12939.193271360016</v>
      </c>
      <c r="K921" s="62">
        <v>0.88881043980942664</v>
      </c>
      <c r="L921" s="62">
        <f t="shared" si="153"/>
        <v>-3955.8117606084252</v>
      </c>
      <c r="M921" s="62">
        <f t="shared" si="154"/>
        <v>-0.27628104446486612</v>
      </c>
      <c r="N921" s="62">
        <f t="shared" si="155"/>
        <v>-3996.7618408036487</v>
      </c>
      <c r="O921" s="62">
        <f t="shared" si="156"/>
        <v>-0.27949905155562793</v>
      </c>
      <c r="P921" s="62">
        <f t="shared" si="157"/>
        <v>-3891.4250916420224</v>
      </c>
      <c r="Q921" s="62">
        <f t="shared" si="158"/>
        <v>-0.27084527752426424</v>
      </c>
      <c r="R921" s="62">
        <f t="shared" si="159"/>
        <v>16550.820702782574</v>
      </c>
      <c r="S921" s="62">
        <f t="shared" si="160"/>
        <v>24039.674928086766</v>
      </c>
      <c r="T921" s="62">
        <f t="shared" si="161"/>
        <v>24132.027573619256</v>
      </c>
      <c r="U921" s="62">
        <f t="shared" si="162"/>
        <v>23878.89038730567</v>
      </c>
      <c r="V921" s="62">
        <f t="shared" si="152"/>
        <v>1</v>
      </c>
      <c r="W921" s="62">
        <f t="shared" si="152"/>
        <v>0</v>
      </c>
      <c r="X921" s="62">
        <f t="shared" si="152"/>
        <v>0</v>
      </c>
      <c r="Y921" s="62">
        <f t="shared" si="152"/>
        <v>0</v>
      </c>
      <c r="AA921" s="94"/>
    </row>
    <row r="922" spans="2:27" x14ac:dyDescent="0.2">
      <c r="B922" s="94"/>
      <c r="C922" s="62">
        <v>883</v>
      </c>
      <c r="D922" s="62">
        <v>9579.4011310133446</v>
      </c>
      <c r="E922" s="62">
        <v>0.61777146969138474</v>
      </c>
      <c r="F922" s="62">
        <v>13767.639104501857</v>
      </c>
      <c r="G922" s="62">
        <v>0.89492561894308065</v>
      </c>
      <c r="H922" s="62">
        <v>13802.083964805379</v>
      </c>
      <c r="I922" s="62">
        <v>0.89759821383698657</v>
      </c>
      <c r="J922" s="62">
        <v>13706.431872356432</v>
      </c>
      <c r="K922" s="62">
        <v>0.88961329835576997</v>
      </c>
      <c r="L922" s="62">
        <f t="shared" si="153"/>
        <v>-4188.2379734885126</v>
      </c>
      <c r="M922" s="62">
        <f t="shared" si="154"/>
        <v>-0.2771541492516959</v>
      </c>
      <c r="N922" s="62">
        <f t="shared" si="155"/>
        <v>-4222.6828337920342</v>
      </c>
      <c r="O922" s="62">
        <f t="shared" si="156"/>
        <v>-0.27982674414560182</v>
      </c>
      <c r="P922" s="62">
        <f t="shared" si="157"/>
        <v>-4127.0307413430874</v>
      </c>
      <c r="Q922" s="62">
        <f t="shared" si="158"/>
        <v>-0.27184182866438522</v>
      </c>
      <c r="R922" s="62">
        <f t="shared" si="159"/>
        <v>16011.164229482578</v>
      </c>
      <c r="S922" s="62">
        <f t="shared" si="160"/>
        <v>23303.759734596319</v>
      </c>
      <c r="T922" s="62">
        <f t="shared" si="161"/>
        <v>23380.024445177951</v>
      </c>
      <c r="U922" s="62">
        <f t="shared" si="162"/>
        <v>23144.90939873298</v>
      </c>
      <c r="V922" s="62">
        <f t="shared" si="152"/>
        <v>1</v>
      </c>
      <c r="W922" s="62">
        <f t="shared" si="152"/>
        <v>0</v>
      </c>
      <c r="X922" s="62">
        <f t="shared" si="152"/>
        <v>0</v>
      </c>
      <c r="Y922" s="62">
        <f t="shared" si="152"/>
        <v>0</v>
      </c>
      <c r="AA922" s="94"/>
    </row>
    <row r="923" spans="2:27" x14ac:dyDescent="0.2">
      <c r="B923" s="94"/>
      <c r="C923" s="62">
        <v>884</v>
      </c>
      <c r="D923" s="62">
        <v>12100.193183729301</v>
      </c>
      <c r="E923" s="62">
        <v>0.61699261524763171</v>
      </c>
      <c r="F923" s="62">
        <v>17428.799529312615</v>
      </c>
      <c r="G923" s="62">
        <v>0.89455445482795326</v>
      </c>
      <c r="H923" s="62">
        <v>17470.360170992921</v>
      </c>
      <c r="I923" s="62">
        <v>0.89691642130512994</v>
      </c>
      <c r="J923" s="62">
        <v>17352.203291837988</v>
      </c>
      <c r="K923" s="62">
        <v>0.88949809163679583</v>
      </c>
      <c r="L923" s="62">
        <f t="shared" si="153"/>
        <v>-5328.6063455833137</v>
      </c>
      <c r="M923" s="62">
        <f t="shared" si="154"/>
        <v>-0.27756183958032155</v>
      </c>
      <c r="N923" s="62">
        <f t="shared" si="155"/>
        <v>-5370.1669872636194</v>
      </c>
      <c r="O923" s="62">
        <f t="shared" si="156"/>
        <v>-0.27992380605749823</v>
      </c>
      <c r="P923" s="62">
        <f t="shared" si="157"/>
        <v>-5252.0101081086868</v>
      </c>
      <c r="Q923" s="62">
        <f t="shared" si="158"/>
        <v>-0.27250547638916411</v>
      </c>
      <c r="R923" s="62">
        <f t="shared" si="159"/>
        <v>13458.108910288596</v>
      </c>
      <c r="S923" s="62">
        <f t="shared" si="160"/>
        <v>19627.224207480518</v>
      </c>
      <c r="T923" s="62">
        <f t="shared" si="161"/>
        <v>19683.505665150784</v>
      </c>
      <c r="U923" s="62">
        <f t="shared" si="162"/>
        <v>19494.365656124643</v>
      </c>
      <c r="V923" s="62">
        <f t="shared" si="152"/>
        <v>1</v>
      </c>
      <c r="W923" s="62">
        <f t="shared" si="152"/>
        <v>0</v>
      </c>
      <c r="X923" s="62">
        <f t="shared" si="152"/>
        <v>0</v>
      </c>
      <c r="Y923" s="62">
        <f t="shared" si="152"/>
        <v>0</v>
      </c>
      <c r="AA923" s="94"/>
    </row>
    <row r="924" spans="2:27" x14ac:dyDescent="0.2">
      <c r="B924" s="94"/>
      <c r="C924" s="62">
        <v>885</v>
      </c>
      <c r="D924" s="62">
        <v>10193.480726765216</v>
      </c>
      <c r="E924" s="62">
        <v>0.61719081324005931</v>
      </c>
      <c r="F924" s="62">
        <v>14666.925518391095</v>
      </c>
      <c r="G924" s="62">
        <v>0.89422048993722181</v>
      </c>
      <c r="H924" s="62">
        <v>14706.661620143028</v>
      </c>
      <c r="I924" s="62">
        <v>0.89689097754835811</v>
      </c>
      <c r="J924" s="62">
        <v>14599.26761676195</v>
      </c>
      <c r="K924" s="62">
        <v>0.88889941673886985</v>
      </c>
      <c r="L924" s="62">
        <f t="shared" si="153"/>
        <v>-4473.4447916258796</v>
      </c>
      <c r="M924" s="62">
        <f t="shared" si="154"/>
        <v>-0.2770296766971625</v>
      </c>
      <c r="N924" s="62">
        <f t="shared" si="155"/>
        <v>-4513.180893377812</v>
      </c>
      <c r="O924" s="62">
        <f t="shared" si="156"/>
        <v>-0.2797001643082988</v>
      </c>
      <c r="P924" s="62">
        <f t="shared" si="157"/>
        <v>-4405.7868899967343</v>
      </c>
      <c r="Q924" s="62">
        <f t="shared" si="158"/>
        <v>-0.27170860349881054</v>
      </c>
      <c r="R924" s="62">
        <f t="shared" si="159"/>
        <v>15373.031520891001</v>
      </c>
      <c r="S924" s="62">
        <f t="shared" si="160"/>
        <v>22375.264056768385</v>
      </c>
      <c r="T924" s="62">
        <f t="shared" si="161"/>
        <v>22446.150233820154</v>
      </c>
      <c r="U924" s="62">
        <f t="shared" si="162"/>
        <v>22222.501822228995</v>
      </c>
      <c r="V924" s="62">
        <f t="shared" si="152"/>
        <v>1</v>
      </c>
      <c r="W924" s="62">
        <f t="shared" si="152"/>
        <v>0</v>
      </c>
      <c r="X924" s="62">
        <f t="shared" si="152"/>
        <v>0</v>
      </c>
      <c r="Y924" s="62">
        <f t="shared" si="152"/>
        <v>0</v>
      </c>
      <c r="AA924" s="94"/>
    </row>
    <row r="925" spans="2:27" x14ac:dyDescent="0.2">
      <c r="B925" s="94"/>
      <c r="C925" s="62">
        <v>886</v>
      </c>
      <c r="D925" s="62">
        <v>10142.744525886914</v>
      </c>
      <c r="E925" s="62">
        <v>0.61729244664705085</v>
      </c>
      <c r="F925" s="62">
        <v>14597.418872713544</v>
      </c>
      <c r="G925" s="62">
        <v>0.894369891371392</v>
      </c>
      <c r="H925" s="62">
        <v>14627.696203158765</v>
      </c>
      <c r="I925" s="62">
        <v>0.89651916345951144</v>
      </c>
      <c r="J925" s="62">
        <v>14540.995084653716</v>
      </c>
      <c r="K925" s="62">
        <v>0.8898734695849877</v>
      </c>
      <c r="L925" s="62">
        <f t="shared" si="153"/>
        <v>-4454.6743468266304</v>
      </c>
      <c r="M925" s="62">
        <f t="shared" si="154"/>
        <v>-0.27707744472434115</v>
      </c>
      <c r="N925" s="62">
        <f t="shared" si="155"/>
        <v>-4484.9516772718507</v>
      </c>
      <c r="O925" s="62">
        <f t="shared" si="156"/>
        <v>-0.27922671681246058</v>
      </c>
      <c r="P925" s="62">
        <f t="shared" si="157"/>
        <v>-4398.250558766802</v>
      </c>
      <c r="Q925" s="62">
        <f t="shared" si="158"/>
        <v>-0.27258102293793685</v>
      </c>
      <c r="R925" s="62">
        <f t="shared" si="159"/>
        <v>15427.977784020522</v>
      </c>
      <c r="S925" s="62">
        <f t="shared" si="160"/>
        <v>22450.959507454998</v>
      </c>
      <c r="T925" s="62">
        <f t="shared" si="161"/>
        <v>22509.713623988038</v>
      </c>
      <c r="U925" s="62">
        <f t="shared" si="162"/>
        <v>22321.123519434812</v>
      </c>
      <c r="V925" s="62">
        <f t="shared" si="152"/>
        <v>1</v>
      </c>
      <c r="W925" s="62">
        <f t="shared" si="152"/>
        <v>0</v>
      </c>
      <c r="X925" s="62">
        <f t="shared" si="152"/>
        <v>0</v>
      </c>
      <c r="Y925" s="62">
        <f t="shared" si="152"/>
        <v>0</v>
      </c>
      <c r="AA925" s="94"/>
    </row>
    <row r="926" spans="2:27" x14ac:dyDescent="0.2">
      <c r="B926" s="94"/>
      <c r="C926" s="62">
        <v>887</v>
      </c>
      <c r="D926" s="62">
        <v>10801.733230969077</v>
      </c>
      <c r="E926" s="62">
        <v>0.61760175659487737</v>
      </c>
      <c r="F926" s="62">
        <v>15537.707943458172</v>
      </c>
      <c r="G926" s="62">
        <v>0.89423006477009481</v>
      </c>
      <c r="H926" s="62">
        <v>15574.629615287238</v>
      </c>
      <c r="I926" s="62">
        <v>0.896520822245228</v>
      </c>
      <c r="J926" s="62">
        <v>15468.412521088709</v>
      </c>
      <c r="K926" s="62">
        <v>0.88906961761937353</v>
      </c>
      <c r="L926" s="62">
        <f t="shared" si="153"/>
        <v>-4735.9747124890946</v>
      </c>
      <c r="M926" s="62">
        <f t="shared" si="154"/>
        <v>-0.27662830817521744</v>
      </c>
      <c r="N926" s="62">
        <f t="shared" si="155"/>
        <v>-4772.8963843181609</v>
      </c>
      <c r="O926" s="62">
        <f t="shared" si="156"/>
        <v>-0.27891906565035063</v>
      </c>
      <c r="P926" s="62">
        <f t="shared" si="157"/>
        <v>-4666.6792901196313</v>
      </c>
      <c r="Q926" s="62">
        <f t="shared" si="158"/>
        <v>-0.27146786102449616</v>
      </c>
      <c r="R926" s="62">
        <f t="shared" si="159"/>
        <v>14781.801934217123</v>
      </c>
      <c r="S926" s="62">
        <f t="shared" si="160"/>
        <v>21504.878259578236</v>
      </c>
      <c r="T926" s="62">
        <f t="shared" si="161"/>
        <v>21562.848925399085</v>
      </c>
      <c r="U926" s="62">
        <f t="shared" si="162"/>
        <v>21360.407319176222</v>
      </c>
      <c r="V926" s="62">
        <f t="shared" si="152"/>
        <v>1</v>
      </c>
      <c r="W926" s="62">
        <f t="shared" si="152"/>
        <v>0</v>
      </c>
      <c r="X926" s="62">
        <f t="shared" si="152"/>
        <v>0</v>
      </c>
      <c r="Y926" s="62">
        <f t="shared" si="152"/>
        <v>0</v>
      </c>
      <c r="AA926" s="94"/>
    </row>
    <row r="927" spans="2:27" x14ac:dyDescent="0.2">
      <c r="B927" s="94"/>
      <c r="C927" s="62">
        <v>888</v>
      </c>
      <c r="D927" s="62">
        <v>10137.112451277901</v>
      </c>
      <c r="E927" s="62">
        <v>0.61757289517039515</v>
      </c>
      <c r="F927" s="62">
        <v>14576.250716886294</v>
      </c>
      <c r="G927" s="62">
        <v>0.89420629597840373</v>
      </c>
      <c r="H927" s="62">
        <v>14617.752980937601</v>
      </c>
      <c r="I927" s="62">
        <v>0.89701441001876614</v>
      </c>
      <c r="J927" s="62">
        <v>14516.755137225915</v>
      </c>
      <c r="K927" s="62">
        <v>0.88944538986263932</v>
      </c>
      <c r="L927" s="62">
        <f t="shared" si="153"/>
        <v>-4439.1382656083933</v>
      </c>
      <c r="M927" s="62">
        <f t="shared" si="154"/>
        <v>-0.27663340080800858</v>
      </c>
      <c r="N927" s="62">
        <f t="shared" si="155"/>
        <v>-4480.6405296597004</v>
      </c>
      <c r="O927" s="62">
        <f t="shared" si="156"/>
        <v>-0.27944151484837099</v>
      </c>
      <c r="P927" s="62">
        <f t="shared" si="157"/>
        <v>-4379.6426859480143</v>
      </c>
      <c r="Q927" s="62">
        <f t="shared" si="158"/>
        <v>-0.27187249469224417</v>
      </c>
      <c r="R927" s="62">
        <f t="shared" si="159"/>
        <v>15445.227158260548</v>
      </c>
      <c r="S927" s="62">
        <f t="shared" si="160"/>
        <v>22465.3508877231</v>
      </c>
      <c r="T927" s="62">
        <f t="shared" si="161"/>
        <v>22540.171939679771</v>
      </c>
      <c r="U927" s="62">
        <f t="shared" si="162"/>
        <v>22327.630692444054</v>
      </c>
      <c r="V927" s="62">
        <f t="shared" si="152"/>
        <v>1</v>
      </c>
      <c r="W927" s="62">
        <f t="shared" si="152"/>
        <v>0</v>
      </c>
      <c r="X927" s="62">
        <f t="shared" si="152"/>
        <v>0</v>
      </c>
      <c r="Y927" s="62">
        <f t="shared" si="152"/>
        <v>0</v>
      </c>
      <c r="AA927" s="94"/>
    </row>
    <row r="928" spans="2:27" x14ac:dyDescent="0.2">
      <c r="B928" s="94"/>
      <c r="C928" s="62">
        <v>889</v>
      </c>
      <c r="D928" s="62">
        <v>10380.507577935366</v>
      </c>
      <c r="E928" s="62">
        <v>0.61750420341665757</v>
      </c>
      <c r="F928" s="62">
        <v>14919.322460455685</v>
      </c>
      <c r="G928" s="62">
        <v>0.89392942722260615</v>
      </c>
      <c r="H928" s="62">
        <v>14976.319994381509</v>
      </c>
      <c r="I928" s="62">
        <v>0.8977440407069327</v>
      </c>
      <c r="J928" s="62">
        <v>14859.580293478606</v>
      </c>
      <c r="K928" s="62">
        <v>0.88917193446970189</v>
      </c>
      <c r="L928" s="62">
        <f t="shared" si="153"/>
        <v>-4538.8148825203189</v>
      </c>
      <c r="M928" s="62">
        <f t="shared" si="154"/>
        <v>-0.27642522380594858</v>
      </c>
      <c r="N928" s="62">
        <f t="shared" si="155"/>
        <v>-4595.8124164461424</v>
      </c>
      <c r="O928" s="62">
        <f t="shared" si="156"/>
        <v>-0.28023983729027513</v>
      </c>
      <c r="P928" s="62">
        <f t="shared" si="157"/>
        <v>-4479.0727155432396</v>
      </c>
      <c r="Q928" s="62">
        <f t="shared" si="158"/>
        <v>-0.27166773105304431</v>
      </c>
      <c r="R928" s="62">
        <f t="shared" si="159"/>
        <v>15198.986544396257</v>
      </c>
      <c r="S928" s="62">
        <f t="shared" si="160"/>
        <v>22110.810132813549</v>
      </c>
      <c r="T928" s="62">
        <f t="shared" si="161"/>
        <v>22211.829147862471</v>
      </c>
      <c r="U928" s="62">
        <f t="shared" si="162"/>
        <v>21973.47791999433</v>
      </c>
      <c r="V928" s="62">
        <f t="shared" si="152"/>
        <v>1</v>
      </c>
      <c r="W928" s="62">
        <f t="shared" si="152"/>
        <v>0</v>
      </c>
      <c r="X928" s="62">
        <f t="shared" si="152"/>
        <v>0</v>
      </c>
      <c r="Y928" s="62">
        <f t="shared" si="152"/>
        <v>0</v>
      </c>
      <c r="AA928" s="94"/>
    </row>
    <row r="929" spans="2:27" x14ac:dyDescent="0.2">
      <c r="B929" s="94"/>
      <c r="C929" s="62">
        <v>890</v>
      </c>
      <c r="D929" s="62">
        <v>11098.575595116434</v>
      </c>
      <c r="E929" s="62">
        <v>0.61769775216576794</v>
      </c>
      <c r="F929" s="62">
        <v>15964.874943429308</v>
      </c>
      <c r="G929" s="62">
        <v>0.89421942915433728</v>
      </c>
      <c r="H929" s="62">
        <v>16006.739162924559</v>
      </c>
      <c r="I929" s="62">
        <v>0.89684927345820731</v>
      </c>
      <c r="J929" s="62">
        <v>15899.907780054858</v>
      </c>
      <c r="K929" s="62">
        <v>0.88945224984508098</v>
      </c>
      <c r="L929" s="62">
        <f t="shared" si="153"/>
        <v>-4866.2993483128739</v>
      </c>
      <c r="M929" s="62">
        <f t="shared" si="154"/>
        <v>-0.27652167698856933</v>
      </c>
      <c r="N929" s="62">
        <f t="shared" si="155"/>
        <v>-4908.1635678081257</v>
      </c>
      <c r="O929" s="62">
        <f t="shared" si="156"/>
        <v>-0.27915152129243936</v>
      </c>
      <c r="P929" s="62">
        <f t="shared" si="157"/>
        <v>-4801.3321849384247</v>
      </c>
      <c r="Q929" s="62">
        <f t="shared" si="158"/>
        <v>-0.27175449767931303</v>
      </c>
      <c r="R929" s="62">
        <f t="shared" si="159"/>
        <v>14488.936090598336</v>
      </c>
      <c r="S929" s="62">
        <f t="shared" si="160"/>
        <v>21077.270689859964</v>
      </c>
      <c r="T929" s="62">
        <f t="shared" si="161"/>
        <v>21144.345140808218</v>
      </c>
      <c r="U929" s="62">
        <f t="shared" si="162"/>
        <v>20944.762217527776</v>
      </c>
      <c r="V929" s="62">
        <f t="shared" si="152"/>
        <v>1</v>
      </c>
      <c r="W929" s="62">
        <f t="shared" si="152"/>
        <v>0</v>
      </c>
      <c r="X929" s="62">
        <f t="shared" si="152"/>
        <v>0</v>
      </c>
      <c r="Y929" s="62">
        <f t="shared" si="152"/>
        <v>0</v>
      </c>
      <c r="AA929" s="94"/>
    </row>
    <row r="930" spans="2:27" x14ac:dyDescent="0.2">
      <c r="B930" s="94"/>
      <c r="C930" s="62">
        <v>891</v>
      </c>
      <c r="D930" s="62">
        <v>12073.879412291282</v>
      </c>
      <c r="E930" s="62">
        <v>0.61808571247457689</v>
      </c>
      <c r="F930" s="62">
        <v>17350.489617689625</v>
      </c>
      <c r="G930" s="62">
        <v>0.89308235215508447</v>
      </c>
      <c r="H930" s="62">
        <v>17432.273455299404</v>
      </c>
      <c r="I930" s="62">
        <v>0.89763983839416783</v>
      </c>
      <c r="J930" s="62">
        <v>17310.69682329542</v>
      </c>
      <c r="K930" s="62">
        <v>0.89023543653089787</v>
      </c>
      <c r="L930" s="62">
        <f t="shared" si="153"/>
        <v>-5276.6102053983432</v>
      </c>
      <c r="M930" s="62">
        <f t="shared" si="154"/>
        <v>-0.27499663968050758</v>
      </c>
      <c r="N930" s="62">
        <f t="shared" si="155"/>
        <v>-5358.394043008122</v>
      </c>
      <c r="O930" s="62">
        <f t="shared" si="156"/>
        <v>-0.27955412591959095</v>
      </c>
      <c r="P930" s="62">
        <f t="shared" si="157"/>
        <v>-5236.8174110041382</v>
      </c>
      <c r="Q930" s="62">
        <f t="shared" si="158"/>
        <v>-0.27214972405632099</v>
      </c>
      <c r="R930" s="62">
        <f t="shared" si="159"/>
        <v>13529.70314125559</v>
      </c>
      <c r="S930" s="62">
        <f t="shared" si="160"/>
        <v>19644.553737982595</v>
      </c>
      <c r="T930" s="62">
        <f t="shared" si="161"/>
        <v>19751.559210340605</v>
      </c>
      <c r="U930" s="62">
        <f t="shared" si="162"/>
        <v>19566.415899560492</v>
      </c>
      <c r="V930" s="62">
        <f t="shared" si="152"/>
        <v>1</v>
      </c>
      <c r="W930" s="62">
        <f t="shared" si="152"/>
        <v>0</v>
      </c>
      <c r="X930" s="62">
        <f t="shared" si="152"/>
        <v>0</v>
      </c>
      <c r="Y930" s="62">
        <f t="shared" si="152"/>
        <v>0</v>
      </c>
      <c r="AA930" s="94"/>
    </row>
    <row r="931" spans="2:27" x14ac:dyDescent="0.2">
      <c r="B931" s="94"/>
      <c r="C931" s="62">
        <v>892</v>
      </c>
      <c r="D931" s="62">
        <v>9444.2670931667362</v>
      </c>
      <c r="E931" s="62">
        <v>0.61795718872941829</v>
      </c>
      <c r="F931" s="62">
        <v>13576.283528196827</v>
      </c>
      <c r="G931" s="62">
        <v>0.89466722690668632</v>
      </c>
      <c r="H931" s="62">
        <v>13613.704813335289</v>
      </c>
      <c r="I931" s="62">
        <v>0.89755860350408401</v>
      </c>
      <c r="J931" s="62">
        <v>13511.091019102922</v>
      </c>
      <c r="K931" s="62">
        <v>0.88923748866062391</v>
      </c>
      <c r="L931" s="62">
        <f t="shared" si="153"/>
        <v>-4132.0164350300911</v>
      </c>
      <c r="M931" s="62">
        <f t="shared" si="154"/>
        <v>-0.27671003817726803</v>
      </c>
      <c r="N931" s="62">
        <f t="shared" si="155"/>
        <v>-4169.4377201685529</v>
      </c>
      <c r="O931" s="62">
        <f t="shared" si="156"/>
        <v>-0.27960141477466571</v>
      </c>
      <c r="P931" s="62">
        <f t="shared" si="157"/>
        <v>-4066.8239259361853</v>
      </c>
      <c r="Q931" s="62">
        <f t="shared" si="158"/>
        <v>-0.27128029993120562</v>
      </c>
      <c r="R931" s="62">
        <f t="shared" si="159"/>
        <v>16153.991492760686</v>
      </c>
      <c r="S931" s="62">
        <f t="shared" si="160"/>
        <v>23484.411679185745</v>
      </c>
      <c r="T931" s="62">
        <f t="shared" si="161"/>
        <v>23566.76277821789</v>
      </c>
      <c r="U931" s="62">
        <f t="shared" si="162"/>
        <v>23324.682711174766</v>
      </c>
      <c r="V931" s="62">
        <f t="shared" si="152"/>
        <v>1</v>
      </c>
      <c r="W931" s="62">
        <f t="shared" si="152"/>
        <v>0</v>
      </c>
      <c r="X931" s="62">
        <f t="shared" si="152"/>
        <v>0</v>
      </c>
      <c r="Y931" s="62">
        <f t="shared" si="152"/>
        <v>0</v>
      </c>
      <c r="AA931" s="94"/>
    </row>
    <row r="932" spans="2:27" x14ac:dyDescent="0.2">
      <c r="B932" s="94"/>
      <c r="C932" s="62">
        <v>893</v>
      </c>
      <c r="D932" s="62">
        <v>9425.9083887882662</v>
      </c>
      <c r="E932" s="62">
        <v>0.61760554599183959</v>
      </c>
      <c r="F932" s="62">
        <v>13542.985212487978</v>
      </c>
      <c r="G932" s="62">
        <v>0.89329295625209948</v>
      </c>
      <c r="H932" s="62">
        <v>13596.139597002038</v>
      </c>
      <c r="I932" s="62">
        <v>0.89732193550055583</v>
      </c>
      <c r="J932" s="62">
        <v>13506.951102481109</v>
      </c>
      <c r="K932" s="62">
        <v>0.89015653273689632</v>
      </c>
      <c r="L932" s="62">
        <f t="shared" si="153"/>
        <v>-4117.0768236997119</v>
      </c>
      <c r="M932" s="62">
        <f t="shared" si="154"/>
        <v>-0.27568741026025989</v>
      </c>
      <c r="N932" s="62">
        <f t="shared" si="155"/>
        <v>-4170.2312082137723</v>
      </c>
      <c r="O932" s="62">
        <f t="shared" si="156"/>
        <v>-0.27971638950871625</v>
      </c>
      <c r="P932" s="62">
        <f t="shared" si="157"/>
        <v>-4081.0427136928429</v>
      </c>
      <c r="Q932" s="62">
        <f t="shared" si="158"/>
        <v>-0.27255098674505673</v>
      </c>
      <c r="R932" s="62">
        <f t="shared" si="159"/>
        <v>16157.783748377697</v>
      </c>
      <c r="S932" s="62">
        <f t="shared" si="160"/>
        <v>23460.782207298995</v>
      </c>
      <c r="T932" s="62">
        <f t="shared" si="161"/>
        <v>23574.524259172984</v>
      </c>
      <c r="U932" s="62">
        <f t="shared" si="162"/>
        <v>23366.893109612087</v>
      </c>
      <c r="V932" s="62">
        <f t="shared" si="152"/>
        <v>1</v>
      </c>
      <c r="W932" s="62">
        <f t="shared" si="152"/>
        <v>0</v>
      </c>
      <c r="X932" s="62">
        <f t="shared" si="152"/>
        <v>0</v>
      </c>
      <c r="Y932" s="62">
        <f t="shared" si="152"/>
        <v>0</v>
      </c>
      <c r="AA932" s="94"/>
    </row>
    <row r="933" spans="2:27" x14ac:dyDescent="0.2">
      <c r="B933" s="94"/>
      <c r="C933" s="62">
        <v>894</v>
      </c>
      <c r="D933" s="62">
        <v>10434.295336712661</v>
      </c>
      <c r="E933" s="62">
        <v>0.61809830712250002</v>
      </c>
      <c r="F933" s="62">
        <v>15001.120937679745</v>
      </c>
      <c r="G933" s="62">
        <v>0.89469875901576035</v>
      </c>
      <c r="H933" s="62">
        <v>15032.205599454132</v>
      </c>
      <c r="I933" s="62">
        <v>0.89683725960571792</v>
      </c>
      <c r="J933" s="62">
        <v>14930.664030273118</v>
      </c>
      <c r="K933" s="62">
        <v>0.88944743469813958</v>
      </c>
      <c r="L933" s="62">
        <f t="shared" si="153"/>
        <v>-4566.825600967084</v>
      </c>
      <c r="M933" s="62">
        <f t="shared" si="154"/>
        <v>-0.27660045189326032</v>
      </c>
      <c r="N933" s="62">
        <f t="shared" si="155"/>
        <v>-4597.9102627414704</v>
      </c>
      <c r="O933" s="62">
        <f t="shared" si="156"/>
        <v>-0.27873895248321789</v>
      </c>
      <c r="P933" s="62">
        <f t="shared" si="157"/>
        <v>-4496.3686935604564</v>
      </c>
      <c r="Q933" s="62">
        <f t="shared" si="158"/>
        <v>-0.27134912757563956</v>
      </c>
      <c r="R933" s="62">
        <f t="shared" si="159"/>
        <v>15169.808937529779</v>
      </c>
      <c r="S933" s="62">
        <f t="shared" si="160"/>
        <v>22060.880455789109</v>
      </c>
      <c r="T933" s="62">
        <f t="shared" si="161"/>
        <v>22118.381042453126</v>
      </c>
      <c r="U933" s="62">
        <f t="shared" si="162"/>
        <v>21913.806504662614</v>
      </c>
      <c r="V933" s="62">
        <f t="shared" si="152"/>
        <v>1</v>
      </c>
      <c r="W933" s="62">
        <f t="shared" si="152"/>
        <v>0</v>
      </c>
      <c r="X933" s="62">
        <f t="shared" si="152"/>
        <v>0</v>
      </c>
      <c r="Y933" s="62">
        <f t="shared" si="152"/>
        <v>0</v>
      </c>
      <c r="AA933" s="94"/>
    </row>
    <row r="934" spans="2:27" x14ac:dyDescent="0.2">
      <c r="B934" s="94"/>
      <c r="C934" s="62">
        <v>895</v>
      </c>
      <c r="D934" s="62">
        <v>11922.199716078427</v>
      </c>
      <c r="E934" s="62">
        <v>0.6171552652904938</v>
      </c>
      <c r="F934" s="62">
        <v>17171.638991474523</v>
      </c>
      <c r="G934" s="62">
        <v>0.89459897413215472</v>
      </c>
      <c r="H934" s="62">
        <v>17227.254186409686</v>
      </c>
      <c r="I934" s="62">
        <v>0.89769746756745705</v>
      </c>
      <c r="J934" s="62">
        <v>17089.021386980166</v>
      </c>
      <c r="K934" s="62">
        <v>0.88916378112175309</v>
      </c>
      <c r="L934" s="62">
        <f t="shared" si="153"/>
        <v>-5249.4392753960965</v>
      </c>
      <c r="M934" s="62">
        <f t="shared" si="154"/>
        <v>-0.27744370884166092</v>
      </c>
      <c r="N934" s="62">
        <f t="shared" si="155"/>
        <v>-5305.0544703312589</v>
      </c>
      <c r="O934" s="62">
        <f t="shared" si="156"/>
        <v>-0.28054220227696325</v>
      </c>
      <c r="P934" s="62">
        <f t="shared" si="157"/>
        <v>-5166.8216709017397</v>
      </c>
      <c r="Q934" s="62">
        <f t="shared" si="158"/>
        <v>-0.27200851583125929</v>
      </c>
      <c r="R934" s="62">
        <f t="shared" si="159"/>
        <v>13642.839993314989</v>
      </c>
      <c r="S934" s="62">
        <f t="shared" si="160"/>
        <v>19886.228912975857</v>
      </c>
      <c r="T934" s="62">
        <f t="shared" si="161"/>
        <v>19958.965710104654</v>
      </c>
      <c r="U934" s="62">
        <f t="shared" si="162"/>
        <v>19743.699082207335</v>
      </c>
      <c r="V934" s="62">
        <f t="shared" si="152"/>
        <v>1</v>
      </c>
      <c r="W934" s="62">
        <f t="shared" si="152"/>
        <v>0</v>
      </c>
      <c r="X934" s="62">
        <f t="shared" si="152"/>
        <v>0</v>
      </c>
      <c r="Y934" s="62">
        <f t="shared" ref="Y934:Y997" si="163">IF(MIN($R934:$U934)=U934,1,0)</f>
        <v>0</v>
      </c>
      <c r="AA934" s="94"/>
    </row>
    <row r="935" spans="2:27" x14ac:dyDescent="0.2">
      <c r="B935" s="94"/>
      <c r="C935" s="62">
        <v>896</v>
      </c>
      <c r="D935" s="62">
        <v>8751.3239188277348</v>
      </c>
      <c r="E935" s="62">
        <v>0.61772637885900805</v>
      </c>
      <c r="F935" s="62">
        <v>12580.203630766449</v>
      </c>
      <c r="G935" s="62">
        <v>0.89436298365607181</v>
      </c>
      <c r="H935" s="62">
        <v>12615.975464385838</v>
      </c>
      <c r="I935" s="62">
        <v>0.8971985818140763</v>
      </c>
      <c r="J935" s="62">
        <v>12529.837358973271</v>
      </c>
      <c r="K935" s="62">
        <v>0.88966654945099932</v>
      </c>
      <c r="L935" s="62">
        <f t="shared" si="153"/>
        <v>-3828.8797119387145</v>
      </c>
      <c r="M935" s="62">
        <f t="shared" si="154"/>
        <v>-0.27663660479706376</v>
      </c>
      <c r="N935" s="62">
        <f t="shared" si="155"/>
        <v>-3864.651545558103</v>
      </c>
      <c r="O935" s="62">
        <f t="shared" si="156"/>
        <v>-0.27947220295506825</v>
      </c>
      <c r="P935" s="62">
        <f t="shared" si="157"/>
        <v>-3778.5134401455362</v>
      </c>
      <c r="Q935" s="62">
        <f t="shared" si="158"/>
        <v>-0.27194017059199127</v>
      </c>
      <c r="R935" s="62">
        <f t="shared" si="159"/>
        <v>16837.373599027815</v>
      </c>
      <c r="S935" s="62">
        <f t="shared" si="160"/>
        <v>24467.888604202668</v>
      </c>
      <c r="T935" s="62">
        <f t="shared" si="161"/>
        <v>24549.578588680459</v>
      </c>
      <c r="U935" s="62">
        <f t="shared" si="162"/>
        <v>24323.70978548492</v>
      </c>
      <c r="V935" s="62">
        <f t="shared" ref="V935:Y998" si="164">IF(MIN($R935:$U935)=R935,1,0)</f>
        <v>1</v>
      </c>
      <c r="W935" s="62">
        <f t="shared" si="164"/>
        <v>0</v>
      </c>
      <c r="X935" s="62">
        <f t="shared" si="164"/>
        <v>0</v>
      </c>
      <c r="Y935" s="62">
        <f t="shared" si="163"/>
        <v>0</v>
      </c>
      <c r="AA935" s="94"/>
    </row>
    <row r="936" spans="2:27" x14ac:dyDescent="0.2">
      <c r="B936" s="94"/>
      <c r="C936" s="62">
        <v>897</v>
      </c>
      <c r="D936" s="62">
        <v>13289.519333748531</v>
      </c>
      <c r="E936" s="62">
        <v>0.61798469310948634</v>
      </c>
      <c r="F936" s="62">
        <v>19101.211729696686</v>
      </c>
      <c r="G936" s="62">
        <v>0.89357577968835888</v>
      </c>
      <c r="H936" s="62">
        <v>19171.491083768575</v>
      </c>
      <c r="I936" s="62">
        <v>0.89710886330948836</v>
      </c>
      <c r="J936" s="62">
        <v>19016.792720148347</v>
      </c>
      <c r="K936" s="62">
        <v>0.88856253925929429</v>
      </c>
      <c r="L936" s="62">
        <f t="shared" ref="L936:L999" si="165">IF($C936&lt;=No_of_iterations_PSA,D936-$F936,"")</f>
        <v>-5811.6923959481555</v>
      </c>
      <c r="M936" s="62">
        <f t="shared" ref="M936:M999" si="166">IF($C936&lt;=No_of_iterations_PSA,E936-$G936,"")</f>
        <v>-0.27559108657887255</v>
      </c>
      <c r="N936" s="62">
        <f t="shared" ref="N936:N999" si="167">IF($C936&lt;=No_of_iterations_PSA,D936-$H936,"")</f>
        <v>-5881.9717500200441</v>
      </c>
      <c r="O936" s="62">
        <f t="shared" ref="O936:O999" si="168">IF($C936&lt;=No_of_iterations_PSA,E936-$I936,"")</f>
        <v>-0.27912417020000202</v>
      </c>
      <c r="P936" s="62">
        <f t="shared" ref="P936:P999" si="169">IF($C936&lt;=No_of_iterations_PSA,D936-$J936,"")</f>
        <v>-5727.2733863998164</v>
      </c>
      <c r="Q936" s="62">
        <f t="shared" ref="Q936:Q999" si="170">IF($C936&lt;=No_of_iterations_PSA,E936-$K936,"")</f>
        <v>-0.27057784614980795</v>
      </c>
      <c r="R936" s="62">
        <f t="shared" ref="R936:R999" si="171">IF($C936&lt;=No_of_iterations_PSA,E936*c_WTP-D936,"")</f>
        <v>12309.878593618831</v>
      </c>
      <c r="S936" s="62">
        <f t="shared" ref="S936:S999" si="172">IF($C936&lt;=No_of_iterations_PSA,G936*c_WTP-F936,"")</f>
        <v>17914.271368113896</v>
      </c>
      <c r="T936" s="62">
        <f t="shared" ref="T936:T999" si="173">IF($C936&lt;=No_of_iterations_PSA,I936*c_WTP-H936,"")</f>
        <v>17990.346469963668</v>
      </c>
      <c r="U936" s="62">
        <f t="shared" ref="U936:U999" si="174">IF($C936&lt;=No_of_iterations_PSA,K936*c_WTP-J936,"")</f>
        <v>17791.021906128663</v>
      </c>
      <c r="V936" s="62">
        <f t="shared" si="164"/>
        <v>1</v>
      </c>
      <c r="W936" s="62">
        <f t="shared" si="164"/>
        <v>0</v>
      </c>
      <c r="X936" s="62">
        <f t="shared" si="164"/>
        <v>0</v>
      </c>
      <c r="Y936" s="62">
        <f t="shared" si="163"/>
        <v>0</v>
      </c>
      <c r="AA936" s="94"/>
    </row>
    <row r="937" spans="2:27" x14ac:dyDescent="0.2">
      <c r="B937" s="94"/>
      <c r="C937" s="62">
        <v>898</v>
      </c>
      <c r="D937" s="62">
        <v>10038.121301467852</v>
      </c>
      <c r="E937" s="62">
        <v>0.61758807275109595</v>
      </c>
      <c r="F937" s="62">
        <v>14429.336159820377</v>
      </c>
      <c r="G937" s="62">
        <v>0.89406989509468326</v>
      </c>
      <c r="H937" s="62">
        <v>14472.185222227959</v>
      </c>
      <c r="I937" s="62">
        <v>0.89693499329180093</v>
      </c>
      <c r="J937" s="62">
        <v>14374.423260626076</v>
      </c>
      <c r="K937" s="62">
        <v>0.88941097090361454</v>
      </c>
      <c r="L937" s="62">
        <f t="shared" si="165"/>
        <v>-4391.214858352525</v>
      </c>
      <c r="M937" s="62">
        <f t="shared" si="166"/>
        <v>-0.27648182234358731</v>
      </c>
      <c r="N937" s="62">
        <f t="shared" si="167"/>
        <v>-4434.0639207601071</v>
      </c>
      <c r="O937" s="62">
        <f t="shared" si="168"/>
        <v>-0.27934692054070498</v>
      </c>
      <c r="P937" s="62">
        <f t="shared" si="169"/>
        <v>-4336.3019591582233</v>
      </c>
      <c r="Q937" s="62">
        <f t="shared" si="170"/>
        <v>-0.27182289815251859</v>
      </c>
      <c r="R937" s="62">
        <f t="shared" si="171"/>
        <v>15544.847024173547</v>
      </c>
      <c r="S937" s="62">
        <f t="shared" si="172"/>
        <v>22606.615174581784</v>
      </c>
      <c r="T937" s="62">
        <f t="shared" si="173"/>
        <v>22682.449939891605</v>
      </c>
      <c r="U937" s="62">
        <f t="shared" si="174"/>
        <v>22468.536798085253</v>
      </c>
      <c r="V937" s="62">
        <f t="shared" si="164"/>
        <v>1</v>
      </c>
      <c r="W937" s="62">
        <f t="shared" si="164"/>
        <v>0</v>
      </c>
      <c r="X937" s="62">
        <f t="shared" si="164"/>
        <v>0</v>
      </c>
      <c r="Y937" s="62">
        <f t="shared" si="163"/>
        <v>0</v>
      </c>
      <c r="AA937" s="94"/>
    </row>
    <row r="938" spans="2:27" x14ac:dyDescent="0.2">
      <c r="B938" s="94"/>
      <c r="C938" s="62">
        <v>899</v>
      </c>
      <c r="D938" s="62">
        <v>11294.102140470508</v>
      </c>
      <c r="E938" s="62">
        <v>0.61727808035376719</v>
      </c>
      <c r="F938" s="62">
        <v>16253.224137846146</v>
      </c>
      <c r="G938" s="62">
        <v>0.89425475707599777</v>
      </c>
      <c r="H938" s="62">
        <v>16300.820612466789</v>
      </c>
      <c r="I938" s="62">
        <v>0.8970522650501338</v>
      </c>
      <c r="J938" s="62">
        <v>16184.197951352007</v>
      </c>
      <c r="K938" s="62">
        <v>0.88929418404485616</v>
      </c>
      <c r="L938" s="62">
        <f t="shared" si="165"/>
        <v>-4959.1219973756379</v>
      </c>
      <c r="M938" s="62">
        <f t="shared" si="166"/>
        <v>-0.27697667672223059</v>
      </c>
      <c r="N938" s="62">
        <f t="shared" si="167"/>
        <v>-5006.7184719962806</v>
      </c>
      <c r="O938" s="62">
        <f t="shared" si="168"/>
        <v>-0.27977418469636661</v>
      </c>
      <c r="P938" s="62">
        <f t="shared" si="169"/>
        <v>-4890.0958108814993</v>
      </c>
      <c r="Q938" s="62">
        <f t="shared" si="170"/>
        <v>-0.27201610369108897</v>
      </c>
      <c r="R938" s="62">
        <f t="shared" si="171"/>
        <v>14276.025060103942</v>
      </c>
      <c r="S938" s="62">
        <f t="shared" si="172"/>
        <v>20790.384919269985</v>
      </c>
      <c r="T938" s="62">
        <f t="shared" si="173"/>
        <v>20858.672414969955</v>
      </c>
      <c r="U938" s="62">
        <f t="shared" si="174"/>
        <v>20653.924328522116</v>
      </c>
      <c r="V938" s="62">
        <f t="shared" si="164"/>
        <v>1</v>
      </c>
      <c r="W938" s="62">
        <f t="shared" si="164"/>
        <v>0</v>
      </c>
      <c r="X938" s="62">
        <f t="shared" si="164"/>
        <v>0</v>
      </c>
      <c r="Y938" s="62">
        <f t="shared" si="163"/>
        <v>0</v>
      </c>
      <c r="AA938" s="94"/>
    </row>
    <row r="939" spans="2:27" x14ac:dyDescent="0.2">
      <c r="B939" s="94"/>
      <c r="C939" s="62">
        <v>900</v>
      </c>
      <c r="D939" s="62">
        <v>8524.5637869331731</v>
      </c>
      <c r="E939" s="62">
        <v>0.61742213062187079</v>
      </c>
      <c r="F939" s="62">
        <v>12261.187969829703</v>
      </c>
      <c r="G939" s="62">
        <v>0.89426233468693217</v>
      </c>
      <c r="H939" s="62">
        <v>12297.544034375805</v>
      </c>
      <c r="I939" s="62">
        <v>0.89729761078426429</v>
      </c>
      <c r="J939" s="62">
        <v>12216.605431986309</v>
      </c>
      <c r="K939" s="62">
        <v>0.89010315862799239</v>
      </c>
      <c r="L939" s="62">
        <f t="shared" si="165"/>
        <v>-3736.6241828965303</v>
      </c>
      <c r="M939" s="62">
        <f t="shared" si="166"/>
        <v>-0.27684020406506138</v>
      </c>
      <c r="N939" s="62">
        <f t="shared" si="167"/>
        <v>-3772.9802474426324</v>
      </c>
      <c r="O939" s="62">
        <f t="shared" si="168"/>
        <v>-0.2798754801623935</v>
      </c>
      <c r="P939" s="62">
        <f t="shared" si="169"/>
        <v>-3692.0416450531357</v>
      </c>
      <c r="Q939" s="62">
        <f t="shared" si="170"/>
        <v>-0.2726810280061216</v>
      </c>
      <c r="R939" s="62">
        <f t="shared" si="171"/>
        <v>17051.530551947202</v>
      </c>
      <c r="S939" s="62">
        <f t="shared" si="172"/>
        <v>24782.734982241775</v>
      </c>
      <c r="T939" s="62">
        <f t="shared" si="173"/>
        <v>24872.11219475156</v>
      </c>
      <c r="U939" s="62">
        <f t="shared" si="174"/>
        <v>24655.027811019645</v>
      </c>
      <c r="V939" s="62">
        <f t="shared" si="164"/>
        <v>1</v>
      </c>
      <c r="W939" s="62">
        <f t="shared" si="164"/>
        <v>0</v>
      </c>
      <c r="X939" s="62">
        <f t="shared" si="164"/>
        <v>0</v>
      </c>
      <c r="Y939" s="62">
        <f t="shared" si="163"/>
        <v>0</v>
      </c>
      <c r="AA939" s="94"/>
    </row>
    <row r="940" spans="2:27" x14ac:dyDescent="0.2">
      <c r="B940" s="94"/>
      <c r="C940" s="62">
        <v>901</v>
      </c>
      <c r="D940" s="62">
        <v>13307.640633314551</v>
      </c>
      <c r="E940" s="62">
        <v>0.61768448459256065</v>
      </c>
      <c r="F940" s="62">
        <v>19154.776309025256</v>
      </c>
      <c r="G940" s="62">
        <v>0.89442771773589447</v>
      </c>
      <c r="H940" s="62">
        <v>19206.050653389346</v>
      </c>
      <c r="I940" s="62">
        <v>0.8969589677264902</v>
      </c>
      <c r="J940" s="62">
        <v>19069.190826516613</v>
      </c>
      <c r="K940" s="62">
        <v>0.889247378135825</v>
      </c>
      <c r="L940" s="62">
        <f t="shared" si="165"/>
        <v>-5847.1356757107042</v>
      </c>
      <c r="M940" s="62">
        <f t="shared" si="166"/>
        <v>-0.27674323314333382</v>
      </c>
      <c r="N940" s="62">
        <f t="shared" si="167"/>
        <v>-5898.4100200747944</v>
      </c>
      <c r="O940" s="62">
        <f t="shared" si="168"/>
        <v>-0.27927448313392955</v>
      </c>
      <c r="P940" s="62">
        <f t="shared" si="169"/>
        <v>-5761.5501932020616</v>
      </c>
      <c r="Q940" s="62">
        <f t="shared" si="170"/>
        <v>-0.27156289354326435</v>
      </c>
      <c r="R940" s="62">
        <f t="shared" si="171"/>
        <v>12279.321456447682</v>
      </c>
      <c r="S940" s="62">
        <f t="shared" si="172"/>
        <v>17895.997470466435</v>
      </c>
      <c r="T940" s="62">
        <f t="shared" si="173"/>
        <v>17949.577625712784</v>
      </c>
      <c r="U940" s="62">
        <f t="shared" si="174"/>
        <v>17766.992565381799</v>
      </c>
      <c r="V940" s="62">
        <f t="shared" si="164"/>
        <v>1</v>
      </c>
      <c r="W940" s="62">
        <f t="shared" si="164"/>
        <v>0</v>
      </c>
      <c r="X940" s="62">
        <f t="shared" si="164"/>
        <v>0</v>
      </c>
      <c r="Y940" s="62">
        <f t="shared" si="163"/>
        <v>0</v>
      </c>
      <c r="AA940" s="94"/>
    </row>
    <row r="941" spans="2:27" x14ac:dyDescent="0.2">
      <c r="B941" s="94"/>
      <c r="C941" s="62">
        <v>902</v>
      </c>
      <c r="D941" s="62">
        <v>10729.700707017011</v>
      </c>
      <c r="E941" s="62">
        <v>0.61810823649830315</v>
      </c>
      <c r="F941" s="62">
        <v>15429.073288419799</v>
      </c>
      <c r="G941" s="62">
        <v>0.89433396334928017</v>
      </c>
      <c r="H941" s="62">
        <v>15479.593049292125</v>
      </c>
      <c r="I941" s="62">
        <v>0.89752453985147596</v>
      </c>
      <c r="J941" s="62">
        <v>15365.847837229016</v>
      </c>
      <c r="K941" s="62">
        <v>0.88965449412500075</v>
      </c>
      <c r="L941" s="62">
        <f t="shared" si="165"/>
        <v>-4699.3725814027875</v>
      </c>
      <c r="M941" s="62">
        <f t="shared" si="166"/>
        <v>-0.27622572685097702</v>
      </c>
      <c r="N941" s="62">
        <f t="shared" si="167"/>
        <v>-4749.8923422751141</v>
      </c>
      <c r="O941" s="62">
        <f t="shared" si="168"/>
        <v>-0.2794163033531728</v>
      </c>
      <c r="P941" s="62">
        <f t="shared" si="169"/>
        <v>-4636.1471302120044</v>
      </c>
      <c r="Q941" s="62">
        <f t="shared" si="170"/>
        <v>-0.2715462576266976</v>
      </c>
      <c r="R941" s="62">
        <f t="shared" si="171"/>
        <v>14874.814881688697</v>
      </c>
      <c r="S941" s="62">
        <f t="shared" si="172"/>
        <v>21617.816809360782</v>
      </c>
      <c r="T941" s="62">
        <f t="shared" si="173"/>
        <v>21699.463489515416</v>
      </c>
      <c r="U941" s="62">
        <f t="shared" si="174"/>
        <v>21487.199927405014</v>
      </c>
      <c r="V941" s="62">
        <f t="shared" si="164"/>
        <v>1</v>
      </c>
      <c r="W941" s="62">
        <f t="shared" si="164"/>
        <v>0</v>
      </c>
      <c r="X941" s="62">
        <f t="shared" si="164"/>
        <v>0</v>
      </c>
      <c r="Y941" s="62">
        <f t="shared" si="163"/>
        <v>0</v>
      </c>
      <c r="AA941" s="94"/>
    </row>
    <row r="942" spans="2:27" x14ac:dyDescent="0.2">
      <c r="B942" s="94"/>
      <c r="C942" s="62">
        <v>903</v>
      </c>
      <c r="D942" s="62">
        <v>8560.5916582639275</v>
      </c>
      <c r="E942" s="62">
        <v>0.61765595957515107</v>
      </c>
      <c r="F942" s="62">
        <v>12302.854251984321</v>
      </c>
      <c r="G942" s="62">
        <v>0.89432079012896104</v>
      </c>
      <c r="H942" s="62">
        <v>12334.730505915912</v>
      </c>
      <c r="I942" s="62">
        <v>0.89709874758458441</v>
      </c>
      <c r="J942" s="62">
        <v>12253.527114509314</v>
      </c>
      <c r="K942" s="62">
        <v>0.88961722903207729</v>
      </c>
      <c r="L942" s="62">
        <f t="shared" si="165"/>
        <v>-3742.2625937203939</v>
      </c>
      <c r="M942" s="62">
        <f t="shared" si="166"/>
        <v>-0.27666483055380997</v>
      </c>
      <c r="N942" s="62">
        <f t="shared" si="167"/>
        <v>-3774.1388476519842</v>
      </c>
      <c r="O942" s="62">
        <f t="shared" si="168"/>
        <v>-0.27944278800943334</v>
      </c>
      <c r="P942" s="62">
        <f t="shared" si="169"/>
        <v>-3692.9354562453864</v>
      </c>
      <c r="Q942" s="62">
        <f t="shared" si="170"/>
        <v>-0.27196126945692622</v>
      </c>
      <c r="R942" s="62">
        <f t="shared" si="171"/>
        <v>17025.188811177133</v>
      </c>
      <c r="S942" s="62">
        <f t="shared" si="172"/>
        <v>24743.49015831776</v>
      </c>
      <c r="T942" s="62">
        <f t="shared" si="173"/>
        <v>24826.68801402791</v>
      </c>
      <c r="U942" s="62">
        <f t="shared" si="174"/>
        <v>24597.976980915453</v>
      </c>
      <c r="V942" s="62">
        <f t="shared" si="164"/>
        <v>1</v>
      </c>
      <c r="W942" s="62">
        <f t="shared" si="164"/>
        <v>0</v>
      </c>
      <c r="X942" s="62">
        <f t="shared" si="164"/>
        <v>0</v>
      </c>
      <c r="Y942" s="62">
        <f t="shared" si="163"/>
        <v>0</v>
      </c>
      <c r="AA942" s="94"/>
    </row>
    <row r="943" spans="2:27" x14ac:dyDescent="0.2">
      <c r="B943" s="94"/>
      <c r="C943" s="62">
        <v>904</v>
      </c>
      <c r="D943" s="62">
        <v>7984.1951754327465</v>
      </c>
      <c r="E943" s="62">
        <v>0.61743870633832376</v>
      </c>
      <c r="F943" s="62">
        <v>11467.431891564705</v>
      </c>
      <c r="G943" s="62">
        <v>0.89387892411840753</v>
      </c>
      <c r="H943" s="62">
        <v>11502.133889940389</v>
      </c>
      <c r="I943" s="62">
        <v>0.89702648887215641</v>
      </c>
      <c r="J943" s="62">
        <v>11426.860824964871</v>
      </c>
      <c r="K943" s="62">
        <v>0.88958848042555094</v>
      </c>
      <c r="L943" s="62">
        <f t="shared" si="165"/>
        <v>-3483.2367161319589</v>
      </c>
      <c r="M943" s="62">
        <f t="shared" si="166"/>
        <v>-0.27644021778008376</v>
      </c>
      <c r="N943" s="62">
        <f t="shared" si="167"/>
        <v>-3517.9387145076425</v>
      </c>
      <c r="O943" s="62">
        <f t="shared" si="168"/>
        <v>-0.27958778253383265</v>
      </c>
      <c r="P943" s="62">
        <f t="shared" si="169"/>
        <v>-3442.6656495321249</v>
      </c>
      <c r="Q943" s="62">
        <f t="shared" si="170"/>
        <v>-0.27214977408722718</v>
      </c>
      <c r="R943" s="62">
        <f t="shared" si="171"/>
        <v>17592.585795925977</v>
      </c>
      <c r="S943" s="62">
        <f t="shared" si="172"/>
        <v>25560.608661116206</v>
      </c>
      <c r="T943" s="62">
        <f t="shared" si="173"/>
        <v>25656.291385099819</v>
      </c>
      <c r="U943" s="62">
        <f t="shared" si="174"/>
        <v>25423.452388183152</v>
      </c>
      <c r="V943" s="62">
        <f t="shared" si="164"/>
        <v>1</v>
      </c>
      <c r="W943" s="62">
        <f t="shared" si="164"/>
        <v>0</v>
      </c>
      <c r="X943" s="62">
        <f t="shared" si="164"/>
        <v>0</v>
      </c>
      <c r="Y943" s="62">
        <f t="shared" si="163"/>
        <v>0</v>
      </c>
      <c r="AA943" s="94"/>
    </row>
    <row r="944" spans="2:27" x14ac:dyDescent="0.2">
      <c r="B944" s="94"/>
      <c r="C944" s="62">
        <v>905</v>
      </c>
      <c r="D944" s="62">
        <v>8773.3646185491598</v>
      </c>
      <c r="E944" s="62">
        <v>0.61771462060989046</v>
      </c>
      <c r="F944" s="62">
        <v>12602.982493447953</v>
      </c>
      <c r="G944" s="62">
        <v>0.89378286143062236</v>
      </c>
      <c r="H944" s="62">
        <v>12643.544530124906</v>
      </c>
      <c r="I944" s="62">
        <v>0.89713747107092634</v>
      </c>
      <c r="J944" s="62">
        <v>12558.820334675615</v>
      </c>
      <c r="K944" s="62">
        <v>0.88969759961609896</v>
      </c>
      <c r="L944" s="62">
        <f t="shared" si="165"/>
        <v>-3829.6178748987932</v>
      </c>
      <c r="M944" s="62">
        <f t="shared" si="166"/>
        <v>-0.27606824082073189</v>
      </c>
      <c r="N944" s="62">
        <f t="shared" si="167"/>
        <v>-3870.1799115757458</v>
      </c>
      <c r="O944" s="62">
        <f t="shared" si="168"/>
        <v>-0.27942285046103588</v>
      </c>
      <c r="P944" s="62">
        <f t="shared" si="169"/>
        <v>-3785.4557161264547</v>
      </c>
      <c r="Q944" s="62">
        <f t="shared" si="170"/>
        <v>-0.27198297900620849</v>
      </c>
      <c r="R944" s="62">
        <f t="shared" si="171"/>
        <v>16814.845825594944</v>
      </c>
      <c r="S944" s="62">
        <f t="shared" si="172"/>
        <v>24421.078758454147</v>
      </c>
      <c r="T944" s="62">
        <f t="shared" si="173"/>
        <v>24519.478071517144</v>
      </c>
      <c r="U944" s="62">
        <f t="shared" si="174"/>
        <v>24296.013031821669</v>
      </c>
      <c r="V944" s="62">
        <f t="shared" si="164"/>
        <v>1</v>
      </c>
      <c r="W944" s="62">
        <f t="shared" si="164"/>
        <v>0</v>
      </c>
      <c r="X944" s="62">
        <f t="shared" si="164"/>
        <v>0</v>
      </c>
      <c r="Y944" s="62">
        <f t="shared" si="163"/>
        <v>0</v>
      </c>
      <c r="AA944" s="94"/>
    </row>
    <row r="945" spans="2:27" x14ac:dyDescent="0.2">
      <c r="B945" s="94"/>
      <c r="C945" s="62">
        <v>906</v>
      </c>
      <c r="D945" s="62">
        <v>11330.44261027989</v>
      </c>
      <c r="E945" s="62">
        <v>0.61788610530772881</v>
      </c>
      <c r="F945" s="62">
        <v>16287.71943678569</v>
      </c>
      <c r="G945" s="62">
        <v>0.89414359895135909</v>
      </c>
      <c r="H945" s="62">
        <v>16333.961969112639</v>
      </c>
      <c r="I945" s="62">
        <v>0.89693818944211512</v>
      </c>
      <c r="J945" s="62">
        <v>16218.596152579112</v>
      </c>
      <c r="K945" s="62">
        <v>0.88923238821907236</v>
      </c>
      <c r="L945" s="62">
        <f t="shared" si="165"/>
        <v>-4957.2768265058003</v>
      </c>
      <c r="M945" s="62">
        <f t="shared" si="166"/>
        <v>-0.27625749364363028</v>
      </c>
      <c r="N945" s="62">
        <f t="shared" si="167"/>
        <v>-5003.5193588327493</v>
      </c>
      <c r="O945" s="62">
        <f t="shared" si="168"/>
        <v>-0.27905208413438631</v>
      </c>
      <c r="P945" s="62">
        <f t="shared" si="169"/>
        <v>-4888.153542299222</v>
      </c>
      <c r="Q945" s="62">
        <f t="shared" si="170"/>
        <v>-0.27134628291134355</v>
      </c>
      <c r="R945" s="62">
        <f t="shared" si="171"/>
        <v>14264.871415987469</v>
      </c>
      <c r="S945" s="62">
        <f t="shared" si="172"/>
        <v>20751.285006175411</v>
      </c>
      <c r="T945" s="62">
        <f t="shared" si="173"/>
        <v>20820.805590337539</v>
      </c>
      <c r="U945" s="62">
        <f t="shared" si="174"/>
        <v>20616.966297007741</v>
      </c>
      <c r="V945" s="62">
        <f t="shared" si="164"/>
        <v>1</v>
      </c>
      <c r="W945" s="62">
        <f t="shared" si="164"/>
        <v>0</v>
      </c>
      <c r="X945" s="62">
        <f t="shared" si="164"/>
        <v>0</v>
      </c>
      <c r="Y945" s="62">
        <f t="shared" si="163"/>
        <v>0</v>
      </c>
      <c r="AA945" s="94"/>
    </row>
    <row r="946" spans="2:27" x14ac:dyDescent="0.2">
      <c r="B946" s="94"/>
      <c r="C946" s="62">
        <v>907</v>
      </c>
      <c r="D946" s="62">
        <v>9841.1392453221761</v>
      </c>
      <c r="E946" s="62">
        <v>0.61771807483619701</v>
      </c>
      <c r="F946" s="62">
        <v>14144.626345441309</v>
      </c>
      <c r="G946" s="62">
        <v>0.89445064352608528</v>
      </c>
      <c r="H946" s="62">
        <v>14182.665722238464</v>
      </c>
      <c r="I946" s="62">
        <v>0.89718488270416619</v>
      </c>
      <c r="J946" s="62">
        <v>14080.873347346829</v>
      </c>
      <c r="K946" s="62">
        <v>0.88917101233860263</v>
      </c>
      <c r="L946" s="62">
        <f t="shared" si="165"/>
        <v>-4303.4871001191332</v>
      </c>
      <c r="M946" s="62">
        <f t="shared" si="166"/>
        <v>-0.27673256868988827</v>
      </c>
      <c r="N946" s="62">
        <f t="shared" si="167"/>
        <v>-4341.5264769162877</v>
      </c>
      <c r="O946" s="62">
        <f t="shared" si="168"/>
        <v>-0.27946680786796918</v>
      </c>
      <c r="P946" s="62">
        <f t="shared" si="169"/>
        <v>-4239.7341020246531</v>
      </c>
      <c r="Q946" s="62">
        <f t="shared" si="170"/>
        <v>-0.27145293750240562</v>
      </c>
      <c r="R946" s="62">
        <f t="shared" si="171"/>
        <v>15747.21428669245</v>
      </c>
      <c r="S946" s="62">
        <f t="shared" si="172"/>
        <v>22907.09711198325</v>
      </c>
      <c r="T946" s="62">
        <f t="shared" si="173"/>
        <v>22982.320858898918</v>
      </c>
      <c r="U946" s="62">
        <f t="shared" si="174"/>
        <v>22752.146667767447</v>
      </c>
      <c r="V946" s="62">
        <f t="shared" si="164"/>
        <v>1</v>
      </c>
      <c r="W946" s="62">
        <f t="shared" si="164"/>
        <v>0</v>
      </c>
      <c r="X946" s="62">
        <f t="shared" si="164"/>
        <v>0</v>
      </c>
      <c r="Y946" s="62">
        <f t="shared" si="163"/>
        <v>0</v>
      </c>
      <c r="AA946" s="94"/>
    </row>
    <row r="947" spans="2:27" x14ac:dyDescent="0.2">
      <c r="B947" s="94"/>
      <c r="C947" s="62">
        <v>908</v>
      </c>
      <c r="D947" s="62">
        <v>9303.1202446156967</v>
      </c>
      <c r="E947" s="62">
        <v>0.61778682284506303</v>
      </c>
      <c r="F947" s="62">
        <v>13368.240945545982</v>
      </c>
      <c r="G947" s="62">
        <v>0.89365099579244778</v>
      </c>
      <c r="H947" s="62">
        <v>13413.163171980364</v>
      </c>
      <c r="I947" s="62">
        <v>0.89702488092130694</v>
      </c>
      <c r="J947" s="62">
        <v>13319.73454525078</v>
      </c>
      <c r="K947" s="62">
        <v>0.88943324562329573</v>
      </c>
      <c r="L947" s="62">
        <f t="shared" si="165"/>
        <v>-4065.1207009302852</v>
      </c>
      <c r="M947" s="62">
        <f t="shared" si="166"/>
        <v>-0.27586417294738474</v>
      </c>
      <c r="N947" s="62">
        <f t="shared" si="167"/>
        <v>-4110.0429273646678</v>
      </c>
      <c r="O947" s="62">
        <f t="shared" si="168"/>
        <v>-0.27923805807624391</v>
      </c>
      <c r="P947" s="62">
        <f t="shared" si="169"/>
        <v>-4016.6143006350831</v>
      </c>
      <c r="Q947" s="62">
        <f t="shared" si="170"/>
        <v>-0.2716464227782327</v>
      </c>
      <c r="R947" s="62">
        <f t="shared" si="171"/>
        <v>16288.081104918194</v>
      </c>
      <c r="S947" s="62">
        <f t="shared" si="172"/>
        <v>23650.357904160377</v>
      </c>
      <c r="T947" s="62">
        <f t="shared" si="173"/>
        <v>23745.195495303858</v>
      </c>
      <c r="U947" s="62">
        <f t="shared" si="174"/>
        <v>23524.148221448624</v>
      </c>
      <c r="V947" s="62">
        <f t="shared" si="164"/>
        <v>1</v>
      </c>
      <c r="W947" s="62">
        <f t="shared" si="164"/>
        <v>0</v>
      </c>
      <c r="X947" s="62">
        <f t="shared" si="164"/>
        <v>0</v>
      </c>
      <c r="Y947" s="62">
        <f t="shared" si="163"/>
        <v>0</v>
      </c>
      <c r="AA947" s="94"/>
    </row>
    <row r="948" spans="2:27" x14ac:dyDescent="0.2">
      <c r="B948" s="94"/>
      <c r="C948" s="62">
        <v>909</v>
      </c>
      <c r="D948" s="62">
        <v>10869.242169166861</v>
      </c>
      <c r="E948" s="62">
        <v>0.61745148533600713</v>
      </c>
      <c r="F948" s="62">
        <v>15635.560118378169</v>
      </c>
      <c r="G948" s="62">
        <v>0.89413928328553216</v>
      </c>
      <c r="H948" s="62">
        <v>15686.864074338166</v>
      </c>
      <c r="I948" s="62">
        <v>0.89734971563053456</v>
      </c>
      <c r="J948" s="62">
        <v>15572.955125314555</v>
      </c>
      <c r="K948" s="62">
        <v>0.88952918772051781</v>
      </c>
      <c r="L948" s="62">
        <f t="shared" si="165"/>
        <v>-4766.3179492113086</v>
      </c>
      <c r="M948" s="62">
        <f t="shared" si="166"/>
        <v>-0.27668779794952503</v>
      </c>
      <c r="N948" s="62">
        <f t="shared" si="167"/>
        <v>-4817.6219051713051</v>
      </c>
      <c r="O948" s="62">
        <f t="shared" si="168"/>
        <v>-0.27989823029452743</v>
      </c>
      <c r="P948" s="62">
        <f t="shared" si="169"/>
        <v>-4703.7129561476941</v>
      </c>
      <c r="Q948" s="62">
        <f t="shared" si="170"/>
        <v>-0.27207770238451068</v>
      </c>
      <c r="R948" s="62">
        <f t="shared" si="171"/>
        <v>14708.0681593919</v>
      </c>
      <c r="S948" s="62">
        <f t="shared" si="172"/>
        <v>21403.265552441713</v>
      </c>
      <c r="T948" s="62">
        <f t="shared" si="173"/>
        <v>21484.950545941098</v>
      </c>
      <c r="U948" s="62">
        <f t="shared" si="174"/>
        <v>21274.901946820173</v>
      </c>
      <c r="V948" s="62">
        <f t="shared" si="164"/>
        <v>1</v>
      </c>
      <c r="W948" s="62">
        <f t="shared" si="164"/>
        <v>0</v>
      </c>
      <c r="X948" s="62">
        <f t="shared" si="164"/>
        <v>0</v>
      </c>
      <c r="Y948" s="62">
        <f t="shared" si="163"/>
        <v>0</v>
      </c>
      <c r="AA948" s="94"/>
    </row>
    <row r="949" spans="2:27" x14ac:dyDescent="0.2">
      <c r="B949" s="94"/>
      <c r="C949" s="62">
        <v>910</v>
      </c>
      <c r="D949" s="62">
        <v>12201.586595183258</v>
      </c>
      <c r="E949" s="62">
        <v>0.61784795171559315</v>
      </c>
      <c r="F949" s="62">
        <v>17570.110899117233</v>
      </c>
      <c r="G949" s="62">
        <v>0.89490374245078885</v>
      </c>
      <c r="H949" s="62">
        <v>17605.763590123141</v>
      </c>
      <c r="I949" s="62">
        <v>0.89693466654919318</v>
      </c>
      <c r="J949" s="62">
        <v>17488.121108507152</v>
      </c>
      <c r="K949" s="62">
        <v>0.88970943833385396</v>
      </c>
      <c r="L949" s="62">
        <f t="shared" si="165"/>
        <v>-5368.5243039339748</v>
      </c>
      <c r="M949" s="62">
        <f t="shared" si="166"/>
        <v>-0.27705579073519571</v>
      </c>
      <c r="N949" s="62">
        <f t="shared" si="167"/>
        <v>-5404.1769949398822</v>
      </c>
      <c r="O949" s="62">
        <f t="shared" si="168"/>
        <v>-0.27908671483360004</v>
      </c>
      <c r="P949" s="62">
        <f t="shared" si="169"/>
        <v>-5286.5345133238934</v>
      </c>
      <c r="Q949" s="62">
        <f t="shared" si="170"/>
        <v>-0.27186148661826082</v>
      </c>
      <c r="R949" s="62">
        <f t="shared" si="171"/>
        <v>13392.146956683473</v>
      </c>
      <c r="S949" s="62">
        <f t="shared" si="172"/>
        <v>19500.381728164244</v>
      </c>
      <c r="T949" s="62">
        <f t="shared" si="173"/>
        <v>19548.858037010636</v>
      </c>
      <c r="U949" s="62">
        <f t="shared" si="174"/>
        <v>19367.202665034416</v>
      </c>
      <c r="V949" s="62">
        <f t="shared" si="164"/>
        <v>1</v>
      </c>
      <c r="W949" s="62">
        <f t="shared" si="164"/>
        <v>0</v>
      </c>
      <c r="X949" s="62">
        <f t="shared" si="164"/>
        <v>0</v>
      </c>
      <c r="Y949" s="62">
        <f t="shared" si="163"/>
        <v>0</v>
      </c>
      <c r="AA949" s="94"/>
    </row>
    <row r="950" spans="2:27" x14ac:dyDescent="0.2">
      <c r="B950" s="94"/>
      <c r="C950" s="62">
        <v>911</v>
      </c>
      <c r="D950" s="62">
        <v>9776.5038422973921</v>
      </c>
      <c r="E950" s="62">
        <v>0.61786274551463172</v>
      </c>
      <c r="F950" s="62">
        <v>14041.715401841435</v>
      </c>
      <c r="G950" s="62">
        <v>0.89377067180690206</v>
      </c>
      <c r="H950" s="62">
        <v>14091.411085200347</v>
      </c>
      <c r="I950" s="62">
        <v>0.89738907537358226</v>
      </c>
      <c r="J950" s="62">
        <v>13987.526502389816</v>
      </c>
      <c r="K950" s="62">
        <v>0.88928098874226813</v>
      </c>
      <c r="L950" s="62">
        <f t="shared" si="165"/>
        <v>-4265.2115595440428</v>
      </c>
      <c r="M950" s="62">
        <f t="shared" si="166"/>
        <v>-0.27590792629227034</v>
      </c>
      <c r="N950" s="62">
        <f t="shared" si="167"/>
        <v>-4314.9072429029547</v>
      </c>
      <c r="O950" s="62">
        <f t="shared" si="168"/>
        <v>-0.27952632985895054</v>
      </c>
      <c r="P950" s="62">
        <f t="shared" si="169"/>
        <v>-4211.0226600924234</v>
      </c>
      <c r="Q950" s="62">
        <f t="shared" si="170"/>
        <v>-0.27141824322763641</v>
      </c>
      <c r="R950" s="62">
        <f t="shared" si="171"/>
        <v>15817.842527900713</v>
      </c>
      <c r="S950" s="62">
        <f t="shared" si="172"/>
        <v>22981.840907087673</v>
      </c>
      <c r="T950" s="62">
        <f t="shared" si="173"/>
        <v>23082.033973074922</v>
      </c>
      <c r="U950" s="62">
        <f t="shared" si="174"/>
        <v>22850.049175269894</v>
      </c>
      <c r="V950" s="62">
        <f t="shared" si="164"/>
        <v>1</v>
      </c>
      <c r="W950" s="62">
        <f t="shared" si="164"/>
        <v>0</v>
      </c>
      <c r="X950" s="62">
        <f t="shared" si="164"/>
        <v>0</v>
      </c>
      <c r="Y950" s="62">
        <f t="shared" si="163"/>
        <v>0</v>
      </c>
      <c r="AA950" s="94"/>
    </row>
    <row r="951" spans="2:27" x14ac:dyDescent="0.2">
      <c r="B951" s="94"/>
      <c r="C951" s="62">
        <v>912</v>
      </c>
      <c r="D951" s="62">
        <v>10672.02318646019</v>
      </c>
      <c r="E951" s="62">
        <v>0.61756023604690435</v>
      </c>
      <c r="F951" s="62">
        <v>15354.202509031405</v>
      </c>
      <c r="G951" s="62">
        <v>0.89427184738424681</v>
      </c>
      <c r="H951" s="62">
        <v>15396.240079004974</v>
      </c>
      <c r="I951" s="62">
        <v>0.8970139788991266</v>
      </c>
      <c r="J951" s="62">
        <v>15289.700456219192</v>
      </c>
      <c r="K951" s="62">
        <v>0.8894882438875179</v>
      </c>
      <c r="L951" s="62">
        <f t="shared" si="165"/>
        <v>-4682.1793225712154</v>
      </c>
      <c r="M951" s="62">
        <f t="shared" si="166"/>
        <v>-0.27671161133734246</v>
      </c>
      <c r="N951" s="62">
        <f t="shared" si="167"/>
        <v>-4724.2168925447841</v>
      </c>
      <c r="O951" s="62">
        <f t="shared" si="168"/>
        <v>-0.27945374285222224</v>
      </c>
      <c r="P951" s="62">
        <f t="shared" si="169"/>
        <v>-4617.6772697590022</v>
      </c>
      <c r="Q951" s="62">
        <f t="shared" si="170"/>
        <v>-0.27192800784061355</v>
      </c>
      <c r="R951" s="62">
        <f t="shared" si="171"/>
        <v>14909.792031546776</v>
      </c>
      <c r="S951" s="62">
        <f t="shared" si="172"/>
        <v>21690.114497013637</v>
      </c>
      <c r="T951" s="62">
        <f t="shared" si="173"/>
        <v>21761.666982912451</v>
      </c>
      <c r="U951" s="62">
        <f t="shared" si="174"/>
        <v>21556.460558577346</v>
      </c>
      <c r="V951" s="62">
        <f t="shared" si="164"/>
        <v>1</v>
      </c>
      <c r="W951" s="62">
        <f t="shared" si="164"/>
        <v>0</v>
      </c>
      <c r="X951" s="62">
        <f t="shared" si="164"/>
        <v>0</v>
      </c>
      <c r="Y951" s="62">
        <f t="shared" si="163"/>
        <v>0</v>
      </c>
      <c r="AA951" s="94"/>
    </row>
    <row r="952" spans="2:27" x14ac:dyDescent="0.2">
      <c r="B952" s="94"/>
      <c r="C952" s="62">
        <v>913</v>
      </c>
      <c r="D952" s="62">
        <v>9026.7702414537562</v>
      </c>
      <c r="E952" s="62">
        <v>0.61728602546365186</v>
      </c>
      <c r="F952" s="62">
        <v>12962.443049731944</v>
      </c>
      <c r="G952" s="62">
        <v>0.8930664805160049</v>
      </c>
      <c r="H952" s="62">
        <v>13012.963694997559</v>
      </c>
      <c r="I952" s="62">
        <v>0.89695307807743463</v>
      </c>
      <c r="J952" s="62">
        <v>12919.505031043094</v>
      </c>
      <c r="K952" s="62">
        <v>0.88888259091736022</v>
      </c>
      <c r="L952" s="62">
        <f t="shared" si="165"/>
        <v>-3935.6728082781883</v>
      </c>
      <c r="M952" s="62">
        <f t="shared" si="166"/>
        <v>-0.27578045505235305</v>
      </c>
      <c r="N952" s="62">
        <f t="shared" si="167"/>
        <v>-3986.1934535438031</v>
      </c>
      <c r="O952" s="62">
        <f t="shared" si="168"/>
        <v>-0.27966705261378277</v>
      </c>
      <c r="P952" s="62">
        <f t="shared" si="169"/>
        <v>-3892.7347895893381</v>
      </c>
      <c r="Q952" s="62">
        <f t="shared" si="170"/>
        <v>-0.27159656545370836</v>
      </c>
      <c r="R952" s="62">
        <f t="shared" si="171"/>
        <v>16543.686077352559</v>
      </c>
      <c r="S952" s="62">
        <f t="shared" si="172"/>
        <v>24031.942839163039</v>
      </c>
      <c r="T952" s="62">
        <f t="shared" si="173"/>
        <v>24142.42061128209</v>
      </c>
      <c r="U952" s="62">
        <f t="shared" si="174"/>
        <v>23901.567415117635</v>
      </c>
      <c r="V952" s="62">
        <f t="shared" si="164"/>
        <v>1</v>
      </c>
      <c r="W952" s="62">
        <f t="shared" si="164"/>
        <v>0</v>
      </c>
      <c r="X952" s="62">
        <f t="shared" si="164"/>
        <v>0</v>
      </c>
      <c r="Y952" s="62">
        <f t="shared" si="163"/>
        <v>0</v>
      </c>
      <c r="AA952" s="94"/>
    </row>
    <row r="953" spans="2:27" x14ac:dyDescent="0.2">
      <c r="B953" s="94"/>
      <c r="C953" s="62">
        <v>914</v>
      </c>
      <c r="D953" s="62">
        <v>11959.631131108554</v>
      </c>
      <c r="E953" s="62">
        <v>0.61753236936011602</v>
      </c>
      <c r="F953" s="62">
        <v>17196.224882134782</v>
      </c>
      <c r="G953" s="62">
        <v>0.89355869201725491</v>
      </c>
      <c r="H953" s="62">
        <v>17257.079083023837</v>
      </c>
      <c r="I953" s="62">
        <v>0.89704759432904335</v>
      </c>
      <c r="J953" s="62">
        <v>17137.986606348728</v>
      </c>
      <c r="K953" s="62">
        <v>0.88952500944884971</v>
      </c>
      <c r="L953" s="62">
        <f t="shared" si="165"/>
        <v>-5236.5937510262283</v>
      </c>
      <c r="M953" s="62">
        <f t="shared" si="166"/>
        <v>-0.27602632265713889</v>
      </c>
      <c r="N953" s="62">
        <f t="shared" si="167"/>
        <v>-5297.4479519152828</v>
      </c>
      <c r="O953" s="62">
        <f t="shared" si="168"/>
        <v>-0.27951522496892733</v>
      </c>
      <c r="P953" s="62">
        <f t="shared" si="169"/>
        <v>-5178.3554752401742</v>
      </c>
      <c r="Q953" s="62">
        <f t="shared" si="170"/>
        <v>-0.27199264008873369</v>
      </c>
      <c r="R953" s="62">
        <f t="shared" si="171"/>
        <v>13621.029737264891</v>
      </c>
      <c r="S953" s="62">
        <f t="shared" si="172"/>
        <v>19818.550375987987</v>
      </c>
      <c r="T953" s="62">
        <f t="shared" si="173"/>
        <v>19902.220464462454</v>
      </c>
      <c r="U953" s="62">
        <f t="shared" si="174"/>
        <v>19709.697385060419</v>
      </c>
      <c r="V953" s="62">
        <f t="shared" si="164"/>
        <v>1</v>
      </c>
      <c r="W953" s="62">
        <f t="shared" si="164"/>
        <v>0</v>
      </c>
      <c r="X953" s="62">
        <f t="shared" si="164"/>
        <v>0</v>
      </c>
      <c r="Y953" s="62">
        <f t="shared" si="163"/>
        <v>0</v>
      </c>
      <c r="AA953" s="94"/>
    </row>
    <row r="954" spans="2:27" x14ac:dyDescent="0.2">
      <c r="B954" s="94"/>
      <c r="C954" s="62">
        <v>915</v>
      </c>
      <c r="D954" s="62">
        <v>10919.352846818365</v>
      </c>
      <c r="E954" s="62">
        <v>0.61775737746041071</v>
      </c>
      <c r="F954" s="62">
        <v>15688.568239005755</v>
      </c>
      <c r="G954" s="62">
        <v>0.8935945137566943</v>
      </c>
      <c r="H954" s="62">
        <v>15742.409592879974</v>
      </c>
      <c r="I954" s="62">
        <v>0.8969470929049318</v>
      </c>
      <c r="J954" s="62">
        <v>15633.160765346724</v>
      </c>
      <c r="K954" s="62">
        <v>0.88927428174014045</v>
      </c>
      <c r="L954" s="62">
        <f t="shared" si="165"/>
        <v>-4769.2153921873905</v>
      </c>
      <c r="M954" s="62">
        <f t="shared" si="166"/>
        <v>-0.27583713629628359</v>
      </c>
      <c r="N954" s="62">
        <f t="shared" si="167"/>
        <v>-4823.0567460616094</v>
      </c>
      <c r="O954" s="62">
        <f t="shared" si="168"/>
        <v>-0.27918971544452109</v>
      </c>
      <c r="P954" s="62">
        <f t="shared" si="169"/>
        <v>-4713.8079185283586</v>
      </c>
      <c r="Q954" s="62">
        <f t="shared" si="170"/>
        <v>-0.27151690427972974</v>
      </c>
      <c r="R954" s="62">
        <f t="shared" si="171"/>
        <v>14670.628757101687</v>
      </c>
      <c r="S954" s="62">
        <f t="shared" si="172"/>
        <v>21327.69089885155</v>
      </c>
      <c r="T954" s="62">
        <f t="shared" si="173"/>
        <v>21412.726783613922</v>
      </c>
      <c r="U954" s="62">
        <f t="shared" si="174"/>
        <v>21204.137081456858</v>
      </c>
      <c r="V954" s="62">
        <f t="shared" si="164"/>
        <v>1</v>
      </c>
      <c r="W954" s="62">
        <f t="shared" si="164"/>
        <v>0</v>
      </c>
      <c r="X954" s="62">
        <f t="shared" si="164"/>
        <v>0</v>
      </c>
      <c r="Y954" s="62">
        <f t="shared" si="163"/>
        <v>0</v>
      </c>
      <c r="AA954" s="94"/>
    </row>
    <row r="955" spans="2:27" x14ac:dyDescent="0.2">
      <c r="B955" s="94"/>
      <c r="C955" s="62">
        <v>916</v>
      </c>
      <c r="D955" s="62">
        <v>10583.530558852783</v>
      </c>
      <c r="E955" s="62">
        <v>0.61762085644547282</v>
      </c>
      <c r="F955" s="62">
        <v>15238.366018338993</v>
      </c>
      <c r="G955" s="62">
        <v>0.89468172502980803</v>
      </c>
      <c r="H955" s="62">
        <v>15277.659142676521</v>
      </c>
      <c r="I955" s="62">
        <v>0.89717154500686946</v>
      </c>
      <c r="J955" s="62">
        <v>15173.199046383244</v>
      </c>
      <c r="K955" s="62">
        <v>0.88985270608671296</v>
      </c>
      <c r="L955" s="62">
        <f t="shared" si="165"/>
        <v>-4654.8354594862103</v>
      </c>
      <c r="M955" s="62">
        <f t="shared" si="166"/>
        <v>-0.27706086858433521</v>
      </c>
      <c r="N955" s="62">
        <f t="shared" si="167"/>
        <v>-4694.1285838237382</v>
      </c>
      <c r="O955" s="62">
        <f t="shared" si="168"/>
        <v>-0.27955068856139664</v>
      </c>
      <c r="P955" s="62">
        <f t="shared" si="169"/>
        <v>-4589.6684875304618</v>
      </c>
      <c r="Q955" s="62">
        <f t="shared" si="170"/>
        <v>-0.27223184964124014</v>
      </c>
      <c r="R955" s="62">
        <f t="shared" si="171"/>
        <v>15000.795798544483</v>
      </c>
      <c r="S955" s="62">
        <f t="shared" si="172"/>
        <v>21822.929759295774</v>
      </c>
      <c r="T955" s="62">
        <f t="shared" si="173"/>
        <v>21886.774937688038</v>
      </c>
      <c r="U955" s="62">
        <f t="shared" si="174"/>
        <v>21688.059450552752</v>
      </c>
      <c r="V955" s="62">
        <f t="shared" si="164"/>
        <v>1</v>
      </c>
      <c r="W955" s="62">
        <f t="shared" si="164"/>
        <v>0</v>
      </c>
      <c r="X955" s="62">
        <f t="shared" si="164"/>
        <v>0</v>
      </c>
      <c r="Y955" s="62">
        <f t="shared" si="163"/>
        <v>0</v>
      </c>
      <c r="AA955" s="94"/>
    </row>
    <row r="956" spans="2:27" x14ac:dyDescent="0.2">
      <c r="B956" s="94"/>
      <c r="C956" s="62">
        <v>917</v>
      </c>
      <c r="D956" s="62">
        <v>9961.6449927827762</v>
      </c>
      <c r="E956" s="62">
        <v>0.61772717079323647</v>
      </c>
      <c r="F956" s="62">
        <v>14325.908528628232</v>
      </c>
      <c r="G956" s="62">
        <v>0.89465087497879991</v>
      </c>
      <c r="H956" s="62">
        <v>14362.943257992705</v>
      </c>
      <c r="I956" s="62">
        <v>0.89727138679095064</v>
      </c>
      <c r="J956" s="62">
        <v>14263.714389799192</v>
      </c>
      <c r="K956" s="62">
        <v>0.88960699342799221</v>
      </c>
      <c r="L956" s="62">
        <f t="shared" si="165"/>
        <v>-4364.2635358454554</v>
      </c>
      <c r="M956" s="62">
        <f t="shared" si="166"/>
        <v>-0.27692370418556345</v>
      </c>
      <c r="N956" s="62">
        <f t="shared" si="167"/>
        <v>-4401.298265209929</v>
      </c>
      <c r="O956" s="62">
        <f t="shared" si="168"/>
        <v>-0.27954421599771417</v>
      </c>
      <c r="P956" s="62">
        <f t="shared" si="169"/>
        <v>-4302.0693970164157</v>
      </c>
      <c r="Q956" s="62">
        <f t="shared" si="170"/>
        <v>-0.27187982263475574</v>
      </c>
      <c r="R956" s="62">
        <f t="shared" si="171"/>
        <v>15627.085330156251</v>
      </c>
      <c r="S956" s="62">
        <f t="shared" si="172"/>
        <v>22734.109316493577</v>
      </c>
      <c r="T956" s="62">
        <f t="shared" si="173"/>
        <v>22805.626668435634</v>
      </c>
      <c r="U956" s="62">
        <f t="shared" si="174"/>
        <v>22587.365705961958</v>
      </c>
      <c r="V956" s="62">
        <f t="shared" si="164"/>
        <v>1</v>
      </c>
      <c r="W956" s="62">
        <f t="shared" si="164"/>
        <v>0</v>
      </c>
      <c r="X956" s="62">
        <f t="shared" si="164"/>
        <v>0</v>
      </c>
      <c r="Y956" s="62">
        <f t="shared" si="163"/>
        <v>0</v>
      </c>
      <c r="AA956" s="94"/>
    </row>
    <row r="957" spans="2:27" x14ac:dyDescent="0.2">
      <c r="B957" s="94"/>
      <c r="C957" s="62">
        <v>918</v>
      </c>
      <c r="D957" s="62">
        <v>8627.3814897706361</v>
      </c>
      <c r="E957" s="62">
        <v>0.61736467772133186</v>
      </c>
      <c r="F957" s="62">
        <v>12403.494850718551</v>
      </c>
      <c r="G957" s="62">
        <v>0.89432367051698314</v>
      </c>
      <c r="H957" s="62">
        <v>12444.444146605478</v>
      </c>
      <c r="I957" s="62">
        <v>0.89772657747662721</v>
      </c>
      <c r="J957" s="62">
        <v>12350.475403114375</v>
      </c>
      <c r="K957" s="62">
        <v>0.88947079125179462</v>
      </c>
      <c r="L957" s="62">
        <f t="shared" si="165"/>
        <v>-3776.1133609479148</v>
      </c>
      <c r="M957" s="62">
        <f t="shared" si="166"/>
        <v>-0.27695899279565128</v>
      </c>
      <c r="N957" s="62">
        <f t="shared" si="167"/>
        <v>-3817.0626568348416</v>
      </c>
      <c r="O957" s="62">
        <f t="shared" si="168"/>
        <v>-0.28036189975529535</v>
      </c>
      <c r="P957" s="62">
        <f t="shared" si="169"/>
        <v>-3723.0939133437387</v>
      </c>
      <c r="Q957" s="62">
        <f t="shared" si="170"/>
        <v>-0.27210611353046277</v>
      </c>
      <c r="R957" s="62">
        <f t="shared" si="171"/>
        <v>16946.332920157816</v>
      </c>
      <c r="S957" s="62">
        <f t="shared" si="172"/>
        <v>24642.968876776958</v>
      </c>
      <c r="T957" s="62">
        <f t="shared" si="173"/>
        <v>24742.981598786326</v>
      </c>
      <c r="U957" s="62">
        <f t="shared" si="174"/>
        <v>24494.962653699964</v>
      </c>
      <c r="V957" s="62">
        <f t="shared" si="164"/>
        <v>1</v>
      </c>
      <c r="W957" s="62">
        <f t="shared" si="164"/>
        <v>0</v>
      </c>
      <c r="X957" s="62">
        <f t="shared" si="164"/>
        <v>0</v>
      </c>
      <c r="Y957" s="62">
        <f t="shared" si="163"/>
        <v>0</v>
      </c>
      <c r="AA957" s="94"/>
    </row>
    <row r="958" spans="2:27" x14ac:dyDescent="0.2">
      <c r="B958" s="94"/>
      <c r="C958" s="62">
        <v>919</v>
      </c>
      <c r="D958" s="62">
        <v>9514.6998599548187</v>
      </c>
      <c r="E958" s="62">
        <v>0.61764991583452866</v>
      </c>
      <c r="F958" s="62">
        <v>13666.576627922916</v>
      </c>
      <c r="G958" s="62">
        <v>0.89375411468104882</v>
      </c>
      <c r="H958" s="62">
        <v>13701.843908000405</v>
      </c>
      <c r="I958" s="62">
        <v>0.89641326104669561</v>
      </c>
      <c r="J958" s="62">
        <v>13619.048059789011</v>
      </c>
      <c r="K958" s="62">
        <v>0.88949876890014334</v>
      </c>
      <c r="L958" s="62">
        <f t="shared" si="165"/>
        <v>-4151.8767679680968</v>
      </c>
      <c r="M958" s="62">
        <f t="shared" si="166"/>
        <v>-0.27610419884652015</v>
      </c>
      <c r="N958" s="62">
        <f t="shared" si="167"/>
        <v>-4187.1440480455858</v>
      </c>
      <c r="O958" s="62">
        <f t="shared" si="168"/>
        <v>-0.27876334521216695</v>
      </c>
      <c r="P958" s="62">
        <f t="shared" si="169"/>
        <v>-4104.3481998341922</v>
      </c>
      <c r="Q958" s="62">
        <f t="shared" si="170"/>
        <v>-0.27184885306561468</v>
      </c>
      <c r="R958" s="62">
        <f t="shared" si="171"/>
        <v>16070.830253574697</v>
      </c>
      <c r="S958" s="62">
        <f t="shared" si="172"/>
        <v>23356.29381862485</v>
      </c>
      <c r="T958" s="62">
        <f t="shared" si="173"/>
        <v>23431.179017597919</v>
      </c>
      <c r="U958" s="62">
        <f t="shared" si="174"/>
        <v>23227.548943130525</v>
      </c>
      <c r="V958" s="62">
        <f t="shared" si="164"/>
        <v>1</v>
      </c>
      <c r="W958" s="62">
        <f t="shared" si="164"/>
        <v>0</v>
      </c>
      <c r="X958" s="62">
        <f t="shared" si="164"/>
        <v>0</v>
      </c>
      <c r="Y958" s="62">
        <f t="shared" si="163"/>
        <v>0</v>
      </c>
      <c r="AA958" s="94"/>
    </row>
    <row r="959" spans="2:27" x14ac:dyDescent="0.2">
      <c r="B959" s="94"/>
      <c r="C959" s="62">
        <v>920</v>
      </c>
      <c r="D959" s="62">
        <v>10474.387487422933</v>
      </c>
      <c r="E959" s="62">
        <v>0.61778731087754457</v>
      </c>
      <c r="F959" s="62">
        <v>15051.66027313126</v>
      </c>
      <c r="G959" s="62">
        <v>0.89440771941207597</v>
      </c>
      <c r="H959" s="62">
        <v>15086.327590263265</v>
      </c>
      <c r="I959" s="62">
        <v>0.89669040163047353</v>
      </c>
      <c r="J959" s="62">
        <v>14984.838594966755</v>
      </c>
      <c r="K959" s="62">
        <v>0.88907605775542597</v>
      </c>
      <c r="L959" s="62">
        <f t="shared" si="165"/>
        <v>-4577.2727857083264</v>
      </c>
      <c r="M959" s="62">
        <f t="shared" si="166"/>
        <v>-0.2766204085345314</v>
      </c>
      <c r="N959" s="62">
        <f t="shared" si="167"/>
        <v>-4611.9401028403317</v>
      </c>
      <c r="O959" s="62">
        <f t="shared" si="168"/>
        <v>-0.27890309075292896</v>
      </c>
      <c r="P959" s="62">
        <f t="shared" si="169"/>
        <v>-4510.4511075438222</v>
      </c>
      <c r="Q959" s="62">
        <f t="shared" si="170"/>
        <v>-0.2712887468778814</v>
      </c>
      <c r="R959" s="62">
        <f t="shared" si="171"/>
        <v>15116.834078368473</v>
      </c>
      <c r="S959" s="62">
        <f t="shared" si="172"/>
        <v>21998.285095794578</v>
      </c>
      <c r="T959" s="62">
        <f t="shared" si="173"/>
        <v>22058.17560687747</v>
      </c>
      <c r="U959" s="62">
        <f t="shared" si="174"/>
        <v>21844.248021494008</v>
      </c>
      <c r="V959" s="62">
        <f t="shared" si="164"/>
        <v>1</v>
      </c>
      <c r="W959" s="62">
        <f t="shared" si="164"/>
        <v>0</v>
      </c>
      <c r="X959" s="62">
        <f t="shared" si="164"/>
        <v>0</v>
      </c>
      <c r="Y959" s="62">
        <f t="shared" si="163"/>
        <v>0</v>
      </c>
      <c r="AA959" s="94"/>
    </row>
    <row r="960" spans="2:27" x14ac:dyDescent="0.2">
      <c r="B960" s="94"/>
      <c r="C960" s="62">
        <v>921</v>
      </c>
      <c r="D960" s="62">
        <v>11275.762376236205</v>
      </c>
      <c r="E960" s="62">
        <v>0.61748622793082053</v>
      </c>
      <c r="F960" s="62">
        <v>16222.633466157808</v>
      </c>
      <c r="G960" s="62">
        <v>0.893989014574462</v>
      </c>
      <c r="H960" s="62">
        <v>16277.711207672677</v>
      </c>
      <c r="I960" s="62">
        <v>0.89719967669865563</v>
      </c>
      <c r="J960" s="62">
        <v>16158.250655004587</v>
      </c>
      <c r="K960" s="62">
        <v>0.88947490017590292</v>
      </c>
      <c r="L960" s="62">
        <f t="shared" si="165"/>
        <v>-4946.8710899216021</v>
      </c>
      <c r="M960" s="62">
        <f t="shared" si="166"/>
        <v>-0.27650278664364147</v>
      </c>
      <c r="N960" s="62">
        <f t="shared" si="167"/>
        <v>-5001.9488314364717</v>
      </c>
      <c r="O960" s="62">
        <f t="shared" si="168"/>
        <v>-0.2797134487678351</v>
      </c>
      <c r="P960" s="62">
        <f t="shared" si="169"/>
        <v>-4882.4882787683819</v>
      </c>
      <c r="Q960" s="62">
        <f t="shared" si="170"/>
        <v>-0.27198867224508239</v>
      </c>
      <c r="R960" s="62">
        <f t="shared" si="171"/>
        <v>14302.987129570105</v>
      </c>
      <c r="S960" s="62">
        <f t="shared" si="172"/>
        <v>20809.967473574703</v>
      </c>
      <c r="T960" s="62">
        <f t="shared" si="173"/>
        <v>20887.888199892433</v>
      </c>
      <c r="U960" s="62">
        <f t="shared" si="174"/>
        <v>20687.357609882012</v>
      </c>
      <c r="V960" s="62">
        <f t="shared" si="164"/>
        <v>1</v>
      </c>
      <c r="W960" s="62">
        <f t="shared" si="164"/>
        <v>0</v>
      </c>
      <c r="X960" s="62">
        <f t="shared" si="164"/>
        <v>0</v>
      </c>
      <c r="Y960" s="62">
        <f t="shared" si="163"/>
        <v>0</v>
      </c>
      <c r="AA960" s="94"/>
    </row>
    <row r="961" spans="2:27" x14ac:dyDescent="0.2">
      <c r="B961" s="94"/>
      <c r="C961" s="62">
        <v>922</v>
      </c>
      <c r="D961" s="62">
        <v>8077.4780981405138</v>
      </c>
      <c r="E961" s="62">
        <v>0.61790011700883185</v>
      </c>
      <c r="F961" s="62">
        <v>11608.261746544254</v>
      </c>
      <c r="G961" s="62">
        <v>0.89448383830226841</v>
      </c>
      <c r="H961" s="62">
        <v>11638.658548556583</v>
      </c>
      <c r="I961" s="62">
        <v>0.89728413561292875</v>
      </c>
      <c r="J961" s="62">
        <v>11552.637855258836</v>
      </c>
      <c r="K961" s="62">
        <v>0.88904626413497789</v>
      </c>
      <c r="L961" s="62">
        <f t="shared" si="165"/>
        <v>-3530.7836484037407</v>
      </c>
      <c r="M961" s="62">
        <f t="shared" si="166"/>
        <v>-0.27658372129343656</v>
      </c>
      <c r="N961" s="62">
        <f t="shared" si="167"/>
        <v>-3561.1804504160691</v>
      </c>
      <c r="O961" s="62">
        <f t="shared" si="168"/>
        <v>-0.2793840186040969</v>
      </c>
      <c r="P961" s="62">
        <f t="shared" si="169"/>
        <v>-3475.159757118322</v>
      </c>
      <c r="Q961" s="62">
        <f t="shared" si="170"/>
        <v>-0.27114614712614604</v>
      </c>
      <c r="R961" s="62">
        <f t="shared" si="171"/>
        <v>17518.416348833336</v>
      </c>
      <c r="S961" s="62">
        <f t="shared" si="172"/>
        <v>25444.836771288916</v>
      </c>
      <c r="T961" s="62">
        <f t="shared" si="173"/>
        <v>25530.439485073381</v>
      </c>
      <c r="U961" s="62">
        <f t="shared" si="174"/>
        <v>25275.214590268486</v>
      </c>
      <c r="V961" s="62">
        <f t="shared" si="164"/>
        <v>1</v>
      </c>
      <c r="W961" s="62">
        <f t="shared" si="164"/>
        <v>0</v>
      </c>
      <c r="X961" s="62">
        <f t="shared" si="164"/>
        <v>0</v>
      </c>
      <c r="Y961" s="62">
        <f t="shared" si="163"/>
        <v>0</v>
      </c>
      <c r="AA961" s="94"/>
    </row>
    <row r="962" spans="2:27" x14ac:dyDescent="0.2">
      <c r="B962" s="94"/>
      <c r="C962" s="62">
        <v>923</v>
      </c>
      <c r="D962" s="62">
        <v>7696.0031622314737</v>
      </c>
      <c r="E962" s="62">
        <v>0.61741429924808477</v>
      </c>
      <c r="F962" s="62">
        <v>11050.854690774957</v>
      </c>
      <c r="G962" s="62">
        <v>0.89337805191834196</v>
      </c>
      <c r="H962" s="62">
        <v>11089.109586692683</v>
      </c>
      <c r="I962" s="62">
        <v>0.89703977148590253</v>
      </c>
      <c r="J962" s="62">
        <v>11010.45129341193</v>
      </c>
      <c r="K962" s="62">
        <v>0.88910884968312942</v>
      </c>
      <c r="L962" s="62">
        <f t="shared" si="165"/>
        <v>-3354.8515285434833</v>
      </c>
      <c r="M962" s="62">
        <f t="shared" si="166"/>
        <v>-0.27596375267025719</v>
      </c>
      <c r="N962" s="62">
        <f t="shared" si="167"/>
        <v>-3393.1064244612089</v>
      </c>
      <c r="O962" s="62">
        <f t="shared" si="168"/>
        <v>-0.27962547223781775</v>
      </c>
      <c r="P962" s="62">
        <f t="shared" si="169"/>
        <v>-3314.4481311804566</v>
      </c>
      <c r="Q962" s="62">
        <f t="shared" si="170"/>
        <v>-0.27169455043504465</v>
      </c>
      <c r="R962" s="62">
        <f t="shared" si="171"/>
        <v>17879.766769821188</v>
      </c>
      <c r="S962" s="62">
        <f t="shared" si="172"/>
        <v>25956.437731890444</v>
      </c>
      <c r="T962" s="62">
        <f t="shared" si="173"/>
        <v>26069.865907339343</v>
      </c>
      <c r="U962" s="62">
        <f t="shared" si="174"/>
        <v>25819.99369586202</v>
      </c>
      <c r="V962" s="62">
        <f t="shared" si="164"/>
        <v>1</v>
      </c>
      <c r="W962" s="62">
        <f t="shared" si="164"/>
        <v>0</v>
      </c>
      <c r="X962" s="62">
        <f t="shared" si="164"/>
        <v>0</v>
      </c>
      <c r="Y962" s="62">
        <f t="shared" si="163"/>
        <v>0</v>
      </c>
      <c r="AA962" s="94"/>
    </row>
    <row r="963" spans="2:27" x14ac:dyDescent="0.2">
      <c r="B963" s="94"/>
      <c r="C963" s="62">
        <v>924</v>
      </c>
      <c r="D963" s="62">
        <v>8674.9118296865799</v>
      </c>
      <c r="E963" s="62">
        <v>0.61756968639505239</v>
      </c>
      <c r="F963" s="62">
        <v>12461.772421316115</v>
      </c>
      <c r="G963" s="62">
        <v>0.89391112378486626</v>
      </c>
      <c r="H963" s="62">
        <v>12508.491250434819</v>
      </c>
      <c r="I963" s="62">
        <v>0.89775394320849067</v>
      </c>
      <c r="J963" s="62">
        <v>12411.560660089917</v>
      </c>
      <c r="K963" s="62">
        <v>0.88917767899248645</v>
      </c>
      <c r="L963" s="62">
        <f t="shared" si="165"/>
        <v>-3786.8605916295346</v>
      </c>
      <c r="M963" s="62">
        <f t="shared" si="166"/>
        <v>-0.27634143738981387</v>
      </c>
      <c r="N963" s="62">
        <f t="shared" si="167"/>
        <v>-3833.5794207482395</v>
      </c>
      <c r="O963" s="62">
        <f t="shared" si="168"/>
        <v>-0.28018425681343828</v>
      </c>
      <c r="P963" s="62">
        <f t="shared" si="169"/>
        <v>-3736.6488304033373</v>
      </c>
      <c r="Q963" s="62">
        <f t="shared" si="170"/>
        <v>-0.27160799259743407</v>
      </c>
      <c r="R963" s="62">
        <f t="shared" si="171"/>
        <v>16907.294859542068</v>
      </c>
      <c r="S963" s="62">
        <f t="shared" si="172"/>
        <v>24567.601970348187</v>
      </c>
      <c r="T963" s="62">
        <f t="shared" si="173"/>
        <v>24680.068093033697</v>
      </c>
      <c r="U963" s="62">
        <f t="shared" si="174"/>
        <v>24421.735514494838</v>
      </c>
      <c r="V963" s="62">
        <f t="shared" si="164"/>
        <v>1</v>
      </c>
      <c r="W963" s="62">
        <f t="shared" si="164"/>
        <v>0</v>
      </c>
      <c r="X963" s="62">
        <f t="shared" si="164"/>
        <v>0</v>
      </c>
      <c r="Y963" s="62">
        <f t="shared" si="163"/>
        <v>0</v>
      </c>
      <c r="AA963" s="94"/>
    </row>
    <row r="964" spans="2:27" x14ac:dyDescent="0.2">
      <c r="B964" s="94"/>
      <c r="C964" s="62">
        <v>925</v>
      </c>
      <c r="D964" s="62">
        <v>7880.8660277616191</v>
      </c>
      <c r="E964" s="62">
        <v>0.61780607068060134</v>
      </c>
      <c r="F964" s="62">
        <v>11319.65813167441</v>
      </c>
      <c r="G964" s="62">
        <v>0.89421761276496359</v>
      </c>
      <c r="H964" s="62">
        <v>11358.32559176733</v>
      </c>
      <c r="I964" s="62">
        <v>0.89773409271375626</v>
      </c>
      <c r="J964" s="62">
        <v>11274.366139357968</v>
      </c>
      <c r="K964" s="62">
        <v>0.88942327679197797</v>
      </c>
      <c r="L964" s="62">
        <f t="shared" si="165"/>
        <v>-3438.7921039127914</v>
      </c>
      <c r="M964" s="62">
        <f t="shared" si="166"/>
        <v>-0.27641154208436225</v>
      </c>
      <c r="N964" s="62">
        <f t="shared" si="167"/>
        <v>-3477.4595640057114</v>
      </c>
      <c r="O964" s="62">
        <f t="shared" si="168"/>
        <v>-0.27992802203315492</v>
      </c>
      <c r="P964" s="62">
        <f t="shared" si="169"/>
        <v>-3393.5001115963487</v>
      </c>
      <c r="Q964" s="62">
        <f t="shared" si="170"/>
        <v>-0.27161720611137663</v>
      </c>
      <c r="R964" s="62">
        <f t="shared" si="171"/>
        <v>17711.132644111611</v>
      </c>
      <c r="S964" s="62">
        <f t="shared" si="172"/>
        <v>25722.412259501441</v>
      </c>
      <c r="T964" s="62">
        <f t="shared" si="173"/>
        <v>25829.411464807308</v>
      </c>
      <c r="U964" s="62">
        <f t="shared" si="174"/>
        <v>25569.103678472929</v>
      </c>
      <c r="V964" s="62">
        <f t="shared" si="164"/>
        <v>1</v>
      </c>
      <c r="W964" s="62">
        <f t="shared" si="164"/>
        <v>0</v>
      </c>
      <c r="X964" s="62">
        <f t="shared" si="164"/>
        <v>0</v>
      </c>
      <c r="Y964" s="62">
        <f t="shared" si="163"/>
        <v>0</v>
      </c>
      <c r="AA964" s="94"/>
    </row>
    <row r="965" spans="2:27" x14ac:dyDescent="0.2">
      <c r="B965" s="94"/>
      <c r="C965" s="62">
        <v>926</v>
      </c>
      <c r="D965" s="62">
        <v>8157.0084752993071</v>
      </c>
      <c r="E965" s="62">
        <v>0.61781243242122541</v>
      </c>
      <c r="F965" s="62">
        <v>11713.908606514346</v>
      </c>
      <c r="G965" s="62">
        <v>0.89411846131501482</v>
      </c>
      <c r="H965" s="62">
        <v>11757.248248954873</v>
      </c>
      <c r="I965" s="62">
        <v>0.89801054547848058</v>
      </c>
      <c r="J965" s="62">
        <v>11659.675566114276</v>
      </c>
      <c r="K965" s="62">
        <v>0.88881548099788554</v>
      </c>
      <c r="L965" s="62">
        <f t="shared" si="165"/>
        <v>-3556.9001312150385</v>
      </c>
      <c r="M965" s="62">
        <f t="shared" si="166"/>
        <v>-0.27630602889378941</v>
      </c>
      <c r="N965" s="62">
        <f t="shared" si="167"/>
        <v>-3600.2397736555658</v>
      </c>
      <c r="O965" s="62">
        <f t="shared" si="168"/>
        <v>-0.28019811305725517</v>
      </c>
      <c r="P965" s="62">
        <f t="shared" si="169"/>
        <v>-3502.667090814969</v>
      </c>
      <c r="Q965" s="62">
        <f t="shared" si="170"/>
        <v>-0.27100304857666013</v>
      </c>
      <c r="R965" s="62">
        <f t="shared" si="171"/>
        <v>17435.253725317536</v>
      </c>
      <c r="S965" s="62">
        <f t="shared" si="172"/>
        <v>25324.054534998828</v>
      </c>
      <c r="T965" s="62">
        <f t="shared" si="173"/>
        <v>25441.940586945711</v>
      </c>
      <c r="U965" s="62">
        <f t="shared" si="174"/>
        <v>25158.61691874214</v>
      </c>
      <c r="V965" s="62">
        <f t="shared" si="164"/>
        <v>1</v>
      </c>
      <c r="W965" s="62">
        <f t="shared" si="164"/>
        <v>0</v>
      </c>
      <c r="X965" s="62">
        <f t="shared" si="164"/>
        <v>0</v>
      </c>
      <c r="Y965" s="62">
        <f t="shared" si="163"/>
        <v>0</v>
      </c>
      <c r="AA965" s="94"/>
    </row>
    <row r="966" spans="2:27" x14ac:dyDescent="0.2">
      <c r="B966" s="94"/>
      <c r="C966" s="62">
        <v>927</v>
      </c>
      <c r="D966" s="62">
        <v>12050.999888252536</v>
      </c>
      <c r="E966" s="62">
        <v>0.61774858788585341</v>
      </c>
      <c r="F966" s="62">
        <v>17323.924643626979</v>
      </c>
      <c r="G966" s="62">
        <v>0.89387197397591234</v>
      </c>
      <c r="H966" s="62">
        <v>17378.444525260544</v>
      </c>
      <c r="I966" s="62">
        <v>0.89690348547197274</v>
      </c>
      <c r="J966" s="62">
        <v>17267.558399548809</v>
      </c>
      <c r="K966" s="62">
        <v>0.88987542103037509</v>
      </c>
      <c r="L966" s="62">
        <f t="shared" si="165"/>
        <v>-5272.9247553744426</v>
      </c>
      <c r="M966" s="62">
        <f t="shared" si="166"/>
        <v>-0.27612338609005893</v>
      </c>
      <c r="N966" s="62">
        <f t="shared" si="167"/>
        <v>-5327.4446370080077</v>
      </c>
      <c r="O966" s="62">
        <f t="shared" si="168"/>
        <v>-0.27915489758611933</v>
      </c>
      <c r="P966" s="62">
        <f t="shared" si="169"/>
        <v>-5216.5585112962726</v>
      </c>
      <c r="Q966" s="62">
        <f t="shared" si="170"/>
        <v>-0.27212683314452168</v>
      </c>
      <c r="R966" s="62">
        <f t="shared" si="171"/>
        <v>13538.617616331056</v>
      </c>
      <c r="S966" s="62">
        <f t="shared" si="172"/>
        <v>19703.828006351217</v>
      </c>
      <c r="T966" s="62">
        <f t="shared" si="173"/>
        <v>19774.885456930453</v>
      </c>
      <c r="U966" s="62">
        <f t="shared" si="174"/>
        <v>19594.641041213446</v>
      </c>
      <c r="V966" s="62">
        <f t="shared" si="164"/>
        <v>1</v>
      </c>
      <c r="W966" s="62">
        <f t="shared" si="164"/>
        <v>0</v>
      </c>
      <c r="X966" s="62">
        <f t="shared" si="164"/>
        <v>0</v>
      </c>
      <c r="Y966" s="62">
        <f t="shared" si="163"/>
        <v>0</v>
      </c>
      <c r="AA966" s="94"/>
    </row>
    <row r="967" spans="2:27" x14ac:dyDescent="0.2">
      <c r="B967" s="94"/>
      <c r="C967" s="62">
        <v>928</v>
      </c>
      <c r="D967" s="62">
        <v>8767.6881018647236</v>
      </c>
      <c r="E967" s="62">
        <v>0.61801745775670158</v>
      </c>
      <c r="F967" s="62">
        <v>12591.643571138111</v>
      </c>
      <c r="G967" s="62">
        <v>0.89438027440219625</v>
      </c>
      <c r="H967" s="62">
        <v>12628.248444915816</v>
      </c>
      <c r="I967" s="62">
        <v>0.89727207040380619</v>
      </c>
      <c r="J967" s="62">
        <v>12535.160364863592</v>
      </c>
      <c r="K967" s="62">
        <v>0.88906463271695901</v>
      </c>
      <c r="L967" s="62">
        <f t="shared" si="165"/>
        <v>-3823.9554692733873</v>
      </c>
      <c r="M967" s="62">
        <f t="shared" si="166"/>
        <v>-0.27636281664549467</v>
      </c>
      <c r="N967" s="62">
        <f t="shared" si="167"/>
        <v>-3860.5603430510928</v>
      </c>
      <c r="O967" s="62">
        <f t="shared" si="168"/>
        <v>-0.27925461264710461</v>
      </c>
      <c r="P967" s="62">
        <f t="shared" si="169"/>
        <v>-3767.4722629988682</v>
      </c>
      <c r="Q967" s="62">
        <f t="shared" si="170"/>
        <v>-0.27104717496025743</v>
      </c>
      <c r="R967" s="62">
        <f t="shared" si="171"/>
        <v>16833.067068248885</v>
      </c>
      <c r="S967" s="62">
        <f t="shared" si="172"/>
        <v>24457.164915698464</v>
      </c>
      <c r="T967" s="62">
        <f t="shared" si="173"/>
        <v>24540.349799491451</v>
      </c>
      <c r="U967" s="62">
        <f t="shared" si="174"/>
        <v>24293.452980803719</v>
      </c>
      <c r="V967" s="62">
        <f t="shared" si="164"/>
        <v>1</v>
      </c>
      <c r="W967" s="62">
        <f t="shared" si="164"/>
        <v>0</v>
      </c>
      <c r="X967" s="62">
        <f t="shared" si="164"/>
        <v>0</v>
      </c>
      <c r="Y967" s="62">
        <f t="shared" si="163"/>
        <v>0</v>
      </c>
      <c r="AA967" s="94"/>
    </row>
    <row r="968" spans="2:27" x14ac:dyDescent="0.2">
      <c r="B968" s="94"/>
      <c r="C968" s="62">
        <v>929</v>
      </c>
      <c r="D968" s="62">
        <v>9360.9542375772762</v>
      </c>
      <c r="E968" s="62">
        <v>0.61800888463829262</v>
      </c>
      <c r="F968" s="62">
        <v>13436.168844420612</v>
      </c>
      <c r="G968" s="62">
        <v>0.89345649254341653</v>
      </c>
      <c r="H968" s="62">
        <v>13480.663376853045</v>
      </c>
      <c r="I968" s="62">
        <v>0.89670425050238411</v>
      </c>
      <c r="J968" s="62">
        <v>13390.865001060029</v>
      </c>
      <c r="K968" s="62">
        <v>0.88934818135028093</v>
      </c>
      <c r="L968" s="62">
        <f t="shared" si="165"/>
        <v>-4075.2146068433358</v>
      </c>
      <c r="M968" s="62">
        <f t="shared" si="166"/>
        <v>-0.2754476079051239</v>
      </c>
      <c r="N968" s="62">
        <f t="shared" si="167"/>
        <v>-4119.7091392757684</v>
      </c>
      <c r="O968" s="62">
        <f t="shared" si="168"/>
        <v>-0.27869536586409149</v>
      </c>
      <c r="P968" s="62">
        <f t="shared" si="169"/>
        <v>-4029.9107634827524</v>
      </c>
      <c r="Q968" s="62">
        <f t="shared" si="170"/>
        <v>-0.27133929671198831</v>
      </c>
      <c r="R968" s="62">
        <f t="shared" si="171"/>
        <v>16239.445799679357</v>
      </c>
      <c r="S968" s="62">
        <f t="shared" si="172"/>
        <v>23574.372902697873</v>
      </c>
      <c r="T968" s="62">
        <f t="shared" si="173"/>
        <v>23664.413495957713</v>
      </c>
      <c r="U968" s="62">
        <f t="shared" si="174"/>
        <v>23449.494063194008</v>
      </c>
      <c r="V968" s="62">
        <f t="shared" si="164"/>
        <v>1</v>
      </c>
      <c r="W968" s="62">
        <f t="shared" si="164"/>
        <v>0</v>
      </c>
      <c r="X968" s="62">
        <f t="shared" si="164"/>
        <v>0</v>
      </c>
      <c r="Y968" s="62">
        <f t="shared" si="163"/>
        <v>0</v>
      </c>
      <c r="AA968" s="94"/>
    </row>
    <row r="969" spans="2:27" x14ac:dyDescent="0.2">
      <c r="B969" s="94"/>
      <c r="C969" s="62">
        <v>930</v>
      </c>
      <c r="D969" s="62">
        <v>9665.7885552010066</v>
      </c>
      <c r="E969" s="62">
        <v>0.61783861812871976</v>
      </c>
      <c r="F969" s="62">
        <v>13902.5685478294</v>
      </c>
      <c r="G969" s="62">
        <v>0.89393283144008795</v>
      </c>
      <c r="H969" s="62">
        <v>13954.161380065423</v>
      </c>
      <c r="I969" s="62">
        <v>0.89762648579641402</v>
      </c>
      <c r="J969" s="62">
        <v>13840.646598347339</v>
      </c>
      <c r="K969" s="62">
        <v>0.88914527937352161</v>
      </c>
      <c r="L969" s="62">
        <f t="shared" si="165"/>
        <v>-4236.7799926283933</v>
      </c>
      <c r="M969" s="62">
        <f t="shared" si="166"/>
        <v>-0.27609421331136819</v>
      </c>
      <c r="N969" s="62">
        <f t="shared" si="167"/>
        <v>-4288.3728248644165</v>
      </c>
      <c r="O969" s="62">
        <f t="shared" si="168"/>
        <v>-0.27978786766769426</v>
      </c>
      <c r="P969" s="62">
        <f t="shared" si="169"/>
        <v>-4174.8580431463324</v>
      </c>
      <c r="Q969" s="62">
        <f t="shared" si="170"/>
        <v>-0.27130666124480185</v>
      </c>
      <c r="R969" s="62">
        <f t="shared" si="171"/>
        <v>15927.558362163081</v>
      </c>
      <c r="S969" s="62">
        <f t="shared" si="172"/>
        <v>23127.7050617448</v>
      </c>
      <c r="T969" s="62">
        <f t="shared" si="173"/>
        <v>23229.118167565233</v>
      </c>
      <c r="U969" s="62">
        <f t="shared" si="174"/>
        <v>22991.307454421418</v>
      </c>
      <c r="V969" s="62">
        <f t="shared" si="164"/>
        <v>1</v>
      </c>
      <c r="W969" s="62">
        <f t="shared" si="164"/>
        <v>0</v>
      </c>
      <c r="X969" s="62">
        <f t="shared" si="164"/>
        <v>0</v>
      </c>
      <c r="Y969" s="62">
        <f t="shared" si="163"/>
        <v>0</v>
      </c>
      <c r="AA969" s="94"/>
    </row>
    <row r="970" spans="2:27" x14ac:dyDescent="0.2">
      <c r="B970" s="94"/>
      <c r="C970" s="62">
        <v>931</v>
      </c>
      <c r="D970" s="62">
        <v>9864.9328395542325</v>
      </c>
      <c r="E970" s="62">
        <v>0.61750007258542239</v>
      </c>
      <c r="F970" s="62">
        <v>14184.506697039787</v>
      </c>
      <c r="G970" s="62">
        <v>0.89421695025584103</v>
      </c>
      <c r="H970" s="62">
        <v>14228.205817899388</v>
      </c>
      <c r="I970" s="62">
        <v>0.89731869431383637</v>
      </c>
      <c r="J970" s="62">
        <v>14125.876323461038</v>
      </c>
      <c r="K970" s="62">
        <v>0.88942044193813641</v>
      </c>
      <c r="L970" s="62">
        <f t="shared" si="165"/>
        <v>-4319.573857485555</v>
      </c>
      <c r="M970" s="62">
        <f t="shared" si="166"/>
        <v>-0.27671687767041864</v>
      </c>
      <c r="N970" s="62">
        <f t="shared" si="167"/>
        <v>-4363.2729783451559</v>
      </c>
      <c r="O970" s="62">
        <f t="shared" si="168"/>
        <v>-0.27981862172841399</v>
      </c>
      <c r="P970" s="62">
        <f t="shared" si="169"/>
        <v>-4260.9434839068053</v>
      </c>
      <c r="Q970" s="62">
        <f t="shared" si="170"/>
        <v>-0.27192036935271402</v>
      </c>
      <c r="R970" s="62">
        <f t="shared" si="171"/>
        <v>15714.390167224305</v>
      </c>
      <c r="S970" s="62">
        <f t="shared" si="172"/>
        <v>22857.536250358171</v>
      </c>
      <c r="T970" s="62">
        <f t="shared" si="173"/>
        <v>22942.32377535697</v>
      </c>
      <c r="U970" s="62">
        <f t="shared" si="174"/>
        <v>22717.476063384325</v>
      </c>
      <c r="V970" s="62">
        <f t="shared" si="164"/>
        <v>1</v>
      </c>
      <c r="W970" s="62">
        <f t="shared" si="164"/>
        <v>0</v>
      </c>
      <c r="X970" s="62">
        <f t="shared" si="164"/>
        <v>0</v>
      </c>
      <c r="Y970" s="62">
        <f t="shared" si="163"/>
        <v>0</v>
      </c>
      <c r="AA970" s="94"/>
    </row>
    <row r="971" spans="2:27" x14ac:dyDescent="0.2">
      <c r="B971" s="94"/>
      <c r="C971" s="62">
        <v>932</v>
      </c>
      <c r="D971" s="62">
        <v>8209.0765315472527</v>
      </c>
      <c r="E971" s="62">
        <v>0.61763873989594575</v>
      </c>
      <c r="F971" s="62">
        <v>11791.054821269126</v>
      </c>
      <c r="G971" s="62">
        <v>0.894343216039726</v>
      </c>
      <c r="H971" s="62">
        <v>11828.532889621469</v>
      </c>
      <c r="I971" s="62">
        <v>0.89754242325408617</v>
      </c>
      <c r="J971" s="62">
        <v>11742.459854703824</v>
      </c>
      <c r="K971" s="62">
        <v>0.88923596769546709</v>
      </c>
      <c r="L971" s="62">
        <f t="shared" si="165"/>
        <v>-3581.9782897218738</v>
      </c>
      <c r="M971" s="62">
        <f t="shared" si="166"/>
        <v>-0.27670447614378024</v>
      </c>
      <c r="N971" s="62">
        <f t="shared" si="167"/>
        <v>-3619.456358074216</v>
      </c>
      <c r="O971" s="62">
        <f t="shared" si="168"/>
        <v>-0.27990368335814042</v>
      </c>
      <c r="P971" s="62">
        <f t="shared" si="169"/>
        <v>-3533.3833231565714</v>
      </c>
      <c r="Q971" s="62">
        <f t="shared" si="170"/>
        <v>-0.27159722779952133</v>
      </c>
      <c r="R971" s="62">
        <f t="shared" si="171"/>
        <v>17375.990629902404</v>
      </c>
      <c r="S971" s="62">
        <f t="shared" si="172"/>
        <v>25256.218559960478</v>
      </c>
      <c r="T971" s="62">
        <f t="shared" si="173"/>
        <v>25351.264451255796</v>
      </c>
      <c r="U971" s="62">
        <f t="shared" si="174"/>
        <v>25093.250871113203</v>
      </c>
      <c r="V971" s="62">
        <f t="shared" si="164"/>
        <v>1</v>
      </c>
      <c r="W971" s="62">
        <f t="shared" si="164"/>
        <v>0</v>
      </c>
      <c r="X971" s="62">
        <f t="shared" si="164"/>
        <v>0</v>
      </c>
      <c r="Y971" s="62">
        <f t="shared" si="163"/>
        <v>0</v>
      </c>
      <c r="AA971" s="94"/>
    </row>
    <row r="972" spans="2:27" x14ac:dyDescent="0.2">
      <c r="B972" s="94"/>
      <c r="C972" s="62">
        <v>933</v>
      </c>
      <c r="D972" s="62">
        <v>10028.078709703856</v>
      </c>
      <c r="E972" s="62">
        <v>0.61754879145976949</v>
      </c>
      <c r="F972" s="62">
        <v>14423.77245030491</v>
      </c>
      <c r="G972" s="62">
        <v>0.89437818169400551</v>
      </c>
      <c r="H972" s="62">
        <v>14472.689244475372</v>
      </c>
      <c r="I972" s="62">
        <v>0.89784013711011312</v>
      </c>
      <c r="J972" s="62">
        <v>14368.456141520917</v>
      </c>
      <c r="K972" s="62">
        <v>0.89003720570886902</v>
      </c>
      <c r="L972" s="62">
        <f t="shared" si="165"/>
        <v>-4395.6937406010547</v>
      </c>
      <c r="M972" s="62">
        <f t="shared" si="166"/>
        <v>-0.27682939023423603</v>
      </c>
      <c r="N972" s="62">
        <f t="shared" si="167"/>
        <v>-4444.6105347715165</v>
      </c>
      <c r="O972" s="62">
        <f t="shared" si="168"/>
        <v>-0.28029134565034364</v>
      </c>
      <c r="P972" s="62">
        <f t="shared" si="169"/>
        <v>-4340.3774318170617</v>
      </c>
      <c r="Q972" s="62">
        <f t="shared" si="170"/>
        <v>-0.27248841424909953</v>
      </c>
      <c r="R972" s="62">
        <f t="shared" si="171"/>
        <v>15553.262427725636</v>
      </c>
      <c r="S972" s="62">
        <f t="shared" si="172"/>
        <v>22624.949348187576</v>
      </c>
      <c r="T972" s="62">
        <f t="shared" si="173"/>
        <v>22719.440595173957</v>
      </c>
      <c r="U972" s="62">
        <f t="shared" si="174"/>
        <v>22500.44506776327</v>
      </c>
      <c r="V972" s="62">
        <f t="shared" si="164"/>
        <v>1</v>
      </c>
      <c r="W972" s="62">
        <f t="shared" si="164"/>
        <v>0</v>
      </c>
      <c r="X972" s="62">
        <f t="shared" si="164"/>
        <v>0</v>
      </c>
      <c r="Y972" s="62">
        <f t="shared" si="163"/>
        <v>0</v>
      </c>
      <c r="AA972" s="94"/>
    </row>
    <row r="973" spans="2:27" x14ac:dyDescent="0.2">
      <c r="B973" s="94"/>
      <c r="C973" s="62">
        <v>934</v>
      </c>
      <c r="D973" s="62">
        <v>8613.019546730462</v>
      </c>
      <c r="E973" s="62">
        <v>0.61735553965240664</v>
      </c>
      <c r="F973" s="62">
        <v>12388.024963924434</v>
      </c>
      <c r="G973" s="62">
        <v>0.89478268358412072</v>
      </c>
      <c r="H973" s="62">
        <v>12408.939631529369</v>
      </c>
      <c r="I973" s="62">
        <v>0.89661379625328097</v>
      </c>
      <c r="J973" s="62">
        <v>12325.323760184769</v>
      </c>
      <c r="K973" s="62">
        <v>0.88891205741350854</v>
      </c>
      <c r="L973" s="62">
        <f t="shared" si="165"/>
        <v>-3775.0054171939719</v>
      </c>
      <c r="M973" s="62">
        <f t="shared" si="166"/>
        <v>-0.27742714393171408</v>
      </c>
      <c r="N973" s="62">
        <f t="shared" si="167"/>
        <v>-3795.9200847989068</v>
      </c>
      <c r="O973" s="62">
        <f t="shared" si="168"/>
        <v>-0.27925825660087433</v>
      </c>
      <c r="P973" s="62">
        <f t="shared" si="169"/>
        <v>-3712.3042134543066</v>
      </c>
      <c r="Q973" s="62">
        <f t="shared" si="170"/>
        <v>-0.2715565177611019</v>
      </c>
      <c r="R973" s="62">
        <f t="shared" si="171"/>
        <v>16960.316327830831</v>
      </c>
      <c r="S973" s="62">
        <f t="shared" si="172"/>
        <v>24677.452920864183</v>
      </c>
      <c r="T973" s="62">
        <f t="shared" si="173"/>
        <v>24732.390264466543</v>
      </c>
      <c r="U973" s="62">
        <f t="shared" si="174"/>
        <v>24496.969306112409</v>
      </c>
      <c r="V973" s="62">
        <f t="shared" si="164"/>
        <v>1</v>
      </c>
      <c r="W973" s="62">
        <f t="shared" si="164"/>
        <v>0</v>
      </c>
      <c r="X973" s="62">
        <f t="shared" si="164"/>
        <v>0</v>
      </c>
      <c r="Y973" s="62">
        <f t="shared" si="163"/>
        <v>0</v>
      </c>
      <c r="AA973" s="94"/>
    </row>
    <row r="974" spans="2:27" x14ac:dyDescent="0.2">
      <c r="B974" s="94"/>
      <c r="C974" s="62">
        <v>935</v>
      </c>
      <c r="D974" s="62">
        <v>10249.739407599473</v>
      </c>
      <c r="E974" s="62">
        <v>0.61791551080776475</v>
      </c>
      <c r="F974" s="62">
        <v>14742.214498580222</v>
      </c>
      <c r="G974" s="62">
        <v>0.89467297351539421</v>
      </c>
      <c r="H974" s="62">
        <v>14773.585208676608</v>
      </c>
      <c r="I974" s="62">
        <v>0.89682525506069033</v>
      </c>
      <c r="J974" s="62">
        <v>14672.056740763046</v>
      </c>
      <c r="K974" s="62">
        <v>0.8893426068327972</v>
      </c>
      <c r="L974" s="62">
        <f t="shared" si="165"/>
        <v>-4492.4750909807499</v>
      </c>
      <c r="M974" s="62">
        <f t="shared" si="166"/>
        <v>-0.27675746270762946</v>
      </c>
      <c r="N974" s="62">
        <f t="shared" si="167"/>
        <v>-4523.8458010771355</v>
      </c>
      <c r="O974" s="62">
        <f t="shared" si="168"/>
        <v>-0.27890974425292558</v>
      </c>
      <c r="P974" s="62">
        <f t="shared" si="169"/>
        <v>-4422.3173331635735</v>
      </c>
      <c r="Q974" s="62">
        <f t="shared" si="170"/>
        <v>-0.27142709602503245</v>
      </c>
      <c r="R974" s="62">
        <f t="shared" si="171"/>
        <v>15346.792712101373</v>
      </c>
      <c r="S974" s="62">
        <f t="shared" si="172"/>
        <v>22318.718756321468</v>
      </c>
      <c r="T974" s="62">
        <f t="shared" si="173"/>
        <v>22376.504156957424</v>
      </c>
      <c r="U974" s="62">
        <f t="shared" si="174"/>
        <v>22168.071404678747</v>
      </c>
      <c r="V974" s="62">
        <f t="shared" si="164"/>
        <v>1</v>
      </c>
      <c r="W974" s="62">
        <f t="shared" si="164"/>
        <v>0</v>
      </c>
      <c r="X974" s="62">
        <f t="shared" si="164"/>
        <v>0</v>
      </c>
      <c r="Y974" s="62">
        <f t="shared" si="163"/>
        <v>0</v>
      </c>
      <c r="AA974" s="94"/>
    </row>
    <row r="975" spans="2:27" x14ac:dyDescent="0.2">
      <c r="B975" s="94"/>
      <c r="C975" s="62">
        <v>936</v>
      </c>
      <c r="D975" s="62">
        <v>12464.586756706074</v>
      </c>
      <c r="E975" s="62">
        <v>0.61800380645352282</v>
      </c>
      <c r="F975" s="62">
        <v>17935.291897432147</v>
      </c>
      <c r="G975" s="62">
        <v>0.89430802820166122</v>
      </c>
      <c r="H975" s="62">
        <v>17998.121283398501</v>
      </c>
      <c r="I975" s="62">
        <v>0.89774912149402941</v>
      </c>
      <c r="J975" s="62">
        <v>17854.655362790138</v>
      </c>
      <c r="K975" s="62">
        <v>0.88936160468595882</v>
      </c>
      <c r="L975" s="62">
        <f t="shared" si="165"/>
        <v>-5470.7051407260733</v>
      </c>
      <c r="M975" s="62">
        <f t="shared" si="166"/>
        <v>-0.2763042217481384</v>
      </c>
      <c r="N975" s="62">
        <f t="shared" si="167"/>
        <v>-5533.5345266924269</v>
      </c>
      <c r="O975" s="62">
        <f t="shared" si="168"/>
        <v>-0.27974531504050659</v>
      </c>
      <c r="P975" s="62">
        <f t="shared" si="169"/>
        <v>-5390.0686060840635</v>
      </c>
      <c r="Q975" s="62">
        <f t="shared" si="170"/>
        <v>-0.271357798232436</v>
      </c>
      <c r="R975" s="62">
        <f t="shared" si="171"/>
        <v>13135.602921824655</v>
      </c>
      <c r="S975" s="62">
        <f t="shared" si="172"/>
        <v>19110.52386279347</v>
      </c>
      <c r="T975" s="62">
        <f t="shared" si="173"/>
        <v>19190.238325370174</v>
      </c>
      <c r="U975" s="62">
        <f t="shared" si="174"/>
        <v>18986.259749721023</v>
      </c>
      <c r="V975" s="62">
        <f t="shared" si="164"/>
        <v>1</v>
      </c>
      <c r="W975" s="62">
        <f t="shared" si="164"/>
        <v>0</v>
      </c>
      <c r="X975" s="62">
        <f t="shared" si="164"/>
        <v>0</v>
      </c>
      <c r="Y975" s="62">
        <f t="shared" si="163"/>
        <v>0</v>
      </c>
      <c r="AA975" s="94"/>
    </row>
    <row r="976" spans="2:27" x14ac:dyDescent="0.2">
      <c r="B976" s="94"/>
      <c r="C976" s="62">
        <v>937</v>
      </c>
      <c r="D976" s="62">
        <v>9890.6753712652517</v>
      </c>
      <c r="E976" s="62">
        <v>0.61749084004150867</v>
      </c>
      <c r="F976" s="62">
        <v>14230.268603149556</v>
      </c>
      <c r="G976" s="62">
        <v>0.89478024175077642</v>
      </c>
      <c r="H976" s="62">
        <v>14268.620844912359</v>
      </c>
      <c r="I976" s="62">
        <v>0.89751260058674232</v>
      </c>
      <c r="J976" s="62">
        <v>14161.808330396439</v>
      </c>
      <c r="K976" s="62">
        <v>0.8893641917537235</v>
      </c>
      <c r="L976" s="62">
        <f t="shared" si="165"/>
        <v>-4339.5932318843043</v>
      </c>
      <c r="M976" s="62">
        <f t="shared" si="166"/>
        <v>-0.27728940170926775</v>
      </c>
      <c r="N976" s="62">
        <f t="shared" si="167"/>
        <v>-4377.9454736471071</v>
      </c>
      <c r="O976" s="62">
        <f t="shared" si="168"/>
        <v>-0.28002176054523364</v>
      </c>
      <c r="P976" s="62">
        <f t="shared" si="169"/>
        <v>-4271.1329591311878</v>
      </c>
      <c r="Q976" s="62">
        <f t="shared" si="170"/>
        <v>-0.27187335171221483</v>
      </c>
      <c r="R976" s="62">
        <f t="shared" si="171"/>
        <v>15688.265186614202</v>
      </c>
      <c r="S976" s="62">
        <f t="shared" si="172"/>
        <v>22835.108131134606</v>
      </c>
      <c r="T976" s="62">
        <f t="shared" si="173"/>
        <v>22909.941121792857</v>
      </c>
      <c r="U976" s="62">
        <f t="shared" si="174"/>
        <v>22679.213948809804</v>
      </c>
      <c r="V976" s="62">
        <f t="shared" si="164"/>
        <v>1</v>
      </c>
      <c r="W976" s="62">
        <f t="shared" si="164"/>
        <v>0</v>
      </c>
      <c r="X976" s="62">
        <f t="shared" si="164"/>
        <v>0</v>
      </c>
      <c r="Y976" s="62">
        <f t="shared" si="163"/>
        <v>0</v>
      </c>
      <c r="AA976" s="94"/>
    </row>
    <row r="977" spans="2:27" x14ac:dyDescent="0.2">
      <c r="B977" s="94"/>
      <c r="C977" s="62">
        <v>938</v>
      </c>
      <c r="D977" s="62">
        <v>6964.8375735044465</v>
      </c>
      <c r="E977" s="62">
        <v>0.617663121136797</v>
      </c>
      <c r="F977" s="62">
        <v>9993.7371464006792</v>
      </c>
      <c r="G977" s="62">
        <v>0.89501778444179747</v>
      </c>
      <c r="H977" s="62">
        <v>10008.877383679246</v>
      </c>
      <c r="I977" s="62">
        <v>0.89681161064575354</v>
      </c>
      <c r="J977" s="62">
        <v>9948.0621591030085</v>
      </c>
      <c r="K977" s="62">
        <v>0.88946968715962238</v>
      </c>
      <c r="L977" s="62">
        <f t="shared" si="165"/>
        <v>-3028.8995728962327</v>
      </c>
      <c r="M977" s="62">
        <f t="shared" si="166"/>
        <v>-0.27735466330500047</v>
      </c>
      <c r="N977" s="62">
        <f t="shared" si="167"/>
        <v>-3044.0398101747996</v>
      </c>
      <c r="O977" s="62">
        <f t="shared" si="168"/>
        <v>-0.27914848950895654</v>
      </c>
      <c r="P977" s="62">
        <f t="shared" si="169"/>
        <v>-2983.224585598562</v>
      </c>
      <c r="Q977" s="62">
        <f t="shared" si="170"/>
        <v>-0.27180656602282538</v>
      </c>
      <c r="R977" s="62">
        <f t="shared" si="171"/>
        <v>18621.239556466233</v>
      </c>
      <c r="S977" s="62">
        <f t="shared" si="172"/>
        <v>27081.479556316342</v>
      </c>
      <c r="T977" s="62">
        <f t="shared" si="173"/>
        <v>27140.646775710447</v>
      </c>
      <c r="U977" s="62">
        <f t="shared" si="174"/>
        <v>26897.330161797188</v>
      </c>
      <c r="V977" s="62">
        <f t="shared" si="164"/>
        <v>1</v>
      </c>
      <c r="W977" s="62">
        <f t="shared" si="164"/>
        <v>0</v>
      </c>
      <c r="X977" s="62">
        <f t="shared" si="164"/>
        <v>0</v>
      </c>
      <c r="Y977" s="62">
        <f t="shared" si="163"/>
        <v>0</v>
      </c>
      <c r="AA977" s="94"/>
    </row>
    <row r="978" spans="2:27" x14ac:dyDescent="0.2">
      <c r="B978" s="94"/>
      <c r="C978" s="62">
        <v>939</v>
      </c>
      <c r="D978" s="62">
        <v>10772.319174563538</v>
      </c>
      <c r="E978" s="62">
        <v>0.61787295672006348</v>
      </c>
      <c r="F978" s="62">
        <v>15503.412848606467</v>
      </c>
      <c r="G978" s="62">
        <v>0.89533012070229478</v>
      </c>
      <c r="H978" s="62">
        <v>15523.566256962453</v>
      </c>
      <c r="I978" s="62">
        <v>0.89679484413598831</v>
      </c>
      <c r="J978" s="62">
        <v>15424.392187491834</v>
      </c>
      <c r="K978" s="62">
        <v>0.88969940216562093</v>
      </c>
      <c r="L978" s="62">
        <f t="shared" si="165"/>
        <v>-4731.0936740429297</v>
      </c>
      <c r="M978" s="62">
        <f t="shared" si="166"/>
        <v>-0.2774571639822313</v>
      </c>
      <c r="N978" s="62">
        <f t="shared" si="167"/>
        <v>-4751.2470823989152</v>
      </c>
      <c r="O978" s="62">
        <f t="shared" si="168"/>
        <v>-0.27892188741592483</v>
      </c>
      <c r="P978" s="62">
        <f t="shared" si="169"/>
        <v>-4652.0730129282965</v>
      </c>
      <c r="Q978" s="62">
        <f t="shared" si="170"/>
        <v>-0.27182644544555745</v>
      </c>
      <c r="R978" s="62">
        <f t="shared" si="171"/>
        <v>14822.450184608373</v>
      </c>
      <c r="S978" s="62">
        <f t="shared" si="172"/>
        <v>21584.742071365392</v>
      </c>
      <c r="T978" s="62">
        <f t="shared" si="173"/>
        <v>21625.263366526728</v>
      </c>
      <c r="U978" s="62">
        <f t="shared" si="174"/>
        <v>21430.515847816849</v>
      </c>
      <c r="V978" s="62">
        <f t="shared" si="164"/>
        <v>1</v>
      </c>
      <c r="W978" s="62">
        <f t="shared" si="164"/>
        <v>0</v>
      </c>
      <c r="X978" s="62">
        <f t="shared" si="164"/>
        <v>0</v>
      </c>
      <c r="Y978" s="62">
        <f t="shared" si="163"/>
        <v>0</v>
      </c>
      <c r="AA978" s="94"/>
    </row>
    <row r="979" spans="2:27" x14ac:dyDescent="0.2">
      <c r="B979" s="94"/>
      <c r="C979" s="62">
        <v>940</v>
      </c>
      <c r="D979" s="62">
        <v>9475.4386776779247</v>
      </c>
      <c r="E979" s="62">
        <v>0.61770273357481675</v>
      </c>
      <c r="F979" s="62">
        <v>13613.776798451701</v>
      </c>
      <c r="G979" s="62">
        <v>0.89401065634255517</v>
      </c>
      <c r="H979" s="62">
        <v>13653.337925357448</v>
      </c>
      <c r="I979" s="62">
        <v>0.89701442370644369</v>
      </c>
      <c r="J979" s="62">
        <v>13562.679490421182</v>
      </c>
      <c r="K979" s="62">
        <v>0.8895164910406026</v>
      </c>
      <c r="L979" s="62">
        <f t="shared" si="165"/>
        <v>-4138.3381207737766</v>
      </c>
      <c r="M979" s="62">
        <f t="shared" si="166"/>
        <v>-0.27630792276773841</v>
      </c>
      <c r="N979" s="62">
        <f t="shared" si="167"/>
        <v>-4177.8992476795229</v>
      </c>
      <c r="O979" s="62">
        <f t="shared" si="168"/>
        <v>-0.27931169013162693</v>
      </c>
      <c r="P979" s="62">
        <f t="shared" si="169"/>
        <v>-4087.2408127432573</v>
      </c>
      <c r="Q979" s="62">
        <f t="shared" si="170"/>
        <v>-0.27181375746578584</v>
      </c>
      <c r="R979" s="62">
        <f t="shared" si="171"/>
        <v>16112.279357925283</v>
      </c>
      <c r="S979" s="62">
        <f t="shared" si="172"/>
        <v>23419.720629882304</v>
      </c>
      <c r="T979" s="62">
        <f t="shared" si="173"/>
        <v>23504.587562258275</v>
      </c>
      <c r="U979" s="62">
        <f t="shared" si="174"/>
        <v>23284.651634444741</v>
      </c>
      <c r="V979" s="62">
        <f t="shared" si="164"/>
        <v>1</v>
      </c>
      <c r="W979" s="62">
        <f t="shared" si="164"/>
        <v>0</v>
      </c>
      <c r="X979" s="62">
        <f t="shared" si="164"/>
        <v>0</v>
      </c>
      <c r="Y979" s="62">
        <f t="shared" si="163"/>
        <v>0</v>
      </c>
      <c r="AA979" s="94"/>
    </row>
    <row r="980" spans="2:27" x14ac:dyDescent="0.2">
      <c r="B980" s="94"/>
      <c r="C980" s="62">
        <v>941</v>
      </c>
      <c r="D980" s="62">
        <v>8471.0922791837347</v>
      </c>
      <c r="E980" s="62">
        <v>0.61771499656571194</v>
      </c>
      <c r="F980" s="62">
        <v>12166.126396782278</v>
      </c>
      <c r="G980" s="62">
        <v>0.8947804127943696</v>
      </c>
      <c r="H980" s="62">
        <v>12190.830207812087</v>
      </c>
      <c r="I980" s="62">
        <v>0.89687218711325734</v>
      </c>
      <c r="J980" s="62">
        <v>12113.335196450633</v>
      </c>
      <c r="K980" s="62">
        <v>0.88951996962215363</v>
      </c>
      <c r="L980" s="62">
        <f t="shared" si="165"/>
        <v>-3695.0341175985432</v>
      </c>
      <c r="M980" s="62">
        <f t="shared" si="166"/>
        <v>-0.27706541622865766</v>
      </c>
      <c r="N980" s="62">
        <f t="shared" si="167"/>
        <v>-3719.7379286283522</v>
      </c>
      <c r="O980" s="62">
        <f t="shared" si="168"/>
        <v>-0.2791571905475454</v>
      </c>
      <c r="P980" s="62">
        <f t="shared" si="169"/>
        <v>-3642.2429172668981</v>
      </c>
      <c r="Q980" s="62">
        <f t="shared" si="170"/>
        <v>-0.27180497305644169</v>
      </c>
      <c r="R980" s="62">
        <f t="shared" si="171"/>
        <v>17117.133738554316</v>
      </c>
      <c r="S980" s="62">
        <f t="shared" si="172"/>
        <v>24899.25742281169</v>
      </c>
      <c r="T980" s="62">
        <f t="shared" si="173"/>
        <v>24961.203271167487</v>
      </c>
      <c r="U980" s="62">
        <f t="shared" si="174"/>
        <v>24734.140025177458</v>
      </c>
      <c r="V980" s="62">
        <f t="shared" si="164"/>
        <v>1</v>
      </c>
      <c r="W980" s="62">
        <f t="shared" si="164"/>
        <v>0</v>
      </c>
      <c r="X980" s="62">
        <f t="shared" si="164"/>
        <v>0</v>
      </c>
      <c r="Y980" s="62">
        <f t="shared" si="163"/>
        <v>0</v>
      </c>
      <c r="AA980" s="94"/>
    </row>
    <row r="981" spans="2:27" x14ac:dyDescent="0.2">
      <c r="B981" s="94"/>
      <c r="C981" s="62">
        <v>942</v>
      </c>
      <c r="D981" s="62">
        <v>10253.986679195672</v>
      </c>
      <c r="E981" s="62">
        <v>0.61769613429094927</v>
      </c>
      <c r="F981" s="62">
        <v>14742.072081000824</v>
      </c>
      <c r="G981" s="62">
        <v>0.89409076969308454</v>
      </c>
      <c r="H981" s="62">
        <v>14777.97303101985</v>
      </c>
      <c r="I981" s="62">
        <v>0.89650960772384414</v>
      </c>
      <c r="J981" s="62">
        <v>14684.530126753789</v>
      </c>
      <c r="K981" s="62">
        <v>0.88950071979999112</v>
      </c>
      <c r="L981" s="62">
        <f t="shared" si="165"/>
        <v>-4488.0854018051523</v>
      </c>
      <c r="M981" s="62">
        <f t="shared" si="166"/>
        <v>-0.27639463540213527</v>
      </c>
      <c r="N981" s="62">
        <f t="shared" si="167"/>
        <v>-4523.9863518241782</v>
      </c>
      <c r="O981" s="62">
        <f t="shared" si="168"/>
        <v>-0.27881347343289486</v>
      </c>
      <c r="P981" s="62">
        <f t="shared" si="169"/>
        <v>-4430.5434475581169</v>
      </c>
      <c r="Q981" s="62">
        <f t="shared" si="170"/>
        <v>-0.27180458550904185</v>
      </c>
      <c r="R981" s="62">
        <f t="shared" si="171"/>
        <v>15333.457987672611</v>
      </c>
      <c r="S981" s="62">
        <f t="shared" si="172"/>
        <v>22294.743962765508</v>
      </c>
      <c r="T981" s="62">
        <f t="shared" si="173"/>
        <v>22359.040959332669</v>
      </c>
      <c r="U981" s="62">
        <f t="shared" si="174"/>
        <v>22162.147690241043</v>
      </c>
      <c r="V981" s="62">
        <f t="shared" si="164"/>
        <v>1</v>
      </c>
      <c r="W981" s="62">
        <f t="shared" si="164"/>
        <v>0</v>
      </c>
      <c r="X981" s="62">
        <f t="shared" si="164"/>
        <v>0</v>
      </c>
      <c r="Y981" s="62">
        <f t="shared" si="163"/>
        <v>0</v>
      </c>
      <c r="AA981" s="94"/>
    </row>
    <row r="982" spans="2:27" x14ac:dyDescent="0.2">
      <c r="B982" s="94"/>
      <c r="C982" s="62">
        <v>943</v>
      </c>
      <c r="D982" s="62">
        <v>11893.567913659703</v>
      </c>
      <c r="E982" s="62">
        <v>0.61766976769054915</v>
      </c>
      <c r="F982" s="62">
        <v>17114.974094553676</v>
      </c>
      <c r="G982" s="62">
        <v>0.89409248324825374</v>
      </c>
      <c r="H982" s="62">
        <v>17165.702109236248</v>
      </c>
      <c r="I982" s="62">
        <v>0.89701585284503615</v>
      </c>
      <c r="J982" s="62">
        <v>17040.495539304746</v>
      </c>
      <c r="K982" s="62">
        <v>0.88918409765983597</v>
      </c>
      <c r="L982" s="62">
        <f t="shared" si="165"/>
        <v>-5221.4061808939732</v>
      </c>
      <c r="M982" s="62">
        <f t="shared" si="166"/>
        <v>-0.27642271555770459</v>
      </c>
      <c r="N982" s="62">
        <f t="shared" si="167"/>
        <v>-5272.1341955765456</v>
      </c>
      <c r="O982" s="62">
        <f t="shared" si="168"/>
        <v>-0.279346085154487</v>
      </c>
      <c r="P982" s="62">
        <f t="shared" si="169"/>
        <v>-5146.927625645043</v>
      </c>
      <c r="Q982" s="62">
        <f t="shared" si="170"/>
        <v>-0.27151432996928682</v>
      </c>
      <c r="R982" s="62">
        <f t="shared" si="171"/>
        <v>13692.784543153604</v>
      </c>
      <c r="S982" s="62">
        <f t="shared" si="172"/>
        <v>19921.912931521991</v>
      </c>
      <c r="T982" s="62">
        <f t="shared" si="173"/>
        <v>19992.28257901653</v>
      </c>
      <c r="U982" s="62">
        <f t="shared" si="174"/>
        <v>19793.066522156299</v>
      </c>
      <c r="V982" s="62">
        <f t="shared" si="164"/>
        <v>1</v>
      </c>
      <c r="W982" s="62">
        <f t="shared" si="164"/>
        <v>0</v>
      </c>
      <c r="X982" s="62">
        <f t="shared" si="164"/>
        <v>0</v>
      </c>
      <c r="Y982" s="62">
        <f t="shared" si="163"/>
        <v>0</v>
      </c>
      <c r="AA982" s="94"/>
    </row>
    <row r="983" spans="2:27" x14ac:dyDescent="0.2">
      <c r="B983" s="94"/>
      <c r="C983" s="62">
        <v>944</v>
      </c>
      <c r="D983" s="62">
        <v>10868.861953128702</v>
      </c>
      <c r="E983" s="62">
        <v>0.61776103125383286</v>
      </c>
      <c r="F983" s="62">
        <v>15634.343075955572</v>
      </c>
      <c r="G983" s="62">
        <v>0.89454875366603936</v>
      </c>
      <c r="H983" s="62">
        <v>15681.715097551905</v>
      </c>
      <c r="I983" s="62">
        <v>0.89754081089520099</v>
      </c>
      <c r="J983" s="62">
        <v>15561.756772731547</v>
      </c>
      <c r="K983" s="62">
        <v>0.88917413093730846</v>
      </c>
      <c r="L983" s="62">
        <f t="shared" si="165"/>
        <v>-4765.48112282687</v>
      </c>
      <c r="M983" s="62">
        <f t="shared" si="166"/>
        <v>-0.2767877224122065</v>
      </c>
      <c r="N983" s="62">
        <f t="shared" si="167"/>
        <v>-4812.853144423203</v>
      </c>
      <c r="O983" s="62">
        <f t="shared" si="168"/>
        <v>-0.27977977964136813</v>
      </c>
      <c r="P983" s="62">
        <f t="shared" si="169"/>
        <v>-4692.894819602845</v>
      </c>
      <c r="Q983" s="62">
        <f t="shared" si="170"/>
        <v>-0.2714130996834756</v>
      </c>
      <c r="R983" s="62">
        <f t="shared" si="171"/>
        <v>14721.271005530069</v>
      </c>
      <c r="S983" s="62">
        <f t="shared" si="172"/>
        <v>21421.444495906442</v>
      </c>
      <c r="T983" s="62">
        <f t="shared" si="173"/>
        <v>21498.015452970903</v>
      </c>
      <c r="U983" s="62">
        <f t="shared" si="174"/>
        <v>21271.39242721552</v>
      </c>
      <c r="V983" s="62">
        <f t="shared" si="164"/>
        <v>1</v>
      </c>
      <c r="W983" s="62">
        <f t="shared" si="164"/>
        <v>0</v>
      </c>
      <c r="X983" s="62">
        <f t="shared" si="164"/>
        <v>0</v>
      </c>
      <c r="Y983" s="62">
        <f t="shared" si="163"/>
        <v>0</v>
      </c>
      <c r="AA983" s="94"/>
    </row>
    <row r="984" spans="2:27" x14ac:dyDescent="0.2">
      <c r="B984" s="94"/>
      <c r="C984" s="62">
        <v>945</v>
      </c>
      <c r="D984" s="62">
        <v>8885.8153453980995</v>
      </c>
      <c r="E984" s="62">
        <v>0.61755940419166833</v>
      </c>
      <c r="F984" s="62">
        <v>12772.702274083975</v>
      </c>
      <c r="G984" s="62">
        <v>0.89443781855923599</v>
      </c>
      <c r="H984" s="62">
        <v>12804.50287820051</v>
      </c>
      <c r="I984" s="62">
        <v>0.89704689364818546</v>
      </c>
      <c r="J984" s="62">
        <v>12719.204595155219</v>
      </c>
      <c r="K984" s="62">
        <v>0.88961451913742284</v>
      </c>
      <c r="L984" s="62">
        <f t="shared" si="165"/>
        <v>-3886.8869286858753</v>
      </c>
      <c r="M984" s="62">
        <f t="shared" si="166"/>
        <v>-0.27687841436756766</v>
      </c>
      <c r="N984" s="62">
        <f t="shared" si="167"/>
        <v>-3918.6875328024107</v>
      </c>
      <c r="O984" s="62">
        <f t="shared" si="168"/>
        <v>-0.27948748945651714</v>
      </c>
      <c r="P984" s="62">
        <f t="shared" si="169"/>
        <v>-3833.3892497571196</v>
      </c>
      <c r="Q984" s="62">
        <f t="shared" si="170"/>
        <v>-0.27205511494575452</v>
      </c>
      <c r="R984" s="62">
        <f t="shared" si="171"/>
        <v>16695.96541383757</v>
      </c>
      <c r="S984" s="62">
        <f t="shared" si="172"/>
        <v>24278.489921913817</v>
      </c>
      <c r="T984" s="62">
        <f t="shared" si="173"/>
        <v>24354.767644281921</v>
      </c>
      <c r="U984" s="62">
        <f t="shared" si="174"/>
        <v>24132.187245593384</v>
      </c>
      <c r="V984" s="62">
        <f t="shared" si="164"/>
        <v>1</v>
      </c>
      <c r="W984" s="62">
        <f t="shared" si="164"/>
        <v>0</v>
      </c>
      <c r="X984" s="62">
        <f t="shared" si="164"/>
        <v>0</v>
      </c>
      <c r="Y984" s="62">
        <f t="shared" si="163"/>
        <v>0</v>
      </c>
      <c r="AA984" s="94"/>
    </row>
    <row r="985" spans="2:27" x14ac:dyDescent="0.2">
      <c r="B985" s="94"/>
      <c r="C985" s="62">
        <v>946</v>
      </c>
      <c r="D985" s="62">
        <v>10950.322599123263</v>
      </c>
      <c r="E985" s="62">
        <v>0.61782898975418687</v>
      </c>
      <c r="F985" s="62">
        <v>15759.730580883986</v>
      </c>
      <c r="G985" s="62">
        <v>0.89471859519438701</v>
      </c>
      <c r="H985" s="62">
        <v>15792.758026122705</v>
      </c>
      <c r="I985" s="62">
        <v>0.89686998253898076</v>
      </c>
      <c r="J985" s="62">
        <v>15685.746922837337</v>
      </c>
      <c r="K985" s="62">
        <v>0.88950052993018836</v>
      </c>
      <c r="L985" s="62">
        <f t="shared" si="165"/>
        <v>-4809.4079817607235</v>
      </c>
      <c r="M985" s="62">
        <f t="shared" si="166"/>
        <v>-0.27688960544020014</v>
      </c>
      <c r="N985" s="62">
        <f t="shared" si="167"/>
        <v>-4842.4354269994419</v>
      </c>
      <c r="O985" s="62">
        <f t="shared" si="168"/>
        <v>-0.27904099278479388</v>
      </c>
      <c r="P985" s="62">
        <f t="shared" si="169"/>
        <v>-4735.4243237140745</v>
      </c>
      <c r="Q985" s="62">
        <f t="shared" si="170"/>
        <v>-0.27167154017600148</v>
      </c>
      <c r="R985" s="62">
        <f t="shared" si="171"/>
        <v>14642.625472454174</v>
      </c>
      <c r="S985" s="62">
        <f t="shared" si="172"/>
        <v>21303.092506448302</v>
      </c>
      <c r="T985" s="62">
        <f t="shared" si="173"/>
        <v>21359.184130572037</v>
      </c>
      <c r="U985" s="62">
        <f t="shared" si="174"/>
        <v>21160.923028990786</v>
      </c>
      <c r="V985" s="62">
        <f t="shared" si="164"/>
        <v>1</v>
      </c>
      <c r="W985" s="62">
        <f t="shared" si="164"/>
        <v>0</v>
      </c>
      <c r="X985" s="62">
        <f t="shared" si="164"/>
        <v>0</v>
      </c>
      <c r="Y985" s="62">
        <f t="shared" si="163"/>
        <v>0</v>
      </c>
      <c r="AA985" s="94"/>
    </row>
    <row r="986" spans="2:27" x14ac:dyDescent="0.2">
      <c r="B986" s="94"/>
      <c r="C986" s="62">
        <v>947</v>
      </c>
      <c r="D986" s="62">
        <v>9300.142027185193</v>
      </c>
      <c r="E986" s="62">
        <v>0.61793349508312578</v>
      </c>
      <c r="F986" s="62">
        <v>13361.274791876916</v>
      </c>
      <c r="G986" s="62">
        <v>0.89380308244028328</v>
      </c>
      <c r="H986" s="62">
        <v>13405.529206725008</v>
      </c>
      <c r="I986" s="62">
        <v>0.89719736862726029</v>
      </c>
      <c r="J986" s="62">
        <v>13305.509255026158</v>
      </c>
      <c r="K986" s="62">
        <v>0.88904268368174899</v>
      </c>
      <c r="L986" s="62">
        <f t="shared" si="165"/>
        <v>-4061.1327646917234</v>
      </c>
      <c r="M986" s="62">
        <f t="shared" si="166"/>
        <v>-0.2758695873571575</v>
      </c>
      <c r="N986" s="62">
        <f t="shared" si="167"/>
        <v>-4105.3871795398154</v>
      </c>
      <c r="O986" s="62">
        <f t="shared" si="168"/>
        <v>-0.27926387354413451</v>
      </c>
      <c r="P986" s="62">
        <f t="shared" si="169"/>
        <v>-4005.3672278409649</v>
      </c>
      <c r="Q986" s="62">
        <f t="shared" si="170"/>
        <v>-0.27110918859862321</v>
      </c>
      <c r="R986" s="62">
        <f t="shared" si="171"/>
        <v>16297.135073138208</v>
      </c>
      <c r="S986" s="62">
        <f t="shared" si="172"/>
        <v>23663.62409512938</v>
      </c>
      <c r="T986" s="62">
        <f t="shared" si="173"/>
        <v>23759.974591290626</v>
      </c>
      <c r="U986" s="62">
        <f t="shared" si="174"/>
        <v>23522.194873806609</v>
      </c>
      <c r="V986" s="62">
        <f t="shared" si="164"/>
        <v>1</v>
      </c>
      <c r="W986" s="62">
        <f t="shared" si="164"/>
        <v>0</v>
      </c>
      <c r="X986" s="62">
        <f t="shared" si="164"/>
        <v>0</v>
      </c>
      <c r="Y986" s="62">
        <f t="shared" si="163"/>
        <v>0</v>
      </c>
      <c r="AA986" s="94"/>
    </row>
    <row r="987" spans="2:27" x14ac:dyDescent="0.2">
      <c r="B987" s="94"/>
      <c r="C987" s="62">
        <v>948</v>
      </c>
      <c r="D987" s="62">
        <v>9194.0070234905379</v>
      </c>
      <c r="E987" s="62">
        <v>0.61753555342700939</v>
      </c>
      <c r="F987" s="62">
        <v>13219.815845883011</v>
      </c>
      <c r="G987" s="62">
        <v>0.89423238758389512</v>
      </c>
      <c r="H987" s="62">
        <v>13263.890548508176</v>
      </c>
      <c r="I987" s="62">
        <v>0.89761967392975406</v>
      </c>
      <c r="J987" s="62">
        <v>13164.713168402506</v>
      </c>
      <c r="K987" s="62">
        <v>0.88951416437316211</v>
      </c>
      <c r="L987" s="62">
        <f t="shared" si="165"/>
        <v>-4025.8088223924733</v>
      </c>
      <c r="M987" s="62">
        <f t="shared" si="166"/>
        <v>-0.27669683415688573</v>
      </c>
      <c r="N987" s="62">
        <f t="shared" si="167"/>
        <v>-4069.883525017638</v>
      </c>
      <c r="O987" s="62">
        <f t="shared" si="168"/>
        <v>-0.28008412050274467</v>
      </c>
      <c r="P987" s="62">
        <f t="shared" si="169"/>
        <v>-3970.7061449119683</v>
      </c>
      <c r="Q987" s="62">
        <f t="shared" si="170"/>
        <v>-0.27197861094615272</v>
      </c>
      <c r="R987" s="62">
        <f t="shared" si="171"/>
        <v>16386.785741669897</v>
      </c>
      <c r="S987" s="62">
        <f t="shared" si="172"/>
        <v>23822.866577392258</v>
      </c>
      <c r="T987" s="62">
        <f t="shared" si="173"/>
        <v>23919.106824357958</v>
      </c>
      <c r="U987" s="62">
        <f t="shared" si="174"/>
        <v>23682.52157659136</v>
      </c>
      <c r="V987" s="62">
        <f t="shared" si="164"/>
        <v>1</v>
      </c>
      <c r="W987" s="62">
        <f t="shared" si="164"/>
        <v>0</v>
      </c>
      <c r="X987" s="62">
        <f t="shared" si="164"/>
        <v>0</v>
      </c>
      <c r="Y987" s="62">
        <f t="shared" si="163"/>
        <v>0</v>
      </c>
      <c r="AA987" s="94"/>
    </row>
    <row r="988" spans="2:27" x14ac:dyDescent="0.2">
      <c r="B988" s="94"/>
      <c r="C988" s="62">
        <v>949</v>
      </c>
      <c r="D988" s="62">
        <v>10092.846158797207</v>
      </c>
      <c r="E988" s="62">
        <v>0.6179286317921634</v>
      </c>
      <c r="F988" s="62">
        <v>14502.110400899519</v>
      </c>
      <c r="G988" s="62">
        <v>0.89384797341264621</v>
      </c>
      <c r="H988" s="62">
        <v>14545.813144217569</v>
      </c>
      <c r="I988" s="62">
        <v>0.89687817009200421</v>
      </c>
      <c r="J988" s="62">
        <v>14453.01120501558</v>
      </c>
      <c r="K988" s="62">
        <v>0.8897223586635844</v>
      </c>
      <c r="L988" s="62">
        <f t="shared" si="165"/>
        <v>-4409.264242102312</v>
      </c>
      <c r="M988" s="62">
        <f t="shared" si="166"/>
        <v>-0.27591934162048282</v>
      </c>
      <c r="N988" s="62">
        <f t="shared" si="167"/>
        <v>-4452.9669854203621</v>
      </c>
      <c r="O988" s="62">
        <f t="shared" si="168"/>
        <v>-0.27894953829984082</v>
      </c>
      <c r="P988" s="62">
        <f t="shared" si="169"/>
        <v>-4360.1650462183734</v>
      </c>
      <c r="Q988" s="62">
        <f t="shared" si="170"/>
        <v>-0.271793726871421</v>
      </c>
      <c r="R988" s="62">
        <f t="shared" si="171"/>
        <v>15504.229484561371</v>
      </c>
      <c r="S988" s="62">
        <f t="shared" si="172"/>
        <v>22524.648049745942</v>
      </c>
      <c r="T988" s="62">
        <f t="shared" si="173"/>
        <v>22606.468173673613</v>
      </c>
      <c r="U988" s="62">
        <f t="shared" si="174"/>
        <v>22402.847780264739</v>
      </c>
      <c r="V988" s="62">
        <f t="shared" si="164"/>
        <v>1</v>
      </c>
      <c r="W988" s="62">
        <f t="shared" si="164"/>
        <v>0</v>
      </c>
      <c r="X988" s="62">
        <f t="shared" si="164"/>
        <v>0</v>
      </c>
      <c r="Y988" s="62">
        <f t="shared" si="163"/>
        <v>0</v>
      </c>
      <c r="AA988" s="94"/>
    </row>
    <row r="989" spans="2:27" x14ac:dyDescent="0.2">
      <c r="B989" s="94"/>
      <c r="C989" s="62">
        <v>950</v>
      </c>
      <c r="D989" s="62">
        <v>10607.559059071378</v>
      </c>
      <c r="E989" s="62">
        <v>0.61716738761844181</v>
      </c>
      <c r="F989" s="62">
        <v>15262.001595672757</v>
      </c>
      <c r="G989" s="62">
        <v>0.89375494307770065</v>
      </c>
      <c r="H989" s="62">
        <v>15310.052198145529</v>
      </c>
      <c r="I989" s="62">
        <v>0.89689172666182926</v>
      </c>
      <c r="J989" s="62">
        <v>15203.297099038213</v>
      </c>
      <c r="K989" s="62">
        <v>0.88933093755199355</v>
      </c>
      <c r="L989" s="62">
        <f t="shared" si="165"/>
        <v>-4654.4425366013784</v>
      </c>
      <c r="M989" s="62">
        <f t="shared" si="166"/>
        <v>-0.27658755545925884</v>
      </c>
      <c r="N989" s="62">
        <f t="shared" si="167"/>
        <v>-4702.4931390741513</v>
      </c>
      <c r="O989" s="62">
        <f t="shared" si="168"/>
        <v>-0.27972433904338745</v>
      </c>
      <c r="P989" s="62">
        <f t="shared" si="169"/>
        <v>-4595.7380399668345</v>
      </c>
      <c r="Q989" s="62">
        <f t="shared" si="170"/>
        <v>-0.27216354993355174</v>
      </c>
      <c r="R989" s="62">
        <f t="shared" si="171"/>
        <v>14957.982805634956</v>
      </c>
      <c r="S989" s="62">
        <f t="shared" si="172"/>
        <v>21760.90316637791</v>
      </c>
      <c r="T989" s="62">
        <f t="shared" si="173"/>
        <v>21842.790687094086</v>
      </c>
      <c r="U989" s="62">
        <f t="shared" si="174"/>
        <v>21636.347658115566</v>
      </c>
      <c r="V989" s="62">
        <f t="shared" si="164"/>
        <v>1</v>
      </c>
      <c r="W989" s="62">
        <f t="shared" si="164"/>
        <v>0</v>
      </c>
      <c r="X989" s="62">
        <f t="shared" si="164"/>
        <v>0</v>
      </c>
      <c r="Y989" s="62">
        <f t="shared" si="163"/>
        <v>0</v>
      </c>
      <c r="AA989" s="94"/>
    </row>
    <row r="990" spans="2:27" x14ac:dyDescent="0.2">
      <c r="B990" s="94"/>
      <c r="C990" s="62">
        <v>951</v>
      </c>
      <c r="D990" s="62">
        <v>9381.470236739151</v>
      </c>
      <c r="E990" s="62">
        <v>0.61783650999463369</v>
      </c>
      <c r="F990" s="62">
        <v>13486.360727086401</v>
      </c>
      <c r="G990" s="62">
        <v>0.89434561482158925</v>
      </c>
      <c r="H990" s="62">
        <v>13530.530564977647</v>
      </c>
      <c r="I990" s="62">
        <v>0.89772078280114354</v>
      </c>
      <c r="J990" s="62">
        <v>13427.851658912539</v>
      </c>
      <c r="K990" s="62">
        <v>0.88944445635603708</v>
      </c>
      <c r="L990" s="62">
        <f t="shared" si="165"/>
        <v>-4104.8904903472503</v>
      </c>
      <c r="M990" s="62">
        <f t="shared" si="166"/>
        <v>-0.27650910482695557</v>
      </c>
      <c r="N990" s="62">
        <f t="shared" si="167"/>
        <v>-4149.0603282384964</v>
      </c>
      <c r="O990" s="62">
        <f t="shared" si="168"/>
        <v>-0.27988427280650985</v>
      </c>
      <c r="P990" s="62">
        <f t="shared" si="169"/>
        <v>-4046.3814221733883</v>
      </c>
      <c r="Q990" s="62">
        <f t="shared" si="170"/>
        <v>-0.2716079463614034</v>
      </c>
      <c r="R990" s="62">
        <f t="shared" si="171"/>
        <v>16211.789353278557</v>
      </c>
      <c r="S990" s="62">
        <f t="shared" si="172"/>
        <v>23561.01202128311</v>
      </c>
      <c r="T990" s="62">
        <f t="shared" si="173"/>
        <v>23656.655141776922</v>
      </c>
      <c r="U990" s="62">
        <f t="shared" si="174"/>
        <v>23416.495501179943</v>
      </c>
      <c r="V990" s="62">
        <f t="shared" si="164"/>
        <v>1</v>
      </c>
      <c r="W990" s="62">
        <f t="shared" si="164"/>
        <v>0</v>
      </c>
      <c r="X990" s="62">
        <f t="shared" si="164"/>
        <v>0</v>
      </c>
      <c r="Y990" s="62">
        <f t="shared" si="163"/>
        <v>0</v>
      </c>
      <c r="AA990" s="94"/>
    </row>
    <row r="991" spans="2:27" x14ac:dyDescent="0.2">
      <c r="B991" s="94"/>
      <c r="C991" s="62">
        <v>952</v>
      </c>
      <c r="D991" s="62">
        <v>10401.130945657023</v>
      </c>
      <c r="E991" s="62">
        <v>0.61768587814459353</v>
      </c>
      <c r="F991" s="62">
        <v>14948.782802386104</v>
      </c>
      <c r="G991" s="62">
        <v>0.89416053360596326</v>
      </c>
      <c r="H991" s="62">
        <v>14992.375695867117</v>
      </c>
      <c r="I991" s="62">
        <v>0.89700856982606592</v>
      </c>
      <c r="J991" s="62">
        <v>14890.507243483336</v>
      </c>
      <c r="K991" s="62">
        <v>0.88943785577180479</v>
      </c>
      <c r="L991" s="62">
        <f t="shared" si="165"/>
        <v>-4547.6518567290805</v>
      </c>
      <c r="M991" s="62">
        <f t="shared" si="166"/>
        <v>-0.27647465546136973</v>
      </c>
      <c r="N991" s="62">
        <f t="shared" si="167"/>
        <v>-4591.2447502100931</v>
      </c>
      <c r="O991" s="62">
        <f t="shared" si="168"/>
        <v>-0.27932269168147239</v>
      </c>
      <c r="P991" s="62">
        <f t="shared" si="169"/>
        <v>-4489.376297826313</v>
      </c>
      <c r="Q991" s="62">
        <f t="shared" si="170"/>
        <v>-0.27175197762721126</v>
      </c>
      <c r="R991" s="62">
        <f t="shared" si="171"/>
        <v>15185.88887060462</v>
      </c>
      <c r="S991" s="62">
        <f t="shared" si="172"/>
        <v>22090.923141707321</v>
      </c>
      <c r="T991" s="62">
        <f t="shared" si="173"/>
        <v>22165.307300607841</v>
      </c>
      <c r="U991" s="62">
        <f t="shared" si="174"/>
        <v>21953.566494007908</v>
      </c>
      <c r="V991" s="62">
        <f t="shared" si="164"/>
        <v>1</v>
      </c>
      <c r="W991" s="62">
        <f t="shared" si="164"/>
        <v>0</v>
      </c>
      <c r="X991" s="62">
        <f t="shared" si="164"/>
        <v>0</v>
      </c>
      <c r="Y991" s="62">
        <f t="shared" si="163"/>
        <v>0</v>
      </c>
      <c r="AA991" s="94"/>
    </row>
    <row r="992" spans="2:27" x14ac:dyDescent="0.2">
      <c r="B992" s="94"/>
      <c r="C992" s="62">
        <v>953</v>
      </c>
      <c r="D992" s="62">
        <v>8498.4119315083917</v>
      </c>
      <c r="E992" s="62">
        <v>0.61720016021055202</v>
      </c>
      <c r="F992" s="62">
        <v>12227.010959606181</v>
      </c>
      <c r="G992" s="62">
        <v>0.89482990047343336</v>
      </c>
      <c r="H992" s="62">
        <v>12247.569234854418</v>
      </c>
      <c r="I992" s="62">
        <v>0.89663104744136857</v>
      </c>
      <c r="J992" s="62">
        <v>12172.480768520043</v>
      </c>
      <c r="K992" s="62">
        <v>0.88968840808529093</v>
      </c>
      <c r="L992" s="62">
        <f t="shared" si="165"/>
        <v>-3728.5990280977894</v>
      </c>
      <c r="M992" s="62">
        <f t="shared" si="166"/>
        <v>-0.27762974026288134</v>
      </c>
      <c r="N992" s="62">
        <f t="shared" si="167"/>
        <v>-3749.1573033460263</v>
      </c>
      <c r="O992" s="62">
        <f t="shared" si="168"/>
        <v>-0.27943088723081655</v>
      </c>
      <c r="P992" s="62">
        <f t="shared" si="169"/>
        <v>-3674.0688370116513</v>
      </c>
      <c r="Q992" s="62">
        <f t="shared" si="170"/>
        <v>-0.27248824787473891</v>
      </c>
      <c r="R992" s="62">
        <f t="shared" si="171"/>
        <v>17068.487505053516</v>
      </c>
      <c r="S992" s="62">
        <f t="shared" si="172"/>
        <v>24840.422837605322</v>
      </c>
      <c r="T992" s="62">
        <f t="shared" si="173"/>
        <v>24894.475274356832</v>
      </c>
      <c r="U992" s="62">
        <f t="shared" si="174"/>
        <v>24681.971848005051</v>
      </c>
      <c r="V992" s="62">
        <f t="shared" si="164"/>
        <v>1</v>
      </c>
      <c r="W992" s="62">
        <f t="shared" si="164"/>
        <v>0</v>
      </c>
      <c r="X992" s="62">
        <f t="shared" si="164"/>
        <v>0</v>
      </c>
      <c r="Y992" s="62">
        <f t="shared" si="163"/>
        <v>0</v>
      </c>
      <c r="AA992" s="94"/>
    </row>
    <row r="993" spans="2:27" x14ac:dyDescent="0.2">
      <c r="B993" s="94"/>
      <c r="C993" s="62">
        <v>954</v>
      </c>
      <c r="D993" s="62">
        <v>10894.860045787731</v>
      </c>
      <c r="E993" s="62">
        <v>0.61773566821782766</v>
      </c>
      <c r="F993" s="62">
        <v>15674.348199849175</v>
      </c>
      <c r="G993" s="62">
        <v>0.89456957910830948</v>
      </c>
      <c r="H993" s="62">
        <v>15722.638765029245</v>
      </c>
      <c r="I993" s="62">
        <v>0.89759193338208854</v>
      </c>
      <c r="J993" s="62">
        <v>15606.204154698577</v>
      </c>
      <c r="K993" s="62">
        <v>0.88960936288073122</v>
      </c>
      <c r="L993" s="62">
        <f t="shared" si="165"/>
        <v>-4779.4881540614442</v>
      </c>
      <c r="M993" s="62">
        <f t="shared" si="166"/>
        <v>-0.27683391089048182</v>
      </c>
      <c r="N993" s="62">
        <f t="shared" si="167"/>
        <v>-4827.7787192415144</v>
      </c>
      <c r="O993" s="62">
        <f t="shared" si="168"/>
        <v>-0.27985626516426088</v>
      </c>
      <c r="P993" s="62">
        <f t="shared" si="169"/>
        <v>-4711.3441089108455</v>
      </c>
      <c r="Q993" s="62">
        <f t="shared" si="170"/>
        <v>-0.27187369466290356</v>
      </c>
      <c r="R993" s="62">
        <f t="shared" si="171"/>
        <v>14694.222274467562</v>
      </c>
      <c r="S993" s="62">
        <f t="shared" si="172"/>
        <v>21382.302045133438</v>
      </c>
      <c r="T993" s="62">
        <f t="shared" si="173"/>
        <v>21459.20948339039</v>
      </c>
      <c r="U993" s="62">
        <f t="shared" si="174"/>
        <v>21244.974093272831</v>
      </c>
      <c r="V993" s="62">
        <f t="shared" si="164"/>
        <v>1</v>
      </c>
      <c r="W993" s="62">
        <f t="shared" si="164"/>
        <v>0</v>
      </c>
      <c r="X993" s="62">
        <f t="shared" si="164"/>
        <v>0</v>
      </c>
      <c r="Y993" s="62">
        <f t="shared" si="163"/>
        <v>0</v>
      </c>
      <c r="AA993" s="94"/>
    </row>
    <row r="994" spans="2:27" x14ac:dyDescent="0.2">
      <c r="B994" s="94"/>
      <c r="C994" s="62">
        <v>955</v>
      </c>
      <c r="D994" s="62">
        <v>9339.6145823083971</v>
      </c>
      <c r="E994" s="62">
        <v>0.61756416712227313</v>
      </c>
      <c r="F994" s="62">
        <v>13432.194466787678</v>
      </c>
      <c r="G994" s="62">
        <v>0.89481835847957603</v>
      </c>
      <c r="H994" s="62">
        <v>13469.124103907543</v>
      </c>
      <c r="I994" s="62">
        <v>0.89760503135969916</v>
      </c>
      <c r="J994" s="62">
        <v>13368.468059006243</v>
      </c>
      <c r="K994" s="62">
        <v>0.88927638751150273</v>
      </c>
      <c r="L994" s="62">
        <f t="shared" si="165"/>
        <v>-4092.5798844792807</v>
      </c>
      <c r="M994" s="62">
        <f t="shared" si="166"/>
        <v>-0.27725419135730289</v>
      </c>
      <c r="N994" s="62">
        <f t="shared" si="167"/>
        <v>-4129.509521599146</v>
      </c>
      <c r="O994" s="62">
        <f t="shared" si="168"/>
        <v>-0.28004086423742602</v>
      </c>
      <c r="P994" s="62">
        <f t="shared" si="169"/>
        <v>-4028.8534766978464</v>
      </c>
      <c r="Q994" s="62">
        <f t="shared" si="170"/>
        <v>-0.2717122203892296</v>
      </c>
      <c r="R994" s="62">
        <f t="shared" si="171"/>
        <v>16242.363476564646</v>
      </c>
      <c r="S994" s="62">
        <f t="shared" si="172"/>
        <v>23634.761214870279</v>
      </c>
      <c r="T994" s="62">
        <f t="shared" si="173"/>
        <v>23713.266715136637</v>
      </c>
      <c r="U994" s="62">
        <f t="shared" si="174"/>
        <v>23468.917017270251</v>
      </c>
      <c r="V994" s="62">
        <f t="shared" si="164"/>
        <v>1</v>
      </c>
      <c r="W994" s="62">
        <f t="shared" si="164"/>
        <v>0</v>
      </c>
      <c r="X994" s="62">
        <f t="shared" si="164"/>
        <v>0</v>
      </c>
      <c r="Y994" s="62">
        <f t="shared" si="163"/>
        <v>0</v>
      </c>
      <c r="AA994" s="94"/>
    </row>
    <row r="995" spans="2:27" x14ac:dyDescent="0.2">
      <c r="B995" s="94"/>
      <c r="C995" s="62">
        <v>956</v>
      </c>
      <c r="D995" s="62">
        <v>10700.326052394526</v>
      </c>
      <c r="E995" s="62">
        <v>0.61778608610140007</v>
      </c>
      <c r="F995" s="62">
        <v>15398.164214670311</v>
      </c>
      <c r="G995" s="62">
        <v>0.89499276186627696</v>
      </c>
      <c r="H995" s="62">
        <v>15422.323066871959</v>
      </c>
      <c r="I995" s="62">
        <v>0.89663106933340553</v>
      </c>
      <c r="J995" s="62">
        <v>15317.422640348208</v>
      </c>
      <c r="K995" s="62">
        <v>0.88918387262082854</v>
      </c>
      <c r="L995" s="62">
        <f t="shared" si="165"/>
        <v>-4697.8381622757843</v>
      </c>
      <c r="M995" s="62">
        <f t="shared" si="166"/>
        <v>-0.2772066757648769</v>
      </c>
      <c r="N995" s="62">
        <f t="shared" si="167"/>
        <v>-4721.9970144774325</v>
      </c>
      <c r="O995" s="62">
        <f t="shared" si="168"/>
        <v>-0.27884498323200546</v>
      </c>
      <c r="P995" s="62">
        <f t="shared" si="169"/>
        <v>-4617.0965879536816</v>
      </c>
      <c r="Q995" s="62">
        <f t="shared" si="170"/>
        <v>-0.27139778651942847</v>
      </c>
      <c r="R995" s="62">
        <f t="shared" si="171"/>
        <v>14890.844778269869</v>
      </c>
      <c r="S995" s="62">
        <f t="shared" si="172"/>
        <v>21676.015952878348</v>
      </c>
      <c r="T995" s="62">
        <f t="shared" si="173"/>
        <v>21719.722349195032</v>
      </c>
      <c r="U995" s="62">
        <f t="shared" si="174"/>
        <v>21516.13009909699</v>
      </c>
      <c r="V995" s="62">
        <f t="shared" si="164"/>
        <v>1</v>
      </c>
      <c r="W995" s="62">
        <f t="shared" si="164"/>
        <v>0</v>
      </c>
      <c r="X995" s="62">
        <f t="shared" si="164"/>
        <v>0</v>
      </c>
      <c r="Y995" s="62">
        <f t="shared" si="163"/>
        <v>0</v>
      </c>
      <c r="AA995" s="94"/>
    </row>
    <row r="996" spans="2:27" x14ac:dyDescent="0.2">
      <c r="B996" s="94"/>
      <c r="C996" s="62">
        <v>957</v>
      </c>
      <c r="D996" s="62">
        <v>11246.592156439041</v>
      </c>
      <c r="E996" s="62">
        <v>0.6180887616830083</v>
      </c>
      <c r="F996" s="62">
        <v>16166.552616091623</v>
      </c>
      <c r="G996" s="62">
        <v>0.89462473699197365</v>
      </c>
      <c r="H996" s="62">
        <v>16227.182319836977</v>
      </c>
      <c r="I996" s="62">
        <v>0.89823773063363788</v>
      </c>
      <c r="J996" s="62">
        <v>16090.809151953001</v>
      </c>
      <c r="K996" s="62">
        <v>0.88920339320930319</v>
      </c>
      <c r="L996" s="62">
        <f t="shared" si="165"/>
        <v>-4919.9604596525824</v>
      </c>
      <c r="M996" s="62">
        <f t="shared" si="166"/>
        <v>-0.27653597530896534</v>
      </c>
      <c r="N996" s="62">
        <f t="shared" si="167"/>
        <v>-4980.5901633979356</v>
      </c>
      <c r="O996" s="62">
        <f t="shared" si="168"/>
        <v>-0.28014896895062957</v>
      </c>
      <c r="P996" s="62">
        <f t="shared" si="169"/>
        <v>-4844.2169955139598</v>
      </c>
      <c r="Q996" s="62">
        <f t="shared" si="170"/>
        <v>-0.27111463152629489</v>
      </c>
      <c r="R996" s="62">
        <f t="shared" si="171"/>
        <v>14357.116707517896</v>
      </c>
      <c r="S996" s="62">
        <f t="shared" si="172"/>
        <v>20892.38248906389</v>
      </c>
      <c r="T996" s="62">
        <f t="shared" si="173"/>
        <v>20981.417433930837</v>
      </c>
      <c r="U996" s="62">
        <f t="shared" si="174"/>
        <v>20743.552208349174</v>
      </c>
      <c r="V996" s="62">
        <f t="shared" si="164"/>
        <v>1</v>
      </c>
      <c r="W996" s="62">
        <f t="shared" si="164"/>
        <v>0</v>
      </c>
      <c r="X996" s="62">
        <f t="shared" si="164"/>
        <v>0</v>
      </c>
      <c r="Y996" s="62">
        <f t="shared" si="163"/>
        <v>0</v>
      </c>
      <c r="AA996" s="94"/>
    </row>
    <row r="997" spans="2:27" x14ac:dyDescent="0.2">
      <c r="B997" s="94"/>
      <c r="C997" s="62">
        <v>958</v>
      </c>
      <c r="D997" s="62">
        <v>9533.7665137803015</v>
      </c>
      <c r="E997" s="62">
        <v>0.61734132488654325</v>
      </c>
      <c r="F997" s="62">
        <v>13705.701839453768</v>
      </c>
      <c r="G997" s="62">
        <v>0.89400788339464654</v>
      </c>
      <c r="H997" s="62">
        <v>13753.167459707191</v>
      </c>
      <c r="I997" s="62">
        <v>0.89765220242690513</v>
      </c>
      <c r="J997" s="62">
        <v>13647.798635995576</v>
      </c>
      <c r="K997" s="62">
        <v>0.88910016413334281</v>
      </c>
      <c r="L997" s="62">
        <f t="shared" si="165"/>
        <v>-4171.9353256734667</v>
      </c>
      <c r="M997" s="62">
        <f t="shared" si="166"/>
        <v>-0.27666655850810329</v>
      </c>
      <c r="N997" s="62">
        <f t="shared" si="167"/>
        <v>-4219.4009459268891</v>
      </c>
      <c r="O997" s="62">
        <f t="shared" si="168"/>
        <v>-0.28031087754036188</v>
      </c>
      <c r="P997" s="62">
        <f t="shared" si="169"/>
        <v>-4114.0321222152743</v>
      </c>
      <c r="Q997" s="62">
        <f t="shared" si="170"/>
        <v>-0.27175883924679956</v>
      </c>
      <c r="R997" s="62">
        <f t="shared" si="171"/>
        <v>16038.980528319866</v>
      </c>
      <c r="S997" s="62">
        <f t="shared" si="172"/>
        <v>23327.680722286073</v>
      </c>
      <c r="T997" s="62">
        <f t="shared" si="173"/>
        <v>23431.177373624931</v>
      </c>
      <c r="U997" s="62">
        <f t="shared" si="174"/>
        <v>23182.286563064015</v>
      </c>
      <c r="V997" s="62">
        <f t="shared" si="164"/>
        <v>1</v>
      </c>
      <c r="W997" s="62">
        <f t="shared" si="164"/>
        <v>0</v>
      </c>
      <c r="X997" s="62">
        <f t="shared" si="164"/>
        <v>0</v>
      </c>
      <c r="Y997" s="62">
        <f t="shared" si="163"/>
        <v>0</v>
      </c>
      <c r="AA997" s="94"/>
    </row>
    <row r="998" spans="2:27" x14ac:dyDescent="0.2">
      <c r="B998" s="94"/>
      <c r="C998" s="62">
        <v>959</v>
      </c>
      <c r="D998" s="62">
        <v>9403.9766734678615</v>
      </c>
      <c r="E998" s="62">
        <v>0.61729493173991068</v>
      </c>
      <c r="F998" s="62">
        <v>13521.044257805268</v>
      </c>
      <c r="G998" s="62">
        <v>0.89426394009884425</v>
      </c>
      <c r="H998" s="62">
        <v>13556.946056392529</v>
      </c>
      <c r="I998" s="62">
        <v>0.89706123830344309</v>
      </c>
      <c r="J998" s="62">
        <v>13473.303608602375</v>
      </c>
      <c r="K998" s="62">
        <v>0.89001713494984258</v>
      </c>
      <c r="L998" s="62">
        <f t="shared" si="165"/>
        <v>-4117.0675843374065</v>
      </c>
      <c r="M998" s="62">
        <f t="shared" si="166"/>
        <v>-0.27696900835893357</v>
      </c>
      <c r="N998" s="62">
        <f t="shared" si="167"/>
        <v>-4152.969382924668</v>
      </c>
      <c r="O998" s="62">
        <f t="shared" si="168"/>
        <v>-0.27976630656353241</v>
      </c>
      <c r="P998" s="62">
        <f t="shared" si="169"/>
        <v>-4069.3269351345134</v>
      </c>
      <c r="Q998" s="62">
        <f t="shared" si="170"/>
        <v>-0.2727222032099319</v>
      </c>
      <c r="R998" s="62">
        <f t="shared" si="171"/>
        <v>16166.848578926199</v>
      </c>
      <c r="S998" s="62">
        <f t="shared" si="172"/>
        <v>23522.945196849258</v>
      </c>
      <c r="T998" s="62">
        <f t="shared" si="173"/>
        <v>23602.918679089293</v>
      </c>
      <c r="U998" s="62">
        <f t="shared" si="174"/>
        <v>23394.766189559905</v>
      </c>
      <c r="V998" s="62">
        <f t="shared" si="164"/>
        <v>1</v>
      </c>
      <c r="W998" s="62">
        <f t="shared" si="164"/>
        <v>0</v>
      </c>
      <c r="X998" s="62">
        <f t="shared" si="164"/>
        <v>0</v>
      </c>
      <c r="Y998" s="62">
        <f t="shared" si="164"/>
        <v>0</v>
      </c>
      <c r="AA998" s="94"/>
    </row>
    <row r="999" spans="2:27" x14ac:dyDescent="0.2">
      <c r="B999" s="94"/>
      <c r="C999" s="62">
        <v>960</v>
      </c>
      <c r="D999" s="62">
        <v>11260.5122464715</v>
      </c>
      <c r="E999" s="62">
        <v>0.61798883931966675</v>
      </c>
      <c r="F999" s="62">
        <v>16201.26597440222</v>
      </c>
      <c r="G999" s="62">
        <v>0.89469831813052425</v>
      </c>
      <c r="H999" s="62">
        <v>16238.123752531115</v>
      </c>
      <c r="I999" s="62">
        <v>0.89707026371128384</v>
      </c>
      <c r="J999" s="62">
        <v>16115.36366561712</v>
      </c>
      <c r="K999" s="62">
        <v>0.88892987444123661</v>
      </c>
      <c r="L999" s="62">
        <f t="shared" si="165"/>
        <v>-4940.7537279307198</v>
      </c>
      <c r="M999" s="62">
        <f t="shared" si="166"/>
        <v>-0.2767094788108575</v>
      </c>
      <c r="N999" s="62">
        <f t="shared" si="167"/>
        <v>-4977.6115060596148</v>
      </c>
      <c r="O999" s="62">
        <f t="shared" si="168"/>
        <v>-0.27908142439161709</v>
      </c>
      <c r="P999" s="62">
        <f t="shared" si="169"/>
        <v>-4854.8514191456197</v>
      </c>
      <c r="Q999" s="62">
        <f t="shared" si="170"/>
        <v>-0.27094103512156986</v>
      </c>
      <c r="R999" s="62">
        <f t="shared" si="171"/>
        <v>14339.057433506374</v>
      </c>
      <c r="S999" s="62">
        <f t="shared" si="172"/>
        <v>20860.717155836614</v>
      </c>
      <c r="T999" s="62">
        <f t="shared" si="173"/>
        <v>20922.114851445105</v>
      </c>
      <c r="U999" s="62">
        <f t="shared" si="174"/>
        <v>20707.667453236667</v>
      </c>
      <c r="V999" s="62">
        <f t="shared" ref="V999:Y1039" si="175">IF(MIN($R999:$U999)=R999,1,0)</f>
        <v>1</v>
      </c>
      <c r="W999" s="62">
        <f t="shared" si="175"/>
        <v>0</v>
      </c>
      <c r="X999" s="62">
        <f t="shared" si="175"/>
        <v>0</v>
      </c>
      <c r="Y999" s="62">
        <f t="shared" si="175"/>
        <v>0</v>
      </c>
      <c r="AA999" s="94"/>
    </row>
    <row r="1000" spans="2:27" x14ac:dyDescent="0.2">
      <c r="B1000" s="94"/>
      <c r="C1000" s="62">
        <v>961</v>
      </c>
      <c r="D1000" s="62">
        <v>9656.1050406108861</v>
      </c>
      <c r="E1000" s="62">
        <v>0.61739466392059361</v>
      </c>
      <c r="F1000" s="62">
        <v>13901.904941193123</v>
      </c>
      <c r="G1000" s="62">
        <v>0.89492827158208244</v>
      </c>
      <c r="H1000" s="62">
        <v>13922.225115758605</v>
      </c>
      <c r="I1000" s="62">
        <v>0.89658030258276045</v>
      </c>
      <c r="J1000" s="62">
        <v>13824.729482167457</v>
      </c>
      <c r="K1000" s="62">
        <v>0.8889453235564917</v>
      </c>
      <c r="L1000" s="62">
        <f t="shared" ref="L1000:L1039" si="176">IF($C1000&lt;=No_of_iterations_PSA,D1000-$F1000,"")</f>
        <v>-4245.7999005822367</v>
      </c>
      <c r="M1000" s="62">
        <f t="shared" ref="M1000:M1039" si="177">IF($C1000&lt;=No_of_iterations_PSA,E1000-$G1000,"")</f>
        <v>-0.27753360766148882</v>
      </c>
      <c r="N1000" s="62">
        <f t="shared" ref="N1000:N1039" si="178">IF($C1000&lt;=No_of_iterations_PSA,D1000-$H1000,"")</f>
        <v>-4266.120075147719</v>
      </c>
      <c r="O1000" s="62">
        <f t="shared" ref="O1000:O1039" si="179">IF($C1000&lt;=No_of_iterations_PSA,E1000-$I1000,"")</f>
        <v>-0.27918563866216684</v>
      </c>
      <c r="P1000" s="62">
        <f t="shared" ref="P1000:P1039" si="180">IF($C1000&lt;=No_of_iterations_PSA,D1000-$J1000,"")</f>
        <v>-4168.6244415565707</v>
      </c>
      <c r="Q1000" s="62">
        <f t="shared" ref="Q1000:Q1039" si="181">IF($C1000&lt;=No_of_iterations_PSA,E1000-$K1000,"")</f>
        <v>-0.27155065963589808</v>
      </c>
      <c r="R1000" s="62">
        <f t="shared" ref="R1000:R1039" si="182">IF($C1000&lt;=No_of_iterations_PSA,E1000*c_WTP-D1000,"")</f>
        <v>15918.851517635785</v>
      </c>
      <c r="S1000" s="62">
        <f t="shared" ref="S1000:S1039" si="183">IF($C1000&lt;=No_of_iterations_PSA,G1000*c_WTP-F1000,"")</f>
        <v>23169.603780823058</v>
      </c>
      <c r="T1000" s="62">
        <f t="shared" ref="T1000:T1039" si="184">IF($C1000&lt;=No_of_iterations_PSA,I1000*c_WTP-H1000,"")</f>
        <v>23217.717338429662</v>
      </c>
      <c r="U1000" s="62">
        <f t="shared" ref="U1000:U1039" si="185">IF($C1000&lt;=No_of_iterations_PSA,K1000*c_WTP-J1000,"")</f>
        <v>22998.941600836653</v>
      </c>
      <c r="V1000" s="62">
        <f t="shared" si="175"/>
        <v>1</v>
      </c>
      <c r="W1000" s="62">
        <f t="shared" si="175"/>
        <v>0</v>
      </c>
      <c r="X1000" s="62">
        <f t="shared" si="175"/>
        <v>0</v>
      </c>
      <c r="Y1000" s="62">
        <f t="shared" si="175"/>
        <v>0</v>
      </c>
      <c r="AA1000" s="94"/>
    </row>
    <row r="1001" spans="2:27" x14ac:dyDescent="0.2">
      <c r="B1001" s="94"/>
      <c r="C1001" s="62">
        <v>962</v>
      </c>
      <c r="D1001" s="62">
        <v>12860.651451013155</v>
      </c>
      <c r="E1001" s="62">
        <v>0.61756108274249089</v>
      </c>
      <c r="F1001" s="62">
        <v>18509.588575868402</v>
      </c>
      <c r="G1001" s="62">
        <v>0.89410004988886271</v>
      </c>
      <c r="H1001" s="62">
        <v>18576.649653156139</v>
      </c>
      <c r="I1001" s="62">
        <v>0.89751805039586785</v>
      </c>
      <c r="J1001" s="62">
        <v>18422.596009226567</v>
      </c>
      <c r="K1001" s="62">
        <v>0.88880833633897716</v>
      </c>
      <c r="L1001" s="62">
        <f t="shared" si="176"/>
        <v>-5648.937124855247</v>
      </c>
      <c r="M1001" s="62">
        <f t="shared" si="177"/>
        <v>-0.27653896714637183</v>
      </c>
      <c r="N1001" s="62">
        <f t="shared" si="178"/>
        <v>-5715.9982021429842</v>
      </c>
      <c r="O1001" s="62">
        <f t="shared" si="179"/>
        <v>-0.27995696765337696</v>
      </c>
      <c r="P1001" s="62">
        <f t="shared" si="180"/>
        <v>-5561.9445582134122</v>
      </c>
      <c r="Q1001" s="62">
        <f t="shared" si="181"/>
        <v>-0.27124725359648627</v>
      </c>
      <c r="R1001" s="62">
        <f t="shared" si="182"/>
        <v>12721.198840511786</v>
      </c>
      <c r="S1001" s="62">
        <f t="shared" si="183"/>
        <v>18527.611890727851</v>
      </c>
      <c r="T1001" s="62">
        <f t="shared" si="184"/>
        <v>18602.138066442294</v>
      </c>
      <c r="U1001" s="62">
        <f t="shared" si="185"/>
        <v>18395.400515279223</v>
      </c>
      <c r="V1001" s="62">
        <f t="shared" si="175"/>
        <v>1</v>
      </c>
      <c r="W1001" s="62">
        <f t="shared" si="175"/>
        <v>0</v>
      </c>
      <c r="X1001" s="62">
        <f t="shared" si="175"/>
        <v>0</v>
      </c>
      <c r="Y1001" s="62">
        <f t="shared" si="175"/>
        <v>0</v>
      </c>
      <c r="AA1001" s="94"/>
    </row>
    <row r="1002" spans="2:27" x14ac:dyDescent="0.2">
      <c r="B1002" s="94"/>
      <c r="C1002" s="62">
        <v>963</v>
      </c>
      <c r="D1002" s="62">
        <v>8388.1751077949812</v>
      </c>
      <c r="E1002" s="62">
        <v>0.61745511724297086</v>
      </c>
      <c r="F1002" s="62">
        <v>12060.295095212194</v>
      </c>
      <c r="G1002" s="62">
        <v>0.89448993810120558</v>
      </c>
      <c r="H1002" s="62">
        <v>12093.556280828681</v>
      </c>
      <c r="I1002" s="62">
        <v>0.89733026691114748</v>
      </c>
      <c r="J1002" s="62">
        <v>12009.077902426778</v>
      </c>
      <c r="K1002" s="62">
        <v>0.88953045937588704</v>
      </c>
      <c r="L1002" s="62">
        <f t="shared" si="176"/>
        <v>-3672.1199874172125</v>
      </c>
      <c r="M1002" s="62">
        <f t="shared" si="177"/>
        <v>-0.27703482085823472</v>
      </c>
      <c r="N1002" s="62">
        <f t="shared" si="178"/>
        <v>-3705.3811730337002</v>
      </c>
      <c r="O1002" s="62">
        <f t="shared" si="179"/>
        <v>-0.27987514966817661</v>
      </c>
      <c r="P1002" s="62">
        <f t="shared" si="180"/>
        <v>-3620.9027946317965</v>
      </c>
      <c r="Q1002" s="62">
        <f t="shared" si="181"/>
        <v>-0.27207534213291618</v>
      </c>
      <c r="R1002" s="62">
        <f t="shared" si="182"/>
        <v>17189.285668877845</v>
      </c>
      <c r="S1002" s="62">
        <f t="shared" si="183"/>
        <v>24993.056100692145</v>
      </c>
      <c r="T1002" s="62">
        <f t="shared" si="184"/>
        <v>25077.452695698692</v>
      </c>
      <c r="U1002" s="62">
        <f t="shared" si="185"/>
        <v>24838.831846759967</v>
      </c>
      <c r="V1002" s="62">
        <f t="shared" si="175"/>
        <v>1</v>
      </c>
      <c r="W1002" s="62">
        <f t="shared" si="175"/>
        <v>0</v>
      </c>
      <c r="X1002" s="62">
        <f t="shared" si="175"/>
        <v>0</v>
      </c>
      <c r="Y1002" s="62">
        <f t="shared" si="175"/>
        <v>0</v>
      </c>
      <c r="AA1002" s="94"/>
    </row>
    <row r="1003" spans="2:27" x14ac:dyDescent="0.2">
      <c r="B1003" s="94"/>
      <c r="C1003" s="62">
        <v>964</v>
      </c>
      <c r="D1003" s="62">
        <v>10527.966133871527</v>
      </c>
      <c r="E1003" s="62">
        <v>0.61791247516508341</v>
      </c>
      <c r="F1003" s="62">
        <v>15132.872414205629</v>
      </c>
      <c r="G1003" s="62">
        <v>0.89397365887706659</v>
      </c>
      <c r="H1003" s="62">
        <v>15183.370637750186</v>
      </c>
      <c r="I1003" s="62">
        <v>0.89724688634451955</v>
      </c>
      <c r="J1003" s="62">
        <v>15080.584016050339</v>
      </c>
      <c r="K1003" s="62">
        <v>0.88990112696413792</v>
      </c>
      <c r="L1003" s="62">
        <f t="shared" si="176"/>
        <v>-4604.9062803341021</v>
      </c>
      <c r="M1003" s="62">
        <f t="shared" si="177"/>
        <v>-0.27606118371198318</v>
      </c>
      <c r="N1003" s="62">
        <f t="shared" si="178"/>
        <v>-4655.4045038786589</v>
      </c>
      <c r="O1003" s="62">
        <f t="shared" si="179"/>
        <v>-0.27933441117943614</v>
      </c>
      <c r="P1003" s="62">
        <f t="shared" si="180"/>
        <v>-4552.6178821788126</v>
      </c>
      <c r="Q1003" s="62">
        <f t="shared" si="181"/>
        <v>-0.27198865179905451</v>
      </c>
      <c r="R1003" s="62">
        <f t="shared" si="182"/>
        <v>15068.440237366889</v>
      </c>
      <c r="S1003" s="62">
        <f t="shared" si="183"/>
        <v>21899.092431117977</v>
      </c>
      <c r="T1003" s="62">
        <f t="shared" si="184"/>
        <v>21984.184382185187</v>
      </c>
      <c r="U1003" s="62">
        <f t="shared" si="185"/>
        <v>21782.680267312109</v>
      </c>
      <c r="V1003" s="62">
        <f t="shared" si="175"/>
        <v>1</v>
      </c>
      <c r="W1003" s="62">
        <f t="shared" si="175"/>
        <v>0</v>
      </c>
      <c r="X1003" s="62">
        <f t="shared" si="175"/>
        <v>0</v>
      </c>
      <c r="Y1003" s="62">
        <f t="shared" si="175"/>
        <v>0</v>
      </c>
      <c r="AA1003" s="94"/>
    </row>
    <row r="1004" spans="2:27" x14ac:dyDescent="0.2">
      <c r="B1004" s="94"/>
      <c r="C1004" s="62">
        <v>965</v>
      </c>
      <c r="D1004" s="62">
        <v>9780.9740665277095</v>
      </c>
      <c r="E1004" s="62">
        <v>0.61762126612101942</v>
      </c>
      <c r="F1004" s="62">
        <v>14057.139428531551</v>
      </c>
      <c r="G1004" s="62">
        <v>0.8943658721940535</v>
      </c>
      <c r="H1004" s="62">
        <v>14096.18478867675</v>
      </c>
      <c r="I1004" s="62">
        <v>0.8971661229953779</v>
      </c>
      <c r="J1004" s="62">
        <v>13994.707436848214</v>
      </c>
      <c r="K1004" s="62">
        <v>0.88910866628845453</v>
      </c>
      <c r="L1004" s="62">
        <f t="shared" si="176"/>
        <v>-4276.1653620038414</v>
      </c>
      <c r="M1004" s="62">
        <f t="shared" si="177"/>
        <v>-0.27674460607303408</v>
      </c>
      <c r="N1004" s="62">
        <f t="shared" si="178"/>
        <v>-4315.2107221490405</v>
      </c>
      <c r="O1004" s="62">
        <f t="shared" si="179"/>
        <v>-0.27954485687435848</v>
      </c>
      <c r="P1004" s="62">
        <f t="shared" si="180"/>
        <v>-4213.733370320504</v>
      </c>
      <c r="Q1004" s="62">
        <f t="shared" si="181"/>
        <v>-0.27148740016743511</v>
      </c>
      <c r="R1004" s="62">
        <f t="shared" si="182"/>
        <v>15803.369261269399</v>
      </c>
      <c r="S1004" s="62">
        <f t="shared" si="183"/>
        <v>22991.072461234919</v>
      </c>
      <c r="T1004" s="62">
        <f t="shared" si="184"/>
        <v>23068.024690283783</v>
      </c>
      <c r="U1004" s="62">
        <f t="shared" si="185"/>
        <v>22835.729955484727</v>
      </c>
      <c r="V1004" s="62">
        <f t="shared" si="175"/>
        <v>1</v>
      </c>
      <c r="W1004" s="62">
        <f t="shared" si="175"/>
        <v>0</v>
      </c>
      <c r="X1004" s="62">
        <f t="shared" si="175"/>
        <v>0</v>
      </c>
      <c r="Y1004" s="62">
        <f t="shared" si="175"/>
        <v>0</v>
      </c>
      <c r="AA1004" s="94"/>
    </row>
    <row r="1005" spans="2:27" x14ac:dyDescent="0.2">
      <c r="B1005" s="94"/>
      <c r="C1005" s="62">
        <v>966</v>
      </c>
      <c r="D1005" s="62">
        <v>8983.3190269655115</v>
      </c>
      <c r="E1005" s="62">
        <v>0.61764661154635747</v>
      </c>
      <c r="F1005" s="62">
        <v>12911.681665056305</v>
      </c>
      <c r="G1005" s="62">
        <v>0.89434160803615348</v>
      </c>
      <c r="H1005" s="62">
        <v>12951.565851648826</v>
      </c>
      <c r="I1005" s="62">
        <v>0.89753371126281711</v>
      </c>
      <c r="J1005" s="62">
        <v>12855.348738587851</v>
      </c>
      <c r="K1005" s="62">
        <v>0.88926818288727039</v>
      </c>
      <c r="L1005" s="62">
        <f t="shared" si="176"/>
        <v>-3928.3626380907936</v>
      </c>
      <c r="M1005" s="62">
        <f t="shared" si="177"/>
        <v>-0.27669499648979601</v>
      </c>
      <c r="N1005" s="62">
        <f t="shared" si="178"/>
        <v>-3968.2468246833141</v>
      </c>
      <c r="O1005" s="62">
        <f t="shared" si="179"/>
        <v>-0.27988709971645964</v>
      </c>
      <c r="P1005" s="62">
        <f t="shared" si="180"/>
        <v>-3872.0297116223392</v>
      </c>
      <c r="Q1005" s="62">
        <f t="shared" si="181"/>
        <v>-0.27162157134091292</v>
      </c>
      <c r="R1005" s="62">
        <f t="shared" si="182"/>
        <v>16602.074209730803</v>
      </c>
      <c r="S1005" s="62">
        <f t="shared" si="183"/>
        <v>24135.525106233319</v>
      </c>
      <c r="T1005" s="62">
        <f t="shared" si="184"/>
        <v>24227.870603702111</v>
      </c>
      <c r="U1005" s="62">
        <f t="shared" si="185"/>
        <v>23981.696469334438</v>
      </c>
      <c r="V1005" s="62">
        <f t="shared" si="175"/>
        <v>1</v>
      </c>
      <c r="W1005" s="62">
        <f t="shared" si="175"/>
        <v>0</v>
      </c>
      <c r="X1005" s="62">
        <f t="shared" si="175"/>
        <v>0</v>
      </c>
      <c r="Y1005" s="62">
        <f t="shared" si="175"/>
        <v>0</v>
      </c>
      <c r="AA1005" s="94"/>
    </row>
    <row r="1006" spans="2:27" x14ac:dyDescent="0.2">
      <c r="B1006" s="94"/>
      <c r="C1006" s="62">
        <v>967</v>
      </c>
      <c r="D1006" s="62">
        <v>13871.689391089711</v>
      </c>
      <c r="E1006" s="62">
        <v>0.617472465046073</v>
      </c>
      <c r="F1006" s="62">
        <v>19955.181422320209</v>
      </c>
      <c r="G1006" s="62">
        <v>0.89375387928944594</v>
      </c>
      <c r="H1006" s="62">
        <v>20033.454424931435</v>
      </c>
      <c r="I1006" s="62">
        <v>0.89739018553052496</v>
      </c>
      <c r="J1006" s="62">
        <v>19887.724369220996</v>
      </c>
      <c r="K1006" s="62">
        <v>0.88966608630025013</v>
      </c>
      <c r="L1006" s="62">
        <f t="shared" si="176"/>
        <v>-6083.4920312304985</v>
      </c>
      <c r="M1006" s="62">
        <f t="shared" si="177"/>
        <v>-0.27628141424337294</v>
      </c>
      <c r="N1006" s="62">
        <f t="shared" si="178"/>
        <v>-6161.7650338417243</v>
      </c>
      <c r="O1006" s="62">
        <f t="shared" si="179"/>
        <v>-0.27991772048445196</v>
      </c>
      <c r="P1006" s="62">
        <f t="shared" si="180"/>
        <v>-6016.0349781312852</v>
      </c>
      <c r="Q1006" s="62">
        <f t="shared" si="181"/>
        <v>-0.27219362125417712</v>
      </c>
      <c r="R1006" s="62">
        <f t="shared" si="182"/>
        <v>11706.490000978816</v>
      </c>
      <c r="S1006" s="62">
        <f t="shared" si="183"/>
        <v>17067.6792733658</v>
      </c>
      <c r="T1006" s="62">
        <f t="shared" si="184"/>
        <v>17140.036620485029</v>
      </c>
      <c r="U1006" s="62">
        <f t="shared" si="185"/>
        <v>16965.803589680567</v>
      </c>
      <c r="V1006" s="62">
        <f t="shared" si="175"/>
        <v>1</v>
      </c>
      <c r="W1006" s="62">
        <f t="shared" si="175"/>
        <v>0</v>
      </c>
      <c r="X1006" s="62">
        <f t="shared" si="175"/>
        <v>0</v>
      </c>
      <c r="Y1006" s="62">
        <f t="shared" si="175"/>
        <v>0</v>
      </c>
      <c r="AA1006" s="94"/>
    </row>
    <row r="1007" spans="2:27" x14ac:dyDescent="0.2">
      <c r="B1007" s="94"/>
      <c r="C1007" s="62">
        <v>968</v>
      </c>
      <c r="D1007" s="62">
        <v>10615.275188872987</v>
      </c>
      <c r="E1007" s="62">
        <v>0.61726861568412483</v>
      </c>
      <c r="F1007" s="62">
        <v>15280.081432272746</v>
      </c>
      <c r="G1007" s="62">
        <v>0.89430374406114888</v>
      </c>
      <c r="H1007" s="62">
        <v>15323.943862814078</v>
      </c>
      <c r="I1007" s="62">
        <v>0.89717770559952681</v>
      </c>
      <c r="J1007" s="62">
        <v>15213.319588552607</v>
      </c>
      <c r="K1007" s="62">
        <v>0.88934980005000874</v>
      </c>
      <c r="L1007" s="62">
        <f t="shared" si="176"/>
        <v>-4664.8062433997584</v>
      </c>
      <c r="M1007" s="62">
        <f t="shared" si="177"/>
        <v>-0.27703512837702404</v>
      </c>
      <c r="N1007" s="62">
        <f t="shared" si="178"/>
        <v>-4708.6686739410907</v>
      </c>
      <c r="O1007" s="62">
        <f t="shared" si="179"/>
        <v>-0.27990908991540198</v>
      </c>
      <c r="P1007" s="62">
        <f t="shared" si="180"/>
        <v>-4598.0443996796203</v>
      </c>
      <c r="Q1007" s="62">
        <f t="shared" si="181"/>
        <v>-0.27208118436588391</v>
      </c>
      <c r="R1007" s="62">
        <f t="shared" si="182"/>
        <v>14954.459947226202</v>
      </c>
      <c r="S1007" s="62">
        <f t="shared" si="183"/>
        <v>21765.556861716286</v>
      </c>
      <c r="T1007" s="62">
        <f t="shared" si="184"/>
        <v>21840.74541394072</v>
      </c>
      <c r="U1007" s="62">
        <f t="shared" si="185"/>
        <v>21627.106528718956</v>
      </c>
      <c r="V1007" s="62">
        <f t="shared" si="175"/>
        <v>1</v>
      </c>
      <c r="W1007" s="62">
        <f t="shared" si="175"/>
        <v>0</v>
      </c>
      <c r="X1007" s="62">
        <f t="shared" si="175"/>
        <v>0</v>
      </c>
      <c r="Y1007" s="62">
        <f t="shared" si="175"/>
        <v>0</v>
      </c>
      <c r="AA1007" s="94"/>
    </row>
    <row r="1008" spans="2:27" x14ac:dyDescent="0.2">
      <c r="B1008" s="94"/>
      <c r="C1008" s="62">
        <v>969</v>
      </c>
      <c r="D1008" s="62">
        <v>9750.5471584537627</v>
      </c>
      <c r="E1008" s="62">
        <v>0.61791660964581796</v>
      </c>
      <c r="F1008" s="62">
        <v>14022.741151271839</v>
      </c>
      <c r="G1008" s="62">
        <v>0.89474058222614627</v>
      </c>
      <c r="H1008" s="62">
        <v>14056.689278702937</v>
      </c>
      <c r="I1008" s="62">
        <v>0.8972309017217569</v>
      </c>
      <c r="J1008" s="62">
        <v>13961.661548984774</v>
      </c>
      <c r="K1008" s="62">
        <v>0.8899148028874122</v>
      </c>
      <c r="L1008" s="62">
        <f t="shared" si="176"/>
        <v>-4272.1939928180764</v>
      </c>
      <c r="M1008" s="62">
        <f t="shared" si="177"/>
        <v>-0.27682397258032831</v>
      </c>
      <c r="N1008" s="62">
        <f t="shared" si="178"/>
        <v>-4306.1421202491747</v>
      </c>
      <c r="O1008" s="62">
        <f t="shared" si="179"/>
        <v>-0.27931429207593894</v>
      </c>
      <c r="P1008" s="62">
        <f t="shared" si="180"/>
        <v>-4211.1143905310109</v>
      </c>
      <c r="Q1008" s="62">
        <f t="shared" si="181"/>
        <v>-0.27199819324159424</v>
      </c>
      <c r="R1008" s="62">
        <f t="shared" si="182"/>
        <v>15846.0304795146</v>
      </c>
      <c r="S1008" s="62">
        <f t="shared" si="183"/>
        <v>23040.992726864046</v>
      </c>
      <c r="T1008" s="62">
        <f t="shared" si="184"/>
        <v>23110.203594219121</v>
      </c>
      <c r="U1008" s="62">
        <f t="shared" si="185"/>
        <v>22902.169245823388</v>
      </c>
      <c r="V1008" s="62">
        <f t="shared" si="175"/>
        <v>1</v>
      </c>
      <c r="W1008" s="62">
        <f t="shared" si="175"/>
        <v>0</v>
      </c>
      <c r="X1008" s="62">
        <f t="shared" si="175"/>
        <v>0</v>
      </c>
      <c r="Y1008" s="62">
        <f t="shared" si="175"/>
        <v>0</v>
      </c>
      <c r="AA1008" s="94"/>
    </row>
    <row r="1009" spans="2:27" x14ac:dyDescent="0.2">
      <c r="B1009" s="94"/>
      <c r="C1009" s="62">
        <v>970</v>
      </c>
      <c r="D1009" s="62">
        <v>9907.9806663904292</v>
      </c>
      <c r="E1009" s="62">
        <v>0.61729114702988708</v>
      </c>
      <c r="F1009" s="62">
        <v>14243.070153849772</v>
      </c>
      <c r="G1009" s="62">
        <v>0.89363868104128519</v>
      </c>
      <c r="H1009" s="62">
        <v>14291.205765977918</v>
      </c>
      <c r="I1009" s="62">
        <v>0.89699312511474938</v>
      </c>
      <c r="J1009" s="62">
        <v>14196.386128412571</v>
      </c>
      <c r="K1009" s="62">
        <v>0.88968952708191007</v>
      </c>
      <c r="L1009" s="62">
        <f t="shared" si="176"/>
        <v>-4335.0894874593432</v>
      </c>
      <c r="M1009" s="62">
        <f t="shared" si="177"/>
        <v>-0.27634753401139811</v>
      </c>
      <c r="N1009" s="62">
        <f t="shared" si="178"/>
        <v>-4383.2250995874892</v>
      </c>
      <c r="O1009" s="62">
        <f t="shared" si="179"/>
        <v>-0.2797019780848623</v>
      </c>
      <c r="P1009" s="62">
        <f t="shared" si="180"/>
        <v>-4288.4054620221414</v>
      </c>
      <c r="Q1009" s="62">
        <f t="shared" si="181"/>
        <v>-0.27239838005202299</v>
      </c>
      <c r="R1009" s="62">
        <f t="shared" si="182"/>
        <v>15662.687808175613</v>
      </c>
      <c r="S1009" s="62">
        <f t="shared" si="183"/>
        <v>22775.018569604421</v>
      </c>
      <c r="T1009" s="62">
        <f t="shared" si="184"/>
        <v>22865.837448775463</v>
      </c>
      <c r="U1009" s="62">
        <f t="shared" si="185"/>
        <v>22658.112841428472</v>
      </c>
      <c r="V1009" s="62">
        <f t="shared" si="175"/>
        <v>1</v>
      </c>
      <c r="W1009" s="62">
        <f t="shared" si="175"/>
        <v>0</v>
      </c>
      <c r="X1009" s="62">
        <f t="shared" si="175"/>
        <v>0</v>
      </c>
      <c r="Y1009" s="62">
        <f t="shared" si="175"/>
        <v>0</v>
      </c>
      <c r="AA1009" s="94"/>
    </row>
    <row r="1010" spans="2:27" x14ac:dyDescent="0.2">
      <c r="B1010" s="94"/>
      <c r="C1010" s="62">
        <v>971</v>
      </c>
      <c r="D1010" s="62">
        <v>11188.547350271288</v>
      </c>
      <c r="E1010" s="62">
        <v>0.61769639245476315</v>
      </c>
      <c r="F1010" s="62">
        <v>16103.731478547101</v>
      </c>
      <c r="G1010" s="62">
        <v>0.89479918098577793</v>
      </c>
      <c r="H1010" s="62">
        <v>16142.964686249539</v>
      </c>
      <c r="I1010" s="62">
        <v>0.89726146151219588</v>
      </c>
      <c r="J1010" s="62">
        <v>16036.55414270718</v>
      </c>
      <c r="K1010" s="62">
        <v>0.8900029362452494</v>
      </c>
      <c r="L1010" s="62">
        <f t="shared" si="176"/>
        <v>-4915.1841282758123</v>
      </c>
      <c r="M1010" s="62">
        <f t="shared" si="177"/>
        <v>-0.27710278853101478</v>
      </c>
      <c r="N1010" s="62">
        <f t="shared" si="178"/>
        <v>-4954.4173359782508</v>
      </c>
      <c r="O1010" s="62">
        <f t="shared" si="179"/>
        <v>-0.27956506905743272</v>
      </c>
      <c r="P1010" s="62">
        <f t="shared" si="180"/>
        <v>-4848.0067924358918</v>
      </c>
      <c r="Q1010" s="62">
        <f t="shared" si="181"/>
        <v>-0.27230654379048624</v>
      </c>
      <c r="R1010" s="62">
        <f t="shared" si="182"/>
        <v>14398.90801077482</v>
      </c>
      <c r="S1010" s="62">
        <f t="shared" si="183"/>
        <v>20962.429794607764</v>
      </c>
      <c r="T1010" s="62">
        <f t="shared" si="184"/>
        <v>21025.194095431663</v>
      </c>
      <c r="U1010" s="62">
        <f t="shared" si="185"/>
        <v>20830.927488316032</v>
      </c>
      <c r="V1010" s="62">
        <f t="shared" si="175"/>
        <v>1</v>
      </c>
      <c r="W1010" s="62">
        <f t="shared" si="175"/>
        <v>0</v>
      </c>
      <c r="X1010" s="62">
        <f t="shared" si="175"/>
        <v>0</v>
      </c>
      <c r="Y1010" s="62">
        <f t="shared" si="175"/>
        <v>0</v>
      </c>
      <c r="AA1010" s="94"/>
    </row>
    <row r="1011" spans="2:27" x14ac:dyDescent="0.2">
      <c r="B1011" s="94"/>
      <c r="C1011" s="62">
        <v>972</v>
      </c>
      <c r="D1011" s="62">
        <v>9119.2479985943046</v>
      </c>
      <c r="E1011" s="62">
        <v>0.61737760129427044</v>
      </c>
      <c r="F1011" s="62">
        <v>13115.47736213783</v>
      </c>
      <c r="G1011" s="62">
        <v>0.89395249512683894</v>
      </c>
      <c r="H1011" s="62">
        <v>13148.80171634965</v>
      </c>
      <c r="I1011" s="62">
        <v>0.89665348494566333</v>
      </c>
      <c r="J1011" s="62">
        <v>13052.27380084178</v>
      </c>
      <c r="K1011" s="62">
        <v>0.88860763580261592</v>
      </c>
      <c r="L1011" s="62">
        <f t="shared" si="176"/>
        <v>-3996.2293635435253</v>
      </c>
      <c r="M1011" s="62">
        <f t="shared" si="177"/>
        <v>-0.2765748938325685</v>
      </c>
      <c r="N1011" s="62">
        <f t="shared" si="178"/>
        <v>-4029.5537177553451</v>
      </c>
      <c r="O1011" s="62">
        <f t="shared" si="179"/>
        <v>-0.27927588365139289</v>
      </c>
      <c r="P1011" s="62">
        <f t="shared" si="180"/>
        <v>-3933.0258022474754</v>
      </c>
      <c r="Q1011" s="62">
        <f t="shared" si="181"/>
        <v>-0.27123003450834549</v>
      </c>
      <c r="R1011" s="62">
        <f t="shared" si="182"/>
        <v>16455.001757419552</v>
      </c>
      <c r="S1011" s="62">
        <f t="shared" si="183"/>
        <v>23915.610795996345</v>
      </c>
      <c r="T1011" s="62">
        <f t="shared" si="184"/>
        <v>23994.17224403951</v>
      </c>
      <c r="U1011" s="62">
        <f t="shared" si="185"/>
        <v>23757.408904645781</v>
      </c>
      <c r="V1011" s="62">
        <f t="shared" si="175"/>
        <v>1</v>
      </c>
      <c r="W1011" s="62">
        <f t="shared" si="175"/>
        <v>0</v>
      </c>
      <c r="X1011" s="62">
        <f t="shared" si="175"/>
        <v>0</v>
      </c>
      <c r="Y1011" s="62">
        <f t="shared" si="175"/>
        <v>0</v>
      </c>
      <c r="AA1011" s="94"/>
    </row>
    <row r="1012" spans="2:27" x14ac:dyDescent="0.2">
      <c r="B1012" s="94"/>
      <c r="C1012" s="62">
        <v>973</v>
      </c>
      <c r="D1012" s="62">
        <v>9906.4762905532771</v>
      </c>
      <c r="E1012" s="62">
        <v>0.61754330237686328</v>
      </c>
      <c r="F1012" s="62">
        <v>14237.763206477244</v>
      </c>
      <c r="G1012" s="62">
        <v>0.89383618236086582</v>
      </c>
      <c r="H1012" s="62">
        <v>14287.420865297026</v>
      </c>
      <c r="I1012" s="62">
        <v>0.8975083574938626</v>
      </c>
      <c r="J1012" s="62">
        <v>14190.209827946377</v>
      </c>
      <c r="K1012" s="62">
        <v>0.88980409586458964</v>
      </c>
      <c r="L1012" s="62">
        <f t="shared" si="176"/>
        <v>-4331.2869159239672</v>
      </c>
      <c r="M1012" s="62">
        <f t="shared" si="177"/>
        <v>-0.27629287998400254</v>
      </c>
      <c r="N1012" s="62">
        <f t="shared" si="178"/>
        <v>-4380.9445747437494</v>
      </c>
      <c r="O1012" s="62">
        <f t="shared" si="179"/>
        <v>-0.27996505511699932</v>
      </c>
      <c r="P1012" s="62">
        <f t="shared" si="180"/>
        <v>-4283.7335373931001</v>
      </c>
      <c r="Q1012" s="62">
        <f t="shared" si="181"/>
        <v>-0.27226079348772636</v>
      </c>
      <c r="R1012" s="62">
        <f t="shared" si="182"/>
        <v>15674.637467105906</v>
      </c>
      <c r="S1012" s="62">
        <f t="shared" si="183"/>
        <v>22788.506811639261</v>
      </c>
      <c r="T1012" s="62">
        <f t="shared" si="184"/>
        <v>22890.965335528737</v>
      </c>
      <c r="U1012" s="62">
        <f t="shared" si="185"/>
        <v>22669.035039148388</v>
      </c>
      <c r="V1012" s="62">
        <f t="shared" si="175"/>
        <v>1</v>
      </c>
      <c r="W1012" s="62">
        <f t="shared" si="175"/>
        <v>0</v>
      </c>
      <c r="X1012" s="62">
        <f t="shared" si="175"/>
        <v>0</v>
      </c>
      <c r="Y1012" s="62">
        <f t="shared" si="175"/>
        <v>0</v>
      </c>
      <c r="AA1012" s="94"/>
    </row>
    <row r="1013" spans="2:27" x14ac:dyDescent="0.2">
      <c r="B1013" s="94"/>
      <c r="C1013" s="62">
        <v>974</v>
      </c>
      <c r="D1013" s="62">
        <v>10141.608428290565</v>
      </c>
      <c r="E1013" s="62">
        <v>0.61780126772959587</v>
      </c>
      <c r="F1013" s="62">
        <v>14576.493223410436</v>
      </c>
      <c r="G1013" s="62">
        <v>0.89393524434737859</v>
      </c>
      <c r="H1013" s="62">
        <v>14623.036432983346</v>
      </c>
      <c r="I1013" s="62">
        <v>0.89719856838167467</v>
      </c>
      <c r="J1013" s="62">
        <v>14521.93135656596</v>
      </c>
      <c r="K1013" s="62">
        <v>0.88963492589779469</v>
      </c>
      <c r="L1013" s="62">
        <f t="shared" si="176"/>
        <v>-4434.8847951198713</v>
      </c>
      <c r="M1013" s="62">
        <f t="shared" si="177"/>
        <v>-0.27613397661778272</v>
      </c>
      <c r="N1013" s="62">
        <f t="shared" si="178"/>
        <v>-4481.4280046927815</v>
      </c>
      <c r="O1013" s="62">
        <f t="shared" si="179"/>
        <v>-0.27939730065207879</v>
      </c>
      <c r="P1013" s="62">
        <f t="shared" si="180"/>
        <v>-4380.3229282753946</v>
      </c>
      <c r="Q1013" s="62">
        <f t="shared" si="181"/>
        <v>-0.27183365816819882</v>
      </c>
      <c r="R1013" s="62">
        <f t="shared" si="182"/>
        <v>15450.191286140216</v>
      </c>
      <c r="S1013" s="62">
        <f t="shared" si="183"/>
        <v>22453.880338435374</v>
      </c>
      <c r="T1013" s="62">
        <f t="shared" si="184"/>
        <v>22542.517063659143</v>
      </c>
      <c r="U1013" s="62">
        <f t="shared" si="185"/>
        <v>22330.305813824285</v>
      </c>
      <c r="V1013" s="62">
        <f t="shared" si="175"/>
        <v>1</v>
      </c>
      <c r="W1013" s="62">
        <f t="shared" si="175"/>
        <v>0</v>
      </c>
      <c r="X1013" s="62">
        <f t="shared" si="175"/>
        <v>0</v>
      </c>
      <c r="Y1013" s="62">
        <f t="shared" si="175"/>
        <v>0</v>
      </c>
      <c r="AA1013" s="94"/>
    </row>
    <row r="1014" spans="2:27" x14ac:dyDescent="0.2">
      <c r="B1014" s="94"/>
      <c r="C1014" s="62">
        <v>975</v>
      </c>
      <c r="D1014" s="62">
        <v>9499.9355255148694</v>
      </c>
      <c r="E1014" s="62">
        <v>0.61813031484345882</v>
      </c>
      <c r="F1014" s="62">
        <v>13650.763827880437</v>
      </c>
      <c r="G1014" s="62">
        <v>0.89423675328856844</v>
      </c>
      <c r="H1014" s="62">
        <v>13689.128026302562</v>
      </c>
      <c r="I1014" s="62">
        <v>0.89702754515198768</v>
      </c>
      <c r="J1014" s="62">
        <v>13591.414056153822</v>
      </c>
      <c r="K1014" s="62">
        <v>0.8891967072775836</v>
      </c>
      <c r="L1014" s="62">
        <f t="shared" si="176"/>
        <v>-4150.8283023655677</v>
      </c>
      <c r="M1014" s="62">
        <f t="shared" si="177"/>
        <v>-0.27610643844510963</v>
      </c>
      <c r="N1014" s="62">
        <f t="shared" si="178"/>
        <v>-4189.1925007876926</v>
      </c>
      <c r="O1014" s="62">
        <f t="shared" si="179"/>
        <v>-0.27889723030852887</v>
      </c>
      <c r="P1014" s="62">
        <f t="shared" si="180"/>
        <v>-4091.4785306389531</v>
      </c>
      <c r="Q1014" s="62">
        <f t="shared" si="181"/>
        <v>-0.27106639243412478</v>
      </c>
      <c r="R1014" s="62">
        <f t="shared" si="182"/>
        <v>16105.494636560568</v>
      </c>
      <c r="S1014" s="62">
        <f t="shared" si="183"/>
        <v>23392.099440345221</v>
      </c>
      <c r="T1014" s="62">
        <f t="shared" si="184"/>
        <v>23469.341004073372</v>
      </c>
      <c r="U1014" s="62">
        <f t="shared" si="185"/>
        <v>23242.670346112798</v>
      </c>
      <c r="V1014" s="62">
        <f t="shared" si="175"/>
        <v>1</v>
      </c>
      <c r="W1014" s="62">
        <f t="shared" si="175"/>
        <v>0</v>
      </c>
      <c r="X1014" s="62">
        <f t="shared" si="175"/>
        <v>0</v>
      </c>
      <c r="Y1014" s="62">
        <f t="shared" si="175"/>
        <v>0</v>
      </c>
      <c r="AA1014" s="94"/>
    </row>
    <row r="1015" spans="2:27" x14ac:dyDescent="0.2">
      <c r="B1015" s="94"/>
      <c r="C1015" s="62">
        <v>976</v>
      </c>
      <c r="D1015" s="62">
        <v>9173.381477138375</v>
      </c>
      <c r="E1015" s="62">
        <v>0.61753486656516499</v>
      </c>
      <c r="F1015" s="62">
        <v>13187.823429512313</v>
      </c>
      <c r="G1015" s="62">
        <v>0.89456152324845006</v>
      </c>
      <c r="H1015" s="62">
        <v>13222.710111258593</v>
      </c>
      <c r="I1015" s="62">
        <v>0.89723447435206338</v>
      </c>
      <c r="J1015" s="62">
        <v>13136.908251194896</v>
      </c>
      <c r="K1015" s="62">
        <v>0.88992801795463294</v>
      </c>
      <c r="L1015" s="62">
        <f t="shared" si="176"/>
        <v>-4014.441952373938</v>
      </c>
      <c r="M1015" s="62">
        <f t="shared" si="177"/>
        <v>-0.27702665668328508</v>
      </c>
      <c r="N1015" s="62">
        <f t="shared" si="178"/>
        <v>-4049.3286341202183</v>
      </c>
      <c r="O1015" s="62">
        <f t="shared" si="179"/>
        <v>-0.2796996077868984</v>
      </c>
      <c r="P1015" s="62">
        <f t="shared" si="180"/>
        <v>-3963.5267740565214</v>
      </c>
      <c r="Q1015" s="62">
        <f t="shared" si="181"/>
        <v>-0.27239315138946796</v>
      </c>
      <c r="R1015" s="62">
        <f t="shared" si="182"/>
        <v>16407.382835457021</v>
      </c>
      <c r="S1015" s="62">
        <f t="shared" si="183"/>
        <v>23868.493109531482</v>
      </c>
      <c r="T1015" s="62">
        <f t="shared" si="184"/>
        <v>23944.330754301278</v>
      </c>
      <c r="U1015" s="62">
        <f t="shared" si="185"/>
        <v>23727.469964557822</v>
      </c>
      <c r="V1015" s="62">
        <f t="shared" si="175"/>
        <v>1</v>
      </c>
      <c r="W1015" s="62">
        <f t="shared" si="175"/>
        <v>0</v>
      </c>
      <c r="X1015" s="62">
        <f t="shared" si="175"/>
        <v>0</v>
      </c>
      <c r="Y1015" s="62">
        <f t="shared" si="175"/>
        <v>0</v>
      </c>
      <c r="AA1015" s="94"/>
    </row>
    <row r="1016" spans="2:27" x14ac:dyDescent="0.2">
      <c r="B1016" s="94"/>
      <c r="C1016" s="62">
        <v>977</v>
      </c>
      <c r="D1016" s="62">
        <v>9820.4267182936564</v>
      </c>
      <c r="E1016" s="62">
        <v>0.61779796147346888</v>
      </c>
      <c r="F1016" s="62">
        <v>14117.790743261074</v>
      </c>
      <c r="G1016" s="62">
        <v>0.8938565159456292</v>
      </c>
      <c r="H1016" s="62">
        <v>14164.240068424931</v>
      </c>
      <c r="I1016" s="62">
        <v>0.89725401358901558</v>
      </c>
      <c r="J1016" s="62">
        <v>14061.183575437406</v>
      </c>
      <c r="K1016" s="62">
        <v>0.88919371487812537</v>
      </c>
      <c r="L1016" s="62">
        <f t="shared" si="176"/>
        <v>-4297.3640249674172</v>
      </c>
      <c r="M1016" s="62">
        <f t="shared" si="177"/>
        <v>-0.27605855447216032</v>
      </c>
      <c r="N1016" s="62">
        <f t="shared" si="178"/>
        <v>-4343.813350131275</v>
      </c>
      <c r="O1016" s="62">
        <f t="shared" si="179"/>
        <v>-0.27945605211554669</v>
      </c>
      <c r="P1016" s="62">
        <f t="shared" si="180"/>
        <v>-4240.7568571437496</v>
      </c>
      <c r="Q1016" s="62">
        <f t="shared" si="181"/>
        <v>-0.27139575340465649</v>
      </c>
      <c r="R1016" s="62">
        <f t="shared" si="182"/>
        <v>15771.236037783317</v>
      </c>
      <c r="S1016" s="62">
        <f t="shared" si="183"/>
        <v>22909.321573270674</v>
      </c>
      <c r="T1016" s="62">
        <f t="shared" si="184"/>
        <v>23003.610190486448</v>
      </c>
      <c r="U1016" s="62">
        <f t="shared" si="185"/>
        <v>22772.77686967406</v>
      </c>
      <c r="V1016" s="62">
        <f t="shared" si="175"/>
        <v>1</v>
      </c>
      <c r="W1016" s="62">
        <f t="shared" si="175"/>
        <v>0</v>
      </c>
      <c r="X1016" s="62">
        <f t="shared" si="175"/>
        <v>0</v>
      </c>
      <c r="Y1016" s="62">
        <f t="shared" si="175"/>
        <v>0</v>
      </c>
      <c r="AA1016" s="94"/>
    </row>
    <row r="1017" spans="2:27" x14ac:dyDescent="0.2">
      <c r="B1017" s="94"/>
      <c r="C1017" s="62">
        <v>978</v>
      </c>
      <c r="D1017" s="62">
        <v>9289.3852004109413</v>
      </c>
      <c r="E1017" s="62">
        <v>0.61755419202552264</v>
      </c>
      <c r="F1017" s="62">
        <v>13359.171659051573</v>
      </c>
      <c r="G1017" s="62">
        <v>0.89425019488597168</v>
      </c>
      <c r="H1017" s="62">
        <v>13389.794292633766</v>
      </c>
      <c r="I1017" s="62">
        <v>0.89673342937340894</v>
      </c>
      <c r="J1017" s="62">
        <v>13301.339495251737</v>
      </c>
      <c r="K1017" s="62">
        <v>0.88940683407827859</v>
      </c>
      <c r="L1017" s="62">
        <f t="shared" si="176"/>
        <v>-4069.7864586406322</v>
      </c>
      <c r="M1017" s="62">
        <f t="shared" si="177"/>
        <v>-0.27669600286044904</v>
      </c>
      <c r="N1017" s="62">
        <f t="shared" si="178"/>
        <v>-4100.4090922228243</v>
      </c>
      <c r="O1017" s="62">
        <f t="shared" si="179"/>
        <v>-0.2791792373478863</v>
      </c>
      <c r="P1017" s="62">
        <f t="shared" si="180"/>
        <v>-4011.9542948407961</v>
      </c>
      <c r="Q1017" s="62">
        <f t="shared" si="181"/>
        <v>-0.27185264205275594</v>
      </c>
      <c r="R1017" s="62">
        <f t="shared" si="182"/>
        <v>16292.179650054308</v>
      </c>
      <c r="S1017" s="62">
        <f t="shared" si="183"/>
        <v>23684.248413904919</v>
      </c>
      <c r="T1017" s="62">
        <f t="shared" si="184"/>
        <v>23756.491285730328</v>
      </c>
      <c r="U1017" s="62">
        <f t="shared" si="185"/>
        <v>23541.449199606872</v>
      </c>
      <c r="V1017" s="62">
        <f t="shared" si="175"/>
        <v>1</v>
      </c>
      <c r="W1017" s="62">
        <f t="shared" si="175"/>
        <v>0</v>
      </c>
      <c r="X1017" s="62">
        <f t="shared" si="175"/>
        <v>0</v>
      </c>
      <c r="Y1017" s="62">
        <f t="shared" si="175"/>
        <v>0</v>
      </c>
      <c r="AA1017" s="94"/>
    </row>
    <row r="1018" spans="2:27" x14ac:dyDescent="0.2">
      <c r="B1018" s="94"/>
      <c r="C1018" s="62">
        <v>979</v>
      </c>
      <c r="D1018" s="62">
        <v>10232.106250796991</v>
      </c>
      <c r="E1018" s="62">
        <v>0.61749670441373505</v>
      </c>
      <c r="F1018" s="62">
        <v>14711.830673504486</v>
      </c>
      <c r="G1018" s="62">
        <v>0.89356872247371877</v>
      </c>
      <c r="H1018" s="62">
        <v>14760.699268383052</v>
      </c>
      <c r="I1018" s="62">
        <v>0.89689475274786323</v>
      </c>
      <c r="J1018" s="62">
        <v>14657.946828992586</v>
      </c>
      <c r="K1018" s="62">
        <v>0.88930664249113622</v>
      </c>
      <c r="L1018" s="62">
        <f t="shared" si="176"/>
        <v>-4479.7244227074953</v>
      </c>
      <c r="M1018" s="62">
        <f t="shared" si="177"/>
        <v>-0.27607201805998371</v>
      </c>
      <c r="N1018" s="62">
        <f t="shared" si="178"/>
        <v>-4528.5930175860613</v>
      </c>
      <c r="O1018" s="62">
        <f t="shared" si="179"/>
        <v>-0.27939804833412818</v>
      </c>
      <c r="P1018" s="62">
        <f t="shared" si="180"/>
        <v>-4425.8405781955953</v>
      </c>
      <c r="Q1018" s="62">
        <f t="shared" si="181"/>
        <v>-0.27180993807740117</v>
      </c>
      <c r="R1018" s="62">
        <f t="shared" si="182"/>
        <v>15347.077232837572</v>
      </c>
      <c r="S1018" s="62">
        <f t="shared" si="183"/>
        <v>22303.360086246841</v>
      </c>
      <c r="T1018" s="62">
        <f t="shared" si="184"/>
        <v>22392.268969444434</v>
      </c>
      <c r="U1018" s="62">
        <f t="shared" si="185"/>
        <v>22180.691529560238</v>
      </c>
      <c r="V1018" s="62">
        <f t="shared" si="175"/>
        <v>1</v>
      </c>
      <c r="W1018" s="62">
        <f t="shared" si="175"/>
        <v>0</v>
      </c>
      <c r="X1018" s="62">
        <f t="shared" si="175"/>
        <v>0</v>
      </c>
      <c r="Y1018" s="62">
        <f t="shared" si="175"/>
        <v>0</v>
      </c>
      <c r="AA1018" s="94"/>
    </row>
    <row r="1019" spans="2:27" x14ac:dyDescent="0.2">
      <c r="B1019" s="94"/>
      <c r="C1019" s="62">
        <v>980</v>
      </c>
      <c r="D1019" s="62">
        <v>7863.1623556024661</v>
      </c>
      <c r="E1019" s="62">
        <v>0.61695835095374596</v>
      </c>
      <c r="F1019" s="62">
        <v>11307.241791895751</v>
      </c>
      <c r="G1019" s="62">
        <v>0.89438853618930714</v>
      </c>
      <c r="H1019" s="62">
        <v>11332.760857337507</v>
      </c>
      <c r="I1019" s="62">
        <v>0.89686990550109824</v>
      </c>
      <c r="J1019" s="62">
        <v>11252.952467669369</v>
      </c>
      <c r="K1019" s="62">
        <v>0.88875150960414284</v>
      </c>
      <c r="L1019" s="62">
        <f t="shared" si="176"/>
        <v>-3444.0794362932847</v>
      </c>
      <c r="M1019" s="62">
        <f t="shared" si="177"/>
        <v>-0.27743018523556118</v>
      </c>
      <c r="N1019" s="62">
        <f t="shared" si="178"/>
        <v>-3469.5985017350413</v>
      </c>
      <c r="O1019" s="62">
        <f t="shared" si="179"/>
        <v>-0.27991155454735228</v>
      </c>
      <c r="P1019" s="62">
        <f t="shared" si="180"/>
        <v>-3389.790112066903</v>
      </c>
      <c r="Q1019" s="62">
        <f t="shared" si="181"/>
        <v>-0.27179315865039688</v>
      </c>
      <c r="R1019" s="62">
        <f t="shared" si="182"/>
        <v>17693.720374305507</v>
      </c>
      <c r="S1019" s="62">
        <f t="shared" si="183"/>
        <v>25741.908931210106</v>
      </c>
      <c r="T1019" s="62">
        <f t="shared" si="184"/>
        <v>25819.178108139986</v>
      </c>
      <c r="U1019" s="62">
        <f t="shared" si="185"/>
        <v>25562.690066172647</v>
      </c>
      <c r="V1019" s="62">
        <f t="shared" si="175"/>
        <v>1</v>
      </c>
      <c r="W1019" s="62">
        <f t="shared" si="175"/>
        <v>0</v>
      </c>
      <c r="X1019" s="62">
        <f t="shared" si="175"/>
        <v>0</v>
      </c>
      <c r="Y1019" s="62">
        <f t="shared" si="175"/>
        <v>0</v>
      </c>
      <c r="AA1019" s="94"/>
    </row>
    <row r="1020" spans="2:27" x14ac:dyDescent="0.2">
      <c r="B1020" s="94"/>
      <c r="C1020" s="62">
        <v>981</v>
      </c>
      <c r="D1020" s="62">
        <v>9729.6959365546027</v>
      </c>
      <c r="E1020" s="62">
        <v>0.61754194772473281</v>
      </c>
      <c r="F1020" s="62">
        <v>13992.705674240247</v>
      </c>
      <c r="G1020" s="62">
        <v>0.89464732586140583</v>
      </c>
      <c r="H1020" s="62">
        <v>14026.502239142465</v>
      </c>
      <c r="I1020" s="62">
        <v>0.89711262235053213</v>
      </c>
      <c r="J1020" s="62">
        <v>13920.198648161311</v>
      </c>
      <c r="K1020" s="62">
        <v>0.88878815969601743</v>
      </c>
      <c r="L1020" s="62">
        <f t="shared" si="176"/>
        <v>-4263.0097376856447</v>
      </c>
      <c r="M1020" s="62">
        <f t="shared" si="177"/>
        <v>-0.27710537813667302</v>
      </c>
      <c r="N1020" s="62">
        <f t="shared" si="178"/>
        <v>-4296.8063025878619</v>
      </c>
      <c r="O1020" s="62">
        <f t="shared" si="179"/>
        <v>-0.27957067462579932</v>
      </c>
      <c r="P1020" s="62">
        <f t="shared" si="180"/>
        <v>-4190.5027116067085</v>
      </c>
      <c r="Q1020" s="62">
        <f t="shared" si="181"/>
        <v>-0.27124621197128462</v>
      </c>
      <c r="R1020" s="62">
        <f t="shared" si="182"/>
        <v>15851.361705994728</v>
      </c>
      <c r="S1020" s="62">
        <f t="shared" si="183"/>
        <v>23067.165152242625</v>
      </c>
      <c r="T1020" s="62">
        <f t="shared" si="184"/>
        <v>23135.491029105979</v>
      </c>
      <c r="U1020" s="62">
        <f t="shared" si="185"/>
        <v>22896.962079086516</v>
      </c>
      <c r="V1020" s="62">
        <f t="shared" si="175"/>
        <v>1</v>
      </c>
      <c r="W1020" s="62">
        <f t="shared" si="175"/>
        <v>0</v>
      </c>
      <c r="X1020" s="62">
        <f t="shared" si="175"/>
        <v>0</v>
      </c>
      <c r="Y1020" s="62">
        <f t="shared" si="175"/>
        <v>0</v>
      </c>
      <c r="AA1020" s="94"/>
    </row>
    <row r="1021" spans="2:27" x14ac:dyDescent="0.2">
      <c r="B1021" s="94"/>
      <c r="C1021" s="62">
        <v>982</v>
      </c>
      <c r="D1021" s="62">
        <v>11108.826113322759</v>
      </c>
      <c r="E1021" s="62">
        <v>0.61797226800048133</v>
      </c>
      <c r="F1021" s="62">
        <v>15975.787648765823</v>
      </c>
      <c r="G1021" s="62">
        <v>0.89472324529401892</v>
      </c>
      <c r="H1021" s="62">
        <v>16023.402972578047</v>
      </c>
      <c r="I1021" s="62">
        <v>0.8976646296879417</v>
      </c>
      <c r="J1021" s="62">
        <v>15899.666994659299</v>
      </c>
      <c r="K1021" s="62">
        <v>0.88922089188713294</v>
      </c>
      <c r="L1021" s="62">
        <f t="shared" si="176"/>
        <v>-4866.9615354430643</v>
      </c>
      <c r="M1021" s="62">
        <f t="shared" si="177"/>
        <v>-0.27675097729353759</v>
      </c>
      <c r="N1021" s="62">
        <f t="shared" si="178"/>
        <v>-4914.5768592552886</v>
      </c>
      <c r="O1021" s="62">
        <f t="shared" si="179"/>
        <v>-0.27969236168746037</v>
      </c>
      <c r="P1021" s="62">
        <f t="shared" si="180"/>
        <v>-4790.8408813365404</v>
      </c>
      <c r="Q1021" s="62">
        <f t="shared" si="181"/>
        <v>-0.27124862388665161</v>
      </c>
      <c r="R1021" s="62">
        <f t="shared" si="182"/>
        <v>14490.057116329181</v>
      </c>
      <c r="S1021" s="62">
        <f t="shared" si="183"/>
        <v>21087.228064293617</v>
      </c>
      <c r="T1021" s="62">
        <f t="shared" si="184"/>
        <v>21161.456647615247</v>
      </c>
      <c r="U1021" s="62">
        <f t="shared" si="185"/>
        <v>20935.419230873293</v>
      </c>
      <c r="V1021" s="62">
        <f t="shared" si="175"/>
        <v>1</v>
      </c>
      <c r="W1021" s="62">
        <f t="shared" si="175"/>
        <v>0</v>
      </c>
      <c r="X1021" s="62">
        <f t="shared" si="175"/>
        <v>0</v>
      </c>
      <c r="Y1021" s="62">
        <f t="shared" si="175"/>
        <v>0</v>
      </c>
      <c r="AA1021" s="94"/>
    </row>
    <row r="1022" spans="2:27" x14ac:dyDescent="0.2">
      <c r="B1022" s="94"/>
      <c r="C1022" s="62">
        <v>983</v>
      </c>
      <c r="D1022" s="62">
        <v>11593.788048220344</v>
      </c>
      <c r="E1022" s="62">
        <v>0.61744344248960514</v>
      </c>
      <c r="F1022" s="62">
        <v>16687.275341741402</v>
      </c>
      <c r="G1022" s="62">
        <v>0.89470678363465539</v>
      </c>
      <c r="H1022" s="62">
        <v>16744.811111551975</v>
      </c>
      <c r="I1022" s="62">
        <v>0.89795542384756566</v>
      </c>
      <c r="J1022" s="62">
        <v>16610.572945691056</v>
      </c>
      <c r="K1022" s="62">
        <v>0.88935036794979883</v>
      </c>
      <c r="L1022" s="62">
        <f t="shared" si="176"/>
        <v>-5093.4872935210587</v>
      </c>
      <c r="M1022" s="62">
        <f t="shared" si="177"/>
        <v>-0.27726334114505025</v>
      </c>
      <c r="N1022" s="62">
        <f t="shared" si="178"/>
        <v>-5151.0230633316314</v>
      </c>
      <c r="O1022" s="62">
        <f t="shared" si="179"/>
        <v>-0.28051198135796052</v>
      </c>
      <c r="P1022" s="62">
        <f t="shared" si="180"/>
        <v>-5016.7848974707122</v>
      </c>
      <c r="Q1022" s="62">
        <f t="shared" si="181"/>
        <v>-0.27190692546019368</v>
      </c>
      <c r="R1022" s="62">
        <f t="shared" si="182"/>
        <v>13983.18911346906</v>
      </c>
      <c r="S1022" s="62">
        <f t="shared" si="183"/>
        <v>20375.058463540565</v>
      </c>
      <c r="T1022" s="62">
        <f t="shared" si="184"/>
        <v>20452.094365909583</v>
      </c>
      <c r="U1022" s="62">
        <f t="shared" si="185"/>
        <v>20229.87669626141</v>
      </c>
      <c r="V1022" s="62">
        <f t="shared" si="175"/>
        <v>1</v>
      </c>
      <c r="W1022" s="62">
        <f t="shared" si="175"/>
        <v>0</v>
      </c>
      <c r="X1022" s="62">
        <f t="shared" si="175"/>
        <v>0</v>
      </c>
      <c r="Y1022" s="62">
        <f t="shared" si="175"/>
        <v>0</v>
      </c>
      <c r="AA1022" s="94"/>
    </row>
    <row r="1023" spans="2:27" x14ac:dyDescent="0.2">
      <c r="B1023" s="94"/>
      <c r="C1023" s="62">
        <v>984</v>
      </c>
      <c r="D1023" s="62">
        <v>9426.0214346015928</v>
      </c>
      <c r="E1023" s="62">
        <v>0.61802404667699129</v>
      </c>
      <c r="F1023" s="62">
        <v>13541.435116136912</v>
      </c>
      <c r="G1023" s="62">
        <v>0.89445840086877271</v>
      </c>
      <c r="H1023" s="62">
        <v>13576.064132437798</v>
      </c>
      <c r="I1023" s="62">
        <v>0.8970756761326899</v>
      </c>
      <c r="J1023" s="62">
        <v>13469.958103101082</v>
      </c>
      <c r="K1023" s="62">
        <v>0.88845469563553048</v>
      </c>
      <c r="L1023" s="62">
        <f t="shared" si="176"/>
        <v>-4115.4136815353195</v>
      </c>
      <c r="M1023" s="62">
        <f t="shared" si="177"/>
        <v>-0.27643435419178142</v>
      </c>
      <c r="N1023" s="62">
        <f t="shared" si="178"/>
        <v>-4150.0426978362048</v>
      </c>
      <c r="O1023" s="62">
        <f t="shared" si="179"/>
        <v>-0.27905162945569861</v>
      </c>
      <c r="P1023" s="62">
        <f t="shared" si="180"/>
        <v>-4043.9366684994893</v>
      </c>
      <c r="Q1023" s="62">
        <f t="shared" si="181"/>
        <v>-0.27043064895853919</v>
      </c>
      <c r="R1023" s="62">
        <f t="shared" si="182"/>
        <v>16175.006674946093</v>
      </c>
      <c r="S1023" s="62">
        <f t="shared" si="183"/>
        <v>23510.609681451126</v>
      </c>
      <c r="T1023" s="62">
        <f t="shared" si="184"/>
        <v>23584.398675682747</v>
      </c>
      <c r="U1023" s="62">
        <f t="shared" si="185"/>
        <v>23333.38920890513</v>
      </c>
      <c r="V1023" s="62">
        <f t="shared" si="175"/>
        <v>1</v>
      </c>
      <c r="W1023" s="62">
        <f t="shared" si="175"/>
        <v>0</v>
      </c>
      <c r="X1023" s="62">
        <f t="shared" si="175"/>
        <v>0</v>
      </c>
      <c r="Y1023" s="62">
        <f t="shared" si="175"/>
        <v>0</v>
      </c>
      <c r="AA1023" s="94"/>
    </row>
    <row r="1024" spans="2:27" x14ac:dyDescent="0.2">
      <c r="B1024" s="94"/>
      <c r="C1024" s="62">
        <v>985</v>
      </c>
      <c r="D1024" s="62">
        <v>11016.116344443602</v>
      </c>
      <c r="E1024" s="62">
        <v>0.61738861187105354</v>
      </c>
      <c r="F1024" s="62">
        <v>15857.10650767374</v>
      </c>
      <c r="G1024" s="62">
        <v>0.89412355372455377</v>
      </c>
      <c r="H1024" s="62">
        <v>15915.722646271686</v>
      </c>
      <c r="I1024" s="62">
        <v>0.89777689430127661</v>
      </c>
      <c r="J1024" s="62">
        <v>15792.89138160804</v>
      </c>
      <c r="K1024" s="62">
        <v>0.88948652267357942</v>
      </c>
      <c r="L1024" s="62">
        <f t="shared" si="176"/>
        <v>-4840.9901632301371</v>
      </c>
      <c r="M1024" s="62">
        <f t="shared" si="177"/>
        <v>-0.27673494185350023</v>
      </c>
      <c r="N1024" s="62">
        <f t="shared" si="178"/>
        <v>-4899.6063018280838</v>
      </c>
      <c r="O1024" s="62">
        <f t="shared" si="179"/>
        <v>-0.28038828243022307</v>
      </c>
      <c r="P1024" s="62">
        <f t="shared" si="180"/>
        <v>-4776.7750371644379</v>
      </c>
      <c r="Q1024" s="62">
        <f t="shared" si="181"/>
        <v>-0.27209791080252588</v>
      </c>
      <c r="R1024" s="62">
        <f t="shared" si="182"/>
        <v>14558.589513702918</v>
      </c>
      <c r="S1024" s="62">
        <f t="shared" si="183"/>
        <v>21181.067581812178</v>
      </c>
      <c r="T1024" s="62">
        <f t="shared" si="184"/>
        <v>21273.787423264395</v>
      </c>
      <c r="U1024" s="62">
        <f t="shared" si="185"/>
        <v>21053.198333622313</v>
      </c>
      <c r="V1024" s="62">
        <f t="shared" si="175"/>
        <v>1</v>
      </c>
      <c r="W1024" s="62">
        <f t="shared" si="175"/>
        <v>0</v>
      </c>
      <c r="X1024" s="62">
        <f t="shared" si="175"/>
        <v>0</v>
      </c>
      <c r="Y1024" s="62">
        <f t="shared" si="175"/>
        <v>0</v>
      </c>
      <c r="AA1024" s="94"/>
    </row>
    <row r="1025" spans="2:27" x14ac:dyDescent="0.2">
      <c r="B1025" s="94"/>
      <c r="C1025" s="62">
        <v>986</v>
      </c>
      <c r="D1025" s="62">
        <v>9120.0816390734835</v>
      </c>
      <c r="E1025" s="62">
        <v>0.61795167367943848</v>
      </c>
      <c r="F1025" s="62">
        <v>13106.070924786693</v>
      </c>
      <c r="G1025" s="62">
        <v>0.89411874536334168</v>
      </c>
      <c r="H1025" s="62">
        <v>13155.5085863555</v>
      </c>
      <c r="I1025" s="62">
        <v>0.89798462817013813</v>
      </c>
      <c r="J1025" s="62">
        <v>13053.592490638803</v>
      </c>
      <c r="K1025" s="62">
        <v>0.88955254745080936</v>
      </c>
      <c r="L1025" s="62">
        <f t="shared" si="176"/>
        <v>-3985.989285713209</v>
      </c>
      <c r="M1025" s="62">
        <f t="shared" si="177"/>
        <v>-0.2761670716839032</v>
      </c>
      <c r="N1025" s="62">
        <f t="shared" si="178"/>
        <v>-4035.426947282016</v>
      </c>
      <c r="O1025" s="62">
        <f t="shared" si="179"/>
        <v>-0.28003295449069965</v>
      </c>
      <c r="P1025" s="62">
        <f t="shared" si="180"/>
        <v>-3933.5108515653192</v>
      </c>
      <c r="Q1025" s="62">
        <f t="shared" si="181"/>
        <v>-0.27160087377137088</v>
      </c>
      <c r="R1025" s="62">
        <f t="shared" si="182"/>
        <v>16477.948491423576</v>
      </c>
      <c r="S1025" s="62">
        <f t="shared" si="183"/>
        <v>23931.903983144373</v>
      </c>
      <c r="T1025" s="62">
        <f t="shared" si="184"/>
        <v>24042.606650964306</v>
      </c>
      <c r="U1025" s="62">
        <f t="shared" si="185"/>
        <v>23795.232234963521</v>
      </c>
      <c r="V1025" s="62">
        <f t="shared" si="175"/>
        <v>1</v>
      </c>
      <c r="W1025" s="62">
        <f t="shared" si="175"/>
        <v>0</v>
      </c>
      <c r="X1025" s="62">
        <f t="shared" si="175"/>
        <v>0</v>
      </c>
      <c r="Y1025" s="62">
        <f t="shared" si="175"/>
        <v>0</v>
      </c>
      <c r="AA1025" s="94"/>
    </row>
    <row r="1026" spans="2:27" x14ac:dyDescent="0.2">
      <c r="B1026" s="94"/>
      <c r="C1026" s="62">
        <v>987</v>
      </c>
      <c r="D1026" s="62">
        <v>14129.906395252458</v>
      </c>
      <c r="E1026" s="62">
        <v>0.61778610451439053</v>
      </c>
      <c r="F1026" s="62">
        <v>20337.410012912253</v>
      </c>
      <c r="G1026" s="62">
        <v>0.89441322334038142</v>
      </c>
      <c r="H1026" s="62">
        <v>20397.948526893018</v>
      </c>
      <c r="I1026" s="62">
        <v>0.89731489830358813</v>
      </c>
      <c r="J1026" s="62">
        <v>20241.964310245883</v>
      </c>
      <c r="K1026" s="62">
        <v>0.88917955768234791</v>
      </c>
      <c r="L1026" s="62">
        <f t="shared" si="176"/>
        <v>-6207.5036176597951</v>
      </c>
      <c r="M1026" s="62">
        <f t="shared" si="177"/>
        <v>-0.27662711882599089</v>
      </c>
      <c r="N1026" s="62">
        <f t="shared" si="178"/>
        <v>-6268.0421316405609</v>
      </c>
      <c r="O1026" s="62">
        <f t="shared" si="179"/>
        <v>-0.27952879378919759</v>
      </c>
      <c r="P1026" s="62">
        <f t="shared" si="180"/>
        <v>-6112.0579149934256</v>
      </c>
      <c r="Q1026" s="62">
        <f t="shared" si="181"/>
        <v>-0.27139345316795738</v>
      </c>
      <c r="R1026" s="62">
        <f t="shared" si="182"/>
        <v>11461.265198151656</v>
      </c>
      <c r="S1026" s="62">
        <f t="shared" si="183"/>
        <v>16712.763350739704</v>
      </c>
      <c r="T1026" s="62">
        <f t="shared" si="184"/>
        <v>16772.423820434818</v>
      </c>
      <c r="U1026" s="62">
        <f t="shared" si="185"/>
        <v>16591.409687187694</v>
      </c>
      <c r="V1026" s="62">
        <f t="shared" si="175"/>
        <v>1</v>
      </c>
      <c r="W1026" s="62">
        <f t="shared" si="175"/>
        <v>0</v>
      </c>
      <c r="X1026" s="62">
        <f t="shared" si="175"/>
        <v>0</v>
      </c>
      <c r="Y1026" s="62">
        <f t="shared" si="175"/>
        <v>0</v>
      </c>
      <c r="AA1026" s="94"/>
    </row>
    <row r="1027" spans="2:27" x14ac:dyDescent="0.2">
      <c r="B1027" s="94"/>
      <c r="C1027" s="62">
        <v>988</v>
      </c>
      <c r="D1027" s="62">
        <v>10171.787099754893</v>
      </c>
      <c r="E1027" s="62">
        <v>0.61767275916805431</v>
      </c>
      <c r="F1027" s="62">
        <v>14623.119927756075</v>
      </c>
      <c r="G1027" s="62">
        <v>0.894004211156878</v>
      </c>
      <c r="H1027" s="62">
        <v>14671.479366315061</v>
      </c>
      <c r="I1027" s="62">
        <v>0.89735768325081589</v>
      </c>
      <c r="J1027" s="62">
        <v>14566.60857892604</v>
      </c>
      <c r="K1027" s="62">
        <v>0.88963767378065706</v>
      </c>
      <c r="L1027" s="62">
        <f t="shared" si="176"/>
        <v>-4451.3328280011829</v>
      </c>
      <c r="M1027" s="62">
        <f t="shared" si="177"/>
        <v>-0.2763314519888237</v>
      </c>
      <c r="N1027" s="62">
        <f t="shared" si="178"/>
        <v>-4499.6922665601687</v>
      </c>
      <c r="O1027" s="62">
        <f t="shared" si="179"/>
        <v>-0.27968492408276158</v>
      </c>
      <c r="P1027" s="62">
        <f t="shared" si="180"/>
        <v>-4394.8214791711471</v>
      </c>
      <c r="Q1027" s="62">
        <f t="shared" si="181"/>
        <v>-0.27196491461260275</v>
      </c>
      <c r="R1027" s="62">
        <f t="shared" si="182"/>
        <v>15414.689276022589</v>
      </c>
      <c r="S1027" s="62">
        <f t="shared" si="183"/>
        <v>22410.110515206441</v>
      </c>
      <c r="T1027" s="62">
        <f t="shared" si="184"/>
        <v>22500.665304666734</v>
      </c>
      <c r="U1027" s="62">
        <f t="shared" si="185"/>
        <v>22285.742419763897</v>
      </c>
      <c r="V1027" s="62">
        <f t="shared" si="175"/>
        <v>1</v>
      </c>
      <c r="W1027" s="62">
        <f t="shared" si="175"/>
        <v>0</v>
      </c>
      <c r="X1027" s="62">
        <f t="shared" si="175"/>
        <v>0</v>
      </c>
      <c r="Y1027" s="62">
        <f t="shared" si="175"/>
        <v>0</v>
      </c>
      <c r="AA1027" s="94"/>
    </row>
    <row r="1028" spans="2:27" x14ac:dyDescent="0.2">
      <c r="B1028" s="94"/>
      <c r="C1028" s="62">
        <v>989</v>
      </c>
      <c r="D1028" s="62">
        <v>12437.922156207684</v>
      </c>
      <c r="E1028" s="62">
        <v>0.61786821233254696</v>
      </c>
      <c r="F1028" s="62">
        <v>17880.428831879046</v>
      </c>
      <c r="G1028" s="62">
        <v>0.89339567933292718</v>
      </c>
      <c r="H1028" s="62">
        <v>17950.812827433543</v>
      </c>
      <c r="I1028" s="62">
        <v>0.89712378886418942</v>
      </c>
      <c r="J1028" s="62">
        <v>17813.906904523785</v>
      </c>
      <c r="K1028" s="62">
        <v>0.88914121521259915</v>
      </c>
      <c r="L1028" s="62">
        <f t="shared" si="176"/>
        <v>-5442.5066756713622</v>
      </c>
      <c r="M1028" s="62">
        <f t="shared" si="177"/>
        <v>-0.27552746700038022</v>
      </c>
      <c r="N1028" s="62">
        <f t="shared" si="178"/>
        <v>-5512.8906712258595</v>
      </c>
      <c r="O1028" s="62">
        <f t="shared" si="179"/>
        <v>-0.27925557653164246</v>
      </c>
      <c r="P1028" s="62">
        <f t="shared" si="180"/>
        <v>-5375.9847483161011</v>
      </c>
      <c r="Q1028" s="62">
        <f t="shared" si="181"/>
        <v>-0.27127300288005218</v>
      </c>
      <c r="R1028" s="62">
        <f t="shared" si="182"/>
        <v>13156.650671455742</v>
      </c>
      <c r="S1028" s="62">
        <f t="shared" si="183"/>
        <v>19127.593788808128</v>
      </c>
      <c r="T1028" s="62">
        <f t="shared" si="184"/>
        <v>19211.643002476641</v>
      </c>
      <c r="U1028" s="62">
        <f t="shared" si="185"/>
        <v>19017.87879444292</v>
      </c>
      <c r="V1028" s="62">
        <f t="shared" si="175"/>
        <v>1</v>
      </c>
      <c r="W1028" s="62">
        <f t="shared" si="175"/>
        <v>0</v>
      </c>
      <c r="X1028" s="62">
        <f t="shared" si="175"/>
        <v>0</v>
      </c>
      <c r="Y1028" s="62">
        <f t="shared" si="175"/>
        <v>0</v>
      </c>
      <c r="AA1028" s="94"/>
    </row>
    <row r="1029" spans="2:27" x14ac:dyDescent="0.2">
      <c r="B1029" s="94"/>
      <c r="C1029" s="62">
        <v>990</v>
      </c>
      <c r="D1029" s="62">
        <v>9774.519845681396</v>
      </c>
      <c r="E1029" s="62">
        <v>0.61771334461102489</v>
      </c>
      <c r="F1029" s="62">
        <v>14052.393336351579</v>
      </c>
      <c r="G1029" s="62">
        <v>0.89458325903942382</v>
      </c>
      <c r="H1029" s="62">
        <v>14089.933603033547</v>
      </c>
      <c r="I1029" s="62">
        <v>0.89727209868221236</v>
      </c>
      <c r="J1029" s="62">
        <v>13979.578974232414</v>
      </c>
      <c r="K1029" s="62">
        <v>0.88870047197572932</v>
      </c>
      <c r="L1029" s="62">
        <f t="shared" si="176"/>
        <v>-4277.8734906701829</v>
      </c>
      <c r="M1029" s="62">
        <f t="shared" si="177"/>
        <v>-0.27686991442839892</v>
      </c>
      <c r="N1029" s="62">
        <f t="shared" si="178"/>
        <v>-4315.4137573521512</v>
      </c>
      <c r="O1029" s="62">
        <f t="shared" si="179"/>
        <v>-0.27955875407118747</v>
      </c>
      <c r="P1029" s="62">
        <f t="shared" si="180"/>
        <v>-4205.0591285510181</v>
      </c>
      <c r="Q1029" s="62">
        <f t="shared" si="181"/>
        <v>-0.27098712736470443</v>
      </c>
      <c r="R1029" s="62">
        <f t="shared" si="182"/>
        <v>15813.637741485698</v>
      </c>
      <c r="S1029" s="62">
        <f t="shared" si="183"/>
        <v>23004.823586097515</v>
      </c>
      <c r="T1029" s="62">
        <f t="shared" si="184"/>
        <v>23078.665812778418</v>
      </c>
      <c r="U1029" s="62">
        <f t="shared" si="185"/>
        <v>22833.949376890196</v>
      </c>
      <c r="V1029" s="62">
        <f t="shared" si="175"/>
        <v>1</v>
      </c>
      <c r="W1029" s="62">
        <f t="shared" si="175"/>
        <v>0</v>
      </c>
      <c r="X1029" s="62">
        <f t="shared" si="175"/>
        <v>0</v>
      </c>
      <c r="Y1029" s="62">
        <f t="shared" si="175"/>
        <v>0</v>
      </c>
      <c r="AA1029" s="94"/>
    </row>
    <row r="1030" spans="2:27" x14ac:dyDescent="0.2">
      <c r="B1030" s="94"/>
      <c r="C1030" s="62">
        <v>991</v>
      </c>
      <c r="D1030" s="62">
        <v>8550.350263830489</v>
      </c>
      <c r="E1030" s="62">
        <v>0.61754161348504544</v>
      </c>
      <c r="F1030" s="62">
        <v>12287.271567941996</v>
      </c>
      <c r="G1030" s="62">
        <v>0.89385262891171935</v>
      </c>
      <c r="H1030" s="62">
        <v>12326.730234932687</v>
      </c>
      <c r="I1030" s="62">
        <v>0.89713667161659238</v>
      </c>
      <c r="J1030" s="62">
        <v>12230.113535058399</v>
      </c>
      <c r="K1030" s="62">
        <v>0.8884625124328972</v>
      </c>
      <c r="L1030" s="62">
        <f t="shared" si="176"/>
        <v>-3736.9213041115072</v>
      </c>
      <c r="M1030" s="62">
        <f t="shared" si="177"/>
        <v>-0.27631101542667391</v>
      </c>
      <c r="N1030" s="62">
        <f t="shared" si="178"/>
        <v>-3776.3799711021984</v>
      </c>
      <c r="O1030" s="62">
        <f t="shared" si="179"/>
        <v>-0.27959505813154695</v>
      </c>
      <c r="P1030" s="62">
        <f t="shared" si="180"/>
        <v>-3679.7632712279101</v>
      </c>
      <c r="Q1030" s="62">
        <f t="shared" si="181"/>
        <v>-0.27092089894785176</v>
      </c>
      <c r="R1030" s="62">
        <f t="shared" si="182"/>
        <v>17030.693533174031</v>
      </c>
      <c r="S1030" s="62">
        <f t="shared" si="183"/>
        <v>24739.679732097069</v>
      </c>
      <c r="T1030" s="62">
        <f t="shared" si="184"/>
        <v>24836.259250113035</v>
      </c>
      <c r="U1030" s="62">
        <f t="shared" si="185"/>
        <v>24573.557579961933</v>
      </c>
      <c r="V1030" s="62">
        <f t="shared" si="175"/>
        <v>1</v>
      </c>
      <c r="W1030" s="62">
        <f t="shared" si="175"/>
        <v>0</v>
      </c>
      <c r="X1030" s="62">
        <f t="shared" si="175"/>
        <v>0</v>
      </c>
      <c r="Y1030" s="62">
        <f t="shared" si="175"/>
        <v>0</v>
      </c>
      <c r="AA1030" s="94"/>
    </row>
    <row r="1031" spans="2:27" x14ac:dyDescent="0.2">
      <c r="B1031" s="94"/>
      <c r="C1031" s="62">
        <v>992</v>
      </c>
      <c r="D1031" s="62">
        <v>8063.1116239356088</v>
      </c>
      <c r="E1031" s="62">
        <v>0.61757923004799842</v>
      </c>
      <c r="F1031" s="62">
        <v>11584.996713580362</v>
      </c>
      <c r="G1031" s="62">
        <v>0.89436918098688889</v>
      </c>
      <c r="H1031" s="62">
        <v>11622.113464001359</v>
      </c>
      <c r="I1031" s="62">
        <v>0.89768111428465758</v>
      </c>
      <c r="J1031" s="62">
        <v>11535.325298488824</v>
      </c>
      <c r="K1031" s="62">
        <v>0.88923767065754933</v>
      </c>
      <c r="L1031" s="62">
        <f t="shared" si="176"/>
        <v>-3521.885089644753</v>
      </c>
      <c r="M1031" s="62">
        <f t="shared" si="177"/>
        <v>-0.27678995093889047</v>
      </c>
      <c r="N1031" s="62">
        <f t="shared" si="178"/>
        <v>-3559.00184006575</v>
      </c>
      <c r="O1031" s="62">
        <f t="shared" si="179"/>
        <v>-0.28010188423665916</v>
      </c>
      <c r="P1031" s="62">
        <f t="shared" si="180"/>
        <v>-3472.2136745532152</v>
      </c>
      <c r="Q1031" s="62">
        <f t="shared" si="181"/>
        <v>-0.27165844060955091</v>
      </c>
      <c r="R1031" s="62">
        <f t="shared" si="182"/>
        <v>17519.490401572679</v>
      </c>
      <c r="S1031" s="62">
        <f t="shared" si="183"/>
        <v>25463.352239620523</v>
      </c>
      <c r="T1031" s="62">
        <f t="shared" si="184"/>
        <v>25563.429014126294</v>
      </c>
      <c r="U1031" s="62">
        <f t="shared" si="185"/>
        <v>25300.455970829498</v>
      </c>
      <c r="V1031" s="62">
        <f t="shared" si="175"/>
        <v>1</v>
      </c>
      <c r="W1031" s="62">
        <f t="shared" si="175"/>
        <v>0</v>
      </c>
      <c r="X1031" s="62">
        <f t="shared" si="175"/>
        <v>0</v>
      </c>
      <c r="Y1031" s="62">
        <f t="shared" si="175"/>
        <v>0</v>
      </c>
      <c r="AA1031" s="94"/>
    </row>
    <row r="1032" spans="2:27" x14ac:dyDescent="0.2">
      <c r="B1032" s="94"/>
      <c r="C1032" s="62">
        <v>993</v>
      </c>
      <c r="D1032" s="62">
        <v>11854.637338552484</v>
      </c>
      <c r="E1032" s="62">
        <v>0.6175518293571034</v>
      </c>
      <c r="F1032" s="62">
        <v>17054.898580273089</v>
      </c>
      <c r="G1032" s="62">
        <v>0.89437657958582872</v>
      </c>
      <c r="H1032" s="62">
        <v>17103.672392435776</v>
      </c>
      <c r="I1032" s="62">
        <v>0.89721015836317863</v>
      </c>
      <c r="J1032" s="62">
        <v>16977.776039998993</v>
      </c>
      <c r="K1032" s="62">
        <v>0.88919450679749767</v>
      </c>
      <c r="L1032" s="62">
        <f t="shared" si="176"/>
        <v>-5200.2612417206055</v>
      </c>
      <c r="M1032" s="62">
        <f t="shared" si="177"/>
        <v>-0.27682475022872532</v>
      </c>
      <c r="N1032" s="62">
        <f t="shared" si="178"/>
        <v>-5249.0350538832918</v>
      </c>
      <c r="O1032" s="62">
        <f t="shared" si="179"/>
        <v>-0.27965832900607523</v>
      </c>
      <c r="P1032" s="62">
        <f t="shared" si="180"/>
        <v>-5123.138701446509</v>
      </c>
      <c r="Q1032" s="62">
        <f t="shared" si="181"/>
        <v>-0.27164267744039428</v>
      </c>
      <c r="R1032" s="62">
        <f t="shared" si="182"/>
        <v>13726.829640736169</v>
      </c>
      <c r="S1032" s="62">
        <f t="shared" si="183"/>
        <v>19993.756852490282</v>
      </c>
      <c r="T1032" s="62">
        <f t="shared" si="184"/>
        <v>20062.361207600534</v>
      </c>
      <c r="U1032" s="62">
        <f t="shared" si="185"/>
        <v>19856.217209580551</v>
      </c>
      <c r="V1032" s="62">
        <f t="shared" si="175"/>
        <v>1</v>
      </c>
      <c r="W1032" s="62">
        <f t="shared" si="175"/>
        <v>0</v>
      </c>
      <c r="X1032" s="62">
        <f t="shared" si="175"/>
        <v>0</v>
      </c>
      <c r="Y1032" s="62">
        <f t="shared" si="175"/>
        <v>0</v>
      </c>
      <c r="AA1032" s="94"/>
    </row>
    <row r="1033" spans="2:27" x14ac:dyDescent="0.2">
      <c r="B1033" s="94"/>
      <c r="C1033" s="62">
        <v>994</v>
      </c>
      <c r="D1033" s="62">
        <v>9632.7215152943518</v>
      </c>
      <c r="E1033" s="62">
        <v>0.61800367696121394</v>
      </c>
      <c r="F1033" s="62">
        <v>13838.10839418728</v>
      </c>
      <c r="G1033" s="62">
        <v>0.8941637549599788</v>
      </c>
      <c r="H1033" s="62">
        <v>13882.34325395761</v>
      </c>
      <c r="I1033" s="62">
        <v>0.89737348291559749</v>
      </c>
      <c r="J1033" s="62">
        <v>13789.320051160916</v>
      </c>
      <c r="K1033" s="62">
        <v>0.88984676016786612</v>
      </c>
      <c r="L1033" s="62">
        <f t="shared" si="176"/>
        <v>-4205.3868788929285</v>
      </c>
      <c r="M1033" s="62">
        <f t="shared" si="177"/>
        <v>-0.27616007799876485</v>
      </c>
      <c r="N1033" s="62">
        <f t="shared" si="178"/>
        <v>-4249.6217386632579</v>
      </c>
      <c r="O1033" s="62">
        <f t="shared" si="179"/>
        <v>-0.27936980595438354</v>
      </c>
      <c r="P1033" s="62">
        <f t="shared" si="180"/>
        <v>-4156.5985358665639</v>
      </c>
      <c r="Q1033" s="62">
        <f t="shared" si="181"/>
        <v>-0.27184308320665218</v>
      </c>
      <c r="R1033" s="62">
        <f t="shared" si="182"/>
        <v>15967.462799146973</v>
      </c>
      <c r="S1033" s="62">
        <f t="shared" si="183"/>
        <v>23201.730991274882</v>
      </c>
      <c r="T1033" s="62">
        <f t="shared" si="184"/>
        <v>23290.455902338101</v>
      </c>
      <c r="U1033" s="62">
        <f t="shared" si="185"/>
        <v>23071.692142032771</v>
      </c>
      <c r="V1033" s="62">
        <f t="shared" si="175"/>
        <v>1</v>
      </c>
      <c r="W1033" s="62">
        <f t="shared" si="175"/>
        <v>0</v>
      </c>
      <c r="X1033" s="62">
        <f t="shared" si="175"/>
        <v>0</v>
      </c>
      <c r="Y1033" s="62">
        <f t="shared" si="175"/>
        <v>0</v>
      </c>
      <c r="AA1033" s="94"/>
    </row>
    <row r="1034" spans="2:27" x14ac:dyDescent="0.2">
      <c r="B1034" s="94"/>
      <c r="C1034" s="62">
        <v>995</v>
      </c>
      <c r="D1034" s="62">
        <v>11249.933678365978</v>
      </c>
      <c r="E1034" s="62">
        <v>0.61764573332998163</v>
      </c>
      <c r="F1034" s="62">
        <v>16169.127296285395</v>
      </c>
      <c r="G1034" s="62">
        <v>0.8937264861447598</v>
      </c>
      <c r="H1034" s="62">
        <v>16231.046282848492</v>
      </c>
      <c r="I1034" s="62">
        <v>0.89753811284903828</v>
      </c>
      <c r="J1034" s="62">
        <v>16111.238767137505</v>
      </c>
      <c r="K1034" s="62">
        <v>0.88946142880040369</v>
      </c>
      <c r="L1034" s="62">
        <f t="shared" si="176"/>
        <v>-4919.1936179194163</v>
      </c>
      <c r="M1034" s="62">
        <f t="shared" si="177"/>
        <v>-0.27608075281477817</v>
      </c>
      <c r="N1034" s="62">
        <f t="shared" si="178"/>
        <v>-4981.1126044825141</v>
      </c>
      <c r="O1034" s="62">
        <f t="shared" si="179"/>
        <v>-0.27989237951905666</v>
      </c>
      <c r="P1034" s="62">
        <f t="shared" si="180"/>
        <v>-4861.3050887715272</v>
      </c>
      <c r="Q1034" s="62">
        <f t="shared" si="181"/>
        <v>-0.27181569547042206</v>
      </c>
      <c r="R1034" s="62">
        <f t="shared" si="182"/>
        <v>14335.423179095182</v>
      </c>
      <c r="S1034" s="62">
        <f t="shared" si="183"/>
        <v>20852.598665775138</v>
      </c>
      <c r="T1034" s="62">
        <f t="shared" si="184"/>
        <v>20948.572503810068</v>
      </c>
      <c r="U1034" s="62">
        <f t="shared" si="185"/>
        <v>20733.811459490418</v>
      </c>
      <c r="V1034" s="62">
        <f t="shared" si="175"/>
        <v>1</v>
      </c>
      <c r="W1034" s="62">
        <f t="shared" si="175"/>
        <v>0</v>
      </c>
      <c r="X1034" s="62">
        <f t="shared" si="175"/>
        <v>0</v>
      </c>
      <c r="Y1034" s="62">
        <f t="shared" si="175"/>
        <v>0</v>
      </c>
      <c r="AA1034" s="94"/>
    </row>
    <row r="1035" spans="2:27" x14ac:dyDescent="0.2">
      <c r="B1035" s="94"/>
      <c r="C1035" s="62">
        <v>996</v>
      </c>
      <c r="D1035" s="62">
        <v>10228.878064479301</v>
      </c>
      <c r="E1035" s="62">
        <v>0.61783462022159941</v>
      </c>
      <c r="F1035" s="62">
        <v>14689.19994906733</v>
      </c>
      <c r="G1035" s="62">
        <v>0.89342082761584563</v>
      </c>
      <c r="H1035" s="62">
        <v>14749.315759970445</v>
      </c>
      <c r="I1035" s="62">
        <v>0.89769227477401281</v>
      </c>
      <c r="J1035" s="62">
        <v>14638.460596371218</v>
      </c>
      <c r="K1035" s="62">
        <v>0.88935804365644966</v>
      </c>
      <c r="L1035" s="62">
        <f t="shared" si="176"/>
        <v>-4460.3218845880292</v>
      </c>
      <c r="M1035" s="62">
        <f t="shared" si="177"/>
        <v>-0.27558620739424622</v>
      </c>
      <c r="N1035" s="62">
        <f t="shared" si="178"/>
        <v>-4520.437695491144</v>
      </c>
      <c r="O1035" s="62">
        <f t="shared" si="179"/>
        <v>-0.2798576545524134</v>
      </c>
      <c r="P1035" s="62">
        <f t="shared" si="180"/>
        <v>-4409.5825318919178</v>
      </c>
      <c r="Q1035" s="62">
        <f t="shared" si="181"/>
        <v>-0.27152342343485025</v>
      </c>
      <c r="R1035" s="62">
        <f t="shared" si="182"/>
        <v>15364.303243580234</v>
      </c>
      <c r="S1035" s="62">
        <f t="shared" si="183"/>
        <v>22319.864414091458</v>
      </c>
      <c r="T1035" s="62">
        <f t="shared" si="184"/>
        <v>22436.689030268266</v>
      </c>
      <c r="U1035" s="62">
        <f t="shared" si="185"/>
        <v>22202.307004053553</v>
      </c>
      <c r="V1035" s="62">
        <f t="shared" si="175"/>
        <v>1</v>
      </c>
      <c r="W1035" s="62">
        <f t="shared" si="175"/>
        <v>0</v>
      </c>
      <c r="X1035" s="62">
        <f t="shared" si="175"/>
        <v>0</v>
      </c>
      <c r="Y1035" s="62">
        <f t="shared" si="175"/>
        <v>0</v>
      </c>
      <c r="AA1035" s="94"/>
    </row>
    <row r="1036" spans="2:27" x14ac:dyDescent="0.2">
      <c r="B1036" s="94"/>
      <c r="C1036" s="62">
        <v>997</v>
      </c>
      <c r="D1036" s="62">
        <v>10314.829245162098</v>
      </c>
      <c r="E1036" s="62">
        <v>0.61752014272501421</v>
      </c>
      <c r="F1036" s="62">
        <v>14837.132778132125</v>
      </c>
      <c r="G1036" s="62">
        <v>0.89393168235432263</v>
      </c>
      <c r="H1036" s="62">
        <v>14886.498381560052</v>
      </c>
      <c r="I1036" s="62">
        <v>0.89716395258149284</v>
      </c>
      <c r="J1036" s="62">
        <v>14776.280113998417</v>
      </c>
      <c r="K1036" s="62">
        <v>0.88926013670981918</v>
      </c>
      <c r="L1036" s="62">
        <f t="shared" si="176"/>
        <v>-4522.3035329700269</v>
      </c>
      <c r="M1036" s="62">
        <f t="shared" si="177"/>
        <v>-0.27641153962930842</v>
      </c>
      <c r="N1036" s="62">
        <f t="shared" si="178"/>
        <v>-4571.6691363979535</v>
      </c>
      <c r="O1036" s="62">
        <f t="shared" si="179"/>
        <v>-0.27964380985647863</v>
      </c>
      <c r="P1036" s="62">
        <f t="shared" si="180"/>
        <v>-4461.4508688363185</v>
      </c>
      <c r="Q1036" s="62">
        <f t="shared" si="181"/>
        <v>-0.27173999398480497</v>
      </c>
      <c r="R1036" s="62">
        <f t="shared" si="182"/>
        <v>15265.325147078889</v>
      </c>
      <c r="S1036" s="62">
        <f t="shared" si="183"/>
        <v>22193.093231713334</v>
      </c>
      <c r="T1036" s="62">
        <f t="shared" si="184"/>
        <v>22277.621190175712</v>
      </c>
      <c r="U1036" s="62">
        <f t="shared" si="185"/>
        <v>22060.431789069138</v>
      </c>
      <c r="V1036" s="62">
        <f t="shared" si="175"/>
        <v>1</v>
      </c>
      <c r="W1036" s="62">
        <f t="shared" si="175"/>
        <v>0</v>
      </c>
      <c r="X1036" s="62">
        <f t="shared" si="175"/>
        <v>0</v>
      </c>
      <c r="Y1036" s="62">
        <f t="shared" si="175"/>
        <v>0</v>
      </c>
      <c r="AA1036" s="94"/>
    </row>
    <row r="1037" spans="2:27" x14ac:dyDescent="0.2">
      <c r="B1037" s="94"/>
      <c r="C1037" s="62">
        <v>998</v>
      </c>
      <c r="D1037" s="62">
        <v>11464.166728752949</v>
      </c>
      <c r="E1037" s="62">
        <v>0.61844390223410606</v>
      </c>
      <c r="F1037" s="62">
        <v>16467.151964596793</v>
      </c>
      <c r="G1037" s="62">
        <v>0.89406368842914885</v>
      </c>
      <c r="H1037" s="62">
        <v>16523.375450114498</v>
      </c>
      <c r="I1037" s="62">
        <v>0.89745673986522445</v>
      </c>
      <c r="J1037" s="62">
        <v>16403.359636845893</v>
      </c>
      <c r="K1037" s="62">
        <v>0.88958134624585838</v>
      </c>
      <c r="L1037" s="62">
        <f t="shared" si="176"/>
        <v>-5002.9852358438438</v>
      </c>
      <c r="M1037" s="62">
        <f t="shared" si="177"/>
        <v>-0.27561978619504279</v>
      </c>
      <c r="N1037" s="62">
        <f t="shared" si="178"/>
        <v>-5059.2087213615487</v>
      </c>
      <c r="O1037" s="62">
        <f t="shared" si="179"/>
        <v>-0.27901283763111839</v>
      </c>
      <c r="P1037" s="62">
        <f t="shared" si="180"/>
        <v>-4939.192908092944</v>
      </c>
      <c r="Q1037" s="62">
        <f t="shared" si="181"/>
        <v>-0.27113744401175233</v>
      </c>
      <c r="R1037" s="62">
        <f t="shared" si="182"/>
        <v>14154.25347739266</v>
      </c>
      <c r="S1037" s="62">
        <f t="shared" si="183"/>
        <v>20568.542264892269</v>
      </c>
      <c r="T1037" s="62">
        <f t="shared" si="184"/>
        <v>20652.87254206256</v>
      </c>
      <c r="U1037" s="62">
        <f t="shared" si="185"/>
        <v>20446.658050042544</v>
      </c>
      <c r="V1037" s="62">
        <f t="shared" si="175"/>
        <v>1</v>
      </c>
      <c r="W1037" s="62">
        <f t="shared" si="175"/>
        <v>0</v>
      </c>
      <c r="X1037" s="62">
        <f t="shared" si="175"/>
        <v>0</v>
      </c>
      <c r="Y1037" s="62">
        <f t="shared" si="175"/>
        <v>0</v>
      </c>
      <c r="AA1037" s="94"/>
    </row>
    <row r="1038" spans="2:27" x14ac:dyDescent="0.2">
      <c r="B1038" s="94"/>
      <c r="C1038" s="62">
        <v>999</v>
      </c>
      <c r="D1038" s="62">
        <v>9650.0337883799148</v>
      </c>
      <c r="E1038" s="62">
        <v>0.6177847975171501</v>
      </c>
      <c r="F1038" s="62">
        <v>13876.26402444246</v>
      </c>
      <c r="G1038" s="62">
        <v>0.89398678866488279</v>
      </c>
      <c r="H1038" s="62">
        <v>13927.633498845569</v>
      </c>
      <c r="I1038" s="62">
        <v>0.89763568609841848</v>
      </c>
      <c r="J1038" s="62">
        <v>13804.019540912303</v>
      </c>
      <c r="K1038" s="62">
        <v>0.8883800705926943</v>
      </c>
      <c r="L1038" s="62">
        <f t="shared" si="176"/>
        <v>-4226.2302360625454</v>
      </c>
      <c r="M1038" s="62">
        <f t="shared" si="177"/>
        <v>-0.27620199114773269</v>
      </c>
      <c r="N1038" s="62">
        <f t="shared" si="178"/>
        <v>-4277.5997104656544</v>
      </c>
      <c r="O1038" s="62">
        <f t="shared" si="179"/>
        <v>-0.27985088858126839</v>
      </c>
      <c r="P1038" s="62">
        <f t="shared" si="180"/>
        <v>-4153.9857525323878</v>
      </c>
      <c r="Q1038" s="62">
        <f t="shared" si="181"/>
        <v>-0.27059527307554421</v>
      </c>
      <c r="R1038" s="62">
        <f t="shared" si="182"/>
        <v>15941.083663970512</v>
      </c>
      <c r="S1038" s="62">
        <f t="shared" si="183"/>
        <v>23156.244709211642</v>
      </c>
      <c r="T1038" s="62">
        <f t="shared" si="184"/>
        <v>23256.027162095314</v>
      </c>
      <c r="U1038" s="62">
        <f t="shared" si="185"/>
        <v>22996.236503319466</v>
      </c>
      <c r="V1038" s="62">
        <f t="shared" si="175"/>
        <v>1</v>
      </c>
      <c r="W1038" s="62">
        <f t="shared" si="175"/>
        <v>0</v>
      </c>
      <c r="X1038" s="62">
        <f t="shared" si="175"/>
        <v>0</v>
      </c>
      <c r="Y1038" s="62">
        <f t="shared" si="175"/>
        <v>0</v>
      </c>
      <c r="AA1038" s="94"/>
    </row>
    <row r="1039" spans="2:27" x14ac:dyDescent="0.2">
      <c r="B1039" s="94"/>
      <c r="C1039" s="62">
        <v>1000</v>
      </c>
      <c r="D1039" s="62">
        <v>10600.723069929611</v>
      </c>
      <c r="E1039" s="62">
        <v>0.61778640737113633</v>
      </c>
      <c r="F1039" s="62">
        <v>15235.70970655539</v>
      </c>
      <c r="G1039" s="62">
        <v>0.89401414055848638</v>
      </c>
      <c r="H1039" s="62">
        <v>15289.888547227998</v>
      </c>
      <c r="I1039" s="62">
        <v>0.8975421529455373</v>
      </c>
      <c r="J1039" s="62">
        <v>15177.574717732559</v>
      </c>
      <c r="K1039" s="62">
        <v>0.88957475589208868</v>
      </c>
      <c r="L1039" s="62">
        <f t="shared" si="176"/>
        <v>-4634.9866366257793</v>
      </c>
      <c r="M1039" s="62">
        <f t="shared" si="177"/>
        <v>-0.27622773318735006</v>
      </c>
      <c r="N1039" s="62">
        <f t="shared" si="178"/>
        <v>-4689.1654772983875</v>
      </c>
      <c r="O1039" s="62">
        <f t="shared" si="179"/>
        <v>-0.27975574557440097</v>
      </c>
      <c r="P1039" s="62">
        <f t="shared" si="180"/>
        <v>-4576.8516478029487</v>
      </c>
      <c r="Q1039" s="62">
        <f t="shared" si="181"/>
        <v>-0.27178834852095235</v>
      </c>
      <c r="R1039" s="62">
        <f t="shared" si="182"/>
        <v>14990.461069012339</v>
      </c>
      <c r="S1039" s="62">
        <f t="shared" si="183"/>
        <v>21797.932051939351</v>
      </c>
      <c r="T1039" s="62">
        <f t="shared" si="184"/>
        <v>21889.897596387938</v>
      </c>
      <c r="U1039" s="62">
        <f t="shared" si="185"/>
        <v>21672.169970341318</v>
      </c>
      <c r="V1039" s="62">
        <f t="shared" si="175"/>
        <v>1</v>
      </c>
      <c r="W1039" s="62">
        <f t="shared" si="175"/>
        <v>0</v>
      </c>
      <c r="X1039" s="62">
        <f t="shared" si="175"/>
        <v>0</v>
      </c>
      <c r="Y1039" s="62">
        <f t="shared" si="175"/>
        <v>0</v>
      </c>
      <c r="AA1039" s="94"/>
    </row>
    <row r="1040" spans="2:27" x14ac:dyDescent="0.2">
      <c r="B1040" s="94"/>
      <c r="AA1040" s="94"/>
    </row>
    <row r="1041" spans="1:27" ht="16" thickBot="1" x14ac:dyDescent="0.25">
      <c r="A1041" s="93"/>
      <c r="B1041" s="98"/>
      <c r="C1041" s="95"/>
      <c r="D1041" s="95"/>
      <c r="E1041" s="95"/>
      <c r="F1041" s="95"/>
      <c r="G1041" s="95"/>
      <c r="H1041" s="95"/>
      <c r="I1041" s="95"/>
      <c r="J1041" s="95"/>
      <c r="K1041" s="95"/>
      <c r="L1041" s="95"/>
      <c r="M1041" s="95"/>
      <c r="N1041" s="95"/>
      <c r="O1041" s="95"/>
      <c r="P1041" s="95"/>
      <c r="Q1041" s="95"/>
      <c r="R1041" s="95"/>
      <c r="S1041" s="95"/>
      <c r="T1041" s="95"/>
      <c r="U1041" s="95"/>
      <c r="V1041" s="95"/>
      <c r="W1041" s="95"/>
      <c r="X1041" s="95"/>
      <c r="Y1041" s="95"/>
      <c r="Z1041" s="95"/>
      <c r="AA1041" s="94"/>
    </row>
  </sheetData>
  <mergeCells count="10">
    <mergeCell ref="R35:U35"/>
    <mergeCell ref="V35:Y35"/>
    <mergeCell ref="L34:Q34"/>
    <mergeCell ref="P36:Q36"/>
    <mergeCell ref="D36:E36"/>
    <mergeCell ref="F36:G36"/>
    <mergeCell ref="H36:I36"/>
    <mergeCell ref="J36:K36"/>
    <mergeCell ref="L36:M36"/>
    <mergeCell ref="N36:O36"/>
  </mergeCells>
  <dataValidations count="1">
    <dataValidation type="list" allowBlank="1" showInputMessage="1" showErrorMessage="1" sqref="D32" xr:uid="{677A9387-2A2E-48DB-9108-78B34F032DDC}">
      <formula1>"1,2,3"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PSA">
                <anchor moveWithCells="1" sizeWithCells="1">
                  <from>
                    <xdr:col>2</xdr:col>
                    <xdr:colOff>101600</xdr:colOff>
                    <xdr:row>6</xdr:row>
                    <xdr:rowOff>76200</xdr:rowOff>
                  </from>
                  <to>
                    <xdr:col>4</xdr:col>
                    <xdr:colOff>533400</xdr:colOff>
                    <xdr:row>8</xdr:row>
                    <xdr:rowOff>88900</xdr:rowOff>
                  </to>
                </anchor>
              </controlPr>
            </control>
          </mc:Choice>
        </mc:AlternateContent>
        <mc:AlternateContent xmlns:mc="http://schemas.openxmlformats.org/markup-compatibility/2006">
          <mc:Choice Requires="x14">
            <control shapeId="24580" r:id="rId5" name="Button 4">
              <controlPr defaultSize="0" print="0" autoFill="0" autoPict="0" macro="[0]!PSA_Copy">
                <anchor moveWithCells="1" sizeWithCells="1">
                  <from>
                    <xdr:col>2</xdr:col>
                    <xdr:colOff>114300</xdr:colOff>
                    <xdr:row>8</xdr:row>
                    <xdr:rowOff>177800</xdr:rowOff>
                  </from>
                  <to>
                    <xdr:col>4</xdr:col>
                    <xdr:colOff>533400</xdr:colOff>
                    <xdr:row>10</xdr:row>
                    <xdr:rowOff>139700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B8510-7C68-4BAA-881A-C5CA26D91549}">
  <sheetPr codeName="Sheet13">
    <tabColor rgb="FFCC6600"/>
  </sheetPr>
  <dimension ref="A1:O35"/>
  <sheetViews>
    <sheetView showGridLines="0" workbookViewId="0"/>
  </sheetViews>
  <sheetFormatPr baseColWidth="10" defaultColWidth="8.83203125" defaultRowHeight="15" x14ac:dyDescent="0.2"/>
  <cols>
    <col min="1" max="1" width="12.5" customWidth="1"/>
    <col min="2" max="2" width="7.1640625" customWidth="1"/>
    <col min="3" max="3" width="21.5" customWidth="1"/>
    <col min="4" max="5" width="12.33203125" customWidth="1"/>
    <col min="6" max="6" width="20.1640625" customWidth="1"/>
    <col min="7" max="8" width="15.83203125" customWidth="1"/>
    <col min="9" max="9" width="45.1640625" customWidth="1"/>
    <col min="10" max="10" width="15.6640625" customWidth="1"/>
    <col min="11" max="11" width="13.1640625" customWidth="1"/>
    <col min="12" max="12" width="15.83203125" customWidth="1"/>
    <col min="13" max="13" width="13.33203125" bestFit="1" customWidth="1"/>
    <col min="14" max="14" width="13.5" customWidth="1"/>
  </cols>
  <sheetData>
    <row r="1" spans="1:15" x14ac:dyDescent="0.2">
      <c r="A1">
        <v>1</v>
      </c>
    </row>
    <row r="2" spans="1:15" ht="26" x14ac:dyDescent="0.3">
      <c r="F2" s="1"/>
      <c r="G2" s="96" t="s">
        <v>116</v>
      </c>
      <c r="I2" s="1"/>
      <c r="J2" s="1"/>
      <c r="K2" s="1"/>
      <c r="L2" s="1"/>
    </row>
    <row r="4" spans="1:15" ht="16" thickBot="1" x14ac:dyDescent="0.25"/>
    <row r="5" spans="1:15" ht="16" thickBot="1" x14ac:dyDescent="0.25">
      <c r="B5" s="90"/>
      <c r="C5" s="91"/>
      <c r="D5" s="91"/>
      <c r="E5" s="91"/>
      <c r="F5" s="91"/>
      <c r="G5" s="91"/>
      <c r="H5" s="91"/>
      <c r="I5" s="91"/>
      <c r="J5" s="91"/>
      <c r="K5" s="91"/>
      <c r="L5" s="91"/>
      <c r="M5" s="91"/>
      <c r="N5" s="92"/>
    </row>
    <row r="6" spans="1:15" x14ac:dyDescent="0.2">
      <c r="B6" s="94"/>
      <c r="C6" s="17"/>
      <c r="D6" s="1"/>
      <c r="E6" s="1"/>
      <c r="F6" s="1"/>
      <c r="G6" s="1"/>
      <c r="H6" s="1"/>
      <c r="I6" s="1"/>
      <c r="J6" s="1"/>
      <c r="K6" s="1"/>
      <c r="L6" s="1"/>
      <c r="M6" s="1"/>
      <c r="O6" s="94"/>
    </row>
    <row r="7" spans="1:15" x14ac:dyDescent="0.2">
      <c r="B7" s="94"/>
      <c r="C7" s="17"/>
      <c r="D7" s="1"/>
      <c r="E7" s="1"/>
      <c r="F7" s="1"/>
      <c r="G7" s="1"/>
      <c r="H7" s="1"/>
      <c r="I7" s="1"/>
      <c r="J7" s="1"/>
      <c r="K7" s="1"/>
      <c r="L7" s="1"/>
      <c r="M7" s="1"/>
      <c r="O7" s="94"/>
    </row>
    <row r="8" spans="1:15" x14ac:dyDescent="0.2">
      <c r="B8" s="94"/>
      <c r="C8" s="17" t="s">
        <v>85</v>
      </c>
      <c r="D8" s="1"/>
      <c r="E8" s="1"/>
      <c r="F8" s="1"/>
      <c r="G8" s="1"/>
      <c r="H8" s="1"/>
      <c r="I8" s="1"/>
      <c r="J8" s="1"/>
      <c r="K8" s="1"/>
      <c r="L8" s="1"/>
      <c r="M8" s="1"/>
      <c r="O8" s="94"/>
    </row>
    <row r="9" spans="1:15" x14ac:dyDescent="0.2">
      <c r="B9" s="94"/>
      <c r="C9" s="18"/>
      <c r="D9" s="18"/>
      <c r="E9" s="18"/>
      <c r="F9" s="30"/>
      <c r="G9" s="30"/>
      <c r="H9" s="30"/>
      <c r="I9" s="112" t="s">
        <v>86</v>
      </c>
      <c r="J9" s="1"/>
      <c r="K9" s="1"/>
      <c r="L9" s="1"/>
      <c r="M9" s="1"/>
      <c r="O9" s="94"/>
    </row>
    <row r="10" spans="1:15" ht="33" thickBot="1" x14ac:dyDescent="0.25">
      <c r="B10" s="94"/>
      <c r="C10" s="110" t="s">
        <v>87</v>
      </c>
      <c r="D10" s="110" t="s">
        <v>252</v>
      </c>
      <c r="E10" s="111" t="s">
        <v>88</v>
      </c>
      <c r="F10" s="110" t="s">
        <v>253</v>
      </c>
      <c r="G10" s="110" t="s">
        <v>89</v>
      </c>
      <c r="H10" s="110" t="s">
        <v>254</v>
      </c>
      <c r="I10" s="110" t="s">
        <v>254</v>
      </c>
      <c r="J10" s="1"/>
      <c r="K10" s="1"/>
      <c r="L10" s="1"/>
      <c r="M10" s="1"/>
      <c r="O10" s="94"/>
    </row>
    <row r="11" spans="1:15" ht="16.5" customHeight="1" thickTop="1" thickBot="1" x14ac:dyDescent="0.25">
      <c r="B11" s="94"/>
      <c r="C11" s="74" t="s">
        <v>34</v>
      </c>
      <c r="D11" s="139">
        <v>10115.617609028852</v>
      </c>
      <c r="E11" s="108">
        <v>0.61786425320381477</v>
      </c>
      <c r="F11" s="109"/>
      <c r="G11" s="108"/>
      <c r="H11" s="109"/>
      <c r="I11" s="114"/>
      <c r="J11" s="1"/>
      <c r="K11" s="1"/>
      <c r="L11" s="1"/>
      <c r="M11" s="1"/>
      <c r="O11" s="94"/>
    </row>
    <row r="12" spans="1:15" ht="18" thickTop="1" thickBot="1" x14ac:dyDescent="0.25">
      <c r="B12" s="94"/>
      <c r="C12" s="74" t="s">
        <v>32</v>
      </c>
      <c r="D12" s="139">
        <v>14590.107402719583</v>
      </c>
      <c r="E12" s="108">
        <v>0.89761178491751203</v>
      </c>
      <c r="F12" s="109">
        <v>-4474.4897936907309</v>
      </c>
      <c r="G12" s="108">
        <v>-0.27974753171369726</v>
      </c>
      <c r="H12" s="109">
        <v>15994.742710616905</v>
      </c>
      <c r="I12" s="114" t="s">
        <v>348</v>
      </c>
      <c r="J12" s="1"/>
      <c r="K12" s="1"/>
      <c r="L12" s="1"/>
      <c r="M12" s="1"/>
      <c r="O12" s="94"/>
    </row>
    <row r="13" spans="1:15" ht="18" thickTop="1" thickBot="1" x14ac:dyDescent="0.25">
      <c r="B13" s="94"/>
      <c r="C13" s="74" t="s">
        <v>35</v>
      </c>
      <c r="D13" s="139">
        <v>14544.180813602025</v>
      </c>
      <c r="E13" s="108">
        <v>0.89446160501743199</v>
      </c>
      <c r="F13" s="109">
        <v>-4428.5632045731727</v>
      </c>
      <c r="G13" s="108">
        <v>-0.27659735181361722</v>
      </c>
      <c r="H13" s="109">
        <v>16010.866248485714</v>
      </c>
      <c r="I13" s="114" t="s">
        <v>348</v>
      </c>
      <c r="J13" s="1"/>
      <c r="K13" s="1"/>
      <c r="L13" s="1"/>
      <c r="M13" s="1"/>
      <c r="O13" s="94"/>
    </row>
    <row r="14" spans="1:15" ht="18" thickTop="1" thickBot="1" x14ac:dyDescent="0.25">
      <c r="B14" s="94"/>
      <c r="C14" s="74" t="s">
        <v>33</v>
      </c>
      <c r="D14" s="139">
        <v>14486.62829180711</v>
      </c>
      <c r="E14" s="108">
        <v>0.88982546910020854</v>
      </c>
      <c r="F14" s="109">
        <v>-4371.0106827782583</v>
      </c>
      <c r="G14" s="108">
        <v>-0.27196121589639377</v>
      </c>
      <c r="H14" s="109">
        <v>16072.183926561927</v>
      </c>
      <c r="I14" s="114" t="s">
        <v>348</v>
      </c>
      <c r="J14" s="1"/>
      <c r="K14" s="1"/>
      <c r="L14" s="1"/>
      <c r="M14" s="1"/>
      <c r="O14" s="94"/>
    </row>
    <row r="15" spans="1:15" ht="16" thickTop="1" x14ac:dyDescent="0.2">
      <c r="B15" s="94"/>
      <c r="C15" s="1"/>
      <c r="D15" s="1"/>
      <c r="E15" s="1"/>
      <c r="F15" s="1"/>
      <c r="G15" s="1"/>
      <c r="H15" s="1"/>
      <c r="I15" s="1"/>
      <c r="J15" s="1"/>
      <c r="K15" s="1"/>
      <c r="L15" s="1"/>
      <c r="M15" s="1"/>
      <c r="O15" s="94"/>
    </row>
    <row r="16" spans="1:15" x14ac:dyDescent="0.2">
      <c r="B16" s="94"/>
      <c r="C16" s="17" t="s">
        <v>117</v>
      </c>
      <c r="D16" s="1"/>
      <c r="E16" s="23"/>
      <c r="F16" s="23"/>
      <c r="G16" s="23"/>
      <c r="H16" s="23"/>
      <c r="I16" s="23"/>
      <c r="J16" s="1"/>
      <c r="K16" s="1"/>
      <c r="L16" s="1"/>
      <c r="M16" s="1"/>
      <c r="O16" s="94"/>
    </row>
    <row r="17" spans="2:15" x14ac:dyDescent="0.2">
      <c r="B17" s="94"/>
      <c r="C17" s="137"/>
      <c r="D17" s="138"/>
      <c r="E17" s="24"/>
      <c r="F17" s="24"/>
      <c r="G17" s="1"/>
      <c r="H17" s="1"/>
      <c r="I17" s="1"/>
      <c r="J17" s="1"/>
      <c r="K17" s="1"/>
      <c r="L17" s="1"/>
      <c r="M17" s="1"/>
      <c r="O17" s="94"/>
    </row>
    <row r="18" spans="2:15" ht="17" thickBot="1" x14ac:dyDescent="0.25">
      <c r="B18" s="94"/>
      <c r="C18" s="73" t="s">
        <v>87</v>
      </c>
      <c r="D18" s="113" t="s">
        <v>88</v>
      </c>
      <c r="E18" s="24"/>
      <c r="F18" s="24"/>
      <c r="G18" s="1"/>
      <c r="H18" s="1"/>
      <c r="I18" s="1"/>
      <c r="J18" s="1"/>
      <c r="K18" s="1"/>
      <c r="L18" s="1"/>
      <c r="M18" s="1"/>
      <c r="O18" s="94"/>
    </row>
    <row r="19" spans="2:15" ht="18" thickTop="1" thickBot="1" x14ac:dyDescent="0.25">
      <c r="B19" s="94"/>
      <c r="C19" s="74" t="s">
        <v>34</v>
      </c>
      <c r="D19" s="140">
        <v>0.61786425320381477</v>
      </c>
      <c r="E19" s="24"/>
      <c r="F19" s="24"/>
      <c r="G19" s="1"/>
      <c r="H19" s="1"/>
      <c r="I19" s="1"/>
      <c r="J19" s="1"/>
      <c r="K19" s="1"/>
      <c r="L19" s="1"/>
      <c r="M19" s="1"/>
      <c r="O19" s="94"/>
    </row>
    <row r="20" spans="2:15" ht="18" thickTop="1" thickBot="1" x14ac:dyDescent="0.25">
      <c r="B20" s="94"/>
      <c r="C20" s="74" t="s">
        <v>32</v>
      </c>
      <c r="D20" s="140">
        <v>0.89761178491751203</v>
      </c>
      <c r="E20" s="1"/>
      <c r="F20" s="1"/>
      <c r="G20" s="1"/>
      <c r="H20" s="1"/>
      <c r="I20" s="1"/>
      <c r="J20" s="1"/>
      <c r="K20" s="1"/>
      <c r="L20" s="1"/>
      <c r="M20" s="1"/>
      <c r="O20" s="94"/>
    </row>
    <row r="21" spans="2:15" ht="18" thickTop="1" thickBot="1" x14ac:dyDescent="0.25">
      <c r="B21" s="94"/>
      <c r="C21" s="74" t="s">
        <v>35</v>
      </c>
      <c r="D21" s="140">
        <v>0.89446160501743199</v>
      </c>
      <c r="E21" s="1"/>
      <c r="F21" s="1"/>
      <c r="G21" s="1"/>
      <c r="H21" s="1"/>
      <c r="I21" s="1"/>
      <c r="J21" s="1"/>
      <c r="K21" s="1"/>
      <c r="L21" s="1"/>
      <c r="M21" s="1"/>
      <c r="O21" s="94"/>
    </row>
    <row r="22" spans="2:15" ht="18" thickTop="1" thickBot="1" x14ac:dyDescent="0.25">
      <c r="B22" s="94"/>
      <c r="C22" s="74" t="s">
        <v>33</v>
      </c>
      <c r="D22" s="140">
        <v>0.88982546910020854</v>
      </c>
      <c r="E22" s="1"/>
      <c r="F22" s="1"/>
      <c r="G22" s="1"/>
      <c r="H22" s="1"/>
      <c r="I22" s="1"/>
      <c r="J22" s="1"/>
      <c r="K22" s="1"/>
      <c r="L22" s="1"/>
      <c r="M22" s="1"/>
      <c r="O22" s="94"/>
    </row>
    <row r="23" spans="2:15" ht="16" thickTop="1" x14ac:dyDescent="0.2">
      <c r="B23" s="94"/>
      <c r="C23" s="1"/>
      <c r="D23" s="1"/>
      <c r="E23" s="1"/>
      <c r="F23" s="1"/>
      <c r="G23" s="1"/>
      <c r="H23" s="1"/>
      <c r="I23" s="1"/>
      <c r="J23" s="1"/>
      <c r="K23" s="1"/>
      <c r="L23" s="1"/>
      <c r="M23" s="1"/>
      <c r="O23" s="94"/>
    </row>
    <row r="24" spans="2:15" x14ac:dyDescent="0.2">
      <c r="B24" s="94"/>
      <c r="C24" s="23" t="s">
        <v>90</v>
      </c>
      <c r="D24" s="1"/>
      <c r="E24" s="1"/>
      <c r="F24" s="1"/>
      <c r="G24" s="1"/>
      <c r="H24" s="1"/>
      <c r="I24" s="1"/>
      <c r="J24" s="1"/>
      <c r="K24" s="1"/>
      <c r="L24" s="1"/>
      <c r="M24" s="1"/>
      <c r="O24" s="94"/>
    </row>
    <row r="25" spans="2:15" x14ac:dyDescent="0.2">
      <c r="B25" s="94"/>
      <c r="C25" s="25"/>
      <c r="D25" s="26"/>
      <c r="E25" s="26"/>
      <c r="F25" s="26"/>
      <c r="G25" s="26"/>
      <c r="H25" s="205" t="s">
        <v>91</v>
      </c>
      <c r="I25" s="206"/>
      <c r="J25" s="205" t="s">
        <v>92</v>
      </c>
      <c r="K25" s="206"/>
      <c r="L25" s="205" t="s">
        <v>93</v>
      </c>
      <c r="M25" s="206"/>
      <c r="O25" s="94"/>
    </row>
    <row r="26" spans="2:15" ht="17" thickBot="1" x14ac:dyDescent="0.25">
      <c r="B26" s="94"/>
      <c r="C26" s="27"/>
      <c r="D26" s="73" t="s">
        <v>255</v>
      </c>
      <c r="E26" s="73" t="s">
        <v>256</v>
      </c>
      <c r="F26" s="73" t="s">
        <v>257</v>
      </c>
      <c r="G26" s="110" t="s">
        <v>258</v>
      </c>
      <c r="H26" s="110" t="s">
        <v>259</v>
      </c>
      <c r="I26" s="110" t="s">
        <v>94</v>
      </c>
      <c r="J26" s="110" t="s">
        <v>259</v>
      </c>
      <c r="K26" s="110" t="s">
        <v>94</v>
      </c>
      <c r="L26" s="110" t="s">
        <v>259</v>
      </c>
      <c r="M26" s="110" t="s">
        <v>94</v>
      </c>
      <c r="O26" s="94"/>
    </row>
    <row r="27" spans="2:15" ht="17" thickTop="1" thickBot="1" x14ac:dyDescent="0.25">
      <c r="B27" s="94"/>
      <c r="C27" s="28" t="s">
        <v>42</v>
      </c>
      <c r="D27" s="109">
        <v>10115.617609028852</v>
      </c>
      <c r="E27" s="109">
        <v>14590.107402719583</v>
      </c>
      <c r="F27" s="109">
        <v>14544.180813602025</v>
      </c>
      <c r="G27" s="109">
        <v>14486.62829180711</v>
      </c>
      <c r="H27" s="109"/>
      <c r="I27" s="108"/>
      <c r="J27" s="109"/>
      <c r="K27" s="108"/>
      <c r="L27" s="109"/>
      <c r="M27" s="108"/>
      <c r="O27" s="94"/>
    </row>
    <row r="28" spans="2:15" ht="18" thickTop="1" thickBot="1" x14ac:dyDescent="0.25">
      <c r="B28" s="94"/>
      <c r="C28" s="29" t="s">
        <v>95</v>
      </c>
      <c r="D28" s="109">
        <v>10.101939358828153</v>
      </c>
      <c r="E28" s="109">
        <v>5.0001797442180793</v>
      </c>
      <c r="F28" s="109">
        <v>11.822674048909503</v>
      </c>
      <c r="G28" s="109">
        <v>8.6983438579607224</v>
      </c>
      <c r="H28" s="109">
        <v>5.1017596146100734</v>
      </c>
      <c r="I28" s="108">
        <v>-1.1401880102182434E-3</v>
      </c>
      <c r="J28" s="109">
        <v>-1.7207346900813505</v>
      </c>
      <c r="K28" s="108">
        <v>3.8855371609113033E-4</v>
      </c>
      <c r="L28" s="109">
        <v>1.4035955008674303</v>
      </c>
      <c r="M28" s="108">
        <v>-3.211146352026967E-4</v>
      </c>
      <c r="O28" s="94"/>
    </row>
    <row r="29" spans="2:15" ht="18" thickTop="1" thickBot="1" x14ac:dyDescent="0.25">
      <c r="B29" s="94"/>
      <c r="C29" s="29" t="s">
        <v>19</v>
      </c>
      <c r="D29" s="109">
        <v>441.77911968325901</v>
      </c>
      <c r="E29" s="109">
        <v>641.80140233387044</v>
      </c>
      <c r="F29" s="109">
        <v>639.5489922035141</v>
      </c>
      <c r="G29" s="109">
        <v>636.23410866133986</v>
      </c>
      <c r="H29" s="109">
        <v>-200.02228265061143</v>
      </c>
      <c r="I29" s="108">
        <v>4.4702813476667998E-2</v>
      </c>
      <c r="J29" s="109">
        <v>-197.76987252025509</v>
      </c>
      <c r="K29" s="108">
        <v>4.465779608068534E-2</v>
      </c>
      <c r="L29" s="109">
        <v>-194.45498897808085</v>
      </c>
      <c r="M29" s="108">
        <v>4.4487420207923935E-2</v>
      </c>
      <c r="O29" s="94"/>
    </row>
    <row r="30" spans="2:15" ht="18" thickTop="1" thickBot="1" x14ac:dyDescent="0.25">
      <c r="B30" s="94"/>
      <c r="C30" s="29" t="s">
        <v>21</v>
      </c>
      <c r="D30" s="109">
        <v>77.725714472026368</v>
      </c>
      <c r="E30" s="109">
        <v>107.11181978895387</v>
      </c>
      <c r="F30" s="109">
        <v>107.08388821536849</v>
      </c>
      <c r="G30" s="109">
        <v>107.34643363851964</v>
      </c>
      <c r="H30" s="109">
        <v>-29.386105316927498</v>
      </c>
      <c r="I30" s="108">
        <v>6.5674762200516072E-3</v>
      </c>
      <c r="J30" s="109">
        <v>-29.358173743342121</v>
      </c>
      <c r="K30" s="108">
        <v>6.629277349598465E-3</v>
      </c>
      <c r="L30" s="109">
        <v>-29.620719166493274</v>
      </c>
      <c r="M30" s="108">
        <v>6.7766293235563668E-3</v>
      </c>
      <c r="O30" s="94"/>
    </row>
    <row r="31" spans="2:15" ht="18" thickTop="1" thickBot="1" x14ac:dyDescent="0.25">
      <c r="B31" s="94"/>
      <c r="C31" s="29" t="s">
        <v>20</v>
      </c>
      <c r="D31" s="109">
        <v>9548.0604795002182</v>
      </c>
      <c r="E31" s="109">
        <v>13801.661845494324</v>
      </c>
      <c r="F31" s="109">
        <v>13751.413588314828</v>
      </c>
      <c r="G31" s="109">
        <v>13699.845044071413</v>
      </c>
      <c r="H31" s="109">
        <v>-4253.6013659941054</v>
      </c>
      <c r="I31" s="108">
        <v>0.95063382913330363</v>
      </c>
      <c r="J31" s="109">
        <v>-4203.3531088146101</v>
      </c>
      <c r="K31" s="108">
        <v>0.94914601297188272</v>
      </c>
      <c r="L31" s="109">
        <v>-4151.784564571195</v>
      </c>
      <c r="M31" s="108">
        <v>0.94984543984968706</v>
      </c>
      <c r="O31" s="94"/>
    </row>
    <row r="32" spans="2:15" ht="18" thickTop="1" thickBot="1" x14ac:dyDescent="0.25">
      <c r="B32" s="94"/>
      <c r="C32" s="29" t="s">
        <v>96</v>
      </c>
      <c r="D32" s="109">
        <v>37.950356014520537</v>
      </c>
      <c r="E32" s="109">
        <v>34.532155358216826</v>
      </c>
      <c r="F32" s="109">
        <v>34.31167081940395</v>
      </c>
      <c r="G32" s="109">
        <v>34.504361577876274</v>
      </c>
      <c r="H32" s="109">
        <v>3.4182006563037106</v>
      </c>
      <c r="I32" s="108">
        <v>-7.6393081980509947E-4</v>
      </c>
      <c r="J32" s="109">
        <v>3.6386851951165866</v>
      </c>
      <c r="K32" s="108">
        <v>-8.2164011825756151E-4</v>
      </c>
      <c r="L32" s="109">
        <v>3.4459944366442627</v>
      </c>
      <c r="M32" s="108">
        <v>-7.8837474596469182E-4</v>
      </c>
      <c r="O32" s="94"/>
    </row>
    <row r="33" spans="1:15" ht="16" thickTop="1" x14ac:dyDescent="0.2">
      <c r="B33" s="94"/>
      <c r="C33" s="23"/>
      <c r="D33" s="1"/>
      <c r="E33" s="1"/>
      <c r="F33" s="1"/>
      <c r="G33" s="1"/>
      <c r="H33" s="1"/>
      <c r="I33" s="1"/>
      <c r="J33" s="1"/>
      <c r="K33" s="1"/>
      <c r="L33" s="1"/>
      <c r="M33" s="1"/>
      <c r="O33" s="94"/>
    </row>
    <row r="34" spans="1:15" x14ac:dyDescent="0.2">
      <c r="B34" s="94"/>
      <c r="C34" s="1"/>
      <c r="D34" s="1"/>
      <c r="E34" s="1"/>
      <c r="F34" s="1"/>
      <c r="G34" s="1"/>
      <c r="H34" s="1"/>
      <c r="I34" s="1"/>
      <c r="J34" s="1"/>
      <c r="K34" s="1"/>
      <c r="L34" s="1"/>
      <c r="M34" s="1"/>
      <c r="O34" s="94"/>
    </row>
    <row r="35" spans="1:15" ht="16" thickBot="1" x14ac:dyDescent="0.25">
      <c r="A35" s="93"/>
      <c r="B35" s="98"/>
      <c r="C35" s="95"/>
      <c r="D35" s="95"/>
      <c r="E35" s="95"/>
      <c r="F35" s="95"/>
      <c r="G35" s="95"/>
      <c r="H35" s="95"/>
      <c r="I35" s="95"/>
      <c r="J35" s="95"/>
      <c r="K35" s="95"/>
      <c r="L35" s="95"/>
      <c r="M35" s="95"/>
      <c r="N35" s="95"/>
      <c r="O35" s="94"/>
    </row>
  </sheetData>
  <mergeCells count="3">
    <mergeCell ref="H25:I25"/>
    <mergeCell ref="J25:K25"/>
    <mergeCell ref="L25:M25"/>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7D6B1-D2B4-4C43-8205-77533014A3BC}">
  <sheetPr codeName="Sheet16">
    <tabColor rgb="FFCC6600"/>
  </sheetPr>
  <dimension ref="A3:O61"/>
  <sheetViews>
    <sheetView showGridLines="0" workbookViewId="0"/>
  </sheetViews>
  <sheetFormatPr baseColWidth="10" defaultColWidth="8.83203125" defaultRowHeight="15" x14ac:dyDescent="0.2"/>
  <cols>
    <col min="1" max="1" width="8.6640625" customWidth="1"/>
    <col min="2" max="2" width="19.33203125" customWidth="1"/>
    <col min="3" max="3" width="41.1640625" bestFit="1" customWidth="1"/>
    <col min="4" max="4" width="19.1640625" customWidth="1"/>
    <col min="5" max="5" width="19.33203125" customWidth="1"/>
    <col min="6" max="6" width="14.33203125" customWidth="1"/>
    <col min="7" max="7" width="14.5" customWidth="1"/>
    <col min="8" max="8" width="12.83203125" customWidth="1"/>
    <col min="9" max="9" width="13" customWidth="1"/>
    <col min="10" max="10" width="17.5" customWidth="1"/>
    <col min="11" max="11" width="19" customWidth="1"/>
    <col min="12" max="12" width="17.1640625" customWidth="1"/>
    <col min="13" max="13" width="9.83203125" bestFit="1" customWidth="1"/>
  </cols>
  <sheetData>
    <row r="3" spans="1:15" ht="26" x14ac:dyDescent="0.3">
      <c r="G3" s="96" t="s">
        <v>346</v>
      </c>
    </row>
    <row r="4" spans="1:15" ht="16" thickBot="1" x14ac:dyDescent="0.25"/>
    <row r="5" spans="1:15" ht="14.5" customHeight="1" thickBot="1" x14ac:dyDescent="0.25">
      <c r="B5" s="90"/>
      <c r="C5" s="91"/>
      <c r="D5" s="91"/>
      <c r="E5" s="91"/>
      <c r="F5" s="91"/>
      <c r="G5" s="91"/>
      <c r="H5" s="91"/>
      <c r="I5" s="91"/>
      <c r="J5" s="91"/>
      <c r="K5" s="91"/>
      <c r="L5" s="91"/>
      <c r="M5" s="91"/>
      <c r="N5" s="92"/>
    </row>
    <row r="6" spans="1:15" x14ac:dyDescent="0.2">
      <c r="A6" s="49"/>
      <c r="B6" s="135"/>
      <c r="N6" s="49"/>
      <c r="O6" s="135"/>
    </row>
    <row r="7" spans="1:15" x14ac:dyDescent="0.2">
      <c r="A7" s="49"/>
      <c r="B7" s="135"/>
      <c r="N7" s="49"/>
      <c r="O7" s="135"/>
    </row>
    <row r="8" spans="1:15" ht="19" x14ac:dyDescent="0.25">
      <c r="A8" s="49"/>
      <c r="B8" s="135"/>
      <c r="C8" s="141"/>
      <c r="N8" s="49"/>
      <c r="O8" s="135"/>
    </row>
    <row r="9" spans="1:15" x14ac:dyDescent="0.2">
      <c r="A9" s="49"/>
      <c r="B9" s="135"/>
      <c r="N9" s="49"/>
      <c r="O9" s="135"/>
    </row>
    <row r="10" spans="1:15" x14ac:dyDescent="0.2">
      <c r="A10" s="49"/>
      <c r="B10" s="135"/>
      <c r="C10" t="s">
        <v>91</v>
      </c>
      <c r="N10" s="49"/>
      <c r="O10" s="135"/>
    </row>
    <row r="11" spans="1:15" x14ac:dyDescent="0.2">
      <c r="A11" s="49"/>
      <c r="B11" s="135"/>
      <c r="C11" s="2" t="s">
        <v>71</v>
      </c>
      <c r="D11" s="2" t="s">
        <v>128</v>
      </c>
      <c r="E11" s="2" t="s">
        <v>183</v>
      </c>
      <c r="F11" s="2" t="s">
        <v>129</v>
      </c>
      <c r="N11" s="49"/>
      <c r="O11" s="135"/>
    </row>
    <row r="12" spans="1:15" x14ac:dyDescent="0.2">
      <c r="A12" s="49"/>
      <c r="B12" s="135"/>
      <c r="C12" s="62" t="s">
        <v>138</v>
      </c>
      <c r="D12" s="62">
        <v>1</v>
      </c>
      <c r="E12" s="62">
        <v>13014.5893448774</v>
      </c>
      <c r="F12" s="62">
        <v>18974.896076356301</v>
      </c>
      <c r="N12" s="49"/>
      <c r="O12" s="135"/>
    </row>
    <row r="13" spans="1:15" x14ac:dyDescent="0.2">
      <c r="A13" s="49"/>
      <c r="B13" s="135"/>
      <c r="C13" s="62" t="s">
        <v>49</v>
      </c>
      <c r="D13" s="62">
        <v>2</v>
      </c>
      <c r="E13" s="62">
        <v>13398.559579767776</v>
      </c>
      <c r="F13" s="62">
        <v>18590.925841466029</v>
      </c>
      <c r="N13" s="49"/>
      <c r="O13" s="135"/>
    </row>
    <row r="14" spans="1:15" x14ac:dyDescent="0.2">
      <c r="A14" s="49"/>
      <c r="B14" s="135"/>
      <c r="C14" s="62" t="s">
        <v>47</v>
      </c>
      <c r="D14" s="62">
        <v>3</v>
      </c>
      <c r="E14" s="62">
        <v>15854.603325758302</v>
      </c>
      <c r="F14" s="62">
        <v>16134.882095475503</v>
      </c>
      <c r="N14" s="49"/>
      <c r="O14" s="135"/>
    </row>
    <row r="15" spans="1:15" x14ac:dyDescent="0.2">
      <c r="A15" s="49"/>
      <c r="B15" s="135"/>
      <c r="C15" s="62" t="s">
        <v>84</v>
      </c>
      <c r="D15" s="62">
        <v>4</v>
      </c>
      <c r="E15" s="62">
        <v>15974.154250831667</v>
      </c>
      <c r="F15" s="62">
        <v>16015.331170402145</v>
      </c>
      <c r="N15" s="49"/>
      <c r="O15" s="135"/>
    </row>
    <row r="16" spans="1:15" x14ac:dyDescent="0.2">
      <c r="A16" s="49"/>
      <c r="B16" s="135"/>
      <c r="C16" s="62" t="s">
        <v>149</v>
      </c>
      <c r="D16" s="62">
        <v>5</v>
      </c>
      <c r="E16" s="62">
        <v>15997.959042414537</v>
      </c>
      <c r="F16" s="62">
        <v>15992.107788160611</v>
      </c>
      <c r="N16" s="49"/>
      <c r="O16" s="135"/>
    </row>
    <row r="17" spans="1:15" x14ac:dyDescent="0.2">
      <c r="A17" s="49"/>
      <c r="B17" s="135"/>
      <c r="C17" s="62" t="s">
        <v>150</v>
      </c>
      <c r="D17" s="62">
        <v>6</v>
      </c>
      <c r="E17" s="62">
        <v>15997.74463385566</v>
      </c>
      <c r="F17" s="62">
        <v>15992.283362501501</v>
      </c>
      <c r="N17" s="49"/>
      <c r="O17" s="135"/>
    </row>
    <row r="18" spans="1:15" x14ac:dyDescent="0.2">
      <c r="A18" s="49"/>
      <c r="B18" s="135"/>
      <c r="C18" s="62" t="s">
        <v>141</v>
      </c>
      <c r="D18" s="62">
        <v>7</v>
      </c>
      <c r="E18" s="62">
        <v>15991.886635947745</v>
      </c>
      <c r="F18" s="62">
        <v>15997.09571493924</v>
      </c>
      <c r="N18" s="49"/>
      <c r="O18" s="135"/>
    </row>
    <row r="19" spans="1:15" x14ac:dyDescent="0.2">
      <c r="A19" s="49"/>
      <c r="B19" s="135"/>
      <c r="C19" s="62" t="s">
        <v>148</v>
      </c>
      <c r="D19" s="62">
        <v>8</v>
      </c>
      <c r="E19" s="62">
        <v>15992.665293969674</v>
      </c>
      <c r="F19" s="62">
        <v>15996.449507142574</v>
      </c>
      <c r="N19" s="49"/>
      <c r="O19" s="135"/>
    </row>
    <row r="20" spans="1:15" x14ac:dyDescent="0.2">
      <c r="A20" s="49"/>
      <c r="B20" s="135"/>
      <c r="C20" s="62" t="s">
        <v>140</v>
      </c>
      <c r="D20" s="62">
        <v>9</v>
      </c>
      <c r="E20" s="62">
        <v>15996.633819106861</v>
      </c>
      <c r="F20" s="62">
        <v>15993.188991204532</v>
      </c>
      <c r="N20" s="49"/>
      <c r="O20" s="135"/>
    </row>
    <row r="21" spans="1:15" x14ac:dyDescent="0.2">
      <c r="A21" s="49"/>
      <c r="B21" s="135"/>
      <c r="C21" s="62" t="s">
        <v>147</v>
      </c>
      <c r="D21" s="62">
        <v>10</v>
      </c>
      <c r="E21" s="62">
        <v>15992.87004312717</v>
      </c>
      <c r="F21" s="62">
        <v>15996.282160604986</v>
      </c>
      <c r="N21" s="49"/>
      <c r="O21" s="135"/>
    </row>
    <row r="22" spans="1:15" x14ac:dyDescent="0.2">
      <c r="A22" s="49"/>
      <c r="B22" s="135"/>
      <c r="N22" s="49"/>
      <c r="O22" s="135"/>
    </row>
    <row r="23" spans="1:15" x14ac:dyDescent="0.2">
      <c r="A23" s="49"/>
      <c r="B23" s="135"/>
      <c r="N23" s="49"/>
      <c r="O23" s="135"/>
    </row>
    <row r="24" spans="1:15" x14ac:dyDescent="0.2">
      <c r="A24" s="49"/>
      <c r="B24" s="135"/>
      <c r="N24" s="49"/>
      <c r="O24" s="135"/>
    </row>
    <row r="25" spans="1:15" x14ac:dyDescent="0.2">
      <c r="A25" s="49"/>
      <c r="B25" s="135"/>
      <c r="N25" s="49"/>
      <c r="O25" s="135"/>
    </row>
    <row r="26" spans="1:15" x14ac:dyDescent="0.2">
      <c r="A26" s="49"/>
      <c r="B26" s="135"/>
      <c r="C26" t="s">
        <v>92</v>
      </c>
      <c r="N26" s="49"/>
      <c r="O26" s="135"/>
    </row>
    <row r="27" spans="1:15" x14ac:dyDescent="0.2">
      <c r="A27" s="49"/>
      <c r="B27" s="135"/>
      <c r="C27" s="2" t="s">
        <v>71</v>
      </c>
      <c r="D27" s="2" t="s">
        <v>128</v>
      </c>
      <c r="E27" s="2" t="s">
        <v>183</v>
      </c>
      <c r="F27" s="2" t="s">
        <v>129</v>
      </c>
      <c r="N27" s="49"/>
      <c r="O27" s="135"/>
    </row>
    <row r="28" spans="1:15" x14ac:dyDescent="0.2">
      <c r="A28" s="49"/>
      <c r="B28" s="135"/>
      <c r="C28" s="62" t="s">
        <v>138</v>
      </c>
      <c r="D28" s="62">
        <v>1</v>
      </c>
      <c r="E28" s="62">
        <v>13032.377606579805</v>
      </c>
      <c r="F28" s="62">
        <v>18989.354890391569</v>
      </c>
      <c r="N28" s="49"/>
      <c r="O28" s="135"/>
    </row>
    <row r="29" spans="1:15" x14ac:dyDescent="0.2">
      <c r="A29" s="49"/>
      <c r="B29" s="135"/>
      <c r="C29" s="62" t="s">
        <v>49</v>
      </c>
      <c r="D29" s="62">
        <v>2</v>
      </c>
      <c r="E29" s="62">
        <v>13414.683117636596</v>
      </c>
      <c r="F29" s="62">
        <v>18607.049379334792</v>
      </c>
      <c r="N29" s="49"/>
      <c r="O29" s="135"/>
    </row>
    <row r="30" spans="1:15" x14ac:dyDescent="0.2">
      <c r="A30" s="49"/>
      <c r="B30" s="135"/>
      <c r="C30" s="62" t="s">
        <v>47</v>
      </c>
      <c r="D30" s="62">
        <v>3</v>
      </c>
      <c r="E30" s="62">
        <v>15870.726863627113</v>
      </c>
      <c r="F30" s="62">
        <v>16151.005633344315</v>
      </c>
      <c r="N30" s="49"/>
      <c r="O30" s="135"/>
    </row>
    <row r="31" spans="1:15" x14ac:dyDescent="0.2">
      <c r="A31" s="49"/>
      <c r="B31" s="135"/>
      <c r="C31" s="62" t="s">
        <v>84</v>
      </c>
      <c r="D31" s="62">
        <v>4</v>
      </c>
      <c r="E31" s="62">
        <v>15990.063098053683</v>
      </c>
      <c r="F31" s="62">
        <v>16031.669398917753</v>
      </c>
      <c r="N31" s="49"/>
      <c r="O31" s="135"/>
    </row>
    <row r="32" spans="1:15" x14ac:dyDescent="0.2">
      <c r="A32" s="49"/>
      <c r="B32" s="135"/>
      <c r="C32" s="62" t="s">
        <v>161</v>
      </c>
      <c r="D32" s="62">
        <v>5</v>
      </c>
      <c r="E32" s="62">
        <v>16014.115027318405</v>
      </c>
      <c r="F32" s="62">
        <v>16008.204732794706</v>
      </c>
      <c r="N32" s="49"/>
      <c r="O32" s="135"/>
    </row>
    <row r="33" spans="1:15" x14ac:dyDescent="0.2">
      <c r="A33" s="49"/>
      <c r="B33" s="135"/>
      <c r="C33" s="62" t="s">
        <v>162</v>
      </c>
      <c r="D33" s="62">
        <v>6</v>
      </c>
      <c r="E33" s="62">
        <v>16013.940537359251</v>
      </c>
      <c r="F33" s="62">
        <v>16008.347759858025</v>
      </c>
      <c r="N33" s="49"/>
      <c r="O33" s="135"/>
    </row>
    <row r="34" spans="1:15" x14ac:dyDescent="0.2">
      <c r="A34" s="49"/>
      <c r="B34" s="135"/>
      <c r="C34" s="62" t="s">
        <v>141</v>
      </c>
      <c r="D34" s="62">
        <v>7</v>
      </c>
      <c r="E34" s="62">
        <v>16007.95315408663</v>
      </c>
      <c r="F34" s="62">
        <v>16013.266304082868</v>
      </c>
      <c r="N34" s="49"/>
      <c r="O34" s="135"/>
    </row>
    <row r="35" spans="1:15" x14ac:dyDescent="0.2">
      <c r="A35" s="49"/>
      <c r="B35" s="135"/>
      <c r="C35" s="62" t="s">
        <v>160</v>
      </c>
      <c r="D35" s="62">
        <v>8</v>
      </c>
      <c r="E35" s="62">
        <v>16008.76667785268</v>
      </c>
      <c r="F35" s="62">
        <v>16012.591248347233</v>
      </c>
      <c r="N35" s="49"/>
      <c r="O35" s="135"/>
    </row>
    <row r="36" spans="1:15" x14ac:dyDescent="0.2">
      <c r="A36" s="49"/>
      <c r="B36" s="135"/>
      <c r="C36" s="62" t="s">
        <v>140</v>
      </c>
      <c r="D36" s="62">
        <v>9</v>
      </c>
      <c r="E36" s="62">
        <v>16012.778883397481</v>
      </c>
      <c r="F36" s="62">
        <v>16009.294843116641</v>
      </c>
      <c r="N36" s="49"/>
      <c r="O36" s="135"/>
    </row>
    <row r="37" spans="1:15" x14ac:dyDescent="0.2">
      <c r="A37" s="49"/>
      <c r="B37" s="135"/>
      <c r="C37" s="62" t="s">
        <v>159</v>
      </c>
      <c r="D37" s="62">
        <v>10</v>
      </c>
      <c r="E37" s="62">
        <v>16008.972682712694</v>
      </c>
      <c r="F37" s="62">
        <v>16012.422878215495</v>
      </c>
      <c r="N37" s="49"/>
      <c r="O37" s="135"/>
    </row>
    <row r="38" spans="1:15" x14ac:dyDescent="0.2">
      <c r="A38" s="49"/>
      <c r="B38" s="135"/>
      <c r="N38" s="49"/>
      <c r="O38" s="135"/>
    </row>
    <row r="39" spans="1:15" x14ac:dyDescent="0.2">
      <c r="A39" s="49"/>
      <c r="B39" s="135"/>
      <c r="N39" s="49"/>
      <c r="O39" s="135"/>
    </row>
    <row r="40" spans="1:15" x14ac:dyDescent="0.2">
      <c r="A40" s="49"/>
      <c r="B40" s="135"/>
      <c r="N40" s="49"/>
      <c r="O40" s="135"/>
    </row>
    <row r="41" spans="1:15" x14ac:dyDescent="0.2">
      <c r="A41" s="49"/>
      <c r="B41" s="135"/>
      <c r="N41" s="49"/>
      <c r="O41" s="135"/>
    </row>
    <row r="42" spans="1:15" x14ac:dyDescent="0.2">
      <c r="A42" s="49"/>
      <c r="B42" s="135"/>
      <c r="C42" t="s">
        <v>93</v>
      </c>
      <c r="N42" s="49"/>
      <c r="O42" s="135"/>
    </row>
    <row r="43" spans="1:15" x14ac:dyDescent="0.2">
      <c r="A43" s="49"/>
      <c r="B43" s="135"/>
      <c r="C43" s="2" t="s">
        <v>71</v>
      </c>
      <c r="D43" s="2" t="s">
        <v>128</v>
      </c>
      <c r="E43" s="2" t="s">
        <v>183</v>
      </c>
      <c r="F43" s="2" t="s">
        <v>129</v>
      </c>
      <c r="N43" s="49"/>
      <c r="O43" s="135"/>
    </row>
    <row r="44" spans="1:15" x14ac:dyDescent="0.2">
      <c r="A44" s="49"/>
      <c r="B44" s="135"/>
      <c r="C44" s="62" t="s">
        <v>138</v>
      </c>
      <c r="D44" s="62">
        <v>1</v>
      </c>
      <c r="E44" s="62">
        <v>13080.085148319635</v>
      </c>
      <c r="F44" s="62">
        <v>19064.28270480418</v>
      </c>
      <c r="N44" s="49"/>
      <c r="O44" s="135"/>
    </row>
    <row r="45" spans="1:15" x14ac:dyDescent="0.2">
      <c r="A45" s="49"/>
      <c r="B45" s="135"/>
      <c r="C45" s="62" t="s">
        <v>49</v>
      </c>
      <c r="D45" s="62">
        <v>2</v>
      </c>
      <c r="E45" s="62">
        <v>13476.000795712793</v>
      </c>
      <c r="F45" s="62">
        <v>18668.367057411051</v>
      </c>
      <c r="N45" s="49"/>
      <c r="O45" s="135"/>
    </row>
    <row r="46" spans="1:15" x14ac:dyDescent="0.2">
      <c r="A46" s="49"/>
      <c r="B46" s="135"/>
      <c r="C46" s="62" t="s">
        <v>47</v>
      </c>
      <c r="D46" s="62">
        <v>3</v>
      </c>
      <c r="E46" s="62">
        <v>15932.044541703328</v>
      </c>
      <c r="F46" s="62">
        <v>16212.323311420529</v>
      </c>
      <c r="N46" s="49"/>
      <c r="O46" s="135"/>
    </row>
    <row r="47" spans="1:15" x14ac:dyDescent="0.2">
      <c r="A47" s="49"/>
      <c r="B47" s="135"/>
      <c r="C47" s="62" t="s">
        <v>84</v>
      </c>
      <c r="D47" s="62">
        <v>4</v>
      </c>
      <c r="E47" s="62">
        <v>16050.836933178643</v>
      </c>
      <c r="F47" s="62">
        <v>16093.530919945206</v>
      </c>
      <c r="N47" s="49"/>
      <c r="O47" s="135"/>
    </row>
    <row r="48" spans="1:15" x14ac:dyDescent="0.2">
      <c r="A48" s="49"/>
      <c r="B48" s="135"/>
      <c r="C48" s="62" t="s">
        <v>173</v>
      </c>
      <c r="D48" s="62">
        <v>5</v>
      </c>
      <c r="E48" s="62">
        <v>16075.552456492051</v>
      </c>
      <c r="F48" s="62">
        <v>16069.424334280015</v>
      </c>
      <c r="N48" s="49"/>
      <c r="O48" s="135"/>
    </row>
    <row r="49" spans="1:15" x14ac:dyDescent="0.2">
      <c r="A49" s="49"/>
      <c r="B49" s="135"/>
      <c r="C49" s="62" t="s">
        <v>174</v>
      </c>
      <c r="D49" s="62">
        <v>6</v>
      </c>
      <c r="E49" s="62">
        <v>16075.42243122957</v>
      </c>
      <c r="F49" s="62">
        <v>16069.531043039495</v>
      </c>
      <c r="N49" s="49"/>
      <c r="O49" s="135"/>
    </row>
    <row r="50" spans="1:15" x14ac:dyDescent="0.2">
      <c r="A50" s="49"/>
      <c r="B50" s="135"/>
      <c r="C50" s="62" t="s">
        <v>141</v>
      </c>
      <c r="D50" s="62">
        <v>7</v>
      </c>
      <c r="E50" s="62">
        <v>16069.126330571735</v>
      </c>
      <c r="F50" s="62">
        <v>16074.703154110452</v>
      </c>
      <c r="N50" s="49"/>
      <c r="O50" s="135"/>
    </row>
    <row r="51" spans="1:15" x14ac:dyDescent="0.2">
      <c r="A51" s="49"/>
      <c r="B51" s="135"/>
      <c r="C51" s="62" t="s">
        <v>172</v>
      </c>
      <c r="D51" s="62">
        <v>8</v>
      </c>
      <c r="E51" s="62">
        <v>16070.039945250332</v>
      </c>
      <c r="F51" s="62">
        <v>16073.945411197366</v>
      </c>
      <c r="N51" s="49"/>
      <c r="O51" s="135"/>
    </row>
    <row r="52" spans="1:15" x14ac:dyDescent="0.2">
      <c r="A52" s="49"/>
      <c r="B52" s="135"/>
      <c r="C52" s="62" t="s">
        <v>140</v>
      </c>
      <c r="D52" s="62">
        <v>9</v>
      </c>
      <c r="E52" s="62">
        <v>16074.129121811282</v>
      </c>
      <c r="F52" s="62">
        <v>16070.585769847581</v>
      </c>
      <c r="N52" s="49"/>
      <c r="O52" s="135"/>
    </row>
    <row r="53" spans="1:15" x14ac:dyDescent="0.2">
      <c r="A53" s="49"/>
      <c r="B53" s="135"/>
      <c r="C53" s="62" t="s">
        <v>171</v>
      </c>
      <c r="D53" s="62">
        <v>10</v>
      </c>
      <c r="E53" s="62">
        <v>16070.24903310638</v>
      </c>
      <c r="F53" s="62">
        <v>16073.774530126448</v>
      </c>
      <c r="N53" s="49"/>
      <c r="O53" s="135"/>
    </row>
    <row r="54" spans="1:15" x14ac:dyDescent="0.2">
      <c r="A54" s="49"/>
      <c r="B54" s="135"/>
      <c r="N54" s="49"/>
      <c r="O54" s="135"/>
    </row>
    <row r="55" spans="1:15" x14ac:dyDescent="0.2">
      <c r="A55" s="49"/>
      <c r="B55" s="135"/>
      <c r="N55" s="49"/>
      <c r="O55" s="135"/>
    </row>
    <row r="56" spans="1:15" x14ac:dyDescent="0.2">
      <c r="A56" s="49"/>
      <c r="B56" s="135"/>
      <c r="N56" s="49"/>
      <c r="O56" s="135"/>
    </row>
    <row r="57" spans="1:15" x14ac:dyDescent="0.2">
      <c r="A57" s="49"/>
      <c r="B57" s="135"/>
      <c r="N57" s="49"/>
      <c r="O57" s="135"/>
    </row>
    <row r="58" spans="1:15" x14ac:dyDescent="0.2">
      <c r="A58" s="49"/>
      <c r="B58" s="135"/>
      <c r="N58" s="49"/>
      <c r="O58" s="135"/>
    </row>
    <row r="59" spans="1:15" x14ac:dyDescent="0.2">
      <c r="A59" s="49"/>
      <c r="B59" s="135"/>
      <c r="N59" s="49"/>
      <c r="O59" s="135"/>
    </row>
    <row r="60" spans="1:15" x14ac:dyDescent="0.2">
      <c r="A60" s="49"/>
      <c r="B60" s="135"/>
      <c r="N60" s="49"/>
      <c r="O60" s="135"/>
    </row>
    <row r="61" spans="1:15" ht="16" thickBot="1" x14ac:dyDescent="0.25">
      <c r="A61" s="93"/>
      <c r="B61" s="98"/>
      <c r="C61" s="95"/>
      <c r="D61" s="95"/>
      <c r="E61" s="95"/>
      <c r="F61" s="95"/>
      <c r="G61" s="95"/>
      <c r="H61" s="95"/>
      <c r="I61" s="95"/>
      <c r="J61" s="95"/>
      <c r="K61" s="95"/>
      <c r="L61" s="95"/>
      <c r="M61" s="95"/>
      <c r="N61" s="95"/>
      <c r="O61" s="94"/>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338F9-590C-421F-BF54-C1F6302C9C58}">
  <sheetPr codeName="Sheet20">
    <tabColor rgb="FFCC6600"/>
  </sheetPr>
  <dimension ref="A3:AA33"/>
  <sheetViews>
    <sheetView showGridLines="0" workbookViewId="0"/>
  </sheetViews>
  <sheetFormatPr baseColWidth="10" defaultColWidth="8.83203125" defaultRowHeight="15" x14ac:dyDescent="0.2"/>
  <cols>
    <col min="3" max="3" width="13.83203125" customWidth="1"/>
    <col min="4" max="4" width="11.83203125" bestFit="1" customWidth="1"/>
    <col min="5" max="5" width="11.1640625" bestFit="1" customWidth="1"/>
    <col min="6" max="6" width="11.83203125" bestFit="1" customWidth="1"/>
    <col min="7" max="7" width="11.1640625" bestFit="1" customWidth="1"/>
    <col min="8" max="8" width="11.83203125" bestFit="1" customWidth="1"/>
    <col min="9" max="9" width="11.1640625" bestFit="1" customWidth="1"/>
    <col min="10" max="10" width="11.83203125" bestFit="1" customWidth="1"/>
    <col min="11" max="11" width="10.1640625" bestFit="1" customWidth="1"/>
    <col min="12" max="12" width="15" bestFit="1" customWidth="1"/>
    <col min="13" max="13" width="13.33203125" customWidth="1"/>
    <col min="14" max="14" width="15" bestFit="1" customWidth="1"/>
    <col min="15" max="15" width="12.83203125" bestFit="1" customWidth="1"/>
    <col min="16" max="16" width="15" bestFit="1" customWidth="1"/>
    <col min="17" max="17" width="12.83203125" bestFit="1" customWidth="1"/>
    <col min="18" max="18" width="15" bestFit="1" customWidth="1"/>
    <col min="19" max="19" width="12.83203125" bestFit="1" customWidth="1"/>
    <col min="20" max="20" width="10.6640625" bestFit="1" customWidth="1"/>
    <col min="31" max="31" width="17.1640625" bestFit="1" customWidth="1"/>
    <col min="32" max="32" width="17.5" customWidth="1"/>
  </cols>
  <sheetData>
    <row r="3" spans="2:27" ht="26" x14ac:dyDescent="0.3">
      <c r="J3" s="96" t="s">
        <v>224</v>
      </c>
    </row>
    <row r="4" spans="2:27" ht="16" thickBot="1" x14ac:dyDescent="0.25"/>
    <row r="5" spans="2:27" ht="16" thickBot="1" x14ac:dyDescent="0.25">
      <c r="B5" s="90"/>
      <c r="C5" s="91"/>
      <c r="D5" s="91"/>
      <c r="E5" s="91"/>
      <c r="F5" s="91"/>
      <c r="G5" s="91"/>
      <c r="H5" s="91"/>
      <c r="I5" s="91"/>
      <c r="J5" s="91"/>
      <c r="K5" s="91"/>
      <c r="L5" s="91"/>
      <c r="M5" s="91"/>
      <c r="N5" s="91"/>
      <c r="O5" s="91"/>
      <c r="P5" s="91"/>
      <c r="Q5" s="91"/>
      <c r="R5" s="91"/>
      <c r="S5" s="91"/>
      <c r="T5" s="91"/>
      <c r="U5" s="91"/>
      <c r="V5" s="91"/>
      <c r="W5" s="91"/>
      <c r="X5" s="91"/>
      <c r="Y5" s="91"/>
      <c r="Z5" s="92"/>
    </row>
    <row r="6" spans="2:27" x14ac:dyDescent="0.2">
      <c r="B6" s="94"/>
      <c r="AA6" s="94"/>
    </row>
    <row r="7" spans="2:27" x14ac:dyDescent="0.2">
      <c r="B7" s="94"/>
      <c r="AA7" s="94"/>
    </row>
    <row r="8" spans="2:27" x14ac:dyDescent="0.2">
      <c r="B8" s="94"/>
      <c r="AA8" s="94"/>
    </row>
    <row r="9" spans="2:27" x14ac:dyDescent="0.2">
      <c r="B9" s="94"/>
      <c r="AA9" s="94"/>
    </row>
    <row r="10" spans="2:27" x14ac:dyDescent="0.2">
      <c r="B10" s="94"/>
      <c r="AA10" s="94"/>
    </row>
    <row r="11" spans="2:27" x14ac:dyDescent="0.2">
      <c r="B11" s="94"/>
      <c r="AA11" s="94"/>
    </row>
    <row r="12" spans="2:27" x14ac:dyDescent="0.2">
      <c r="B12" s="94"/>
      <c r="AA12" s="94"/>
    </row>
    <row r="13" spans="2:27" x14ac:dyDescent="0.2">
      <c r="B13" s="94"/>
      <c r="AA13" s="94"/>
    </row>
    <row r="14" spans="2:27" x14ac:dyDescent="0.2">
      <c r="B14" s="94"/>
      <c r="AA14" s="94"/>
    </row>
    <row r="15" spans="2:27" x14ac:dyDescent="0.2">
      <c r="B15" s="94"/>
      <c r="AA15" s="94"/>
    </row>
    <row r="16" spans="2:27" x14ac:dyDescent="0.2">
      <c r="B16" s="94"/>
      <c r="AA16" s="94"/>
    </row>
    <row r="17" spans="2:27" x14ac:dyDescent="0.2">
      <c r="B17" s="94"/>
      <c r="AA17" s="94"/>
    </row>
    <row r="18" spans="2:27" x14ac:dyDescent="0.2">
      <c r="B18" s="94"/>
      <c r="AA18" s="94"/>
    </row>
    <row r="19" spans="2:27" x14ac:dyDescent="0.2">
      <c r="B19" s="94"/>
      <c r="AA19" s="94"/>
    </row>
    <row r="20" spans="2:27" x14ac:dyDescent="0.2">
      <c r="B20" s="94"/>
      <c r="AA20" s="94"/>
    </row>
    <row r="21" spans="2:27" x14ac:dyDescent="0.2">
      <c r="B21" s="94"/>
      <c r="AA21" s="94"/>
    </row>
    <row r="22" spans="2:27" x14ac:dyDescent="0.2">
      <c r="B22" s="94"/>
      <c r="AA22" s="94"/>
    </row>
    <row r="23" spans="2:27" x14ac:dyDescent="0.2">
      <c r="B23" s="94"/>
      <c r="AA23" s="94"/>
    </row>
    <row r="24" spans="2:27" x14ac:dyDescent="0.2">
      <c r="B24" s="94"/>
      <c r="AA24" s="94"/>
    </row>
    <row r="25" spans="2:27" x14ac:dyDescent="0.2">
      <c r="B25" s="94"/>
      <c r="AA25" s="94"/>
    </row>
    <row r="26" spans="2:27" x14ac:dyDescent="0.2">
      <c r="B26" s="94"/>
      <c r="AA26" s="94"/>
    </row>
    <row r="27" spans="2:27" x14ac:dyDescent="0.2">
      <c r="B27" s="94"/>
      <c r="AA27" s="94"/>
    </row>
    <row r="28" spans="2:27" x14ac:dyDescent="0.2">
      <c r="B28" s="94"/>
      <c r="AA28" s="94"/>
    </row>
    <row r="29" spans="2:27" x14ac:dyDescent="0.2">
      <c r="B29" s="94"/>
      <c r="AA29" s="94"/>
    </row>
    <row r="30" spans="2:27" x14ac:dyDescent="0.2">
      <c r="B30" s="94"/>
      <c r="AA30" s="94"/>
    </row>
    <row r="31" spans="2:27" x14ac:dyDescent="0.2">
      <c r="B31" s="94"/>
      <c r="AA31" s="94"/>
    </row>
    <row r="32" spans="2:27" x14ac:dyDescent="0.2">
      <c r="B32" s="94"/>
      <c r="AA32" s="94"/>
    </row>
    <row r="33" spans="1:27" ht="16" thickBot="1" x14ac:dyDescent="0.25">
      <c r="A33" s="93"/>
      <c r="B33" s="98"/>
      <c r="C33" s="95"/>
      <c r="D33" s="95"/>
      <c r="E33" s="95"/>
      <c r="F33" s="95"/>
      <c r="G33" s="95"/>
      <c r="H33" s="95"/>
      <c r="I33" s="95"/>
      <c r="J33" s="95"/>
      <c r="K33" s="95"/>
      <c r="L33" s="95"/>
      <c r="M33" s="95"/>
      <c r="N33" s="95"/>
      <c r="O33" s="95"/>
      <c r="P33" s="95"/>
      <c r="Q33" s="95"/>
      <c r="R33" s="95"/>
      <c r="S33" s="95"/>
      <c r="T33" s="95"/>
      <c r="U33" s="95"/>
      <c r="V33" s="95"/>
      <c r="W33" s="95"/>
      <c r="X33" s="95"/>
      <c r="Y33" s="95"/>
      <c r="Z33" s="95"/>
      <c r="AA33" s="94"/>
    </row>
  </sheetData>
  <dataValidations count="1">
    <dataValidation type="list" allowBlank="1" showInputMessage="1" showErrorMessage="1" sqref="D30" xr:uid="{09B339DE-161B-467A-ADD2-B0B48811A0C3}">
      <formula1>"1,2,3"</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24049-585C-4A34-86FD-4E30BDADE746}">
  <sheetPr codeName="Sheet7">
    <tabColor theme="2" tint="-0.499984740745262"/>
  </sheetPr>
  <dimension ref="A1:ER528"/>
  <sheetViews>
    <sheetView showGridLines="0" zoomScale="75" zoomScaleNormal="75" workbookViewId="0"/>
  </sheetViews>
  <sheetFormatPr baseColWidth="10" defaultColWidth="9.1640625" defaultRowHeight="14" x14ac:dyDescent="0.15"/>
  <cols>
    <col min="1" max="1" width="17.1640625" style="5" customWidth="1"/>
    <col min="2" max="2" width="8.83203125" style="5" customWidth="1"/>
    <col min="3" max="3" width="12.6640625" style="6" customWidth="1"/>
    <col min="4" max="4" width="9.1640625" style="6"/>
    <col min="5" max="5" width="41.5" style="3" customWidth="1"/>
    <col min="6" max="6" width="18.83203125" style="4" bestFit="1" customWidth="1"/>
    <col min="7" max="7" width="10" style="4" customWidth="1"/>
    <col min="8" max="8" width="13.33203125" style="4" customWidth="1"/>
    <col min="9" max="11" width="10" style="4" customWidth="1"/>
    <col min="12" max="12" width="11" style="4" customWidth="1"/>
    <col min="13" max="13" width="11.6640625" style="4" bestFit="1" customWidth="1"/>
    <col min="14" max="14" width="13" style="4" customWidth="1"/>
    <col min="15" max="15" width="10" style="4" customWidth="1"/>
    <col min="16" max="16" width="9.1640625" style="4"/>
    <col min="17" max="17" width="20.6640625" style="4" customWidth="1"/>
    <col min="18" max="18" width="7.33203125" style="4" bestFit="1" customWidth="1"/>
    <col min="19" max="16384" width="9.1640625" style="5"/>
  </cols>
  <sheetData>
    <row r="1" spans="1:20" x14ac:dyDescent="0.15">
      <c r="C1" s="5"/>
      <c r="D1" s="5"/>
      <c r="E1" s="5"/>
      <c r="F1" s="5"/>
      <c r="G1" s="5"/>
      <c r="H1" s="5"/>
      <c r="I1" s="5"/>
      <c r="J1" s="5"/>
      <c r="K1" s="5"/>
      <c r="L1" s="5"/>
      <c r="M1" s="5"/>
      <c r="N1" s="5"/>
      <c r="O1" s="5"/>
      <c r="P1" s="5"/>
      <c r="Q1" s="5"/>
      <c r="R1" s="5"/>
    </row>
    <row r="2" spans="1:20" x14ac:dyDescent="0.15">
      <c r="C2" s="5"/>
      <c r="D2" s="5"/>
      <c r="E2" s="5"/>
      <c r="F2" s="5"/>
      <c r="G2" s="5"/>
      <c r="H2" s="5"/>
      <c r="I2" s="5"/>
      <c r="J2" s="5"/>
      <c r="K2" s="5"/>
      <c r="L2" s="5"/>
      <c r="M2" s="5"/>
      <c r="N2" s="5"/>
      <c r="O2" s="5"/>
      <c r="P2" s="5"/>
      <c r="Q2" s="5"/>
      <c r="R2" s="5"/>
    </row>
    <row r="3" spans="1:20" ht="27" customHeight="1" x14ac:dyDescent="0.3">
      <c r="C3" s="5"/>
      <c r="D3" s="5"/>
      <c r="E3" s="5"/>
      <c r="F3" s="120" t="s">
        <v>66</v>
      </c>
      <c r="G3" s="5"/>
      <c r="H3" s="5"/>
      <c r="I3" s="5"/>
      <c r="J3" s="5"/>
      <c r="K3" s="5"/>
      <c r="L3" s="5"/>
      <c r="M3" s="5"/>
      <c r="N3" s="5"/>
      <c r="O3" s="5"/>
      <c r="P3" s="5"/>
      <c r="Q3" s="5"/>
      <c r="R3" s="5"/>
    </row>
    <row r="4" spans="1:20" ht="17.25" customHeight="1" thickBot="1" x14ac:dyDescent="0.2">
      <c r="C4" s="5"/>
      <c r="D4" s="5"/>
      <c r="E4" s="5"/>
      <c r="F4" s="5"/>
      <c r="G4" s="5"/>
      <c r="H4" s="5"/>
      <c r="I4" s="5"/>
      <c r="J4" s="5"/>
      <c r="K4" s="5"/>
      <c r="L4" s="5"/>
      <c r="M4" s="5"/>
      <c r="N4" s="5"/>
      <c r="O4" s="5"/>
      <c r="P4" s="5"/>
      <c r="Q4" s="5"/>
      <c r="R4" s="5"/>
    </row>
    <row r="5" spans="1:20" customFormat="1" ht="14.5" customHeight="1" thickBot="1" x14ac:dyDescent="0.25">
      <c r="B5" s="90"/>
      <c r="C5" s="91"/>
      <c r="D5" s="91"/>
      <c r="E5" s="91"/>
      <c r="F5" s="91"/>
      <c r="G5" s="91"/>
      <c r="H5" s="91"/>
      <c r="I5" s="91"/>
      <c r="J5" s="91"/>
      <c r="K5" s="91"/>
      <c r="L5" s="91"/>
      <c r="M5" s="91"/>
      <c r="N5" s="91"/>
      <c r="O5" s="91"/>
      <c r="P5" s="91"/>
      <c r="Q5" s="91"/>
      <c r="R5" s="91"/>
      <c r="S5" s="92"/>
    </row>
    <row r="6" spans="1:20" s="1" customFormat="1" ht="15" x14ac:dyDescent="0.2">
      <c r="A6"/>
      <c r="B6" s="94"/>
      <c r="C6" s="118"/>
      <c r="D6" s="118"/>
      <c r="E6" s="118"/>
      <c r="F6" s="118"/>
      <c r="G6" s="118"/>
      <c r="H6" s="118"/>
      <c r="I6" s="118"/>
      <c r="J6" s="118"/>
      <c r="K6" s="118"/>
      <c r="L6" s="118"/>
      <c r="M6" s="118"/>
      <c r="N6" s="118"/>
      <c r="O6" s="118"/>
      <c r="P6" s="118"/>
      <c r="Q6" s="118"/>
      <c r="R6" s="118"/>
      <c r="S6"/>
      <c r="T6" s="94"/>
    </row>
    <row r="7" spans="1:20" ht="20" x14ac:dyDescent="0.2">
      <c r="A7"/>
      <c r="B7" s="119"/>
      <c r="C7" s="5"/>
      <c r="D7" s="31"/>
      <c r="E7" s="32"/>
      <c r="F7" s="33"/>
      <c r="G7" s="33"/>
      <c r="H7" s="33"/>
      <c r="I7" s="33"/>
      <c r="J7" s="33"/>
      <c r="K7" s="33"/>
      <c r="L7" s="33"/>
      <c r="M7" s="33"/>
      <c r="N7" s="33"/>
      <c r="O7" s="33"/>
      <c r="Q7" s="126" t="s">
        <v>70</v>
      </c>
      <c r="R7" s="40">
        <f>MAX(D:D)</f>
        <v>273</v>
      </c>
      <c r="S7"/>
      <c r="T7" s="94"/>
    </row>
    <row r="8" spans="1:20" ht="15" x14ac:dyDescent="0.2">
      <c r="A8"/>
      <c r="B8" s="119"/>
      <c r="C8" s="34"/>
      <c r="D8" s="34"/>
      <c r="E8" s="35"/>
      <c r="F8" s="36"/>
      <c r="G8" s="36"/>
      <c r="H8" s="36"/>
      <c r="I8" s="36"/>
      <c r="J8" s="36"/>
      <c r="K8" s="36"/>
      <c r="L8" s="36"/>
      <c r="M8" s="36"/>
      <c r="N8" s="36"/>
      <c r="O8" s="33"/>
      <c r="P8" s="33"/>
      <c r="Q8" s="136" t="s">
        <v>241</v>
      </c>
      <c r="R8" s="40">
        <f>COUNTIF(I:I,"=Yes")</f>
        <v>115</v>
      </c>
      <c r="S8"/>
      <c r="T8" s="94"/>
    </row>
    <row r="9" spans="1:20" ht="15" x14ac:dyDescent="0.2">
      <c r="A9"/>
      <c r="B9" s="119"/>
      <c r="C9" s="34" t="s">
        <v>67</v>
      </c>
      <c r="D9" s="34"/>
      <c r="E9" s="35"/>
      <c r="F9" s="36"/>
      <c r="G9" s="36"/>
      <c r="H9" s="36"/>
      <c r="I9" s="36"/>
      <c r="J9" s="36"/>
      <c r="K9" s="36"/>
      <c r="L9" s="36"/>
      <c r="M9" s="36"/>
      <c r="N9" s="36"/>
      <c r="O9" s="33"/>
      <c r="P9" s="33"/>
      <c r="Q9" s="126" t="s">
        <v>240</v>
      </c>
      <c r="R9" s="40">
        <f>COUNTIF(L:L,"=Yes")</f>
        <v>127</v>
      </c>
      <c r="S9"/>
      <c r="T9" s="94"/>
    </row>
    <row r="10" spans="1:20" ht="16" thickBot="1" x14ac:dyDescent="0.25">
      <c r="A10"/>
      <c r="B10" s="119"/>
      <c r="C10" s="34"/>
      <c r="D10" s="34"/>
      <c r="E10" s="35"/>
      <c r="F10" s="36"/>
      <c r="G10" s="36"/>
      <c r="H10" s="36"/>
      <c r="I10" s="36"/>
      <c r="J10" s="36"/>
      <c r="K10" s="36"/>
      <c r="L10" s="36"/>
      <c r="M10" s="36"/>
      <c r="N10" s="36"/>
      <c r="O10" s="33"/>
      <c r="P10" s="33"/>
      <c r="Q10" s="33"/>
      <c r="R10" s="33"/>
      <c r="S10"/>
      <c r="T10" s="94"/>
    </row>
    <row r="11" spans="1:20" ht="17" thickTop="1" thickBot="1" x14ac:dyDescent="0.25">
      <c r="A11"/>
      <c r="B11" s="119"/>
      <c r="C11" s="37" t="s">
        <v>68</v>
      </c>
      <c r="D11" s="37"/>
      <c r="E11" s="37"/>
      <c r="F11" s="88">
        <v>0.1</v>
      </c>
      <c r="G11" s="38" t="s">
        <v>69</v>
      </c>
      <c r="H11" s="39"/>
      <c r="K11" s="36"/>
      <c r="L11" s="36"/>
      <c r="S11"/>
      <c r="T11" s="94"/>
    </row>
    <row r="12" spans="1:20" ht="16" thickTop="1" x14ac:dyDescent="0.2">
      <c r="A12"/>
      <c r="B12" s="119"/>
      <c r="C12" s="34"/>
      <c r="D12" s="34"/>
      <c r="E12" s="41"/>
      <c r="F12" s="41"/>
      <c r="G12" s="36"/>
      <c r="H12" s="36"/>
      <c r="I12" s="36"/>
      <c r="J12" s="36"/>
      <c r="K12" s="36"/>
      <c r="L12" s="36"/>
      <c r="M12" s="36"/>
      <c r="N12" s="36"/>
      <c r="O12" s="33"/>
      <c r="P12" s="33"/>
      <c r="Q12" s="33"/>
      <c r="R12" s="33"/>
      <c r="S12"/>
      <c r="T12" s="94"/>
    </row>
    <row r="13" spans="1:20" ht="43.5" customHeight="1" x14ac:dyDescent="0.2">
      <c r="A13"/>
      <c r="B13" s="119"/>
      <c r="C13" s="42"/>
      <c r="D13" s="43"/>
      <c r="E13" s="99" t="s">
        <v>71</v>
      </c>
      <c r="F13" s="115" t="s">
        <v>271</v>
      </c>
      <c r="G13" s="115" t="s">
        <v>77</v>
      </c>
      <c r="H13" s="115" t="s">
        <v>347</v>
      </c>
      <c r="I13" s="115" t="s">
        <v>78</v>
      </c>
      <c r="J13" s="115" t="s">
        <v>75</v>
      </c>
      <c r="K13" s="115" t="s">
        <v>76</v>
      </c>
      <c r="L13" s="115" t="s">
        <v>223</v>
      </c>
      <c r="M13" s="115" t="s">
        <v>74</v>
      </c>
      <c r="N13" s="115" t="s">
        <v>224</v>
      </c>
      <c r="O13" s="115" t="s">
        <v>73</v>
      </c>
      <c r="P13" s="115" t="s">
        <v>238</v>
      </c>
      <c r="Q13" s="115" t="s">
        <v>239</v>
      </c>
      <c r="R13" s="115" t="s">
        <v>72</v>
      </c>
      <c r="S13"/>
      <c r="T13" s="94"/>
    </row>
    <row r="14" spans="1:20" ht="69" customHeight="1" x14ac:dyDescent="0.2">
      <c r="A14"/>
      <c r="B14" s="119"/>
      <c r="C14" s="116" t="s">
        <v>79</v>
      </c>
      <c r="D14" s="148">
        <v>1</v>
      </c>
      <c r="E14" s="29" t="s">
        <v>31</v>
      </c>
      <c r="F14" s="44">
        <f t="shared" ref="F14:F77" si="0">CHOOSE(G14,H14,J14,K14,N14)</f>
        <v>62.03</v>
      </c>
      <c r="G14" s="44">
        <v>1</v>
      </c>
      <c r="H14" s="54">
        <f>con_age</f>
        <v>62.03</v>
      </c>
      <c r="I14" s="44" t="s">
        <v>80</v>
      </c>
      <c r="J14" s="44">
        <v>18</v>
      </c>
      <c r="K14" s="44">
        <v>93</v>
      </c>
      <c r="L14" s="44" t="s">
        <v>80</v>
      </c>
      <c r="M14" s="44"/>
      <c r="N14" s="44">
        <f ca="1">ROUND(NORMINV(O14,H14,R14),0)</f>
        <v>66</v>
      </c>
      <c r="O14" s="44">
        <f ca="1">RAND()</f>
        <v>0.75684605852166931</v>
      </c>
      <c r="P14" s="55"/>
      <c r="Q14" s="55"/>
      <c r="R14" s="55">
        <f t="shared" ref="R14:R77" si="1">assumedSE*H14</f>
        <v>6.2030000000000003</v>
      </c>
      <c r="S14"/>
      <c r="T14" s="94"/>
    </row>
    <row r="15" spans="1:20" ht="20.25" customHeight="1" x14ac:dyDescent="0.2">
      <c r="A15"/>
      <c r="B15" s="119">
        <v>1</v>
      </c>
      <c r="C15" s="209" t="s">
        <v>124</v>
      </c>
      <c r="D15" s="148">
        <f>D14+1</f>
        <v>2</v>
      </c>
      <c r="E15" s="29" t="str">
        <f t="shared" ref="E15:E21" si="2">"Transition from state"&amp; " "&amp;$B$15&amp;" "&amp;"to state"&amp;" "&amp;B15&amp;" "&amp;"(CHG T1)"</f>
        <v>Transition from state 1 to state 1 (CHG T1)</v>
      </c>
      <c r="F15" s="146">
        <f t="shared" si="0"/>
        <v>4.14179894198256E-4</v>
      </c>
      <c r="G15" s="44">
        <v>1</v>
      </c>
      <c r="H15" s="149">
        <f>'Transition Probabilites'!H11</f>
        <v>4.14179894198256E-4</v>
      </c>
      <c r="I15" s="44" t="s">
        <v>37</v>
      </c>
      <c r="J15" s="44">
        <f t="shared" ref="J15:J78" si="3">IF(H15=0,0,_xlfn.NORM.INV(0.025,H15,R15))</f>
        <v>3.3300212662333681E-4</v>
      </c>
      <c r="K15" s="44">
        <f t="shared" ref="K15:K78" si="4">IF(H15=0,0,_xlfn.NORM.INV(0.975,H15,R15))</f>
        <v>4.9535766177317519E-4</v>
      </c>
      <c r="L15" s="44" t="s">
        <v>37</v>
      </c>
      <c r="M15" s="54" t="s">
        <v>242</v>
      </c>
      <c r="N15" s="44">
        <f t="shared" ref="N15:N78" ca="1" si="5">IF(H15=1,_xlfn.GAMMA.INV(O15,P15+1,1)/(_xlfn.GAMMA.INV(O15,P15+1,1)+_xlfn.GAMMA.INV(O15,Q15+1,1)),_xlfn.BETA.INV(O15,P15,Q15))</f>
        <v>3.9955879237898702E-4</v>
      </c>
      <c r="O15" s="44">
        <f t="shared" ref="O15:O74" ca="1" si="6">RAND()</f>
        <v>0.37303416912154674</v>
      </c>
      <c r="P15" s="55">
        <f t="shared" ref="P15:P78" si="7">((H15^2)*(1-H15))/(R15^2)</f>
        <v>99.958582010580159</v>
      </c>
      <c r="Q15" s="55">
        <f t="shared" ref="Q15:Q78" si="8">(H15*(1-H15)/(R15^2))-((H15^2)*(1-R15)/(R15^2))</f>
        <v>241240.9852246056</v>
      </c>
      <c r="R15" s="55">
        <f t="shared" si="1"/>
        <v>4.1417989419825604E-5</v>
      </c>
      <c r="S15"/>
      <c r="T15" s="94"/>
    </row>
    <row r="16" spans="1:20" ht="20.25" customHeight="1" x14ac:dyDescent="0.2">
      <c r="A16"/>
      <c r="B16" s="119">
        <v>2</v>
      </c>
      <c r="C16" s="210"/>
      <c r="D16" s="148">
        <f t="shared" ref="D16:D79" si="9">D15+1</f>
        <v>3</v>
      </c>
      <c r="E16" s="29" t="str">
        <f t="shared" si="2"/>
        <v>Transition from state 1 to state 2 (CHG T1)</v>
      </c>
      <c r="F16" s="44">
        <f t="shared" si="0"/>
        <v>5.218848880929538E-4</v>
      </c>
      <c r="G16" s="44">
        <v>1</v>
      </c>
      <c r="H16" s="149">
        <f>'Transition Probabilites'!H12</f>
        <v>5.218848880929538E-4</v>
      </c>
      <c r="I16" s="44" t="s">
        <v>37</v>
      </c>
      <c r="J16" s="44">
        <f>IF(H16=0,0,_xlfn.NORM.INV(0.025,H16,R16))</f>
        <v>4.195973296191632E-4</v>
      </c>
      <c r="K16" s="44">
        <f t="shared" si="4"/>
        <v>6.241724465667444E-4</v>
      </c>
      <c r="L16" s="44" t="s">
        <v>37</v>
      </c>
      <c r="M16" s="54" t="s">
        <v>242</v>
      </c>
      <c r="N16" s="44">
        <f t="shared" ca="1" si="5"/>
        <v>5.3245795336687163E-4</v>
      </c>
      <c r="O16" s="44">
        <f t="shared" ca="1" si="6"/>
        <v>0.59270458056404618</v>
      </c>
      <c r="P16" s="55">
        <f t="shared" si="7"/>
        <v>99.947811511190693</v>
      </c>
      <c r="Q16" s="55">
        <f t="shared" si="8"/>
        <v>191413.14114507791</v>
      </c>
      <c r="R16" s="55">
        <f t="shared" si="1"/>
        <v>5.2188488809295384E-5</v>
      </c>
      <c r="S16"/>
      <c r="T16" s="94"/>
    </row>
    <row r="17" spans="1:20" ht="20.25" customHeight="1" x14ac:dyDescent="0.2">
      <c r="A17"/>
      <c r="B17" s="119">
        <v>3</v>
      </c>
      <c r="C17" s="210"/>
      <c r="D17" s="148">
        <f t="shared" si="9"/>
        <v>4</v>
      </c>
      <c r="E17" s="29" t="str">
        <f t="shared" si="2"/>
        <v>Transition from state 1 to state 3 (CHG T1)</v>
      </c>
      <c r="F17" s="44">
        <f t="shared" si="0"/>
        <v>1.8252485544790525E-10</v>
      </c>
      <c r="G17" s="44">
        <v>1</v>
      </c>
      <c r="H17" s="149">
        <f>'Transition Probabilites'!H13</f>
        <v>1.8252485544790525E-10</v>
      </c>
      <c r="I17" s="44" t="s">
        <v>80</v>
      </c>
      <c r="J17" s="44">
        <f t="shared" si="3"/>
        <v>1.4675064115177786E-10</v>
      </c>
      <c r="K17" s="44">
        <f t="shared" si="4"/>
        <v>2.1829906974403261E-10</v>
      </c>
      <c r="L17" s="44" t="s">
        <v>80</v>
      </c>
      <c r="M17" s="54" t="s">
        <v>242</v>
      </c>
      <c r="N17" s="44">
        <f t="shared" ca="1" si="5"/>
        <v>1.9277057727862257E-10</v>
      </c>
      <c r="O17" s="44">
        <f t="shared" ca="1" si="6"/>
        <v>0.72050684786718244</v>
      </c>
      <c r="P17" s="55">
        <f t="shared" si="7"/>
        <v>99.999999981747493</v>
      </c>
      <c r="Q17" s="55">
        <f t="shared" si="8"/>
        <v>547870588463.69666</v>
      </c>
      <c r="R17" s="55">
        <f t="shared" si="1"/>
        <v>1.8252485544790527E-11</v>
      </c>
      <c r="S17"/>
      <c r="T17" s="94"/>
    </row>
    <row r="18" spans="1:20" ht="20.25" customHeight="1" x14ac:dyDescent="0.2">
      <c r="A18"/>
      <c r="B18" s="119">
        <v>4</v>
      </c>
      <c r="C18" s="210"/>
      <c r="D18" s="148">
        <f t="shared" si="9"/>
        <v>5</v>
      </c>
      <c r="E18" s="29" t="str">
        <f t="shared" si="2"/>
        <v>Transition from state 1 to state 4 (CHG T1)</v>
      </c>
      <c r="F18" s="44">
        <f t="shared" si="0"/>
        <v>8.5607902293460592E-5</v>
      </c>
      <c r="G18" s="44">
        <v>1</v>
      </c>
      <c r="H18" s="149">
        <f>'Transition Probabilites'!H14</f>
        <v>8.5607902293460592E-5</v>
      </c>
      <c r="I18" s="44" t="s">
        <v>37</v>
      </c>
      <c r="J18" s="44">
        <f t="shared" si="3"/>
        <v>6.882906176473993E-5</v>
      </c>
      <c r="K18" s="44">
        <f t="shared" si="4"/>
        <v>1.0238674282218125E-4</v>
      </c>
      <c r="L18" s="44" t="s">
        <v>37</v>
      </c>
      <c r="M18" s="54" t="s">
        <v>242</v>
      </c>
      <c r="N18" s="44">
        <f t="shared" ca="1" si="5"/>
        <v>7.5376048629599647E-5</v>
      </c>
      <c r="O18" s="44">
        <f t="shared" ca="1" si="6"/>
        <v>0.11261227471466695</v>
      </c>
      <c r="P18" s="55">
        <f t="shared" si="7"/>
        <v>99.991439209770647</v>
      </c>
      <c r="Q18" s="55">
        <f t="shared" si="8"/>
        <v>1167916.4634836041</v>
      </c>
      <c r="R18" s="55">
        <f t="shared" si="1"/>
        <v>8.5607902293460598E-6</v>
      </c>
      <c r="S18"/>
      <c r="T18" s="94"/>
    </row>
    <row r="19" spans="1:20" ht="20.25" customHeight="1" x14ac:dyDescent="0.2">
      <c r="A19"/>
      <c r="B19" s="119">
        <v>5</v>
      </c>
      <c r="C19" s="210"/>
      <c r="D19" s="148">
        <f t="shared" si="9"/>
        <v>6</v>
      </c>
      <c r="E19" s="29" t="str">
        <f t="shared" si="2"/>
        <v>Transition from state 1 to state 5 (CHG T1)</v>
      </c>
      <c r="F19" s="44">
        <f t="shared" si="0"/>
        <v>1.4232235962797283E-10</v>
      </c>
      <c r="G19" s="44">
        <v>1</v>
      </c>
      <c r="H19" s="149">
        <f>'Transition Probabilites'!H15</f>
        <v>1.4232235962797283E-10</v>
      </c>
      <c r="I19" s="44" t="s">
        <v>80</v>
      </c>
      <c r="J19" s="44">
        <f t="shared" si="3"/>
        <v>1.1442768972141442E-10</v>
      </c>
      <c r="K19" s="44">
        <f t="shared" si="4"/>
        <v>1.7021702953453124E-10</v>
      </c>
      <c r="L19" s="44" t="s">
        <v>80</v>
      </c>
      <c r="M19" s="54" t="s">
        <v>242</v>
      </c>
      <c r="N19" s="44">
        <f t="shared" ca="1" si="5"/>
        <v>1.2292816568742186E-10</v>
      </c>
      <c r="O19" s="44">
        <f t="shared" ca="1" si="6"/>
        <v>8.1312532662971226E-2</v>
      </c>
      <c r="P19" s="55">
        <f t="shared" si="7"/>
        <v>99.99999998576773</v>
      </c>
      <c r="Q19" s="55">
        <f t="shared" si="8"/>
        <v>702630284046.25293</v>
      </c>
      <c r="R19" s="55">
        <f t="shared" si="1"/>
        <v>1.4232235962797284E-11</v>
      </c>
      <c r="S19"/>
      <c r="T19" s="94"/>
    </row>
    <row r="20" spans="1:20" ht="20.25" customHeight="1" x14ac:dyDescent="0.2">
      <c r="A20"/>
      <c r="B20" s="119">
        <v>6</v>
      </c>
      <c r="C20" s="210"/>
      <c r="D20" s="148">
        <f t="shared" si="9"/>
        <v>7</v>
      </c>
      <c r="E20" s="29" t="str">
        <f t="shared" si="2"/>
        <v>Transition from state 1 to state 6 (CHG T1)</v>
      </c>
      <c r="F20" s="44">
        <f t="shared" si="0"/>
        <v>0</v>
      </c>
      <c r="G20" s="44">
        <v>1</v>
      </c>
      <c r="H20" s="149">
        <f>'Transition Probabilites'!H16</f>
        <v>0</v>
      </c>
      <c r="I20" s="44" t="s">
        <v>80</v>
      </c>
      <c r="J20" s="44">
        <f t="shared" si="3"/>
        <v>0</v>
      </c>
      <c r="K20" s="44">
        <f t="shared" si="4"/>
        <v>0</v>
      </c>
      <c r="L20" s="44" t="s">
        <v>80</v>
      </c>
      <c r="M20" s="54" t="s">
        <v>242</v>
      </c>
      <c r="N20" s="44" t="e">
        <f t="shared" ca="1" si="5"/>
        <v>#DIV/0!</v>
      </c>
      <c r="O20" s="44">
        <f t="shared" ca="1" si="6"/>
        <v>0.24528573903798956</v>
      </c>
      <c r="P20" s="55" t="e">
        <f>((H20^2)*(1-H20))/(R20^2)</f>
        <v>#DIV/0!</v>
      </c>
      <c r="Q20" s="55" t="e">
        <f t="shared" si="8"/>
        <v>#DIV/0!</v>
      </c>
      <c r="R20" s="55">
        <f t="shared" si="1"/>
        <v>0</v>
      </c>
      <c r="S20"/>
      <c r="T20" s="94"/>
    </row>
    <row r="21" spans="1:20" ht="20.25" customHeight="1" x14ac:dyDescent="0.2">
      <c r="A21"/>
      <c r="B21" s="119">
        <v>7</v>
      </c>
      <c r="C21" s="210"/>
      <c r="D21" s="148">
        <f t="shared" si="9"/>
        <v>8</v>
      </c>
      <c r="E21" s="29" t="str">
        <f t="shared" si="2"/>
        <v>Transition from state 1 to state 7 (CHG T1)</v>
      </c>
      <c r="F21" s="44">
        <f t="shared" si="0"/>
        <v>0.75752473369600681</v>
      </c>
      <c r="G21" s="44">
        <v>1</v>
      </c>
      <c r="H21" s="149">
        <f>'Transition Probabilites'!H17</f>
        <v>0.75752473369600681</v>
      </c>
      <c r="I21" s="44" t="s">
        <v>80</v>
      </c>
      <c r="J21" s="44">
        <f t="shared" si="3"/>
        <v>0.60905261415175993</v>
      </c>
      <c r="K21" s="44">
        <f t="shared" si="4"/>
        <v>0.9059968532402537</v>
      </c>
      <c r="L21" s="44" t="s">
        <v>80</v>
      </c>
      <c r="M21" s="54" t="s">
        <v>242</v>
      </c>
      <c r="N21" s="44" t="e">
        <f t="shared" ca="1" si="5"/>
        <v>#NUM!</v>
      </c>
      <c r="O21" s="44">
        <f t="shared" ca="1" si="6"/>
        <v>0.91574171954944694</v>
      </c>
      <c r="P21" s="55">
        <f t="shared" si="7"/>
        <v>24.247526630399317</v>
      </c>
      <c r="Q21" s="55">
        <f t="shared" si="8"/>
        <v>-60.415861663409792</v>
      </c>
      <c r="R21" s="55">
        <f t="shared" si="1"/>
        <v>7.5752473369600684E-2</v>
      </c>
      <c r="S21"/>
      <c r="T21" s="94"/>
    </row>
    <row r="22" spans="1:20" ht="20.25" customHeight="1" x14ac:dyDescent="0.2">
      <c r="A22"/>
      <c r="B22" s="119">
        <v>8</v>
      </c>
      <c r="C22" s="210"/>
      <c r="D22" s="148">
        <f t="shared" si="9"/>
        <v>9</v>
      </c>
      <c r="E22" s="29" t="str">
        <f>"Transition from state"&amp; " "&amp;$B$15&amp;" "&amp;"to state"&amp;" "&amp;B22&amp;" "&amp;"(CHG T1)"</f>
        <v>Transition from state 1 to state 8 (CHG T1)</v>
      </c>
      <c r="F22" s="44">
        <f t="shared" si="0"/>
        <v>0.24145359329456123</v>
      </c>
      <c r="G22" s="44">
        <v>1</v>
      </c>
      <c r="H22" s="149">
        <f>'Transition Probabilites'!H18</f>
        <v>0.24145359329456123</v>
      </c>
      <c r="I22" s="44" t="s">
        <v>37</v>
      </c>
      <c r="J22" s="44">
        <f t="shared" si="3"/>
        <v>0.19412955861504905</v>
      </c>
      <c r="K22" s="44">
        <f t="shared" si="4"/>
        <v>0.28877762797407341</v>
      </c>
      <c r="L22" s="44" t="s">
        <v>37</v>
      </c>
      <c r="M22" s="54" t="s">
        <v>242</v>
      </c>
      <c r="N22" s="44">
        <f t="shared" ca="1" si="5"/>
        <v>0.28029271853477455</v>
      </c>
      <c r="O22" s="44">
        <f t="shared" ca="1" si="6"/>
        <v>0.7946141990982607</v>
      </c>
      <c r="P22" s="55">
        <f t="shared" si="7"/>
        <v>75.854640670543887</v>
      </c>
      <c r="Q22" s="55">
        <f t="shared" si="8"/>
        <v>216.57279564459566</v>
      </c>
      <c r="R22" s="55">
        <f t="shared" si="1"/>
        <v>2.4145359329456124E-2</v>
      </c>
      <c r="S22"/>
      <c r="T22" s="94"/>
    </row>
    <row r="23" spans="1:20" ht="20.25" customHeight="1" x14ac:dyDescent="0.2">
      <c r="A23"/>
      <c r="B23" s="119">
        <v>1</v>
      </c>
      <c r="C23" s="210"/>
      <c r="D23" s="148">
        <f t="shared" si="9"/>
        <v>10</v>
      </c>
      <c r="E23" s="29" t="str">
        <f t="shared" ref="E23:E30" si="10">"Transition from state"&amp; " "&amp;$B$16&amp;" "&amp;"to state"&amp;" "&amp;B23&amp;" "&amp;"(CHG T1)"</f>
        <v>Transition from state 2 to state 1 (CHG T1)</v>
      </c>
      <c r="F23" s="44">
        <f t="shared" si="0"/>
        <v>4.2770978054099449E-4</v>
      </c>
      <c r="G23" s="44">
        <v>1</v>
      </c>
      <c r="H23" s="149">
        <f>'Transition Probabilites'!H19</f>
        <v>4.2770978054099449E-4</v>
      </c>
      <c r="I23" s="44" t="s">
        <v>37</v>
      </c>
      <c r="J23" s="44">
        <f t="shared" si="3"/>
        <v>3.4388020397140652E-4</v>
      </c>
      <c r="K23" s="44">
        <f t="shared" si="4"/>
        <v>5.1153935711058241E-4</v>
      </c>
      <c r="L23" s="44" t="s">
        <v>37</v>
      </c>
      <c r="M23" s="54" t="s">
        <v>242</v>
      </c>
      <c r="N23" s="44">
        <f t="shared" ca="1" si="5"/>
        <v>4.5690903522344062E-4</v>
      </c>
      <c r="O23" s="44">
        <f t="shared" ca="1" si="6"/>
        <v>0.75831403017212595</v>
      </c>
      <c r="P23" s="55">
        <f t="shared" si="7"/>
        <v>99.957229021945892</v>
      </c>
      <c r="Q23" s="55">
        <f t="shared" si="8"/>
        <v>233603.4021641268</v>
      </c>
      <c r="R23" s="55">
        <f t="shared" si="1"/>
        <v>4.2770978054099453E-5</v>
      </c>
      <c r="S23"/>
      <c r="T23" s="94"/>
    </row>
    <row r="24" spans="1:20" ht="20.25" customHeight="1" x14ac:dyDescent="0.2">
      <c r="A24"/>
      <c r="B24" s="119">
        <v>2</v>
      </c>
      <c r="C24" s="210"/>
      <c r="D24" s="148">
        <f t="shared" si="9"/>
        <v>11</v>
      </c>
      <c r="E24" s="29" t="str">
        <f t="shared" si="10"/>
        <v>Transition from state 2 to state 2 (CHG T1)</v>
      </c>
      <c r="F24" s="44">
        <f t="shared" si="0"/>
        <v>5.4712479570409047E-4</v>
      </c>
      <c r="G24" s="44">
        <v>1</v>
      </c>
      <c r="H24" s="149">
        <f>'Transition Probabilites'!H20</f>
        <v>5.4712479570409047E-4</v>
      </c>
      <c r="I24" s="44" t="s">
        <v>37</v>
      </c>
      <c r="J24" s="44">
        <f t="shared" si="3"/>
        <v>4.3989030624120526E-4</v>
      </c>
      <c r="K24" s="44">
        <f t="shared" si="4"/>
        <v>6.5435928516697562E-4</v>
      </c>
      <c r="L24" s="44" t="s">
        <v>37</v>
      </c>
      <c r="M24" s="54" t="s">
        <v>242</v>
      </c>
      <c r="N24" s="44">
        <f t="shared" ca="1" si="5"/>
        <v>5.5856558695843717E-4</v>
      </c>
      <c r="O24" s="44">
        <f t="shared" ca="1" si="6"/>
        <v>0.5951956301452852</v>
      </c>
      <c r="P24" s="55">
        <f t="shared" si="7"/>
        <v>99.945287520429588</v>
      </c>
      <c r="Q24" s="55">
        <f t="shared" si="8"/>
        <v>182573.66293510096</v>
      </c>
      <c r="R24" s="55">
        <f t="shared" si="1"/>
        <v>5.4712479570409047E-5</v>
      </c>
      <c r="S24"/>
      <c r="T24" s="94"/>
    </row>
    <row r="25" spans="1:20" ht="20.25" customHeight="1" x14ac:dyDescent="0.2">
      <c r="A25"/>
      <c r="B25" s="119">
        <v>3</v>
      </c>
      <c r="C25" s="210"/>
      <c r="D25" s="148">
        <f t="shared" si="9"/>
        <v>12</v>
      </c>
      <c r="E25" s="29" t="str">
        <f t="shared" si="10"/>
        <v>Transition from state 2 to state 3 (CHG T1)</v>
      </c>
      <c r="F25" s="44">
        <f t="shared" si="0"/>
        <v>1.8888105031839655E-10</v>
      </c>
      <c r="G25" s="44">
        <v>1</v>
      </c>
      <c r="H25" s="149">
        <f>'Transition Probabilites'!H21</f>
        <v>1.8888105031839655E-10</v>
      </c>
      <c r="I25" s="44" t="s">
        <v>80</v>
      </c>
      <c r="J25" s="44">
        <f t="shared" si="3"/>
        <v>1.5186104471978107E-10</v>
      </c>
      <c r="K25" s="44">
        <f t="shared" si="4"/>
        <v>2.2590105591701202E-10</v>
      </c>
      <c r="L25" s="44" t="s">
        <v>80</v>
      </c>
      <c r="M25" s="54" t="s">
        <v>242</v>
      </c>
      <c r="N25" s="44">
        <f t="shared" ca="1" si="5"/>
        <v>1.480676681426851E-10</v>
      </c>
      <c r="O25" s="44">
        <f t="shared" ca="1" si="6"/>
        <v>1.056655160773623E-2</v>
      </c>
      <c r="P25" s="55">
        <f t="shared" si="7"/>
        <v>99.999999981111884</v>
      </c>
      <c r="Q25" s="55">
        <f t="shared" si="8"/>
        <v>529433735113.46906</v>
      </c>
      <c r="R25" s="55">
        <f t="shared" si="1"/>
        <v>1.8888105031839656E-11</v>
      </c>
      <c r="S25"/>
      <c r="T25" s="94"/>
    </row>
    <row r="26" spans="1:20" ht="20.25" customHeight="1" x14ac:dyDescent="0.2">
      <c r="A26"/>
      <c r="B26" s="119">
        <v>4</v>
      </c>
      <c r="C26" s="210"/>
      <c r="D26" s="148">
        <f t="shared" si="9"/>
        <v>13</v>
      </c>
      <c r="E26" s="29" t="str">
        <f t="shared" si="10"/>
        <v>Transition from state 2 to state 4 (CHG T1)</v>
      </c>
      <c r="F26" s="44">
        <f t="shared" si="0"/>
        <v>1.3057170414439479E-4</v>
      </c>
      <c r="G26" s="44">
        <v>1</v>
      </c>
      <c r="H26" s="149">
        <f>'Transition Probabilites'!H22</f>
        <v>1.3057170414439479E-4</v>
      </c>
      <c r="I26" s="44" t="s">
        <v>37</v>
      </c>
      <c r="J26" s="44">
        <f t="shared" si="3"/>
        <v>1.0498012039209148E-4</v>
      </c>
      <c r="K26" s="44">
        <f t="shared" si="4"/>
        <v>1.5616328789669809E-4</v>
      </c>
      <c r="L26" s="44" t="s">
        <v>37</v>
      </c>
      <c r="M26" s="54" t="s">
        <v>242</v>
      </c>
      <c r="N26" s="44">
        <f t="shared" ca="1" si="5"/>
        <v>1.0581997673570348E-4</v>
      </c>
      <c r="O26" s="44">
        <f t="shared" ca="1" si="6"/>
        <v>2.2923561271601667E-2</v>
      </c>
      <c r="P26" s="55">
        <f t="shared" si="7"/>
        <v>99.986942829585573</v>
      </c>
      <c r="Q26" s="55">
        <f t="shared" si="8"/>
        <v>765662.71754486032</v>
      </c>
      <c r="R26" s="55">
        <f t="shared" si="1"/>
        <v>1.3057170414439479E-5</v>
      </c>
      <c r="S26"/>
      <c r="T26" s="94"/>
    </row>
    <row r="27" spans="1:20" ht="20.25" customHeight="1" x14ac:dyDescent="0.2">
      <c r="A27"/>
      <c r="B27" s="119">
        <v>5</v>
      </c>
      <c r="C27" s="210"/>
      <c r="D27" s="148">
        <f t="shared" si="9"/>
        <v>14</v>
      </c>
      <c r="E27" s="29" t="str">
        <f t="shared" si="10"/>
        <v>Transition from state 2 to state 5 (CHG T1)</v>
      </c>
      <c r="F27" s="44">
        <f t="shared" si="0"/>
        <v>1.4828241535977278E-10</v>
      </c>
      <c r="G27" s="44">
        <v>1</v>
      </c>
      <c r="H27" s="149">
        <f>'Transition Probabilites'!H23</f>
        <v>1.4828241535977278E-10</v>
      </c>
      <c r="I27" s="44" t="s">
        <v>80</v>
      </c>
      <c r="J27" s="44">
        <f t="shared" si="3"/>
        <v>1.1921959599519644E-10</v>
      </c>
      <c r="K27" s="44">
        <f t="shared" si="4"/>
        <v>1.7734523472434913E-10</v>
      </c>
      <c r="L27" s="44" t="s">
        <v>80</v>
      </c>
      <c r="M27" s="54" t="s">
        <v>242</v>
      </c>
      <c r="N27" s="44">
        <f t="shared" ca="1" si="5"/>
        <v>1.2562207194839694E-10</v>
      </c>
      <c r="O27" s="44">
        <f t="shared" ca="1" si="6"/>
        <v>5.7051019500507949E-2</v>
      </c>
      <c r="P27" s="55">
        <f t="shared" si="7"/>
        <v>99.999999985171755</v>
      </c>
      <c r="Q27" s="55">
        <f t="shared" si="8"/>
        <v>674388798750.79443</v>
      </c>
      <c r="R27" s="55">
        <f t="shared" si="1"/>
        <v>1.4828241535977279E-11</v>
      </c>
      <c r="S27"/>
      <c r="T27" s="94"/>
    </row>
    <row r="28" spans="1:20" ht="20.25" customHeight="1" x14ac:dyDescent="0.2">
      <c r="A28"/>
      <c r="B28" s="119">
        <v>6</v>
      </c>
      <c r="C28" s="210"/>
      <c r="D28" s="148">
        <f t="shared" si="9"/>
        <v>15</v>
      </c>
      <c r="E28" s="29" t="str">
        <f t="shared" si="10"/>
        <v>Transition from state 2 to state 6 (CHG T1)</v>
      </c>
      <c r="F28" s="44">
        <f t="shared" si="0"/>
        <v>0</v>
      </c>
      <c r="G28" s="44">
        <v>1</v>
      </c>
      <c r="H28" s="149">
        <f>'Transition Probabilites'!H24</f>
        <v>0</v>
      </c>
      <c r="I28" s="44" t="s">
        <v>80</v>
      </c>
      <c r="J28" s="44">
        <f t="shared" si="3"/>
        <v>0</v>
      </c>
      <c r="K28" s="44">
        <f t="shared" si="4"/>
        <v>0</v>
      </c>
      <c r="L28" s="44" t="s">
        <v>80</v>
      </c>
      <c r="M28" s="54" t="s">
        <v>242</v>
      </c>
      <c r="N28" s="44" t="e">
        <f t="shared" ca="1" si="5"/>
        <v>#DIV/0!</v>
      </c>
      <c r="O28" s="44">
        <f t="shared" ca="1" si="6"/>
        <v>0.93790803560680835</v>
      </c>
      <c r="P28" s="55" t="e">
        <f t="shared" si="7"/>
        <v>#DIV/0!</v>
      </c>
      <c r="Q28" s="55" t="e">
        <f t="shared" si="8"/>
        <v>#DIV/0!</v>
      </c>
      <c r="R28" s="55">
        <f t="shared" si="1"/>
        <v>0</v>
      </c>
      <c r="S28"/>
      <c r="T28" s="94"/>
    </row>
    <row r="29" spans="1:20" ht="20.25" customHeight="1" x14ac:dyDescent="0.2">
      <c r="A29"/>
      <c r="B29" s="119">
        <v>7</v>
      </c>
      <c r="C29" s="210"/>
      <c r="D29" s="148">
        <f t="shared" si="9"/>
        <v>16</v>
      </c>
      <c r="E29" s="29" t="str">
        <f t="shared" si="10"/>
        <v>Transition from state 2 to state 7 (CHG T1)</v>
      </c>
      <c r="F29" s="44">
        <f t="shared" si="0"/>
        <v>0.67790741665464505</v>
      </c>
      <c r="G29" s="44">
        <v>1</v>
      </c>
      <c r="H29" s="149">
        <f>'Transition Probabilites'!H25</f>
        <v>0.67790741665464505</v>
      </c>
      <c r="I29" s="44" t="s">
        <v>80</v>
      </c>
      <c r="J29" s="44">
        <f t="shared" si="3"/>
        <v>0.54504000450507584</v>
      </c>
      <c r="K29" s="44">
        <f t="shared" si="4"/>
        <v>0.81077482880421425</v>
      </c>
      <c r="L29" s="44" t="s">
        <v>80</v>
      </c>
      <c r="M29" s="54" t="s">
        <v>242</v>
      </c>
      <c r="N29" s="44" t="e">
        <f t="shared" ca="1" si="5"/>
        <v>#NUM!</v>
      </c>
      <c r="O29" s="44">
        <f t="shared" ca="1" si="6"/>
        <v>0.27591033265894371</v>
      </c>
      <c r="P29" s="55">
        <f t="shared" si="7"/>
        <v>32.209258334535491</v>
      </c>
      <c r="Q29" s="55">
        <f t="shared" si="8"/>
        <v>-45.708157064109535</v>
      </c>
      <c r="R29" s="55">
        <f t="shared" si="1"/>
        <v>6.7790741665464505E-2</v>
      </c>
      <c r="S29"/>
      <c r="T29" s="94"/>
    </row>
    <row r="30" spans="1:20" ht="20.25" customHeight="1" x14ac:dyDescent="0.2">
      <c r="A30"/>
      <c r="B30" s="119">
        <v>8</v>
      </c>
      <c r="C30" s="210"/>
      <c r="D30" s="148">
        <f t="shared" si="9"/>
        <v>17</v>
      </c>
      <c r="E30" s="29" t="str">
        <f t="shared" si="10"/>
        <v>Transition from state 2 to state 8 (CHG T1)</v>
      </c>
      <c r="F30" s="44">
        <f t="shared" si="0"/>
        <v>0.32098717672780208</v>
      </c>
      <c r="G30" s="44">
        <v>1</v>
      </c>
      <c r="H30" s="149">
        <f>'Transition Probabilites'!H26</f>
        <v>0.32098717672780208</v>
      </c>
      <c r="I30" s="44" t="s">
        <v>37</v>
      </c>
      <c r="J30" s="44">
        <f t="shared" si="3"/>
        <v>0.25807484613923354</v>
      </c>
      <c r="K30" s="44">
        <f t="shared" si="4"/>
        <v>0.38389950731637063</v>
      </c>
      <c r="L30" s="44" t="s">
        <v>37</v>
      </c>
      <c r="M30" s="54" t="s">
        <v>242</v>
      </c>
      <c r="N30" s="44">
        <f t="shared" ca="1" si="5"/>
        <v>0.35108356075862901</v>
      </c>
      <c r="O30" s="44">
        <f t="shared" ca="1" si="6"/>
        <v>0.28471380807293045</v>
      </c>
      <c r="P30" s="55">
        <f t="shared" si="7"/>
        <v>67.901282327219775</v>
      </c>
      <c r="Q30" s="55">
        <f t="shared" si="8"/>
        <v>114.74879684028879</v>
      </c>
      <c r="R30" s="55">
        <f t="shared" si="1"/>
        <v>3.2098717672780212E-2</v>
      </c>
      <c r="S30"/>
      <c r="T30" s="94"/>
    </row>
    <row r="31" spans="1:20" ht="20.25" customHeight="1" x14ac:dyDescent="0.2">
      <c r="A31"/>
      <c r="B31" s="119">
        <v>1</v>
      </c>
      <c r="C31" s="210"/>
      <c r="D31" s="148">
        <f t="shared" si="9"/>
        <v>18</v>
      </c>
      <c r="E31" s="29" t="str">
        <f t="shared" ref="E31:E38" si="11">"Transition from state"&amp; " "&amp;$B$17&amp;" "&amp;"to state"&amp;" "&amp;B31&amp;" "&amp;"(CHG T1)"</f>
        <v>Transition from state 3 to state 1 (CHG T1)</v>
      </c>
      <c r="F31" s="44">
        <f t="shared" si="0"/>
        <v>0</v>
      </c>
      <c r="G31" s="44">
        <v>1</v>
      </c>
      <c r="H31" s="149">
        <f>'Transition Probabilites'!H27</f>
        <v>0</v>
      </c>
      <c r="I31" s="44" t="s">
        <v>80</v>
      </c>
      <c r="J31" s="44">
        <f t="shared" si="3"/>
        <v>0</v>
      </c>
      <c r="K31" s="44">
        <f t="shared" si="4"/>
        <v>0</v>
      </c>
      <c r="L31" s="44" t="s">
        <v>80</v>
      </c>
      <c r="M31" s="54" t="s">
        <v>242</v>
      </c>
      <c r="N31" s="44" t="e">
        <f t="shared" ca="1" si="5"/>
        <v>#DIV/0!</v>
      </c>
      <c r="O31" s="44">
        <f t="shared" ca="1" si="6"/>
        <v>4.2531970743337255E-2</v>
      </c>
      <c r="P31" s="55" t="e">
        <f t="shared" si="7"/>
        <v>#DIV/0!</v>
      </c>
      <c r="Q31" s="55" t="e">
        <f t="shared" si="8"/>
        <v>#DIV/0!</v>
      </c>
      <c r="R31" s="55">
        <f t="shared" si="1"/>
        <v>0</v>
      </c>
      <c r="S31"/>
      <c r="T31" s="94"/>
    </row>
    <row r="32" spans="1:20" ht="20.25" customHeight="1" x14ac:dyDescent="0.2">
      <c r="A32"/>
      <c r="B32" s="119">
        <v>2</v>
      </c>
      <c r="C32" s="210"/>
      <c r="D32" s="148">
        <f t="shared" si="9"/>
        <v>19</v>
      </c>
      <c r="E32" s="29" t="str">
        <f t="shared" si="11"/>
        <v>Transition from state 3 to state 2 (CHG T1)</v>
      </c>
      <c r="F32" s="44">
        <f t="shared" si="0"/>
        <v>0</v>
      </c>
      <c r="G32" s="44">
        <v>1</v>
      </c>
      <c r="H32" s="149">
        <f>'Transition Probabilites'!H28</f>
        <v>0</v>
      </c>
      <c r="I32" s="44" t="s">
        <v>80</v>
      </c>
      <c r="J32" s="44">
        <f t="shared" si="3"/>
        <v>0</v>
      </c>
      <c r="K32" s="44">
        <f t="shared" si="4"/>
        <v>0</v>
      </c>
      <c r="L32" s="44" t="s">
        <v>80</v>
      </c>
      <c r="M32" s="54" t="s">
        <v>242</v>
      </c>
      <c r="N32" s="44" t="e">
        <f t="shared" ca="1" si="5"/>
        <v>#DIV/0!</v>
      </c>
      <c r="O32" s="44">
        <f t="shared" ca="1" si="6"/>
        <v>0.69568966589972991</v>
      </c>
      <c r="P32" s="55" t="e">
        <f t="shared" si="7"/>
        <v>#DIV/0!</v>
      </c>
      <c r="Q32" s="55" t="e">
        <f t="shared" si="8"/>
        <v>#DIV/0!</v>
      </c>
      <c r="R32" s="55">
        <f t="shared" si="1"/>
        <v>0</v>
      </c>
      <c r="S32"/>
      <c r="T32" s="94"/>
    </row>
    <row r="33" spans="1:20" ht="20.25" customHeight="1" x14ac:dyDescent="0.2">
      <c r="A33"/>
      <c r="B33" s="119">
        <v>3</v>
      </c>
      <c r="C33" s="210"/>
      <c r="D33" s="148">
        <f t="shared" si="9"/>
        <v>20</v>
      </c>
      <c r="E33" s="29" t="str">
        <f t="shared" si="11"/>
        <v>Transition from state 3 to state 3 (CHG T1)</v>
      </c>
      <c r="F33" s="44">
        <f t="shared" si="0"/>
        <v>0</v>
      </c>
      <c r="G33" s="44">
        <v>1</v>
      </c>
      <c r="H33" s="149">
        <f>'Transition Probabilites'!H29</f>
        <v>0</v>
      </c>
      <c r="I33" s="44" t="s">
        <v>80</v>
      </c>
      <c r="J33" s="44">
        <f t="shared" si="3"/>
        <v>0</v>
      </c>
      <c r="K33" s="44">
        <f t="shared" si="4"/>
        <v>0</v>
      </c>
      <c r="L33" s="44" t="s">
        <v>80</v>
      </c>
      <c r="M33" s="54" t="s">
        <v>242</v>
      </c>
      <c r="N33" s="44" t="e">
        <f t="shared" ca="1" si="5"/>
        <v>#DIV/0!</v>
      </c>
      <c r="O33" s="44">
        <f t="shared" ca="1" si="6"/>
        <v>0.86212603306657765</v>
      </c>
      <c r="P33" s="55" t="e">
        <f t="shared" si="7"/>
        <v>#DIV/0!</v>
      </c>
      <c r="Q33" s="55" t="e">
        <f t="shared" si="8"/>
        <v>#DIV/0!</v>
      </c>
      <c r="R33" s="55">
        <f t="shared" si="1"/>
        <v>0</v>
      </c>
      <c r="S33"/>
      <c r="T33" s="94"/>
    </row>
    <row r="34" spans="1:20" ht="20.25" customHeight="1" x14ac:dyDescent="0.2">
      <c r="A34"/>
      <c r="B34" s="119">
        <v>4</v>
      </c>
      <c r="C34" s="210"/>
      <c r="D34" s="148">
        <f t="shared" si="9"/>
        <v>21</v>
      </c>
      <c r="E34" s="29" t="str">
        <f t="shared" si="11"/>
        <v>Transition from state 3 to state 4 (CHG T1)</v>
      </c>
      <c r="F34" s="44">
        <f t="shared" si="0"/>
        <v>0</v>
      </c>
      <c r="G34" s="44">
        <v>1</v>
      </c>
      <c r="H34" s="149">
        <f>'Transition Probabilites'!H30</f>
        <v>0</v>
      </c>
      <c r="I34" s="44" t="s">
        <v>80</v>
      </c>
      <c r="J34" s="44">
        <f t="shared" si="3"/>
        <v>0</v>
      </c>
      <c r="K34" s="44">
        <f t="shared" si="4"/>
        <v>0</v>
      </c>
      <c r="L34" s="44" t="s">
        <v>80</v>
      </c>
      <c r="M34" s="54" t="s">
        <v>242</v>
      </c>
      <c r="N34" s="44" t="e">
        <f t="shared" ca="1" si="5"/>
        <v>#DIV/0!</v>
      </c>
      <c r="O34" s="44">
        <f t="shared" ca="1" si="6"/>
        <v>0.21816353104297592</v>
      </c>
      <c r="P34" s="55" t="e">
        <f t="shared" si="7"/>
        <v>#DIV/0!</v>
      </c>
      <c r="Q34" s="55" t="e">
        <f t="shared" si="8"/>
        <v>#DIV/0!</v>
      </c>
      <c r="R34" s="55">
        <f t="shared" si="1"/>
        <v>0</v>
      </c>
      <c r="S34"/>
      <c r="T34" s="94"/>
    </row>
    <row r="35" spans="1:20" ht="20.25" customHeight="1" x14ac:dyDescent="0.2">
      <c r="A35"/>
      <c r="B35" s="119">
        <v>5</v>
      </c>
      <c r="C35" s="210"/>
      <c r="D35" s="148">
        <f t="shared" si="9"/>
        <v>22</v>
      </c>
      <c r="E35" s="29" t="str">
        <f t="shared" si="11"/>
        <v>Transition from state 3 to state 5 (CHG T1)</v>
      </c>
      <c r="F35" s="44">
        <f t="shared" si="0"/>
        <v>0</v>
      </c>
      <c r="G35" s="44">
        <v>1</v>
      </c>
      <c r="H35" s="149">
        <f>'Transition Probabilites'!H31</f>
        <v>0</v>
      </c>
      <c r="I35" s="44" t="s">
        <v>80</v>
      </c>
      <c r="J35" s="44">
        <f t="shared" si="3"/>
        <v>0</v>
      </c>
      <c r="K35" s="44">
        <f t="shared" si="4"/>
        <v>0</v>
      </c>
      <c r="L35" s="44" t="s">
        <v>80</v>
      </c>
      <c r="M35" s="54" t="s">
        <v>242</v>
      </c>
      <c r="N35" s="44" t="e">
        <f t="shared" ca="1" si="5"/>
        <v>#DIV/0!</v>
      </c>
      <c r="O35" s="44">
        <f t="shared" ca="1" si="6"/>
        <v>0.61959217530120958</v>
      </c>
      <c r="P35" s="55" t="e">
        <f t="shared" si="7"/>
        <v>#DIV/0!</v>
      </c>
      <c r="Q35" s="55" t="e">
        <f t="shared" si="8"/>
        <v>#DIV/0!</v>
      </c>
      <c r="R35" s="55">
        <f t="shared" si="1"/>
        <v>0</v>
      </c>
      <c r="S35"/>
      <c r="T35" s="94"/>
    </row>
    <row r="36" spans="1:20" ht="20.25" customHeight="1" x14ac:dyDescent="0.2">
      <c r="A36"/>
      <c r="B36" s="119">
        <v>6</v>
      </c>
      <c r="C36" s="210"/>
      <c r="D36" s="148">
        <f t="shared" si="9"/>
        <v>23</v>
      </c>
      <c r="E36" s="29" t="str">
        <f t="shared" si="11"/>
        <v>Transition from state 3 to state 6 (CHG T1)</v>
      </c>
      <c r="F36" s="44">
        <f t="shared" si="0"/>
        <v>0</v>
      </c>
      <c r="G36" s="44">
        <v>1</v>
      </c>
      <c r="H36" s="149">
        <f>'Transition Probabilites'!H32</f>
        <v>0</v>
      </c>
      <c r="I36" s="44" t="s">
        <v>80</v>
      </c>
      <c r="J36" s="44">
        <f t="shared" si="3"/>
        <v>0</v>
      </c>
      <c r="K36" s="44">
        <f t="shared" si="4"/>
        <v>0</v>
      </c>
      <c r="L36" s="44" t="s">
        <v>80</v>
      </c>
      <c r="M36" s="54" t="s">
        <v>242</v>
      </c>
      <c r="N36" s="44" t="e">
        <f t="shared" ca="1" si="5"/>
        <v>#DIV/0!</v>
      </c>
      <c r="O36" s="44">
        <f t="shared" ca="1" si="6"/>
        <v>6.1179215703090262E-2</v>
      </c>
      <c r="P36" s="55" t="e">
        <f t="shared" si="7"/>
        <v>#DIV/0!</v>
      </c>
      <c r="Q36" s="55" t="e">
        <f t="shared" si="8"/>
        <v>#DIV/0!</v>
      </c>
      <c r="R36" s="55">
        <f t="shared" si="1"/>
        <v>0</v>
      </c>
      <c r="S36"/>
      <c r="T36" s="94"/>
    </row>
    <row r="37" spans="1:20" ht="20.25" customHeight="1" x14ac:dyDescent="0.2">
      <c r="A37"/>
      <c r="B37" s="119">
        <v>7</v>
      </c>
      <c r="C37" s="210"/>
      <c r="D37" s="148">
        <f t="shared" si="9"/>
        <v>24</v>
      </c>
      <c r="E37" s="29" t="str">
        <f t="shared" si="11"/>
        <v>Transition from state 3 to state 7 (CHG T1)</v>
      </c>
      <c r="F37" s="44">
        <f t="shared" si="0"/>
        <v>1</v>
      </c>
      <c r="G37" s="44">
        <v>1</v>
      </c>
      <c r="H37" s="149">
        <f>'Transition Probabilites'!H33</f>
        <v>1</v>
      </c>
      <c r="I37" s="44" t="s">
        <v>80</v>
      </c>
      <c r="J37" s="44">
        <f t="shared" si="3"/>
        <v>0.8040036015459946</v>
      </c>
      <c r="K37" s="44">
        <f t="shared" si="4"/>
        <v>1.1959963984540054</v>
      </c>
      <c r="L37" s="44" t="s">
        <v>80</v>
      </c>
      <c r="M37" s="54" t="s">
        <v>242</v>
      </c>
      <c r="N37" s="44" t="e">
        <f t="shared" ca="1" si="5"/>
        <v>#NUM!</v>
      </c>
      <c r="O37" s="44">
        <f t="shared" ca="1" si="6"/>
        <v>0.72873712325550022</v>
      </c>
      <c r="P37" s="55">
        <f t="shared" si="7"/>
        <v>0</v>
      </c>
      <c r="Q37" s="55">
        <f t="shared" si="8"/>
        <v>-89.999999999999986</v>
      </c>
      <c r="R37" s="55">
        <f t="shared" si="1"/>
        <v>0.1</v>
      </c>
      <c r="S37"/>
      <c r="T37" s="94"/>
    </row>
    <row r="38" spans="1:20" ht="20.25" customHeight="1" x14ac:dyDescent="0.2">
      <c r="A38"/>
      <c r="B38" s="119">
        <v>8</v>
      </c>
      <c r="C38" s="210"/>
      <c r="D38" s="148">
        <f t="shared" si="9"/>
        <v>25</v>
      </c>
      <c r="E38" s="29" t="str">
        <f t="shared" si="11"/>
        <v>Transition from state 3 to state 8 (CHG T1)</v>
      </c>
      <c r="F38" s="44">
        <f t="shared" si="0"/>
        <v>0</v>
      </c>
      <c r="G38" s="44">
        <v>1</v>
      </c>
      <c r="H38" s="149">
        <f>'Transition Probabilites'!H34</f>
        <v>0</v>
      </c>
      <c r="I38" s="44" t="s">
        <v>80</v>
      </c>
      <c r="J38" s="44">
        <f t="shared" si="3"/>
        <v>0</v>
      </c>
      <c r="K38" s="44">
        <f t="shared" si="4"/>
        <v>0</v>
      </c>
      <c r="L38" s="44" t="s">
        <v>80</v>
      </c>
      <c r="M38" s="54" t="s">
        <v>242</v>
      </c>
      <c r="N38" s="44" t="e">
        <f t="shared" ca="1" si="5"/>
        <v>#DIV/0!</v>
      </c>
      <c r="O38" s="44">
        <f t="shared" ca="1" si="6"/>
        <v>0.21314877786092035</v>
      </c>
      <c r="P38" s="55" t="e">
        <f t="shared" si="7"/>
        <v>#DIV/0!</v>
      </c>
      <c r="Q38" s="55" t="e">
        <f t="shared" si="8"/>
        <v>#DIV/0!</v>
      </c>
      <c r="R38" s="55">
        <f t="shared" si="1"/>
        <v>0</v>
      </c>
      <c r="S38"/>
      <c r="T38" s="94"/>
    </row>
    <row r="39" spans="1:20" ht="20.25" customHeight="1" x14ac:dyDescent="0.2">
      <c r="A39"/>
      <c r="B39" s="119">
        <v>1</v>
      </c>
      <c r="C39" s="210"/>
      <c r="D39" s="148">
        <f t="shared" si="9"/>
        <v>26</v>
      </c>
      <c r="E39" s="29" t="str">
        <f t="shared" ref="E39:E46" si="12">"Transition from state"&amp; " "&amp;$B$18&amp;" "&amp;"to state"&amp;" "&amp;B39&amp;" "&amp;"(CHG T1)"</f>
        <v>Transition from state 4 to state 1 (CHG T1)</v>
      </c>
      <c r="F39" s="44">
        <f t="shared" si="0"/>
        <v>1.0557738310648544E-2</v>
      </c>
      <c r="G39" s="44">
        <v>1</v>
      </c>
      <c r="H39" s="149">
        <f>'Transition Probabilites'!H35</f>
        <v>1.0557738310648544E-2</v>
      </c>
      <c r="I39" s="44" t="s">
        <v>37</v>
      </c>
      <c r="J39" s="44">
        <f t="shared" si="3"/>
        <v>8.4884596259415541E-3</v>
      </c>
      <c r="K39" s="44">
        <f t="shared" si="4"/>
        <v>1.2627016995355534E-2</v>
      </c>
      <c r="L39" s="44" t="s">
        <v>37</v>
      </c>
      <c r="M39" s="54" t="s">
        <v>242</v>
      </c>
      <c r="N39" s="44">
        <f t="shared" ca="1" si="5"/>
        <v>9.3496608673412397E-3</v>
      </c>
      <c r="O39" s="44">
        <f t="shared" ca="1" si="6"/>
        <v>0.12338840538987583</v>
      </c>
      <c r="P39" s="55">
        <f t="shared" si="7"/>
        <v>98.944226168935145</v>
      </c>
      <c r="Q39" s="55">
        <f t="shared" si="8"/>
        <v>9271.8311551178685</v>
      </c>
      <c r="R39" s="55">
        <f t="shared" si="1"/>
        <v>1.0557738310648544E-3</v>
      </c>
      <c r="S39"/>
      <c r="T39" s="94"/>
    </row>
    <row r="40" spans="1:20" ht="20.25" customHeight="1" x14ac:dyDescent="0.2">
      <c r="A40"/>
      <c r="B40" s="119">
        <v>2</v>
      </c>
      <c r="C40" s="210"/>
      <c r="D40" s="148">
        <f t="shared" si="9"/>
        <v>27</v>
      </c>
      <c r="E40" s="29" t="str">
        <f t="shared" si="12"/>
        <v>Transition from state 4 to state 2 (CHG T1)</v>
      </c>
      <c r="F40" s="44">
        <f t="shared" si="0"/>
        <v>1.9888002922781124E-2</v>
      </c>
      <c r="G40" s="44">
        <v>1</v>
      </c>
      <c r="H40" s="149">
        <f>'Transition Probabilites'!H36</f>
        <v>1.9888002922781124E-2</v>
      </c>
      <c r="I40" s="44" t="s">
        <v>37</v>
      </c>
      <c r="J40" s="44">
        <f t="shared" si="3"/>
        <v>1.5990025977473291E-2</v>
      </c>
      <c r="K40" s="44">
        <f t="shared" si="4"/>
        <v>2.3785979868088957E-2</v>
      </c>
      <c r="L40" s="44" t="s">
        <v>37</v>
      </c>
      <c r="M40" s="54" t="s">
        <v>242</v>
      </c>
      <c r="N40" s="44">
        <f t="shared" ca="1" si="5"/>
        <v>1.9117876933622786E-2</v>
      </c>
      <c r="O40" s="44">
        <f t="shared" ca="1" si="6"/>
        <v>0.35828864766657853</v>
      </c>
      <c r="P40" s="55">
        <f t="shared" si="7"/>
        <v>98.011199707721872</v>
      </c>
      <c r="Q40" s="55">
        <f t="shared" si="8"/>
        <v>4828.3558241059454</v>
      </c>
      <c r="R40" s="55">
        <f t="shared" si="1"/>
        <v>1.9888002922781125E-3</v>
      </c>
      <c r="S40"/>
      <c r="T40" s="94"/>
    </row>
    <row r="41" spans="1:20" ht="20.25" customHeight="1" x14ac:dyDescent="0.2">
      <c r="A41"/>
      <c r="B41" s="119">
        <v>3</v>
      </c>
      <c r="C41" s="210"/>
      <c r="D41" s="148">
        <f t="shared" si="9"/>
        <v>28</v>
      </c>
      <c r="E41" s="29" t="str">
        <f t="shared" si="12"/>
        <v>Transition from state 4 to state 3 (CHG T1)</v>
      </c>
      <c r="F41" s="44">
        <f t="shared" si="0"/>
        <v>4.9669176730836042E-9</v>
      </c>
      <c r="G41" s="44">
        <v>1</v>
      </c>
      <c r="H41" s="149">
        <f>'Transition Probabilites'!H37</f>
        <v>4.9669176730836042E-9</v>
      </c>
      <c r="I41" s="44" t="s">
        <v>80</v>
      </c>
      <c r="J41" s="44">
        <f t="shared" si="3"/>
        <v>3.9934196977416691E-9</v>
      </c>
      <c r="K41" s="44">
        <f t="shared" si="4"/>
        <v>5.9404156484255394E-9</v>
      </c>
      <c r="L41" s="44" t="s">
        <v>80</v>
      </c>
      <c r="M41" s="54" t="s">
        <v>242</v>
      </c>
      <c r="N41" s="44">
        <f t="shared" ca="1" si="5"/>
        <v>4.1952212760635544E-9</v>
      </c>
      <c r="O41" s="44">
        <f t="shared" ca="1" si="6"/>
        <v>5.3859820431891636E-2</v>
      </c>
      <c r="P41" s="55">
        <f t="shared" si="7"/>
        <v>99.999999503308203</v>
      </c>
      <c r="Q41" s="55">
        <f t="shared" si="8"/>
        <v>20133210491.5952</v>
      </c>
      <c r="R41" s="55">
        <f t="shared" si="1"/>
        <v>4.9669176730836048E-10</v>
      </c>
      <c r="S41"/>
      <c r="T41" s="94"/>
    </row>
    <row r="42" spans="1:20" ht="20.25" customHeight="1" x14ac:dyDescent="0.2">
      <c r="A42"/>
      <c r="B42" s="119">
        <v>4</v>
      </c>
      <c r="C42" s="210"/>
      <c r="D42" s="148">
        <f t="shared" si="9"/>
        <v>29</v>
      </c>
      <c r="E42" s="29" t="str">
        <f t="shared" si="12"/>
        <v>Transition from state 4 to state 4 (CHG T1)</v>
      </c>
      <c r="F42" s="44">
        <f t="shared" si="0"/>
        <v>3.6085643037740985E-2</v>
      </c>
      <c r="G42" s="44">
        <v>1</v>
      </c>
      <c r="H42" s="149">
        <f>'Transition Probabilites'!H38</f>
        <v>3.6085643037740985E-2</v>
      </c>
      <c r="I42" s="44" t="s">
        <v>37</v>
      </c>
      <c r="J42" s="44">
        <f t="shared" si="3"/>
        <v>2.9012986966446896E-2</v>
      </c>
      <c r="K42" s="44">
        <f t="shared" si="4"/>
        <v>4.315829910903507E-2</v>
      </c>
      <c r="L42" s="44" t="s">
        <v>37</v>
      </c>
      <c r="M42" s="54" t="s">
        <v>242</v>
      </c>
      <c r="N42" s="44">
        <f t="shared" ca="1" si="5"/>
        <v>3.9427349405834589E-2</v>
      </c>
      <c r="O42" s="44">
        <f t="shared" ca="1" si="6"/>
        <v>0.82100187287989623</v>
      </c>
      <c r="P42" s="55">
        <f t="shared" si="7"/>
        <v>96.391435696225912</v>
      </c>
      <c r="Q42" s="55">
        <f t="shared" si="8"/>
        <v>2571.5460586841582</v>
      </c>
      <c r="R42" s="55">
        <f t="shared" si="1"/>
        <v>3.6085643037740986E-3</v>
      </c>
      <c r="S42"/>
      <c r="T42" s="94"/>
    </row>
    <row r="43" spans="1:20" ht="20.25" customHeight="1" x14ac:dyDescent="0.2">
      <c r="A43"/>
      <c r="B43" s="119">
        <v>5</v>
      </c>
      <c r="C43" s="210"/>
      <c r="D43" s="148">
        <f t="shared" si="9"/>
        <v>30</v>
      </c>
      <c r="E43" s="29" t="str">
        <f t="shared" si="12"/>
        <v>Transition from state 4 to state 5 (CHG T1)</v>
      </c>
      <c r="F43" s="44">
        <f t="shared" si="0"/>
        <v>4.681173961596632E-9</v>
      </c>
      <c r="G43" s="44">
        <v>1</v>
      </c>
      <c r="H43" s="149">
        <f>'Transition Probabilites'!H39</f>
        <v>4.681173961596632E-9</v>
      </c>
      <c r="I43" s="44" t="s">
        <v>80</v>
      </c>
      <c r="J43" s="44">
        <f t="shared" si="3"/>
        <v>3.7636807245870237E-9</v>
      </c>
      <c r="K43" s="44">
        <f t="shared" si="4"/>
        <v>5.5986671986062404E-9</v>
      </c>
      <c r="L43" s="44" t="s">
        <v>80</v>
      </c>
      <c r="M43" s="54" t="s">
        <v>242</v>
      </c>
      <c r="N43" s="44">
        <f t="shared" ca="1" si="5"/>
        <v>4.48964864597791E-9</v>
      </c>
      <c r="O43" s="44">
        <f t="shared" ca="1" si="6"/>
        <v>0.35145319173623335</v>
      </c>
      <c r="P43" s="55">
        <f t="shared" si="7"/>
        <v>99.999999531882608</v>
      </c>
      <c r="Q43" s="55">
        <f t="shared" si="8"/>
        <v>21362162543.871304</v>
      </c>
      <c r="R43" s="55">
        <f t="shared" si="1"/>
        <v>4.6811739615966318E-10</v>
      </c>
      <c r="S43"/>
      <c r="T43" s="94"/>
    </row>
    <row r="44" spans="1:20" ht="20.25" customHeight="1" x14ac:dyDescent="0.2">
      <c r="A44"/>
      <c r="B44" s="119">
        <v>6</v>
      </c>
      <c r="C44" s="210"/>
      <c r="D44" s="148">
        <f t="shared" si="9"/>
        <v>31</v>
      </c>
      <c r="E44" s="29" t="str">
        <f t="shared" si="12"/>
        <v>Transition from state 4 to state 6 (CHG T1)</v>
      </c>
      <c r="F44" s="44">
        <f t="shared" si="0"/>
        <v>0</v>
      </c>
      <c r="G44" s="44">
        <v>1</v>
      </c>
      <c r="H44" s="149">
        <f>'Transition Probabilites'!H40</f>
        <v>0</v>
      </c>
      <c r="I44" s="44" t="s">
        <v>80</v>
      </c>
      <c r="J44" s="44">
        <f t="shared" si="3"/>
        <v>0</v>
      </c>
      <c r="K44" s="44">
        <f t="shared" si="4"/>
        <v>0</v>
      </c>
      <c r="L44" s="44" t="s">
        <v>80</v>
      </c>
      <c r="M44" s="54" t="s">
        <v>242</v>
      </c>
      <c r="N44" s="44" t="e">
        <f t="shared" ca="1" si="5"/>
        <v>#DIV/0!</v>
      </c>
      <c r="O44" s="44">
        <f t="shared" ca="1" si="6"/>
        <v>0.13146490585966064</v>
      </c>
      <c r="P44" s="55" t="e">
        <f t="shared" si="7"/>
        <v>#DIV/0!</v>
      </c>
      <c r="Q44" s="55" t="e">
        <f t="shared" si="8"/>
        <v>#DIV/0!</v>
      </c>
      <c r="R44" s="55">
        <f t="shared" si="1"/>
        <v>0</v>
      </c>
      <c r="S44"/>
      <c r="T44" s="94"/>
    </row>
    <row r="45" spans="1:20" ht="20.25" customHeight="1" x14ac:dyDescent="0.2">
      <c r="A45"/>
      <c r="B45" s="119">
        <v>7</v>
      </c>
      <c r="C45" s="210"/>
      <c r="D45" s="148">
        <f t="shared" si="9"/>
        <v>32</v>
      </c>
      <c r="E45" s="29" t="str">
        <f t="shared" si="12"/>
        <v>Transition from state 4 to state 7 (CHG T1)</v>
      </c>
      <c r="F45" s="44">
        <f t="shared" si="0"/>
        <v>0.6325395302316883</v>
      </c>
      <c r="G45" s="44">
        <v>1</v>
      </c>
      <c r="H45" s="149">
        <f>'Transition Probabilites'!H41</f>
        <v>0.6325395302316883</v>
      </c>
      <c r="I45" s="44" t="s">
        <v>80</v>
      </c>
      <c r="J45" s="44">
        <f t="shared" si="3"/>
        <v>0.50856406042648894</v>
      </c>
      <c r="K45" s="44">
        <f t="shared" si="4"/>
        <v>0.75651500003688765</v>
      </c>
      <c r="L45" s="44" t="s">
        <v>80</v>
      </c>
      <c r="M45" s="54" t="s">
        <v>242</v>
      </c>
      <c r="N45" s="44" t="e">
        <f t="shared" ca="1" si="5"/>
        <v>#NUM!</v>
      </c>
      <c r="O45" s="44">
        <f t="shared" ca="1" si="6"/>
        <v>0.14489097052941646</v>
      </c>
      <c r="P45" s="55">
        <f t="shared" si="7"/>
        <v>36.746046976831174</v>
      </c>
      <c r="Q45" s="55">
        <f t="shared" si="8"/>
        <v>-35.581718450128392</v>
      </c>
      <c r="R45" s="55">
        <f t="shared" si="1"/>
        <v>6.325395302316883E-2</v>
      </c>
      <c r="S45"/>
      <c r="T45" s="94"/>
    </row>
    <row r="46" spans="1:20" ht="20.25" customHeight="1" x14ac:dyDescent="0.2">
      <c r="A46"/>
      <c r="B46" s="119">
        <v>8</v>
      </c>
      <c r="C46" s="210"/>
      <c r="D46" s="148">
        <f t="shared" si="9"/>
        <v>33</v>
      </c>
      <c r="E46" s="29" t="str">
        <f t="shared" si="12"/>
        <v>Transition from state 4 to state 8 (CHG T1)</v>
      </c>
      <c r="F46" s="44">
        <f t="shared" si="0"/>
        <v>0.30092907584904943</v>
      </c>
      <c r="G46" s="44">
        <v>1</v>
      </c>
      <c r="H46" s="149">
        <f>'Transition Probabilites'!H42</f>
        <v>0.30092907584904943</v>
      </c>
      <c r="I46" s="44" t="s">
        <v>37</v>
      </c>
      <c r="J46" s="44">
        <f t="shared" si="3"/>
        <v>0.24194806079254352</v>
      </c>
      <c r="K46" s="44">
        <f t="shared" si="4"/>
        <v>0.35991009090555531</v>
      </c>
      <c r="L46" s="44" t="s">
        <v>37</v>
      </c>
      <c r="M46" s="54" t="s">
        <v>242</v>
      </c>
      <c r="N46" s="44">
        <f t="shared" ca="1" si="5"/>
        <v>0.39483318106951049</v>
      </c>
      <c r="O46" s="44">
        <f t="shared" ca="1" si="6"/>
        <v>0.94698732735910718</v>
      </c>
      <c r="P46" s="55">
        <f t="shared" si="7"/>
        <v>69.907092415095036</v>
      </c>
      <c r="Q46" s="55">
        <f t="shared" si="8"/>
        <v>135.31350469281134</v>
      </c>
      <c r="R46" s="55">
        <f t="shared" si="1"/>
        <v>3.0092907584904946E-2</v>
      </c>
      <c r="S46"/>
      <c r="T46" s="94"/>
    </row>
    <row r="47" spans="1:20" ht="20.25" customHeight="1" x14ac:dyDescent="0.2">
      <c r="A47"/>
      <c r="B47" s="119">
        <v>1</v>
      </c>
      <c r="C47" s="210"/>
      <c r="D47" s="148">
        <f t="shared" si="9"/>
        <v>34</v>
      </c>
      <c r="E47" s="29" t="str">
        <f t="shared" ref="E47:E54" si="13">"Transition from state"&amp; " "&amp;$B$19&amp;" "&amp;"to state"&amp;" "&amp;B47&amp;" "&amp;"(CHG T1)"</f>
        <v>Transition from state 5 to state 1 (CHG T1)</v>
      </c>
      <c r="F47" s="44">
        <f t="shared" si="0"/>
        <v>0</v>
      </c>
      <c r="G47" s="44">
        <v>1</v>
      </c>
      <c r="H47" s="149">
        <f>'Transition Probabilites'!H43</f>
        <v>0</v>
      </c>
      <c r="I47" s="44" t="s">
        <v>80</v>
      </c>
      <c r="J47" s="44">
        <f t="shared" si="3"/>
        <v>0</v>
      </c>
      <c r="K47" s="44">
        <f t="shared" si="4"/>
        <v>0</v>
      </c>
      <c r="L47" s="44" t="s">
        <v>80</v>
      </c>
      <c r="M47" s="54" t="s">
        <v>242</v>
      </c>
      <c r="N47" s="44" t="e">
        <f t="shared" ca="1" si="5"/>
        <v>#DIV/0!</v>
      </c>
      <c r="O47" s="44">
        <f t="shared" ca="1" si="6"/>
        <v>0.99476096717655371</v>
      </c>
      <c r="P47" s="55" t="e">
        <f t="shared" si="7"/>
        <v>#DIV/0!</v>
      </c>
      <c r="Q47" s="55" t="e">
        <f t="shared" si="8"/>
        <v>#DIV/0!</v>
      </c>
      <c r="R47" s="55">
        <f t="shared" si="1"/>
        <v>0</v>
      </c>
      <c r="S47"/>
      <c r="T47" s="94"/>
    </row>
    <row r="48" spans="1:20" ht="20.25" customHeight="1" x14ac:dyDescent="0.2">
      <c r="A48"/>
      <c r="B48" s="119">
        <v>2</v>
      </c>
      <c r="C48" s="210"/>
      <c r="D48" s="148">
        <f t="shared" si="9"/>
        <v>35</v>
      </c>
      <c r="E48" s="29" t="str">
        <f t="shared" si="13"/>
        <v>Transition from state 5 to state 2 (CHG T1)</v>
      </c>
      <c r="F48" s="44">
        <f t="shared" si="0"/>
        <v>0</v>
      </c>
      <c r="G48" s="44">
        <v>1</v>
      </c>
      <c r="H48" s="149">
        <f>'Transition Probabilites'!H44</f>
        <v>0</v>
      </c>
      <c r="I48" s="44" t="s">
        <v>80</v>
      </c>
      <c r="J48" s="44">
        <f t="shared" si="3"/>
        <v>0</v>
      </c>
      <c r="K48" s="44">
        <f t="shared" si="4"/>
        <v>0</v>
      </c>
      <c r="L48" s="44" t="s">
        <v>80</v>
      </c>
      <c r="M48" s="54" t="s">
        <v>242</v>
      </c>
      <c r="N48" s="44" t="e">
        <f t="shared" ca="1" si="5"/>
        <v>#DIV/0!</v>
      </c>
      <c r="O48" s="44">
        <f t="shared" ca="1" si="6"/>
        <v>0.75717680958808242</v>
      </c>
      <c r="P48" s="55" t="e">
        <f t="shared" si="7"/>
        <v>#DIV/0!</v>
      </c>
      <c r="Q48" s="55" t="e">
        <f t="shared" si="8"/>
        <v>#DIV/0!</v>
      </c>
      <c r="R48" s="55">
        <f t="shared" si="1"/>
        <v>0</v>
      </c>
      <c r="S48"/>
      <c r="T48" s="94"/>
    </row>
    <row r="49" spans="1:20" ht="20.25" customHeight="1" x14ac:dyDescent="0.2">
      <c r="A49"/>
      <c r="B49" s="119">
        <v>3</v>
      </c>
      <c r="C49" s="210"/>
      <c r="D49" s="148">
        <f t="shared" si="9"/>
        <v>36</v>
      </c>
      <c r="E49" s="29" t="str">
        <f t="shared" si="13"/>
        <v>Transition from state 5 to state 3 (CHG T1)</v>
      </c>
      <c r="F49" s="44">
        <f t="shared" si="0"/>
        <v>0</v>
      </c>
      <c r="G49" s="44">
        <v>1</v>
      </c>
      <c r="H49" s="149">
        <f>'Transition Probabilites'!H45</f>
        <v>0</v>
      </c>
      <c r="I49" s="44" t="s">
        <v>80</v>
      </c>
      <c r="J49" s="44">
        <f t="shared" si="3"/>
        <v>0</v>
      </c>
      <c r="K49" s="44">
        <f t="shared" si="4"/>
        <v>0</v>
      </c>
      <c r="L49" s="44" t="s">
        <v>80</v>
      </c>
      <c r="M49" s="54" t="s">
        <v>242</v>
      </c>
      <c r="N49" s="44" t="e">
        <f t="shared" ca="1" si="5"/>
        <v>#DIV/0!</v>
      </c>
      <c r="O49" s="44">
        <f t="shared" ca="1" si="6"/>
        <v>0.95589248240333435</v>
      </c>
      <c r="P49" s="55" t="e">
        <f t="shared" si="7"/>
        <v>#DIV/0!</v>
      </c>
      <c r="Q49" s="55" t="e">
        <f t="shared" si="8"/>
        <v>#DIV/0!</v>
      </c>
      <c r="R49" s="55">
        <f t="shared" si="1"/>
        <v>0</v>
      </c>
      <c r="S49"/>
      <c r="T49" s="94"/>
    </row>
    <row r="50" spans="1:20" ht="20.25" customHeight="1" x14ac:dyDescent="0.2">
      <c r="A50"/>
      <c r="B50" s="119">
        <v>4</v>
      </c>
      <c r="C50" s="210"/>
      <c r="D50" s="148">
        <f t="shared" si="9"/>
        <v>37</v>
      </c>
      <c r="E50" s="29" t="str">
        <f t="shared" si="13"/>
        <v>Transition from state 5 to state 4 (CHG T1)</v>
      </c>
      <c r="F50" s="44">
        <f t="shared" si="0"/>
        <v>0</v>
      </c>
      <c r="G50" s="44">
        <v>1</v>
      </c>
      <c r="H50" s="149">
        <f>'Transition Probabilites'!H46</f>
        <v>0</v>
      </c>
      <c r="I50" s="44" t="s">
        <v>80</v>
      </c>
      <c r="J50" s="44">
        <f t="shared" si="3"/>
        <v>0</v>
      </c>
      <c r="K50" s="44">
        <f t="shared" si="4"/>
        <v>0</v>
      </c>
      <c r="L50" s="44" t="s">
        <v>80</v>
      </c>
      <c r="M50" s="54" t="s">
        <v>242</v>
      </c>
      <c r="N50" s="44" t="e">
        <f t="shared" ca="1" si="5"/>
        <v>#DIV/0!</v>
      </c>
      <c r="O50" s="44">
        <f t="shared" ca="1" si="6"/>
        <v>0.24119140996567245</v>
      </c>
      <c r="P50" s="55" t="e">
        <f t="shared" si="7"/>
        <v>#DIV/0!</v>
      </c>
      <c r="Q50" s="55" t="e">
        <f t="shared" si="8"/>
        <v>#DIV/0!</v>
      </c>
      <c r="R50" s="55">
        <f t="shared" si="1"/>
        <v>0</v>
      </c>
      <c r="S50"/>
      <c r="T50" s="94"/>
    </row>
    <row r="51" spans="1:20" ht="20.25" customHeight="1" x14ac:dyDescent="0.2">
      <c r="A51"/>
      <c r="B51" s="119">
        <v>5</v>
      </c>
      <c r="C51" s="210"/>
      <c r="D51" s="148">
        <f t="shared" si="9"/>
        <v>38</v>
      </c>
      <c r="E51" s="29" t="str">
        <f t="shared" si="13"/>
        <v>Transition from state 5 to state 5 (CHG T1)</v>
      </c>
      <c r="F51" s="44">
        <f t="shared" si="0"/>
        <v>0</v>
      </c>
      <c r="G51" s="44">
        <v>1</v>
      </c>
      <c r="H51" s="149">
        <f>'Transition Probabilites'!H47</f>
        <v>0</v>
      </c>
      <c r="I51" s="44" t="s">
        <v>80</v>
      </c>
      <c r="J51" s="44">
        <f t="shared" si="3"/>
        <v>0</v>
      </c>
      <c r="K51" s="44">
        <f t="shared" si="4"/>
        <v>0</v>
      </c>
      <c r="L51" s="44" t="s">
        <v>80</v>
      </c>
      <c r="M51" s="54" t="s">
        <v>242</v>
      </c>
      <c r="N51" s="44" t="e">
        <f t="shared" ca="1" si="5"/>
        <v>#DIV/0!</v>
      </c>
      <c r="O51" s="44">
        <f t="shared" ca="1" si="6"/>
        <v>0.86434449938700164</v>
      </c>
      <c r="P51" s="55" t="e">
        <f t="shared" si="7"/>
        <v>#DIV/0!</v>
      </c>
      <c r="Q51" s="55" t="e">
        <f t="shared" si="8"/>
        <v>#DIV/0!</v>
      </c>
      <c r="R51" s="55">
        <f t="shared" si="1"/>
        <v>0</v>
      </c>
      <c r="S51"/>
      <c r="T51" s="94"/>
    </row>
    <row r="52" spans="1:20" ht="20.25" customHeight="1" x14ac:dyDescent="0.2">
      <c r="A52"/>
      <c r="B52" s="119">
        <v>6</v>
      </c>
      <c r="C52" s="210"/>
      <c r="D52" s="148">
        <f t="shared" si="9"/>
        <v>39</v>
      </c>
      <c r="E52" s="29" t="str">
        <f t="shared" si="13"/>
        <v>Transition from state 5 to state 6 (CHG T1)</v>
      </c>
      <c r="F52" s="44">
        <f t="shared" si="0"/>
        <v>1</v>
      </c>
      <c r="G52" s="44">
        <v>1</v>
      </c>
      <c r="H52" s="149">
        <f>'Transition Probabilites'!H48</f>
        <v>1</v>
      </c>
      <c r="I52" s="44" t="s">
        <v>37</v>
      </c>
      <c r="J52" s="44">
        <f t="shared" si="3"/>
        <v>0.8040036015459946</v>
      </c>
      <c r="K52" s="44">
        <f t="shared" si="4"/>
        <v>1.1959963984540054</v>
      </c>
      <c r="L52" s="44" t="s">
        <v>37</v>
      </c>
      <c r="M52" s="54" t="s">
        <v>242</v>
      </c>
      <c r="N52" s="44" t="e">
        <f t="shared" ca="1" si="5"/>
        <v>#NUM!</v>
      </c>
      <c r="O52" s="44">
        <f t="shared" ca="1" si="6"/>
        <v>0.1917150485529765</v>
      </c>
      <c r="P52" s="55">
        <f t="shared" si="7"/>
        <v>0</v>
      </c>
      <c r="Q52" s="55">
        <f t="shared" si="8"/>
        <v>-89.999999999999986</v>
      </c>
      <c r="R52" s="55">
        <f t="shared" si="1"/>
        <v>0.1</v>
      </c>
      <c r="S52"/>
      <c r="T52" s="94"/>
    </row>
    <row r="53" spans="1:20" ht="20.25" customHeight="1" x14ac:dyDescent="0.2">
      <c r="A53"/>
      <c r="B53" s="119">
        <v>7</v>
      </c>
      <c r="C53" s="210"/>
      <c r="D53" s="148">
        <f t="shared" si="9"/>
        <v>40</v>
      </c>
      <c r="E53" s="29" t="str">
        <f t="shared" si="13"/>
        <v>Transition from state 5 to state 7 (CHG T1)</v>
      </c>
      <c r="F53" s="44">
        <f t="shared" si="0"/>
        <v>0</v>
      </c>
      <c r="G53" s="44">
        <v>1</v>
      </c>
      <c r="H53" s="149">
        <f>'Transition Probabilites'!H49</f>
        <v>0</v>
      </c>
      <c r="I53" s="44" t="s">
        <v>80</v>
      </c>
      <c r="J53" s="44">
        <f t="shared" si="3"/>
        <v>0</v>
      </c>
      <c r="K53" s="44">
        <f t="shared" si="4"/>
        <v>0</v>
      </c>
      <c r="L53" s="44" t="s">
        <v>80</v>
      </c>
      <c r="M53" s="54" t="s">
        <v>242</v>
      </c>
      <c r="N53" s="44" t="e">
        <f t="shared" ca="1" si="5"/>
        <v>#DIV/0!</v>
      </c>
      <c r="O53" s="44">
        <f t="shared" ca="1" si="6"/>
        <v>7.7829320259678592E-2</v>
      </c>
      <c r="P53" s="55" t="e">
        <f t="shared" si="7"/>
        <v>#DIV/0!</v>
      </c>
      <c r="Q53" s="55" t="e">
        <f t="shared" si="8"/>
        <v>#DIV/0!</v>
      </c>
      <c r="R53" s="55">
        <f t="shared" si="1"/>
        <v>0</v>
      </c>
      <c r="S53"/>
      <c r="T53" s="94"/>
    </row>
    <row r="54" spans="1:20" ht="20.25" customHeight="1" x14ac:dyDescent="0.2">
      <c r="A54"/>
      <c r="B54" s="119">
        <v>8</v>
      </c>
      <c r="C54" s="210"/>
      <c r="D54" s="148">
        <f t="shared" si="9"/>
        <v>41</v>
      </c>
      <c r="E54" s="29" t="str">
        <f t="shared" si="13"/>
        <v>Transition from state 5 to state 8 (CHG T1)</v>
      </c>
      <c r="F54" s="44">
        <f t="shared" si="0"/>
        <v>0</v>
      </c>
      <c r="G54" s="44">
        <v>1</v>
      </c>
      <c r="H54" s="149">
        <f>'Transition Probabilites'!H50</f>
        <v>0</v>
      </c>
      <c r="I54" s="44" t="s">
        <v>80</v>
      </c>
      <c r="J54" s="44">
        <f t="shared" si="3"/>
        <v>0</v>
      </c>
      <c r="K54" s="44">
        <f t="shared" si="4"/>
        <v>0</v>
      </c>
      <c r="L54" s="44" t="s">
        <v>80</v>
      </c>
      <c r="M54" s="54" t="s">
        <v>242</v>
      </c>
      <c r="N54" s="44" t="e">
        <f t="shared" ca="1" si="5"/>
        <v>#DIV/0!</v>
      </c>
      <c r="O54" s="44">
        <f t="shared" ca="1" si="6"/>
        <v>0.42683310567576804</v>
      </c>
      <c r="P54" s="55" t="e">
        <f t="shared" si="7"/>
        <v>#DIV/0!</v>
      </c>
      <c r="Q54" s="55" t="e">
        <f t="shared" si="8"/>
        <v>#DIV/0!</v>
      </c>
      <c r="R54" s="55">
        <f t="shared" si="1"/>
        <v>0</v>
      </c>
      <c r="S54"/>
      <c r="T54" s="94"/>
    </row>
    <row r="55" spans="1:20" ht="20.25" customHeight="1" x14ac:dyDescent="0.2">
      <c r="A55"/>
      <c r="B55" s="119">
        <v>1</v>
      </c>
      <c r="C55" s="210"/>
      <c r="D55" s="148">
        <f t="shared" si="9"/>
        <v>42</v>
      </c>
      <c r="E55" s="29" t="str">
        <f t="shared" ref="E55:E62" si="14">"Transition from state"&amp; " "&amp;$B$20&amp;" "&amp;"to state"&amp;" "&amp;B55&amp;" "&amp;"(CHG T1)"</f>
        <v>Transition from state 6 to state 1 (CHG T1)</v>
      </c>
      <c r="F55" s="44">
        <f t="shared" si="0"/>
        <v>3.0704897248064482E-4</v>
      </c>
      <c r="G55" s="44">
        <v>1</v>
      </c>
      <c r="H55" s="149">
        <f>'Transition Probabilites'!H51</f>
        <v>3.0704897248064482E-4</v>
      </c>
      <c r="I55" s="44" t="s">
        <v>37</v>
      </c>
      <c r="J55" s="44">
        <f t="shared" si="3"/>
        <v>2.468684797254354E-4</v>
      </c>
      <c r="K55" s="44">
        <f t="shared" si="4"/>
        <v>3.6722946523585424E-4</v>
      </c>
      <c r="L55" s="44" t="s">
        <v>37</v>
      </c>
      <c r="M55" s="54" t="s">
        <v>242</v>
      </c>
      <c r="N55" s="44">
        <f t="shared" ca="1" si="5"/>
        <v>3.1862570941465496E-4</v>
      </c>
      <c r="O55" s="44">
        <f t="shared" ca="1" si="6"/>
        <v>0.65749033699422521</v>
      </c>
      <c r="P55" s="55">
        <f t="shared" si="7"/>
        <v>99.969295102751914</v>
      </c>
      <c r="Q55" s="55">
        <f t="shared" si="8"/>
        <v>325480.9496377465</v>
      </c>
      <c r="R55" s="55">
        <f t="shared" si="1"/>
        <v>3.0704897248064485E-5</v>
      </c>
      <c r="S55"/>
      <c r="T55" s="94"/>
    </row>
    <row r="56" spans="1:20" ht="20.25" customHeight="1" x14ac:dyDescent="0.2">
      <c r="A56"/>
      <c r="B56" s="119">
        <v>2</v>
      </c>
      <c r="C56" s="210"/>
      <c r="D56" s="148">
        <f t="shared" si="9"/>
        <v>43</v>
      </c>
      <c r="E56" s="29" t="str">
        <f t="shared" si="14"/>
        <v>Transition from state 6 to state 2 (CHG T1)</v>
      </c>
      <c r="F56" s="44">
        <f t="shared" si="0"/>
        <v>3.8645286536404737E-4</v>
      </c>
      <c r="G56" s="44">
        <v>1</v>
      </c>
      <c r="H56" s="149">
        <f>'Transition Probabilites'!H52</f>
        <v>3.8645286536404737E-4</v>
      </c>
      <c r="I56" s="44" t="s">
        <v>37</v>
      </c>
      <c r="J56" s="44">
        <f t="shared" si="3"/>
        <v>3.1070949558046344E-4</v>
      </c>
      <c r="K56" s="44">
        <f t="shared" si="4"/>
        <v>4.621962351476313E-4</v>
      </c>
      <c r="L56" s="44" t="s">
        <v>37</v>
      </c>
      <c r="M56" s="54" t="s">
        <v>242</v>
      </c>
      <c r="N56" s="44">
        <f t="shared" ca="1" si="5"/>
        <v>3.7842625492144502E-4</v>
      </c>
      <c r="O56" s="44">
        <f t="shared" ca="1" si="6"/>
        <v>0.43023754978367912</v>
      </c>
      <c r="P56" s="55">
        <f t="shared" si="7"/>
        <v>99.961354713463592</v>
      </c>
      <c r="Q56" s="55">
        <f t="shared" si="8"/>
        <v>258563.77290994045</v>
      </c>
      <c r="R56" s="55">
        <f t="shared" si="1"/>
        <v>3.8645286536404738E-5</v>
      </c>
      <c r="S56"/>
      <c r="T56" s="94"/>
    </row>
    <row r="57" spans="1:20" ht="20.25" customHeight="1" x14ac:dyDescent="0.2">
      <c r="A57"/>
      <c r="B57" s="119">
        <v>3</v>
      </c>
      <c r="C57" s="210"/>
      <c r="D57" s="148">
        <f t="shared" si="9"/>
        <v>44</v>
      </c>
      <c r="E57" s="29" t="str">
        <f t="shared" si="14"/>
        <v>Transition from state 6 to state 3 (CHG T1)</v>
      </c>
      <c r="F57" s="44">
        <f t="shared" si="0"/>
        <v>1.3529648787401215E-10</v>
      </c>
      <c r="G57" s="44">
        <v>1</v>
      </c>
      <c r="H57" s="149">
        <f>'Transition Probabilites'!H53</f>
        <v>1.3529648787401215E-10</v>
      </c>
      <c r="I57" s="44" t="s">
        <v>37</v>
      </c>
      <c r="J57" s="44">
        <f t="shared" si="3"/>
        <v>1.0877886352722976E-10</v>
      </c>
      <c r="K57" s="44">
        <f t="shared" si="4"/>
        <v>1.6181411222079454E-10</v>
      </c>
      <c r="L57" s="44" t="s">
        <v>37</v>
      </c>
      <c r="M57" s="54" t="s">
        <v>242</v>
      </c>
      <c r="N57" s="44">
        <f t="shared" ca="1" si="5"/>
        <v>1.0771143477400093E-10</v>
      </c>
      <c r="O57" s="44">
        <f t="shared" ca="1" si="6"/>
        <v>1.528108234618164E-2</v>
      </c>
      <c r="P57" s="55">
        <f t="shared" si="7"/>
        <v>99.999999986470343</v>
      </c>
      <c r="Q57" s="55">
        <f t="shared" si="8"/>
        <v>739117485932.52856</v>
      </c>
      <c r="R57" s="55">
        <f t="shared" si="1"/>
        <v>1.3529648787401215E-11</v>
      </c>
      <c r="S57"/>
      <c r="T57" s="94"/>
    </row>
    <row r="58" spans="1:20" ht="20.25" customHeight="1" x14ac:dyDescent="0.2">
      <c r="A58"/>
      <c r="B58" s="119">
        <v>4</v>
      </c>
      <c r="C58" s="210"/>
      <c r="D58" s="148">
        <f t="shared" si="9"/>
        <v>45</v>
      </c>
      <c r="E58" s="29" t="str">
        <f t="shared" si="14"/>
        <v>Transition from state 6 to state 4 (CHG T1)</v>
      </c>
      <c r="F58" s="44">
        <f t="shared" si="0"/>
        <v>6.1192504515603644E-5</v>
      </c>
      <c r="G58" s="44">
        <v>1</v>
      </c>
      <c r="H58" s="149">
        <f>'Transition Probabilites'!H54</f>
        <v>6.1192504515603644E-5</v>
      </c>
      <c r="I58" s="44" t="s">
        <v>37</v>
      </c>
      <c r="J58" s="44">
        <f t="shared" si="3"/>
        <v>4.919899401816487E-5</v>
      </c>
      <c r="K58" s="44">
        <f t="shared" si="4"/>
        <v>7.3186015013042418E-5</v>
      </c>
      <c r="L58" s="44" t="s">
        <v>37</v>
      </c>
      <c r="M58" s="54" t="s">
        <v>242</v>
      </c>
      <c r="N58" s="44">
        <f t="shared" ca="1" si="5"/>
        <v>6.1316776176156829E-5</v>
      </c>
      <c r="O58" s="44">
        <f t="shared" ca="1" si="6"/>
        <v>0.5213843049195227</v>
      </c>
      <c r="P58" s="55">
        <f t="shared" si="7"/>
        <v>99.993880749548424</v>
      </c>
      <c r="Q58" s="55">
        <f t="shared" si="8"/>
        <v>1633987.0761629953</v>
      </c>
      <c r="R58" s="55">
        <f t="shared" si="1"/>
        <v>6.1192504515603648E-6</v>
      </c>
      <c r="S58"/>
      <c r="T58" s="94"/>
    </row>
    <row r="59" spans="1:20" ht="20.25" customHeight="1" x14ac:dyDescent="0.2">
      <c r="A59"/>
      <c r="B59" s="119">
        <v>5</v>
      </c>
      <c r="C59" s="210"/>
      <c r="D59" s="148">
        <f t="shared" si="9"/>
        <v>46</v>
      </c>
      <c r="E59" s="29" t="str">
        <f t="shared" si="14"/>
        <v>Transition from state 6 to state 5 (CHG T1)</v>
      </c>
      <c r="F59" s="44">
        <f t="shared" si="0"/>
        <v>0</v>
      </c>
      <c r="G59" s="44">
        <v>1</v>
      </c>
      <c r="H59" s="149">
        <f>'Transition Probabilites'!H55</f>
        <v>0</v>
      </c>
      <c r="I59" s="44" t="s">
        <v>80</v>
      </c>
      <c r="J59" s="44">
        <f t="shared" si="3"/>
        <v>0</v>
      </c>
      <c r="K59" s="44">
        <f t="shared" si="4"/>
        <v>0</v>
      </c>
      <c r="L59" s="44" t="s">
        <v>80</v>
      </c>
      <c r="M59" s="54" t="s">
        <v>242</v>
      </c>
      <c r="N59" s="44" t="e">
        <f t="shared" ca="1" si="5"/>
        <v>#DIV/0!</v>
      </c>
      <c r="O59" s="44">
        <f t="shared" ca="1" si="6"/>
        <v>0.15346625078791087</v>
      </c>
      <c r="P59" s="55" t="e">
        <f t="shared" si="7"/>
        <v>#DIV/0!</v>
      </c>
      <c r="Q59" s="55" t="e">
        <f t="shared" si="8"/>
        <v>#DIV/0!</v>
      </c>
      <c r="R59" s="55">
        <f t="shared" si="1"/>
        <v>0</v>
      </c>
      <c r="S59"/>
      <c r="T59" s="94"/>
    </row>
    <row r="60" spans="1:20" ht="20.25" customHeight="1" x14ac:dyDescent="0.2">
      <c r="A60"/>
      <c r="B60" s="119">
        <v>6</v>
      </c>
      <c r="C60" s="210"/>
      <c r="D60" s="148">
        <f t="shared" si="9"/>
        <v>47</v>
      </c>
      <c r="E60" s="29" t="str">
        <f t="shared" si="14"/>
        <v>Transition from state 6 to state 6 (CHG T1)</v>
      </c>
      <c r="F60" s="44">
        <f t="shared" si="0"/>
        <v>5.7095074882836986E-5</v>
      </c>
      <c r="G60" s="44">
        <v>1</v>
      </c>
      <c r="H60" s="149">
        <f>'Transition Probabilites'!H56</f>
        <v>5.7095074882836986E-5</v>
      </c>
      <c r="I60" s="44" t="s">
        <v>37</v>
      </c>
      <c r="J60" s="44">
        <f t="shared" si="3"/>
        <v>4.5904645836339194E-5</v>
      </c>
      <c r="K60" s="44">
        <f t="shared" si="4"/>
        <v>6.8285503929334772E-5</v>
      </c>
      <c r="L60" s="44" t="s">
        <v>37</v>
      </c>
      <c r="M60" s="54" t="s">
        <v>242</v>
      </c>
      <c r="N60" s="44">
        <f t="shared" ca="1" si="5"/>
        <v>5.9028761188906209E-5</v>
      </c>
      <c r="O60" s="44">
        <f t="shared" ca="1" si="6"/>
        <v>0.64362871408732403</v>
      </c>
      <c r="P60" s="55">
        <f t="shared" si="7"/>
        <v>99.994290492511723</v>
      </c>
      <c r="Q60" s="55">
        <f t="shared" si="8"/>
        <v>1751264.5569307923</v>
      </c>
      <c r="R60" s="55">
        <f t="shared" si="1"/>
        <v>5.7095074882836986E-6</v>
      </c>
      <c r="S60"/>
      <c r="T60" s="94"/>
    </row>
    <row r="61" spans="1:20" ht="20.25" customHeight="1" x14ac:dyDescent="0.2">
      <c r="A61"/>
      <c r="B61" s="119">
        <v>7</v>
      </c>
      <c r="C61" s="210"/>
      <c r="D61" s="148">
        <f t="shared" si="9"/>
        <v>48</v>
      </c>
      <c r="E61" s="29" t="str">
        <f t="shared" si="14"/>
        <v>Transition from state 6 to state 7 (CHG T1)</v>
      </c>
      <c r="F61" s="44">
        <f t="shared" si="0"/>
        <v>0.75625283222061579</v>
      </c>
      <c r="G61" s="44">
        <v>1</v>
      </c>
      <c r="H61" s="149">
        <f>'Transition Probabilites'!H57</f>
        <v>0.75625283222061579</v>
      </c>
      <c r="I61" s="44" t="s">
        <v>80</v>
      </c>
      <c r="J61" s="44">
        <f t="shared" si="3"/>
        <v>0.6080300007847339</v>
      </c>
      <c r="K61" s="44">
        <f t="shared" si="4"/>
        <v>0.90447566365649767</v>
      </c>
      <c r="L61" s="44" t="s">
        <v>80</v>
      </c>
      <c r="M61" s="54" t="s">
        <v>242</v>
      </c>
      <c r="N61" s="44" t="e">
        <f t="shared" ca="1" si="5"/>
        <v>#NUM!</v>
      </c>
      <c r="O61" s="44">
        <f t="shared" ca="1" si="6"/>
        <v>0.16698756951695992</v>
      </c>
      <c r="P61" s="55">
        <f t="shared" si="7"/>
        <v>24.374716777938421</v>
      </c>
      <c r="Q61" s="55">
        <f t="shared" si="8"/>
        <v>-60.206561935127546</v>
      </c>
      <c r="R61" s="55">
        <f t="shared" si="1"/>
        <v>7.5625283222061579E-2</v>
      </c>
      <c r="S61"/>
      <c r="T61" s="94"/>
    </row>
    <row r="62" spans="1:20" ht="20.25" customHeight="1" x14ac:dyDescent="0.2">
      <c r="A62"/>
      <c r="B62" s="119">
        <v>8</v>
      </c>
      <c r="C62" s="210"/>
      <c r="D62" s="148">
        <f t="shared" si="9"/>
        <v>49</v>
      </c>
      <c r="E62" s="29" t="str">
        <f t="shared" si="14"/>
        <v>Transition from state 6 to state 8 (CHG T1)</v>
      </c>
      <c r="F62" s="44">
        <f t="shared" si="0"/>
        <v>0.24293537822684472</v>
      </c>
      <c r="G62" s="44">
        <v>1</v>
      </c>
      <c r="H62" s="149">
        <f>'Transition Probabilites'!H58</f>
        <v>0.24293537822684472</v>
      </c>
      <c r="I62" s="44" t="s">
        <v>37</v>
      </c>
      <c r="J62" s="44">
        <f t="shared" si="3"/>
        <v>0.19532091903732154</v>
      </c>
      <c r="K62" s="44">
        <f t="shared" si="4"/>
        <v>0.29054983741636786</v>
      </c>
      <c r="L62" s="44" t="s">
        <v>37</v>
      </c>
      <c r="M62" s="54" t="s">
        <v>242</v>
      </c>
      <c r="N62" s="44">
        <f t="shared" ca="1" si="5"/>
        <v>0.30632101091616615</v>
      </c>
      <c r="O62" s="44">
        <f t="shared" ca="1" si="6"/>
        <v>0.95622693154446303</v>
      </c>
      <c r="P62" s="55">
        <f t="shared" si="7"/>
        <v>75.706462177315515</v>
      </c>
      <c r="Q62" s="55">
        <f t="shared" si="8"/>
        <v>214.06145417821583</v>
      </c>
      <c r="R62" s="55">
        <f t="shared" si="1"/>
        <v>2.4293537822684473E-2</v>
      </c>
      <c r="S62"/>
      <c r="T62" s="94"/>
    </row>
    <row r="63" spans="1:20" ht="20.25" customHeight="1" x14ac:dyDescent="0.2">
      <c r="A63"/>
      <c r="B63" s="119">
        <v>1</v>
      </c>
      <c r="C63" s="210"/>
      <c r="D63" s="148">
        <f t="shared" si="9"/>
        <v>50</v>
      </c>
      <c r="E63" s="29" t="str">
        <f t="shared" ref="E63:E70" si="15">"Transition from state"&amp; " "&amp;$B$21&amp;" "&amp;"to state"&amp;" "&amp;B63&amp;" "&amp;"(CHG T1)"</f>
        <v>Transition from state 7 to state 1 (CHG T1)</v>
      </c>
      <c r="F63" s="44">
        <f t="shared" si="0"/>
        <v>0</v>
      </c>
      <c r="G63" s="44">
        <v>1</v>
      </c>
      <c r="H63" s="149">
        <f>'Transition Probabilites'!H59</f>
        <v>0</v>
      </c>
      <c r="I63" s="44" t="s">
        <v>80</v>
      </c>
      <c r="J63" s="44">
        <f t="shared" si="3"/>
        <v>0</v>
      </c>
      <c r="K63" s="44">
        <f t="shared" si="4"/>
        <v>0</v>
      </c>
      <c r="L63" s="44" t="s">
        <v>80</v>
      </c>
      <c r="M63" s="54" t="s">
        <v>242</v>
      </c>
      <c r="N63" s="44" t="e">
        <f t="shared" ca="1" si="5"/>
        <v>#DIV/0!</v>
      </c>
      <c r="O63" s="44">
        <f t="shared" ca="1" si="6"/>
        <v>0.17951499248181735</v>
      </c>
      <c r="P63" s="55" t="e">
        <f t="shared" si="7"/>
        <v>#DIV/0!</v>
      </c>
      <c r="Q63" s="55" t="e">
        <f t="shared" si="8"/>
        <v>#DIV/0!</v>
      </c>
      <c r="R63" s="55">
        <f t="shared" si="1"/>
        <v>0</v>
      </c>
      <c r="S63"/>
      <c r="T63" s="94"/>
    </row>
    <row r="64" spans="1:20" ht="20.25" customHeight="1" x14ac:dyDescent="0.2">
      <c r="A64"/>
      <c r="B64" s="119">
        <v>2</v>
      </c>
      <c r="C64" s="210"/>
      <c r="D64" s="148">
        <f t="shared" si="9"/>
        <v>51</v>
      </c>
      <c r="E64" s="29" t="str">
        <f t="shared" si="15"/>
        <v>Transition from state 7 to state 2 (CHG T1)</v>
      </c>
      <c r="F64" s="44">
        <f t="shared" si="0"/>
        <v>0</v>
      </c>
      <c r="G64" s="44">
        <v>1</v>
      </c>
      <c r="H64" s="149">
        <f>'Transition Probabilites'!H60</f>
        <v>0</v>
      </c>
      <c r="I64" s="44" t="s">
        <v>80</v>
      </c>
      <c r="J64" s="44">
        <f t="shared" si="3"/>
        <v>0</v>
      </c>
      <c r="K64" s="44">
        <f t="shared" si="4"/>
        <v>0</v>
      </c>
      <c r="L64" s="44" t="s">
        <v>80</v>
      </c>
      <c r="M64" s="54" t="s">
        <v>242</v>
      </c>
      <c r="N64" s="44" t="e">
        <f t="shared" ca="1" si="5"/>
        <v>#DIV/0!</v>
      </c>
      <c r="O64" s="44">
        <f t="shared" ca="1" si="6"/>
        <v>0.43837620404480804</v>
      </c>
      <c r="P64" s="55" t="e">
        <f t="shared" si="7"/>
        <v>#DIV/0!</v>
      </c>
      <c r="Q64" s="55" t="e">
        <f t="shared" si="8"/>
        <v>#DIV/0!</v>
      </c>
      <c r="R64" s="55">
        <f t="shared" si="1"/>
        <v>0</v>
      </c>
      <c r="S64"/>
      <c r="T64" s="94"/>
    </row>
    <row r="65" spans="1:20" ht="20.25" customHeight="1" x14ac:dyDescent="0.2">
      <c r="A65"/>
      <c r="B65" s="119">
        <v>3</v>
      </c>
      <c r="C65" s="210"/>
      <c r="D65" s="148">
        <f t="shared" si="9"/>
        <v>52</v>
      </c>
      <c r="E65" s="29" t="str">
        <f t="shared" si="15"/>
        <v>Transition from state 7 to state 3 (CHG T1)</v>
      </c>
      <c r="F65" s="44">
        <f t="shared" si="0"/>
        <v>0</v>
      </c>
      <c r="G65" s="44">
        <v>1</v>
      </c>
      <c r="H65" s="149">
        <f>'Transition Probabilites'!H61</f>
        <v>0</v>
      </c>
      <c r="I65" s="44" t="s">
        <v>80</v>
      </c>
      <c r="J65" s="44">
        <f t="shared" si="3"/>
        <v>0</v>
      </c>
      <c r="K65" s="44">
        <f t="shared" si="4"/>
        <v>0</v>
      </c>
      <c r="L65" s="44" t="s">
        <v>80</v>
      </c>
      <c r="M65" s="54" t="s">
        <v>242</v>
      </c>
      <c r="N65" s="44" t="e">
        <f t="shared" ca="1" si="5"/>
        <v>#DIV/0!</v>
      </c>
      <c r="O65" s="44">
        <f t="shared" ca="1" si="6"/>
        <v>0.74300443498003532</v>
      </c>
      <c r="P65" s="55" t="e">
        <f t="shared" si="7"/>
        <v>#DIV/0!</v>
      </c>
      <c r="Q65" s="55" t="e">
        <f t="shared" si="8"/>
        <v>#DIV/0!</v>
      </c>
      <c r="R65" s="55">
        <f t="shared" si="1"/>
        <v>0</v>
      </c>
      <c r="S65"/>
      <c r="T65" s="94"/>
    </row>
    <row r="66" spans="1:20" ht="20.25" customHeight="1" x14ac:dyDescent="0.2">
      <c r="A66"/>
      <c r="B66" s="119">
        <v>4</v>
      </c>
      <c r="C66" s="210"/>
      <c r="D66" s="148">
        <f t="shared" si="9"/>
        <v>53</v>
      </c>
      <c r="E66" s="29" t="str">
        <f t="shared" si="15"/>
        <v>Transition from state 7 to state 4 (CHG T1)</v>
      </c>
      <c r="F66" s="44">
        <f t="shared" si="0"/>
        <v>0</v>
      </c>
      <c r="G66" s="44">
        <v>1</v>
      </c>
      <c r="H66" s="149">
        <f>'Transition Probabilites'!H62</f>
        <v>0</v>
      </c>
      <c r="I66" s="44" t="s">
        <v>80</v>
      </c>
      <c r="J66" s="44">
        <f t="shared" si="3"/>
        <v>0</v>
      </c>
      <c r="K66" s="44">
        <f t="shared" si="4"/>
        <v>0</v>
      </c>
      <c r="L66" s="44" t="s">
        <v>80</v>
      </c>
      <c r="M66" s="54" t="s">
        <v>242</v>
      </c>
      <c r="N66" s="44" t="e">
        <f t="shared" ca="1" si="5"/>
        <v>#DIV/0!</v>
      </c>
      <c r="O66" s="44">
        <f t="shared" ca="1" si="6"/>
        <v>3.6165051867878217E-2</v>
      </c>
      <c r="P66" s="55" t="e">
        <f t="shared" si="7"/>
        <v>#DIV/0!</v>
      </c>
      <c r="Q66" s="55" t="e">
        <f t="shared" si="8"/>
        <v>#DIV/0!</v>
      </c>
      <c r="R66" s="55">
        <f t="shared" si="1"/>
        <v>0</v>
      </c>
      <c r="S66"/>
      <c r="T66" s="94"/>
    </row>
    <row r="67" spans="1:20" ht="20.25" customHeight="1" x14ac:dyDescent="0.2">
      <c r="A67"/>
      <c r="B67" s="119">
        <v>5</v>
      </c>
      <c r="C67" s="210"/>
      <c r="D67" s="148">
        <f t="shared" si="9"/>
        <v>54</v>
      </c>
      <c r="E67" s="29" t="str">
        <f t="shared" si="15"/>
        <v>Transition from state 7 to state 5 (CHG T1)</v>
      </c>
      <c r="F67" s="44">
        <f t="shared" si="0"/>
        <v>0</v>
      </c>
      <c r="G67" s="44">
        <v>1</v>
      </c>
      <c r="H67" s="149">
        <f>'Transition Probabilites'!H63</f>
        <v>0</v>
      </c>
      <c r="I67" s="44" t="s">
        <v>80</v>
      </c>
      <c r="J67" s="44">
        <f t="shared" si="3"/>
        <v>0</v>
      </c>
      <c r="K67" s="44">
        <f t="shared" si="4"/>
        <v>0</v>
      </c>
      <c r="L67" s="44" t="s">
        <v>80</v>
      </c>
      <c r="M67" s="54" t="s">
        <v>242</v>
      </c>
      <c r="N67" s="44" t="e">
        <f t="shared" ca="1" si="5"/>
        <v>#DIV/0!</v>
      </c>
      <c r="O67" s="44">
        <f t="shared" ca="1" si="6"/>
        <v>0.8779780064425643</v>
      </c>
      <c r="P67" s="55" t="e">
        <f t="shared" si="7"/>
        <v>#DIV/0!</v>
      </c>
      <c r="Q67" s="55" t="e">
        <f t="shared" si="8"/>
        <v>#DIV/0!</v>
      </c>
      <c r="R67" s="55">
        <f t="shared" si="1"/>
        <v>0</v>
      </c>
      <c r="S67"/>
      <c r="T67" s="94"/>
    </row>
    <row r="68" spans="1:20" ht="20.25" customHeight="1" x14ac:dyDescent="0.2">
      <c r="A68"/>
      <c r="B68" s="119">
        <v>6</v>
      </c>
      <c r="C68" s="210"/>
      <c r="D68" s="148">
        <f t="shared" si="9"/>
        <v>55</v>
      </c>
      <c r="E68" s="29" t="str">
        <f t="shared" si="15"/>
        <v>Transition from state 7 to state 6 (CHG T1)</v>
      </c>
      <c r="F68" s="44">
        <f t="shared" si="0"/>
        <v>0</v>
      </c>
      <c r="G68" s="44">
        <v>1</v>
      </c>
      <c r="H68" s="149">
        <f>'Transition Probabilites'!H64</f>
        <v>0</v>
      </c>
      <c r="I68" s="44" t="s">
        <v>80</v>
      </c>
      <c r="J68" s="44">
        <f t="shared" si="3"/>
        <v>0</v>
      </c>
      <c r="K68" s="44">
        <f t="shared" si="4"/>
        <v>0</v>
      </c>
      <c r="L68" s="44" t="s">
        <v>80</v>
      </c>
      <c r="M68" s="54" t="s">
        <v>242</v>
      </c>
      <c r="N68" s="44" t="e">
        <f t="shared" ca="1" si="5"/>
        <v>#DIV/0!</v>
      </c>
      <c r="O68" s="44">
        <f t="shared" ca="1" si="6"/>
        <v>0.98934243815996592</v>
      </c>
      <c r="P68" s="55" t="e">
        <f t="shared" si="7"/>
        <v>#DIV/0!</v>
      </c>
      <c r="Q68" s="55" t="e">
        <f t="shared" si="8"/>
        <v>#DIV/0!</v>
      </c>
      <c r="R68" s="55">
        <f t="shared" si="1"/>
        <v>0</v>
      </c>
      <c r="S68"/>
      <c r="T68" s="94"/>
    </row>
    <row r="69" spans="1:20" ht="20.25" customHeight="1" x14ac:dyDescent="0.2">
      <c r="A69"/>
      <c r="B69" s="119">
        <v>7</v>
      </c>
      <c r="C69" s="210"/>
      <c r="D69" s="148">
        <f t="shared" si="9"/>
        <v>56</v>
      </c>
      <c r="E69" s="29" t="str">
        <f t="shared" si="15"/>
        <v>Transition from state 7 to state 7 (CHG T1)</v>
      </c>
      <c r="F69" s="44">
        <f t="shared" si="0"/>
        <v>1</v>
      </c>
      <c r="G69" s="44">
        <v>1</v>
      </c>
      <c r="H69" s="149">
        <f>'Transition Probabilites'!H65</f>
        <v>1</v>
      </c>
      <c r="I69" s="44" t="s">
        <v>80</v>
      </c>
      <c r="J69" s="44">
        <f t="shared" si="3"/>
        <v>0.8040036015459946</v>
      </c>
      <c r="K69" s="44">
        <f t="shared" si="4"/>
        <v>1.1959963984540054</v>
      </c>
      <c r="L69" s="44" t="s">
        <v>80</v>
      </c>
      <c r="M69" s="54" t="s">
        <v>242</v>
      </c>
      <c r="N69" s="44" t="e">
        <f t="shared" ca="1" si="5"/>
        <v>#NUM!</v>
      </c>
      <c r="O69" s="44">
        <f t="shared" ca="1" si="6"/>
        <v>0.65217804827695058</v>
      </c>
      <c r="P69" s="55">
        <f t="shared" si="7"/>
        <v>0</v>
      </c>
      <c r="Q69" s="55">
        <f t="shared" si="8"/>
        <v>-89.999999999999986</v>
      </c>
      <c r="R69" s="55">
        <f t="shared" si="1"/>
        <v>0.1</v>
      </c>
      <c r="S69"/>
      <c r="T69" s="94"/>
    </row>
    <row r="70" spans="1:20" ht="20.25" customHeight="1" x14ac:dyDescent="0.2">
      <c r="A70"/>
      <c r="B70" s="119">
        <v>8</v>
      </c>
      <c r="C70" s="210"/>
      <c r="D70" s="148">
        <f t="shared" si="9"/>
        <v>57</v>
      </c>
      <c r="E70" s="29" t="str">
        <f t="shared" si="15"/>
        <v>Transition from state 7 to state 8 (CHG T1)</v>
      </c>
      <c r="F70" s="44">
        <f t="shared" si="0"/>
        <v>0</v>
      </c>
      <c r="G70" s="44">
        <v>1</v>
      </c>
      <c r="H70" s="149">
        <f>'Transition Probabilites'!H66</f>
        <v>0</v>
      </c>
      <c r="I70" s="44" t="s">
        <v>80</v>
      </c>
      <c r="J70" s="44">
        <f t="shared" si="3"/>
        <v>0</v>
      </c>
      <c r="K70" s="44">
        <f t="shared" si="4"/>
        <v>0</v>
      </c>
      <c r="L70" s="44" t="s">
        <v>80</v>
      </c>
      <c r="M70" s="54" t="s">
        <v>242</v>
      </c>
      <c r="N70" s="44" t="e">
        <f t="shared" ca="1" si="5"/>
        <v>#DIV/0!</v>
      </c>
      <c r="O70" s="44">
        <f t="shared" ca="1" si="6"/>
        <v>0.5255952758809378</v>
      </c>
      <c r="P70" s="55" t="e">
        <f t="shared" si="7"/>
        <v>#DIV/0!</v>
      </c>
      <c r="Q70" s="55" t="e">
        <f t="shared" si="8"/>
        <v>#DIV/0!</v>
      </c>
      <c r="R70" s="55">
        <f t="shared" si="1"/>
        <v>0</v>
      </c>
      <c r="S70"/>
      <c r="T70" s="94"/>
    </row>
    <row r="71" spans="1:20" ht="20.25" customHeight="1" x14ac:dyDescent="0.2">
      <c r="A71"/>
      <c r="B71" s="119">
        <v>1</v>
      </c>
      <c r="C71" s="210"/>
      <c r="D71" s="148">
        <f t="shared" si="9"/>
        <v>58</v>
      </c>
      <c r="E71" s="29" t="str">
        <f t="shared" ref="E71:E78" si="16">"Transition from state"&amp; " "&amp;$B$22&amp;" "&amp;"to state"&amp;" "&amp;B71&amp;" "&amp;"(CHG T1)"</f>
        <v>Transition from state 8 to state 1 (CHG T1)</v>
      </c>
      <c r="F71" s="44">
        <f t="shared" si="0"/>
        <v>0</v>
      </c>
      <c r="G71" s="44">
        <v>1</v>
      </c>
      <c r="H71" s="149">
        <f>'Transition Probabilites'!H67</f>
        <v>0</v>
      </c>
      <c r="I71" s="44" t="s">
        <v>80</v>
      </c>
      <c r="J71" s="44">
        <f t="shared" si="3"/>
        <v>0</v>
      </c>
      <c r="K71" s="44">
        <f t="shared" si="4"/>
        <v>0</v>
      </c>
      <c r="L71" s="44" t="s">
        <v>80</v>
      </c>
      <c r="M71" s="54" t="s">
        <v>242</v>
      </c>
      <c r="N71" s="44" t="e">
        <f t="shared" ca="1" si="5"/>
        <v>#DIV/0!</v>
      </c>
      <c r="O71" s="44">
        <f t="shared" ca="1" si="6"/>
        <v>0.8574257986037721</v>
      </c>
      <c r="P71" s="55" t="e">
        <f t="shared" si="7"/>
        <v>#DIV/0!</v>
      </c>
      <c r="Q71" s="55" t="e">
        <f t="shared" si="8"/>
        <v>#DIV/0!</v>
      </c>
      <c r="R71" s="55">
        <f t="shared" si="1"/>
        <v>0</v>
      </c>
      <c r="S71"/>
      <c r="T71" s="94"/>
    </row>
    <row r="72" spans="1:20" ht="20.25" customHeight="1" x14ac:dyDescent="0.2">
      <c r="A72"/>
      <c r="B72" s="119">
        <v>2</v>
      </c>
      <c r="C72" s="210"/>
      <c r="D72" s="148">
        <f t="shared" si="9"/>
        <v>59</v>
      </c>
      <c r="E72" s="29" t="str">
        <f t="shared" si="16"/>
        <v>Transition from state 8 to state 2 (CHG T1)</v>
      </c>
      <c r="F72" s="44">
        <f t="shared" si="0"/>
        <v>0</v>
      </c>
      <c r="G72" s="44">
        <v>1</v>
      </c>
      <c r="H72" s="149">
        <f>'Transition Probabilites'!H68</f>
        <v>0</v>
      </c>
      <c r="I72" s="44" t="s">
        <v>80</v>
      </c>
      <c r="J72" s="44">
        <f t="shared" si="3"/>
        <v>0</v>
      </c>
      <c r="K72" s="44">
        <f t="shared" si="4"/>
        <v>0</v>
      </c>
      <c r="L72" s="44" t="s">
        <v>80</v>
      </c>
      <c r="M72" s="54" t="s">
        <v>242</v>
      </c>
      <c r="N72" s="44" t="e">
        <f t="shared" ca="1" si="5"/>
        <v>#DIV/0!</v>
      </c>
      <c r="O72" s="44">
        <f t="shared" ca="1" si="6"/>
        <v>0.50813229472432186</v>
      </c>
      <c r="P72" s="55" t="e">
        <f t="shared" si="7"/>
        <v>#DIV/0!</v>
      </c>
      <c r="Q72" s="55" t="e">
        <f t="shared" si="8"/>
        <v>#DIV/0!</v>
      </c>
      <c r="R72" s="55">
        <f t="shared" si="1"/>
        <v>0</v>
      </c>
      <c r="S72"/>
      <c r="T72" s="94"/>
    </row>
    <row r="73" spans="1:20" ht="20.25" customHeight="1" x14ac:dyDescent="0.2">
      <c r="A73"/>
      <c r="B73" s="119">
        <v>3</v>
      </c>
      <c r="C73" s="210"/>
      <c r="D73" s="148">
        <f t="shared" si="9"/>
        <v>60</v>
      </c>
      <c r="E73" s="29" t="str">
        <f t="shared" si="16"/>
        <v>Transition from state 8 to state 3 (CHG T1)</v>
      </c>
      <c r="F73" s="44">
        <f t="shared" si="0"/>
        <v>0</v>
      </c>
      <c r="G73" s="44">
        <v>1</v>
      </c>
      <c r="H73" s="149">
        <f>'Transition Probabilites'!H69</f>
        <v>0</v>
      </c>
      <c r="I73" s="44" t="s">
        <v>80</v>
      </c>
      <c r="J73" s="44">
        <f t="shared" si="3"/>
        <v>0</v>
      </c>
      <c r="K73" s="44">
        <f t="shared" si="4"/>
        <v>0</v>
      </c>
      <c r="L73" s="44" t="s">
        <v>80</v>
      </c>
      <c r="M73" s="54" t="s">
        <v>242</v>
      </c>
      <c r="N73" s="44" t="e">
        <f t="shared" ca="1" si="5"/>
        <v>#DIV/0!</v>
      </c>
      <c r="O73" s="44">
        <f t="shared" ca="1" si="6"/>
        <v>0.29132064071242936</v>
      </c>
      <c r="P73" s="55" t="e">
        <f t="shared" si="7"/>
        <v>#DIV/0!</v>
      </c>
      <c r="Q73" s="55" t="e">
        <f t="shared" si="8"/>
        <v>#DIV/0!</v>
      </c>
      <c r="R73" s="55">
        <f t="shared" si="1"/>
        <v>0</v>
      </c>
      <c r="S73"/>
      <c r="T73" s="94"/>
    </row>
    <row r="74" spans="1:20" ht="20.25" customHeight="1" x14ac:dyDescent="0.2">
      <c r="A74"/>
      <c r="B74" s="119">
        <v>4</v>
      </c>
      <c r="C74" s="210"/>
      <c r="D74" s="148">
        <f t="shared" si="9"/>
        <v>61</v>
      </c>
      <c r="E74" s="29" t="str">
        <f t="shared" si="16"/>
        <v>Transition from state 8 to state 4 (CHG T1)</v>
      </c>
      <c r="F74" s="44">
        <f t="shared" si="0"/>
        <v>0</v>
      </c>
      <c r="G74" s="44">
        <v>1</v>
      </c>
      <c r="H74" s="149">
        <f>'Transition Probabilites'!H70</f>
        <v>0</v>
      </c>
      <c r="I74" s="44" t="s">
        <v>80</v>
      </c>
      <c r="J74" s="44">
        <f t="shared" si="3"/>
        <v>0</v>
      </c>
      <c r="K74" s="44">
        <f t="shared" si="4"/>
        <v>0</v>
      </c>
      <c r="L74" s="44" t="s">
        <v>80</v>
      </c>
      <c r="M74" s="54" t="s">
        <v>242</v>
      </c>
      <c r="N74" s="44" t="e">
        <f t="shared" ca="1" si="5"/>
        <v>#DIV/0!</v>
      </c>
      <c r="O74" s="44">
        <f t="shared" ca="1" si="6"/>
        <v>0.92051642447982185</v>
      </c>
      <c r="P74" s="55" t="e">
        <f t="shared" si="7"/>
        <v>#DIV/0!</v>
      </c>
      <c r="Q74" s="55" t="e">
        <f t="shared" si="8"/>
        <v>#DIV/0!</v>
      </c>
      <c r="R74" s="55">
        <f t="shared" si="1"/>
        <v>0</v>
      </c>
      <c r="S74"/>
      <c r="T74" s="94"/>
    </row>
    <row r="75" spans="1:20" ht="20.25" customHeight="1" x14ac:dyDescent="0.2">
      <c r="A75"/>
      <c r="B75" s="119">
        <v>5</v>
      </c>
      <c r="C75" s="210"/>
      <c r="D75" s="148">
        <f t="shared" si="9"/>
        <v>62</v>
      </c>
      <c r="E75" s="29" t="str">
        <f t="shared" si="16"/>
        <v>Transition from state 8 to state 5 (CHG T1)</v>
      </c>
      <c r="F75" s="44">
        <f t="shared" si="0"/>
        <v>0</v>
      </c>
      <c r="G75" s="44">
        <v>1</v>
      </c>
      <c r="H75" s="149">
        <f>'Transition Probabilites'!H71</f>
        <v>0</v>
      </c>
      <c r="I75" s="44" t="s">
        <v>80</v>
      </c>
      <c r="J75" s="44">
        <f t="shared" si="3"/>
        <v>0</v>
      </c>
      <c r="K75" s="44">
        <f t="shared" si="4"/>
        <v>0</v>
      </c>
      <c r="L75" s="44" t="s">
        <v>80</v>
      </c>
      <c r="M75" s="54" t="s">
        <v>242</v>
      </c>
      <c r="N75" s="44" t="e">
        <f t="shared" ca="1" si="5"/>
        <v>#DIV/0!</v>
      </c>
      <c r="O75" s="44">
        <f t="shared" ref="O75:O138" ca="1" si="17">RAND()</f>
        <v>2.5565057302538996E-3</v>
      </c>
      <c r="P75" s="55" t="e">
        <f t="shared" si="7"/>
        <v>#DIV/0!</v>
      </c>
      <c r="Q75" s="55" t="e">
        <f t="shared" si="8"/>
        <v>#DIV/0!</v>
      </c>
      <c r="R75" s="55">
        <f t="shared" si="1"/>
        <v>0</v>
      </c>
      <c r="S75"/>
      <c r="T75" s="94"/>
    </row>
    <row r="76" spans="1:20" ht="20.25" customHeight="1" x14ac:dyDescent="0.2">
      <c r="A76"/>
      <c r="B76" s="119">
        <v>6</v>
      </c>
      <c r="C76" s="210"/>
      <c r="D76" s="148">
        <f t="shared" si="9"/>
        <v>63</v>
      </c>
      <c r="E76" s="29" t="str">
        <f t="shared" si="16"/>
        <v>Transition from state 8 to state 6 (CHG T1)</v>
      </c>
      <c r="F76" s="44">
        <f t="shared" si="0"/>
        <v>0</v>
      </c>
      <c r="G76" s="44">
        <v>1</v>
      </c>
      <c r="H76" s="149">
        <f>'Transition Probabilites'!H72</f>
        <v>0</v>
      </c>
      <c r="I76" s="44" t="s">
        <v>80</v>
      </c>
      <c r="J76" s="44">
        <f t="shared" si="3"/>
        <v>0</v>
      </c>
      <c r="K76" s="44">
        <f t="shared" si="4"/>
        <v>0</v>
      </c>
      <c r="L76" s="44" t="s">
        <v>80</v>
      </c>
      <c r="M76" s="54" t="s">
        <v>242</v>
      </c>
      <c r="N76" s="44" t="e">
        <f t="shared" ca="1" si="5"/>
        <v>#DIV/0!</v>
      </c>
      <c r="O76" s="44">
        <f t="shared" ca="1" si="17"/>
        <v>0.30968384532870097</v>
      </c>
      <c r="P76" s="55" t="e">
        <f t="shared" si="7"/>
        <v>#DIV/0!</v>
      </c>
      <c r="Q76" s="55" t="e">
        <f t="shared" si="8"/>
        <v>#DIV/0!</v>
      </c>
      <c r="R76" s="55">
        <f t="shared" si="1"/>
        <v>0</v>
      </c>
      <c r="S76"/>
      <c r="T76" s="94"/>
    </row>
    <row r="77" spans="1:20" ht="20.25" customHeight="1" x14ac:dyDescent="0.2">
      <c r="A77"/>
      <c r="B77" s="119">
        <v>7</v>
      </c>
      <c r="C77" s="210"/>
      <c r="D77" s="148">
        <f t="shared" si="9"/>
        <v>64</v>
      </c>
      <c r="E77" s="29" t="str">
        <f t="shared" si="16"/>
        <v>Transition from state 8 to state 7 (CHG T1)</v>
      </c>
      <c r="F77" s="44">
        <f t="shared" si="0"/>
        <v>0</v>
      </c>
      <c r="G77" s="44">
        <v>1</v>
      </c>
      <c r="H77" s="149">
        <f>'Transition Probabilites'!H73</f>
        <v>0</v>
      </c>
      <c r="I77" s="44" t="s">
        <v>80</v>
      </c>
      <c r="J77" s="44">
        <f t="shared" si="3"/>
        <v>0</v>
      </c>
      <c r="K77" s="44">
        <f t="shared" si="4"/>
        <v>0</v>
      </c>
      <c r="L77" s="44" t="s">
        <v>80</v>
      </c>
      <c r="M77" s="54" t="s">
        <v>242</v>
      </c>
      <c r="N77" s="44" t="e">
        <f t="shared" ca="1" si="5"/>
        <v>#DIV/0!</v>
      </c>
      <c r="O77" s="44">
        <f t="shared" ca="1" si="17"/>
        <v>0.58829779187477882</v>
      </c>
      <c r="P77" s="55" t="e">
        <f t="shared" si="7"/>
        <v>#DIV/0!</v>
      </c>
      <c r="Q77" s="55" t="e">
        <f t="shared" si="8"/>
        <v>#DIV/0!</v>
      </c>
      <c r="R77" s="55">
        <f t="shared" si="1"/>
        <v>0</v>
      </c>
      <c r="S77"/>
      <c r="T77" s="94"/>
    </row>
    <row r="78" spans="1:20" ht="20.25" customHeight="1" x14ac:dyDescent="0.2">
      <c r="A78"/>
      <c r="B78" s="119">
        <v>8</v>
      </c>
      <c r="C78" s="210"/>
      <c r="D78" s="148">
        <f t="shared" si="9"/>
        <v>65</v>
      </c>
      <c r="E78" s="29" t="str">
        <f t="shared" si="16"/>
        <v>Transition from state 8 to state 8 (CHG T1)</v>
      </c>
      <c r="F78" s="44">
        <f t="shared" ref="F78:F141" si="18">CHOOSE(G78,H78,J78,K78,N78)</f>
        <v>1</v>
      </c>
      <c r="G78" s="44">
        <v>1</v>
      </c>
      <c r="H78" s="149">
        <f>'Transition Probabilites'!H74</f>
        <v>1</v>
      </c>
      <c r="I78" s="44" t="s">
        <v>80</v>
      </c>
      <c r="J78" s="44">
        <f t="shared" si="3"/>
        <v>0.8040036015459946</v>
      </c>
      <c r="K78" s="44">
        <f t="shared" si="4"/>
        <v>1.1959963984540054</v>
      </c>
      <c r="L78" s="44" t="s">
        <v>80</v>
      </c>
      <c r="M78" s="54" t="s">
        <v>242</v>
      </c>
      <c r="N78" s="44" t="e">
        <f t="shared" ca="1" si="5"/>
        <v>#NUM!</v>
      </c>
      <c r="O78" s="44">
        <f t="shared" ca="1" si="17"/>
        <v>0.1460436238377677</v>
      </c>
      <c r="P78" s="55">
        <f t="shared" si="7"/>
        <v>0</v>
      </c>
      <c r="Q78" s="55">
        <f t="shared" si="8"/>
        <v>-89.999999999999986</v>
      </c>
      <c r="R78" s="55">
        <f t="shared" ref="R78:R141" si="19">assumedSE*H78</f>
        <v>0.1</v>
      </c>
      <c r="S78"/>
      <c r="T78" s="94"/>
    </row>
    <row r="79" spans="1:20" ht="20.25" customHeight="1" x14ac:dyDescent="0.2">
      <c r="A79"/>
      <c r="B79" s="119">
        <v>1</v>
      </c>
      <c r="C79" s="209" t="s">
        <v>125</v>
      </c>
      <c r="D79" s="148">
        <f t="shared" si="9"/>
        <v>66</v>
      </c>
      <c r="E79" s="29" t="str">
        <f t="shared" ref="E79:E86" si="20">"Transition from state"&amp; " "&amp;$B$15&amp;" "&amp;"to state"&amp;" "&amp;B79&amp;" "&amp;"(PVI T1)"</f>
        <v>Transition from state 1 to state 1 (PVI T1)</v>
      </c>
      <c r="F79" s="44">
        <f t="shared" si="18"/>
        <v>2.7383555306571784E-4</v>
      </c>
      <c r="G79" s="44">
        <v>1</v>
      </c>
      <c r="H79" s="149">
        <f>'Transition Probabilites'!T11</f>
        <v>2.7383555306571784E-4</v>
      </c>
      <c r="I79" s="44" t="s">
        <v>37</v>
      </c>
      <c r="J79" s="44">
        <f t="shared" ref="J79:J142" si="21">IF(H79=0,0,_xlfn.NORM.INV(0.025,H79,R79))</f>
        <v>2.2016477089617647E-4</v>
      </c>
      <c r="K79" s="44">
        <f t="shared" ref="K79:K142" si="22">IF(H79=0,0,_xlfn.NORM.INV(0.975,H79,R79))</f>
        <v>3.2750633523525918E-4</v>
      </c>
      <c r="L79" s="44" t="s">
        <v>37</v>
      </c>
      <c r="M79" s="54" t="s">
        <v>242</v>
      </c>
      <c r="N79" s="44">
        <f t="shared" ref="N79:N142" ca="1" si="23">IF(H79=1,_xlfn.GAMMA.INV(O79,P79+1,1)/(_xlfn.GAMMA.INV(O79,P79+1,1)+_xlfn.GAMMA.INV(O79,Q79+1,1)),_xlfn.BETA.INV(O79,P79,Q79))</f>
        <v>2.6655152887928928E-4</v>
      </c>
      <c r="O79" s="44">
        <f t="shared" ca="1" si="17"/>
        <v>0.40710862919031787</v>
      </c>
      <c r="P79" s="55">
        <f t="shared" ref="P79:P142" si="24">((H79^2)*(1-H79))/(R79^2)</f>
        <v>99.972616444693443</v>
      </c>
      <c r="Q79" s="55">
        <f t="shared" ref="Q79:Q142" si="25">(H79*(1-H79)/(R79^2))-((H79^2)*(1-R79)/(R79^2))</f>
        <v>364982.67854671186</v>
      </c>
      <c r="R79" s="55">
        <f t="shared" si="19"/>
        <v>2.7383555306571785E-5</v>
      </c>
      <c r="S79"/>
      <c r="T79" s="94"/>
    </row>
    <row r="80" spans="1:20" ht="20.25" customHeight="1" x14ac:dyDescent="0.2">
      <c r="A80"/>
      <c r="B80" s="119">
        <v>2</v>
      </c>
      <c r="C80" s="210"/>
      <c r="D80" s="148">
        <f t="shared" ref="D80:D143" si="26">D79+1</f>
        <v>67</v>
      </c>
      <c r="E80" s="29" t="str">
        <f t="shared" si="20"/>
        <v>Transition from state 1 to state 2 (PVI T1)</v>
      </c>
      <c r="F80" s="44">
        <f t="shared" si="18"/>
        <v>4.8627112666117957E-4</v>
      </c>
      <c r="G80" s="44">
        <v>1</v>
      </c>
      <c r="H80" s="149">
        <f>'Transition Probabilites'!T12</f>
        <v>4.8627112666117957E-4</v>
      </c>
      <c r="I80" s="44" t="s">
        <v>37</v>
      </c>
      <c r="J80" s="44">
        <f t="shared" si="21"/>
        <v>3.9096373716341693E-4</v>
      </c>
      <c r="K80" s="44">
        <f t="shared" si="22"/>
        <v>5.8157851615894221E-4</v>
      </c>
      <c r="L80" s="44" t="s">
        <v>37</v>
      </c>
      <c r="M80" s="54" t="s">
        <v>242</v>
      </c>
      <c r="N80" s="44">
        <f t="shared" ca="1" si="23"/>
        <v>4.9268703500116029E-4</v>
      </c>
      <c r="O80" s="44">
        <f t="shared" ca="1" si="17"/>
        <v>0.56539096633874875</v>
      </c>
      <c r="P80" s="55">
        <f t="shared" si="24"/>
        <v>99.951372887333875</v>
      </c>
      <c r="Q80" s="55">
        <f t="shared" si="25"/>
        <v>205446.59689176516</v>
      </c>
      <c r="R80" s="55">
        <f t="shared" si="19"/>
        <v>4.8627112666117958E-5</v>
      </c>
      <c r="S80"/>
      <c r="T80" s="94"/>
    </row>
    <row r="81" spans="1:20" ht="20.25" customHeight="1" x14ac:dyDescent="0.2">
      <c r="A81"/>
      <c r="B81" s="119">
        <v>3</v>
      </c>
      <c r="C81" s="210"/>
      <c r="D81" s="148">
        <f t="shared" si="26"/>
        <v>68</v>
      </c>
      <c r="E81" s="29" t="str">
        <f t="shared" si="20"/>
        <v>Transition from state 1 to state 3 (PVI T1)</v>
      </c>
      <c r="F81" s="44">
        <f t="shared" si="18"/>
        <v>1.0285348451114832E-5</v>
      </c>
      <c r="G81" s="44">
        <v>1</v>
      </c>
      <c r="H81" s="149">
        <f>'Transition Probabilites'!T13</f>
        <v>1.0285348451114832E-5</v>
      </c>
      <c r="I81" s="44" t="s">
        <v>37</v>
      </c>
      <c r="J81" s="44">
        <f t="shared" si="21"/>
        <v>8.2694571978518414E-6</v>
      </c>
      <c r="K81" s="44">
        <f t="shared" si="22"/>
        <v>1.2301239704377822E-5</v>
      </c>
      <c r="L81" s="44" t="s">
        <v>37</v>
      </c>
      <c r="M81" s="54" t="s">
        <v>242</v>
      </c>
      <c r="N81" s="44">
        <f t="shared" ca="1" si="23"/>
        <v>8.9174013162320325E-6</v>
      </c>
      <c r="O81" s="44">
        <f t="shared" ca="1" si="17"/>
        <v>8.6871086075663295E-2</v>
      </c>
      <c r="P81" s="55">
        <f t="shared" si="24"/>
        <v>99.998971465154852</v>
      </c>
      <c r="Q81" s="55">
        <f t="shared" si="25"/>
        <v>9722368.0273592286</v>
      </c>
      <c r="R81" s="55">
        <f t="shared" si="19"/>
        <v>1.0285348451114834E-6</v>
      </c>
      <c r="S81"/>
      <c r="T81" s="94"/>
    </row>
    <row r="82" spans="1:20" ht="20.25" customHeight="1" x14ac:dyDescent="0.2">
      <c r="A82"/>
      <c r="B82" s="119">
        <v>4</v>
      </c>
      <c r="C82" s="210"/>
      <c r="D82" s="148">
        <f t="shared" si="26"/>
        <v>69</v>
      </c>
      <c r="E82" s="29" t="str">
        <f t="shared" si="20"/>
        <v>Transition from state 1 to state 4 (PVI T1)</v>
      </c>
      <c r="F82" s="44">
        <f t="shared" si="18"/>
        <v>4.4741904867265492E-6</v>
      </c>
      <c r="G82" s="44">
        <v>1</v>
      </c>
      <c r="H82" s="149">
        <f>'Transition Probabilites'!T14</f>
        <v>4.4741904867265492E-6</v>
      </c>
      <c r="I82" s="44" t="s">
        <v>37</v>
      </c>
      <c r="J82" s="44">
        <f t="shared" si="21"/>
        <v>3.5972652653309721E-6</v>
      </c>
      <c r="K82" s="44">
        <f t="shared" si="22"/>
        <v>5.3511157081221262E-6</v>
      </c>
      <c r="L82" s="44" t="s">
        <v>37</v>
      </c>
      <c r="M82" s="54" t="s">
        <v>242</v>
      </c>
      <c r="N82" s="44">
        <f t="shared" ca="1" si="23"/>
        <v>3.9660731729042336E-6</v>
      </c>
      <c r="O82" s="44">
        <f t="shared" ca="1" si="17"/>
        <v>0.12546773331310268</v>
      </c>
      <c r="P82" s="55">
        <f t="shared" si="24"/>
        <v>99.999552580951331</v>
      </c>
      <c r="Q82" s="55">
        <f t="shared" si="25"/>
        <v>22350211.833574649</v>
      </c>
      <c r="R82" s="55">
        <f t="shared" si="19"/>
        <v>4.4741904867265492E-7</v>
      </c>
      <c r="S82"/>
      <c r="T82" s="94"/>
    </row>
    <row r="83" spans="1:20" ht="20.25" customHeight="1" x14ac:dyDescent="0.2">
      <c r="A83"/>
      <c r="B83" s="119">
        <v>5</v>
      </c>
      <c r="C83" s="210"/>
      <c r="D83" s="148">
        <f t="shared" si="26"/>
        <v>70</v>
      </c>
      <c r="E83" s="29" t="str">
        <f t="shared" si="20"/>
        <v>Transition from state 1 to state 5 (PVI T1)</v>
      </c>
      <c r="F83" s="44">
        <f t="shared" si="18"/>
        <v>1.7578245659014938E-10</v>
      </c>
      <c r="G83" s="44">
        <v>1</v>
      </c>
      <c r="H83" s="149">
        <f>'Transition Probabilites'!T15</f>
        <v>1.7578245659014938E-10</v>
      </c>
      <c r="I83" s="44" t="s">
        <v>37</v>
      </c>
      <c r="J83" s="44">
        <f t="shared" si="21"/>
        <v>1.4132972818708255E-10</v>
      </c>
      <c r="K83" s="44">
        <f t="shared" si="22"/>
        <v>2.1023518499321621E-10</v>
      </c>
      <c r="L83" s="44" t="s">
        <v>37</v>
      </c>
      <c r="M83" s="54" t="s">
        <v>242</v>
      </c>
      <c r="N83" s="44">
        <f t="shared" ca="1" si="23"/>
        <v>1.5385142788013849E-10</v>
      </c>
      <c r="O83" s="44">
        <f t="shared" ca="1" si="17"/>
        <v>0.10205204918127342</v>
      </c>
      <c r="P83" s="55">
        <f t="shared" si="24"/>
        <v>99.999999982421741</v>
      </c>
      <c r="Q83" s="55">
        <f t="shared" si="25"/>
        <v>568884983772.87634</v>
      </c>
      <c r="R83" s="55">
        <f t="shared" si="19"/>
        <v>1.757824565901494E-11</v>
      </c>
      <c r="S83"/>
      <c r="T83" s="94"/>
    </row>
    <row r="84" spans="1:20" ht="20.25" customHeight="1" x14ac:dyDescent="0.2">
      <c r="A84"/>
      <c r="B84" s="119">
        <v>6</v>
      </c>
      <c r="C84" s="210"/>
      <c r="D84" s="148">
        <f t="shared" si="26"/>
        <v>71</v>
      </c>
      <c r="E84" s="29" t="str">
        <f t="shared" si="20"/>
        <v>Transition from state 1 to state 6 (PVI T1)</v>
      </c>
      <c r="F84" s="44">
        <f t="shared" si="18"/>
        <v>0</v>
      </c>
      <c r="G84" s="44">
        <v>1</v>
      </c>
      <c r="H84" s="149">
        <f>'Transition Probabilites'!T16</f>
        <v>0</v>
      </c>
      <c r="I84" s="44" t="s">
        <v>80</v>
      </c>
      <c r="J84" s="44">
        <f t="shared" si="21"/>
        <v>0</v>
      </c>
      <c r="K84" s="44">
        <f t="shared" si="22"/>
        <v>0</v>
      </c>
      <c r="L84" s="44" t="s">
        <v>80</v>
      </c>
      <c r="M84" s="54" t="s">
        <v>242</v>
      </c>
      <c r="N84" s="44" t="e">
        <f t="shared" ca="1" si="23"/>
        <v>#DIV/0!</v>
      </c>
      <c r="O84" s="44">
        <f t="shared" ca="1" si="17"/>
        <v>6.9862089580181586E-3</v>
      </c>
      <c r="P84" s="55" t="e">
        <f t="shared" si="24"/>
        <v>#DIV/0!</v>
      </c>
      <c r="Q84" s="55" t="e">
        <f t="shared" si="25"/>
        <v>#DIV/0!</v>
      </c>
      <c r="R84" s="55">
        <f t="shared" si="19"/>
        <v>0</v>
      </c>
      <c r="S84"/>
      <c r="T84" s="94"/>
    </row>
    <row r="85" spans="1:20" ht="20.25" customHeight="1" x14ac:dyDescent="0.2">
      <c r="A85"/>
      <c r="B85" s="119">
        <v>7</v>
      </c>
      <c r="C85" s="210"/>
      <c r="D85" s="148">
        <f t="shared" si="26"/>
        <v>72</v>
      </c>
      <c r="E85" s="29" t="str">
        <f t="shared" si="20"/>
        <v>Transition from state 1 to state 7 (PVI T1)</v>
      </c>
      <c r="F85" s="44">
        <f t="shared" si="18"/>
        <v>0.76815360071595085</v>
      </c>
      <c r="G85" s="44">
        <v>1</v>
      </c>
      <c r="H85" s="149">
        <f>'Transition Probabilites'!T17</f>
        <v>0.76815360071595085</v>
      </c>
      <c r="I85" s="44" t="s">
        <v>80</v>
      </c>
      <c r="J85" s="44">
        <f t="shared" si="21"/>
        <v>0.61759826151614838</v>
      </c>
      <c r="K85" s="44">
        <f t="shared" si="22"/>
        <v>0.91870893991575331</v>
      </c>
      <c r="L85" s="44" t="s">
        <v>80</v>
      </c>
      <c r="M85" s="54" t="s">
        <v>242</v>
      </c>
      <c r="N85" s="44" t="e">
        <f t="shared" ca="1" si="23"/>
        <v>#NUM!</v>
      </c>
      <c r="O85" s="44">
        <f t="shared" ca="1" si="17"/>
        <v>0.29522122875381129</v>
      </c>
      <c r="P85" s="55">
        <f t="shared" si="24"/>
        <v>23.184639928404913</v>
      </c>
      <c r="Q85" s="55">
        <f t="shared" si="25"/>
        <v>-62.136167240217226</v>
      </c>
      <c r="R85" s="55">
        <f t="shared" si="19"/>
        <v>7.681536007159509E-2</v>
      </c>
      <c r="S85"/>
      <c r="T85" s="94"/>
    </row>
    <row r="86" spans="1:20" ht="20.25" customHeight="1" x14ac:dyDescent="0.2">
      <c r="A86"/>
      <c r="B86" s="119">
        <v>8</v>
      </c>
      <c r="C86" s="210"/>
      <c r="D86" s="148">
        <f t="shared" si="26"/>
        <v>73</v>
      </c>
      <c r="E86" s="29" t="str">
        <f t="shared" si="20"/>
        <v>Transition from state 1 to state 8 (PVI T1)</v>
      </c>
      <c r="F86" s="44">
        <f t="shared" si="18"/>
        <v>0.23107153288960189</v>
      </c>
      <c r="G86" s="44">
        <v>1</v>
      </c>
      <c r="H86" s="149">
        <f>'Transition Probabilites'!T18</f>
        <v>0.23107153288960189</v>
      </c>
      <c r="I86" s="44" t="s">
        <v>37</v>
      </c>
      <c r="J86" s="44">
        <f t="shared" si="21"/>
        <v>0.18578234465799365</v>
      </c>
      <c r="K86" s="44">
        <f t="shared" si="22"/>
        <v>0.27636072112121013</v>
      </c>
      <c r="L86" s="44" t="s">
        <v>37</v>
      </c>
      <c r="M86" s="54" t="s">
        <v>242</v>
      </c>
      <c r="N86" s="44">
        <f t="shared" ca="1" si="23"/>
        <v>0.22539484937551976</v>
      </c>
      <c r="O86" s="44">
        <f t="shared" ca="1" si="17"/>
        <v>0.19526649423017683</v>
      </c>
      <c r="P86" s="55">
        <f t="shared" si="24"/>
        <v>76.892846711039795</v>
      </c>
      <c r="Q86" s="55">
        <f t="shared" si="25"/>
        <v>235.07713510149773</v>
      </c>
      <c r="R86" s="55">
        <f t="shared" si="19"/>
        <v>2.3107153288960191E-2</v>
      </c>
      <c r="S86"/>
      <c r="T86" s="94"/>
    </row>
    <row r="87" spans="1:20" ht="20.25" customHeight="1" x14ac:dyDescent="0.2">
      <c r="A87"/>
      <c r="B87" s="119">
        <v>1</v>
      </c>
      <c r="C87" s="210"/>
      <c r="D87" s="148">
        <f t="shared" si="26"/>
        <v>74</v>
      </c>
      <c r="E87" s="29" t="str">
        <f t="shared" ref="E87:E94" si="27">"Transition from state"&amp; " "&amp;$B$16&amp;" "&amp;"to state"&amp;" "&amp;B87&amp;" "&amp;"(PVI T1)"</f>
        <v>Transition from state 2 to state 1 (PVI T1)</v>
      </c>
      <c r="F87" s="44">
        <f t="shared" si="18"/>
        <v>3.1153876774011371E-4</v>
      </c>
      <c r="G87" s="44">
        <v>1</v>
      </c>
      <c r="H87" s="149">
        <f>'Transition Probabilites'!T19</f>
        <v>3.1153876774011371E-4</v>
      </c>
      <c r="I87" s="44" t="s">
        <v>37</v>
      </c>
      <c r="J87" s="44">
        <f t="shared" si="21"/>
        <v>2.5047829128425252E-4</v>
      </c>
      <c r="K87" s="44">
        <f t="shared" si="22"/>
        <v>3.7259924419597484E-4</v>
      </c>
      <c r="L87" s="44" t="s">
        <v>37</v>
      </c>
      <c r="M87" s="54" t="s">
        <v>242</v>
      </c>
      <c r="N87" s="44">
        <f t="shared" ca="1" si="23"/>
        <v>3.3518754084405078E-4</v>
      </c>
      <c r="O87" s="44">
        <f t="shared" ca="1" si="17"/>
        <v>0.78048308772966135</v>
      </c>
      <c r="P87" s="55">
        <f t="shared" si="24"/>
        <v>99.968846123225987</v>
      </c>
      <c r="Q87" s="55">
        <f t="shared" si="25"/>
        <v>320787.34194770991</v>
      </c>
      <c r="R87" s="55">
        <f t="shared" si="19"/>
        <v>3.115387677401137E-5</v>
      </c>
      <c r="S87"/>
      <c r="T87" s="94"/>
    </row>
    <row r="88" spans="1:20" ht="20.25" customHeight="1" x14ac:dyDescent="0.2">
      <c r="A88"/>
      <c r="B88" s="119">
        <v>2</v>
      </c>
      <c r="C88" s="210"/>
      <c r="D88" s="148">
        <f t="shared" si="26"/>
        <v>75</v>
      </c>
      <c r="E88" s="29" t="str">
        <f t="shared" si="27"/>
        <v>Transition from state 2 to state 2 (PVI T1)</v>
      </c>
      <c r="F88" s="44">
        <f t="shared" si="18"/>
        <v>5.5322239275101164E-4</v>
      </c>
      <c r="G88" s="44">
        <v>1</v>
      </c>
      <c r="H88" s="149">
        <f>'Transition Probabilites'!T20</f>
        <v>5.5322239275101164E-4</v>
      </c>
      <c r="I88" s="44" t="s">
        <v>37</v>
      </c>
      <c r="J88" s="44">
        <f t="shared" si="21"/>
        <v>4.4479279622770612E-4</v>
      </c>
      <c r="K88" s="44">
        <f t="shared" si="22"/>
        <v>6.6165198927431717E-4</v>
      </c>
      <c r="L88" s="44" t="s">
        <v>37</v>
      </c>
      <c r="M88" s="54" t="s">
        <v>242</v>
      </c>
      <c r="N88" s="44">
        <f t="shared" ca="1" si="23"/>
        <v>5.3216890462458484E-4</v>
      </c>
      <c r="O88" s="44">
        <f t="shared" ca="1" si="17"/>
        <v>0.36239343992340478</v>
      </c>
      <c r="P88" s="55">
        <f t="shared" si="24"/>
        <v>99.944677760724886</v>
      </c>
      <c r="Q88" s="55">
        <f t="shared" si="25"/>
        <v>180559.13840594859</v>
      </c>
      <c r="R88" s="55">
        <f t="shared" si="19"/>
        <v>5.5322239275101167E-5</v>
      </c>
      <c r="S88"/>
      <c r="T88" s="94"/>
    </row>
    <row r="89" spans="1:20" ht="20.25" customHeight="1" x14ac:dyDescent="0.2">
      <c r="A89"/>
      <c r="B89" s="119">
        <v>3</v>
      </c>
      <c r="C89" s="210"/>
      <c r="D89" s="148">
        <f t="shared" si="26"/>
        <v>76</v>
      </c>
      <c r="E89" s="29" t="str">
        <f t="shared" si="27"/>
        <v>Transition from state 2 to state 3 (PVI T1)</v>
      </c>
      <c r="F89" s="44">
        <f t="shared" si="18"/>
        <v>1.1701494798743775E-5</v>
      </c>
      <c r="G89" s="44">
        <v>1</v>
      </c>
      <c r="H89" s="149">
        <f>'Transition Probabilites'!T21</f>
        <v>1.1701494798743775E-5</v>
      </c>
      <c r="I89" s="44" t="s">
        <v>37</v>
      </c>
      <c r="J89" s="44">
        <f t="shared" si="21"/>
        <v>9.4080439616617192E-6</v>
      </c>
      <c r="K89" s="44">
        <f t="shared" si="22"/>
        <v>1.3994945635825831E-5</v>
      </c>
      <c r="L89" s="44" t="s">
        <v>37</v>
      </c>
      <c r="M89" s="54" t="s">
        <v>242</v>
      </c>
      <c r="N89" s="44">
        <f t="shared" ca="1" si="23"/>
        <v>1.2518919383697202E-5</v>
      </c>
      <c r="O89" s="44">
        <f t="shared" ca="1" si="17"/>
        <v>0.76302947501490337</v>
      </c>
      <c r="P89" s="55">
        <f t="shared" si="24"/>
        <v>99.998829850520124</v>
      </c>
      <c r="Q89" s="55">
        <f t="shared" si="25"/>
        <v>8545716.7158801649</v>
      </c>
      <c r="R89" s="55">
        <f t="shared" si="19"/>
        <v>1.1701494798743775E-6</v>
      </c>
      <c r="S89"/>
      <c r="T89" s="94"/>
    </row>
    <row r="90" spans="1:20" ht="20.25" customHeight="1" x14ac:dyDescent="0.2">
      <c r="A90"/>
      <c r="B90" s="119">
        <v>4</v>
      </c>
      <c r="C90" s="210"/>
      <c r="D90" s="148">
        <f t="shared" si="26"/>
        <v>77</v>
      </c>
      <c r="E90" s="29" t="str">
        <f t="shared" si="27"/>
        <v>Transition from state 2 to state 4 (PVI T1)</v>
      </c>
      <c r="F90" s="44">
        <f t="shared" si="18"/>
        <v>5.0906594825352422E-6</v>
      </c>
      <c r="G90" s="44">
        <v>1</v>
      </c>
      <c r="H90" s="149">
        <f>'Transition Probabilites'!T22</f>
        <v>5.0906594825352422E-6</v>
      </c>
      <c r="I90" s="44" t="s">
        <v>37</v>
      </c>
      <c r="J90" s="44">
        <f t="shared" si="21"/>
        <v>4.0929085582026045E-6</v>
      </c>
      <c r="K90" s="44">
        <f t="shared" si="22"/>
        <v>6.08841040686788E-6</v>
      </c>
      <c r="L90" s="44" t="s">
        <v>37</v>
      </c>
      <c r="M90" s="54" t="s">
        <v>242</v>
      </c>
      <c r="N90" s="44">
        <f t="shared" ca="1" si="23"/>
        <v>4.9208619653746771E-6</v>
      </c>
      <c r="O90" s="44">
        <f t="shared" ca="1" si="17"/>
        <v>0.38060401015571421</v>
      </c>
      <c r="P90" s="55">
        <f t="shared" si="24"/>
        <v>99.999490934051749</v>
      </c>
      <c r="Q90" s="55">
        <f t="shared" si="25"/>
        <v>19643620.283665352</v>
      </c>
      <c r="R90" s="55">
        <f t="shared" si="19"/>
        <v>5.0906594825352422E-7</v>
      </c>
      <c r="S90"/>
      <c r="T90" s="94"/>
    </row>
    <row r="91" spans="1:20" ht="20.25" customHeight="1" x14ac:dyDescent="0.2">
      <c r="A91"/>
      <c r="B91" s="119">
        <v>5</v>
      </c>
      <c r="C91" s="210"/>
      <c r="D91" s="148">
        <f t="shared" si="26"/>
        <v>78</v>
      </c>
      <c r="E91" s="29" t="str">
        <f t="shared" si="27"/>
        <v>Transition from state 2 to state 5 (PVI T1)</v>
      </c>
      <c r="F91" s="44">
        <f t="shared" si="18"/>
        <v>1.9998733985242014E-10</v>
      </c>
      <c r="G91" s="44">
        <v>1</v>
      </c>
      <c r="H91" s="149">
        <f>'Transition Probabilites'!T23</f>
        <v>1.9998733985242014E-10</v>
      </c>
      <c r="I91" s="44" t="s">
        <v>37</v>
      </c>
      <c r="J91" s="44">
        <f t="shared" si="21"/>
        <v>1.6079054150494862E-10</v>
      </c>
      <c r="K91" s="44">
        <f t="shared" si="22"/>
        <v>2.3918413819989165E-10</v>
      </c>
      <c r="L91" s="44" t="s">
        <v>37</v>
      </c>
      <c r="M91" s="54" t="s">
        <v>242</v>
      </c>
      <c r="N91" s="44">
        <f t="shared" ca="1" si="23"/>
        <v>2.562688949936387E-10</v>
      </c>
      <c r="O91" s="44">
        <f t="shared" ca="1" si="17"/>
        <v>0.99559343315639226</v>
      </c>
      <c r="P91" s="55">
        <f t="shared" si="24"/>
        <v>99.999999980001263</v>
      </c>
      <c r="Q91" s="55">
        <f t="shared" si="25"/>
        <v>500031652172.56818</v>
      </c>
      <c r="R91" s="55">
        <f t="shared" si="19"/>
        <v>1.9998733985242014E-11</v>
      </c>
      <c r="S91"/>
      <c r="T91" s="94"/>
    </row>
    <row r="92" spans="1:20" ht="20.25" customHeight="1" x14ac:dyDescent="0.2">
      <c r="A92"/>
      <c r="B92" s="119">
        <v>6</v>
      </c>
      <c r="C92" s="210"/>
      <c r="D92" s="148">
        <f t="shared" si="26"/>
        <v>79</v>
      </c>
      <c r="E92" s="29" t="str">
        <f t="shared" si="27"/>
        <v>Transition from state 2 to state 6 (PVI T1)</v>
      </c>
      <c r="F92" s="44">
        <f t="shared" si="18"/>
        <v>0</v>
      </c>
      <c r="G92" s="44">
        <v>1</v>
      </c>
      <c r="H92" s="149">
        <f>'Transition Probabilites'!T24</f>
        <v>0</v>
      </c>
      <c r="I92" s="44" t="s">
        <v>80</v>
      </c>
      <c r="J92" s="44">
        <f t="shared" si="21"/>
        <v>0</v>
      </c>
      <c r="K92" s="44">
        <f t="shared" si="22"/>
        <v>0</v>
      </c>
      <c r="L92" s="44" t="s">
        <v>80</v>
      </c>
      <c r="M92" s="54" t="s">
        <v>242</v>
      </c>
      <c r="N92" s="44" t="e">
        <f t="shared" ca="1" si="23"/>
        <v>#DIV/0!</v>
      </c>
      <c r="O92" s="44">
        <f t="shared" ca="1" si="17"/>
        <v>0.75445505095100041</v>
      </c>
      <c r="P92" s="55" t="e">
        <f t="shared" si="24"/>
        <v>#DIV/0!</v>
      </c>
      <c r="Q92" s="55" t="e">
        <f t="shared" si="25"/>
        <v>#DIV/0!</v>
      </c>
      <c r="R92" s="55">
        <f t="shared" si="19"/>
        <v>0</v>
      </c>
      <c r="S92"/>
      <c r="T92" s="94"/>
    </row>
    <row r="93" spans="1:20" ht="20.25" customHeight="1" x14ac:dyDescent="0.2">
      <c r="A93"/>
      <c r="B93" s="119">
        <v>7</v>
      </c>
      <c r="C93" s="210"/>
      <c r="D93" s="148">
        <f t="shared" si="26"/>
        <v>80</v>
      </c>
      <c r="E93" s="29" t="str">
        <f t="shared" si="27"/>
        <v>Transition from state 2 to state 7 (PVI T1)</v>
      </c>
      <c r="F93" s="44">
        <f t="shared" si="18"/>
        <v>0.68481606274739593</v>
      </c>
      <c r="G93" s="44">
        <v>1</v>
      </c>
      <c r="H93" s="149">
        <f>'Transition Probabilites'!T25</f>
        <v>0.68481606274739593</v>
      </c>
      <c r="I93" s="44" t="s">
        <v>80</v>
      </c>
      <c r="J93" s="44">
        <f t="shared" si="21"/>
        <v>0.55059458084545421</v>
      </c>
      <c r="K93" s="44">
        <f t="shared" si="22"/>
        <v>0.81903754464933765</v>
      </c>
      <c r="L93" s="44" t="s">
        <v>80</v>
      </c>
      <c r="M93" s="54" t="s">
        <v>242</v>
      </c>
      <c r="N93" s="44" t="e">
        <f t="shared" ca="1" si="23"/>
        <v>#NUM!</v>
      </c>
      <c r="O93" s="44">
        <f t="shared" ca="1" si="17"/>
        <v>0.49002719027166708</v>
      </c>
      <c r="P93" s="55">
        <f t="shared" si="24"/>
        <v>31.518393725260406</v>
      </c>
      <c r="Q93" s="55">
        <f t="shared" si="25"/>
        <v>-47.127227159412108</v>
      </c>
      <c r="R93" s="55">
        <f t="shared" si="19"/>
        <v>6.8481606274739593E-2</v>
      </c>
      <c r="S93"/>
      <c r="T93" s="94"/>
    </row>
    <row r="94" spans="1:20" ht="20.25" customHeight="1" x14ac:dyDescent="0.2">
      <c r="A94"/>
      <c r="B94" s="119">
        <v>8</v>
      </c>
      <c r="C94" s="210"/>
      <c r="D94" s="148">
        <f t="shared" si="26"/>
        <v>81</v>
      </c>
      <c r="E94" s="29" t="str">
        <f t="shared" si="27"/>
        <v>Transition from state 2 to state 8 (PVI T1)</v>
      </c>
      <c r="F94" s="44">
        <f t="shared" si="18"/>
        <v>0.3143023837378443</v>
      </c>
      <c r="G94" s="44">
        <v>1</v>
      </c>
      <c r="H94" s="149">
        <f>'Transition Probabilites'!T26</f>
        <v>0.3143023837378443</v>
      </c>
      <c r="I94" s="44" t="s">
        <v>37</v>
      </c>
      <c r="J94" s="44">
        <f t="shared" si="21"/>
        <v>0.25270024849971806</v>
      </c>
      <c r="K94" s="44">
        <f t="shared" si="22"/>
        <v>0.37590451897597055</v>
      </c>
      <c r="L94" s="44" t="s">
        <v>37</v>
      </c>
      <c r="M94" s="54" t="s">
        <v>242</v>
      </c>
      <c r="N94" s="44">
        <f t="shared" ca="1" si="23"/>
        <v>0.30788295688782075</v>
      </c>
      <c r="O94" s="44">
        <f t="shared" ca="1" si="17"/>
        <v>6.0527907216367804E-2</v>
      </c>
      <c r="P94" s="55">
        <f t="shared" si="24"/>
        <v>68.569761626215566</v>
      </c>
      <c r="Q94" s="55">
        <f t="shared" si="25"/>
        <v>121.30796681601252</v>
      </c>
      <c r="R94" s="55">
        <f t="shared" si="19"/>
        <v>3.1430238373784433E-2</v>
      </c>
      <c r="S94"/>
      <c r="T94" s="94"/>
    </row>
    <row r="95" spans="1:20" ht="20.25" customHeight="1" x14ac:dyDescent="0.2">
      <c r="A95"/>
      <c r="B95" s="119">
        <v>1</v>
      </c>
      <c r="C95" s="210"/>
      <c r="D95" s="148">
        <f t="shared" si="26"/>
        <v>82</v>
      </c>
      <c r="E95" s="29" t="str">
        <f t="shared" ref="E95:E102" si="28">"Transition from state"&amp; " "&amp;$B$17&amp;" "&amp;"to state"&amp;" "&amp;B95&amp;" "&amp;"(PVI T1)"</f>
        <v>Transition from state 3 to state 1 (PVI T1)</v>
      </c>
      <c r="F95" s="44">
        <f t="shared" si="18"/>
        <v>3.3911704049671882E-4</v>
      </c>
      <c r="G95" s="44">
        <v>1</v>
      </c>
      <c r="H95" s="149">
        <f>'Transition Probabilites'!T27</f>
        <v>3.3911704049671882E-4</v>
      </c>
      <c r="I95" s="44" t="s">
        <v>37</v>
      </c>
      <c r="J95" s="44">
        <f t="shared" si="21"/>
        <v>2.7265132190498081E-4</v>
      </c>
      <c r="K95" s="44">
        <f t="shared" si="22"/>
        <v>4.0558275908845679E-4</v>
      </c>
      <c r="L95" s="44" t="s">
        <v>37</v>
      </c>
      <c r="M95" s="54" t="s">
        <v>242</v>
      </c>
      <c r="N95" s="44">
        <f t="shared" ca="1" si="23"/>
        <v>3.3496382259608605E-4</v>
      </c>
      <c r="O95" s="44">
        <f t="shared" ca="1" si="17"/>
        <v>0.46429787604611394</v>
      </c>
      <c r="P95" s="55">
        <f t="shared" si="24"/>
        <v>99.966088295950328</v>
      </c>
      <c r="Q95" s="55">
        <f t="shared" si="25"/>
        <v>294683.44497088529</v>
      </c>
      <c r="R95" s="55">
        <f t="shared" si="19"/>
        <v>3.3911704049671882E-5</v>
      </c>
      <c r="S95"/>
      <c r="T95" s="94"/>
    </row>
    <row r="96" spans="1:20" ht="20.25" customHeight="1" x14ac:dyDescent="0.2">
      <c r="A96"/>
      <c r="B96" s="119">
        <v>2</v>
      </c>
      <c r="C96" s="210"/>
      <c r="D96" s="148">
        <f t="shared" si="26"/>
        <v>83</v>
      </c>
      <c r="E96" s="29" t="str">
        <f t="shared" si="28"/>
        <v>Transition from state 3 to state 2 (PVI T1)</v>
      </c>
      <c r="F96" s="44">
        <f t="shared" si="18"/>
        <v>6.0220222416482031E-4</v>
      </c>
      <c r="G96" s="44">
        <v>1</v>
      </c>
      <c r="H96" s="149">
        <f>'Transition Probabilites'!T28</f>
        <v>6.0220222416482031E-4</v>
      </c>
      <c r="I96" s="44" t="s">
        <v>37</v>
      </c>
      <c r="J96" s="44">
        <f t="shared" si="21"/>
        <v>4.8417275708752391E-4</v>
      </c>
      <c r="K96" s="44">
        <f t="shared" si="22"/>
        <v>7.2023169124211671E-4</v>
      </c>
      <c r="L96" s="44" t="s">
        <v>37</v>
      </c>
      <c r="M96" s="54" t="s">
        <v>242</v>
      </c>
      <c r="N96" s="44">
        <f t="shared" ca="1" si="23"/>
        <v>5.3468071890259506E-4</v>
      </c>
      <c r="O96" s="44">
        <f t="shared" ca="1" si="17"/>
        <v>0.12872153155008781</v>
      </c>
      <c r="P96" s="55">
        <f t="shared" si="24"/>
        <v>99.93977977758351</v>
      </c>
      <c r="Q96" s="55">
        <f t="shared" si="25"/>
        <v>165857.18081689713</v>
      </c>
      <c r="R96" s="55">
        <f t="shared" si="19"/>
        <v>6.0220222416482031E-5</v>
      </c>
      <c r="S96"/>
      <c r="T96" s="94"/>
    </row>
    <row r="97" spans="1:20" ht="20.25" customHeight="1" x14ac:dyDescent="0.2">
      <c r="A97"/>
      <c r="B97" s="119">
        <v>3</v>
      </c>
      <c r="C97" s="210"/>
      <c r="D97" s="148">
        <f t="shared" si="26"/>
        <v>84</v>
      </c>
      <c r="E97" s="29" t="str">
        <f t="shared" si="28"/>
        <v>Transition from state 3 to state 3 (PVI T1)</v>
      </c>
      <c r="F97" s="44">
        <f t="shared" si="18"/>
        <v>1.2742270428518076E-5</v>
      </c>
      <c r="G97" s="44">
        <v>1</v>
      </c>
      <c r="H97" s="149">
        <f>'Transition Probabilites'!T29</f>
        <v>1.2742270428518076E-5</v>
      </c>
      <c r="I97" s="44" t="s">
        <v>37</v>
      </c>
      <c r="J97" s="44">
        <f t="shared" si="21"/>
        <v>1.0244831316401557E-5</v>
      </c>
      <c r="K97" s="44">
        <f t="shared" si="22"/>
        <v>1.5239709540634595E-5</v>
      </c>
      <c r="L97" s="44" t="s">
        <v>37</v>
      </c>
      <c r="M97" s="54" t="s">
        <v>242</v>
      </c>
      <c r="N97" s="44">
        <f t="shared" ca="1" si="23"/>
        <v>1.4521118110732978E-5</v>
      </c>
      <c r="O97" s="44">
        <f t="shared" ca="1" si="17"/>
        <v>0.91447759205493773</v>
      </c>
      <c r="P97" s="55">
        <f t="shared" si="24"/>
        <v>99.998725772957116</v>
      </c>
      <c r="Q97" s="55">
        <f t="shared" si="25"/>
        <v>7847694.9699432505</v>
      </c>
      <c r="R97" s="55">
        <f t="shared" si="19"/>
        <v>1.2742270428518077E-6</v>
      </c>
      <c r="S97"/>
      <c r="T97" s="94"/>
    </row>
    <row r="98" spans="1:20" ht="20.25" customHeight="1" x14ac:dyDescent="0.2">
      <c r="A98"/>
      <c r="B98" s="119">
        <v>4</v>
      </c>
      <c r="C98" s="210"/>
      <c r="D98" s="148">
        <f t="shared" si="26"/>
        <v>85</v>
      </c>
      <c r="E98" s="29" t="str">
        <f t="shared" si="28"/>
        <v>Transition from state 3 to state 4 (PVI T1)</v>
      </c>
      <c r="F98" s="44">
        <f t="shared" si="18"/>
        <v>5.5392190906116135E-6</v>
      </c>
      <c r="G98" s="44">
        <v>1</v>
      </c>
      <c r="H98" s="149">
        <f>'Transition Probabilites'!T30</f>
        <v>5.5392190906116135E-6</v>
      </c>
      <c r="I98" s="44" t="s">
        <v>37</v>
      </c>
      <c r="J98" s="44">
        <f t="shared" si="21"/>
        <v>4.4535520986040663E-6</v>
      </c>
      <c r="K98" s="44">
        <f t="shared" si="22"/>
        <v>6.6248860826191608E-6</v>
      </c>
      <c r="L98" s="44" t="s">
        <v>37</v>
      </c>
      <c r="M98" s="54" t="s">
        <v>242</v>
      </c>
      <c r="N98" s="44">
        <f t="shared" ca="1" si="23"/>
        <v>6.0644177615198913E-6</v>
      </c>
      <c r="O98" s="44">
        <f t="shared" ca="1" si="17"/>
        <v>0.82965955134096692</v>
      </c>
      <c r="P98" s="55">
        <f t="shared" si="24"/>
        <v>99.999446078090941</v>
      </c>
      <c r="Q98" s="55">
        <f t="shared" si="25"/>
        <v>18052886.249972701</v>
      </c>
      <c r="R98" s="55">
        <f t="shared" si="19"/>
        <v>5.5392190906116135E-7</v>
      </c>
      <c r="S98"/>
      <c r="T98" s="94"/>
    </row>
    <row r="99" spans="1:20" ht="20.25" customHeight="1" x14ac:dyDescent="0.2">
      <c r="A99"/>
      <c r="B99" s="119">
        <v>5</v>
      </c>
      <c r="C99" s="210"/>
      <c r="D99" s="148">
        <f t="shared" si="26"/>
        <v>86</v>
      </c>
      <c r="E99" s="29" t="str">
        <f t="shared" si="28"/>
        <v>Transition from state 3 to state 5 (PVI T1)</v>
      </c>
      <c r="F99" s="44">
        <f t="shared" si="18"/>
        <v>2.1767765258451121E-10</v>
      </c>
      <c r="G99" s="44">
        <v>1</v>
      </c>
      <c r="H99" s="149">
        <f>'Transition Probabilites'!T31</f>
        <v>2.1767765258451121E-10</v>
      </c>
      <c r="I99" s="44" t="s">
        <v>37</v>
      </c>
      <c r="J99" s="44">
        <f t="shared" si="21"/>
        <v>1.7501361665402479E-10</v>
      </c>
      <c r="K99" s="44">
        <f t="shared" si="22"/>
        <v>2.6034168851499763E-10</v>
      </c>
      <c r="L99" s="44" t="s">
        <v>37</v>
      </c>
      <c r="M99" s="54" t="s">
        <v>242</v>
      </c>
      <c r="N99" s="44">
        <f t="shared" ca="1" si="23"/>
        <v>2.2080537398494471E-10</v>
      </c>
      <c r="O99" s="44">
        <f t="shared" ca="1" si="17"/>
        <v>0.56997287722896817</v>
      </c>
      <c r="P99" s="55">
        <f t="shared" si="24"/>
        <v>99.999999978232211</v>
      </c>
      <c r="Q99" s="55">
        <f t="shared" si="25"/>
        <v>459394883990.86084</v>
      </c>
      <c r="R99" s="55">
        <f t="shared" si="19"/>
        <v>2.1767765258451124E-11</v>
      </c>
      <c r="S99"/>
      <c r="T99" s="94"/>
    </row>
    <row r="100" spans="1:20" ht="20.25" customHeight="1" x14ac:dyDescent="0.2">
      <c r="A100"/>
      <c r="B100" s="119">
        <v>6</v>
      </c>
      <c r="C100" s="210"/>
      <c r="D100" s="148">
        <f t="shared" si="26"/>
        <v>87</v>
      </c>
      <c r="E100" s="29" t="str">
        <f t="shared" si="28"/>
        <v>Transition from state 3 to state 6 (PVI T1)</v>
      </c>
      <c r="F100" s="44">
        <f t="shared" si="18"/>
        <v>0</v>
      </c>
      <c r="G100" s="44">
        <v>1</v>
      </c>
      <c r="H100" s="149">
        <f>'Transition Probabilites'!T32</f>
        <v>0</v>
      </c>
      <c r="I100" s="44" t="s">
        <v>80</v>
      </c>
      <c r="J100" s="44">
        <f t="shared" si="21"/>
        <v>0</v>
      </c>
      <c r="K100" s="44">
        <f t="shared" si="22"/>
        <v>0</v>
      </c>
      <c r="L100" s="44" t="s">
        <v>80</v>
      </c>
      <c r="M100" s="54" t="s">
        <v>242</v>
      </c>
      <c r="N100" s="44" t="e">
        <f t="shared" ca="1" si="23"/>
        <v>#DIV/0!</v>
      </c>
      <c r="O100" s="44">
        <f t="shared" ca="1" si="17"/>
        <v>0.21407657784445755</v>
      </c>
      <c r="P100" s="55" t="e">
        <f t="shared" si="24"/>
        <v>#DIV/0!</v>
      </c>
      <c r="Q100" s="55" t="e">
        <f t="shared" si="25"/>
        <v>#DIV/0!</v>
      </c>
      <c r="R100" s="55">
        <f t="shared" si="19"/>
        <v>0</v>
      </c>
      <c r="S100"/>
      <c r="T100" s="94"/>
    </row>
    <row r="101" spans="1:20" ht="20.25" customHeight="1" x14ac:dyDescent="0.2">
      <c r="A101"/>
      <c r="B101" s="119">
        <v>7</v>
      </c>
      <c r="C101" s="210"/>
      <c r="D101" s="148">
        <f t="shared" si="26"/>
        <v>88</v>
      </c>
      <c r="E101" s="29" t="str">
        <f t="shared" si="28"/>
        <v>Transition from state 3 to state 7 (PVI T1)</v>
      </c>
      <c r="F101" s="44">
        <f t="shared" si="18"/>
        <v>0.79326816674544742</v>
      </c>
      <c r="G101" s="44">
        <v>1</v>
      </c>
      <c r="H101" s="149">
        <f>'Transition Probabilites'!T33</f>
        <v>0.79326816674544742</v>
      </c>
      <c r="I101" s="44" t="s">
        <v>80</v>
      </c>
      <c r="J101" s="44">
        <f t="shared" si="21"/>
        <v>0.63779046305512832</v>
      </c>
      <c r="K101" s="44">
        <f t="shared" si="22"/>
        <v>0.94874587043576653</v>
      </c>
      <c r="L101" s="44" t="s">
        <v>80</v>
      </c>
      <c r="M101" s="54" t="s">
        <v>242</v>
      </c>
      <c r="N101" s="44" t="e">
        <f t="shared" ca="1" si="23"/>
        <v>#NUM!</v>
      </c>
      <c r="O101" s="44">
        <f t="shared" ca="1" si="17"/>
        <v>0.3966896844469967</v>
      </c>
      <c r="P101" s="55">
        <f t="shared" si="24"/>
        <v>20.673183325455255</v>
      </c>
      <c r="Q101" s="55">
        <f t="shared" si="25"/>
        <v>-66.006543184752275</v>
      </c>
      <c r="R101" s="55">
        <f t="shared" si="19"/>
        <v>7.9326816674544748E-2</v>
      </c>
      <c r="S101"/>
      <c r="T101" s="94"/>
    </row>
    <row r="102" spans="1:20" ht="20.25" customHeight="1" x14ac:dyDescent="0.2">
      <c r="A102"/>
      <c r="B102" s="119">
        <v>8</v>
      </c>
      <c r="C102" s="210"/>
      <c r="D102" s="148">
        <f t="shared" si="26"/>
        <v>89</v>
      </c>
      <c r="E102" s="29" t="str">
        <f t="shared" si="28"/>
        <v>Transition from state 3 to state 8 (PVI T1)</v>
      </c>
      <c r="F102" s="44">
        <f t="shared" si="18"/>
        <v>0.20577223228269431</v>
      </c>
      <c r="G102" s="44">
        <v>1</v>
      </c>
      <c r="H102" s="149">
        <f>'Transition Probabilites'!T34</f>
        <v>0.20577223228269431</v>
      </c>
      <c r="I102" s="44" t="s">
        <v>37</v>
      </c>
      <c r="J102" s="44">
        <f t="shared" si="21"/>
        <v>0.16544161585344519</v>
      </c>
      <c r="K102" s="44">
        <f t="shared" si="22"/>
        <v>0.24610284871194341</v>
      </c>
      <c r="L102" s="44" t="s">
        <v>37</v>
      </c>
      <c r="M102" s="54" t="s">
        <v>242</v>
      </c>
      <c r="N102" s="44">
        <f t="shared" ca="1" si="23"/>
        <v>0.24583620600125489</v>
      </c>
      <c r="O102" s="44">
        <f t="shared" ca="1" si="17"/>
        <v>0.91370768198053487</v>
      </c>
      <c r="P102" s="55">
        <f t="shared" si="24"/>
        <v>79.422776771730568</v>
      </c>
      <c r="Q102" s="55">
        <f t="shared" si="25"/>
        <v>288.03194192801567</v>
      </c>
      <c r="R102" s="55">
        <f t="shared" si="19"/>
        <v>2.0577223228269433E-2</v>
      </c>
      <c r="S102"/>
      <c r="T102" s="94"/>
    </row>
    <row r="103" spans="1:20" ht="20.25" customHeight="1" x14ac:dyDescent="0.2">
      <c r="A103"/>
      <c r="B103" s="119">
        <v>1</v>
      </c>
      <c r="C103" s="210"/>
      <c r="D103" s="148">
        <f t="shared" si="26"/>
        <v>90</v>
      </c>
      <c r="E103" s="29" t="str">
        <f t="shared" ref="E103:E110" si="29">"Transition from state"&amp; " "&amp;$B$18&amp;" "&amp;"to state"&amp;" "&amp;B103&amp;" "&amp;"(PVI T1)"</f>
        <v>Transition from state 4 to state 1 (PVI T1)</v>
      </c>
      <c r="F103" s="44">
        <f t="shared" si="18"/>
        <v>4.8546640461145766E-4</v>
      </c>
      <c r="G103" s="44">
        <v>1</v>
      </c>
      <c r="H103" s="149">
        <f>'Transition Probabilites'!T35</f>
        <v>4.8546640461145766E-4</v>
      </c>
      <c r="I103" s="44" t="s">
        <v>37</v>
      </c>
      <c r="J103" s="44">
        <f t="shared" si="21"/>
        <v>3.90316737737197E-4</v>
      </c>
      <c r="K103" s="44">
        <f t="shared" si="22"/>
        <v>5.8061607148571833E-4</v>
      </c>
      <c r="L103" s="44" t="s">
        <v>37</v>
      </c>
      <c r="M103" s="54" t="s">
        <v>242</v>
      </c>
      <c r="N103" s="44">
        <f t="shared" ca="1" si="23"/>
        <v>4.3845827800679735E-4</v>
      </c>
      <c r="O103" s="44">
        <f t="shared" ca="1" si="17"/>
        <v>0.16656231566771218</v>
      </c>
      <c r="P103" s="55">
        <f t="shared" si="24"/>
        <v>99.95145335953886</v>
      </c>
      <c r="Q103" s="55">
        <f t="shared" si="25"/>
        <v>205787.48215504459</v>
      </c>
      <c r="R103" s="55">
        <f t="shared" si="19"/>
        <v>4.8546640461145766E-5</v>
      </c>
      <c r="S103"/>
      <c r="T103" s="94"/>
    </row>
    <row r="104" spans="1:20" ht="20.25" customHeight="1" x14ac:dyDescent="0.2">
      <c r="A104"/>
      <c r="B104" s="119">
        <v>2</v>
      </c>
      <c r="C104" s="210"/>
      <c r="D104" s="148">
        <f t="shared" si="26"/>
        <v>91</v>
      </c>
      <c r="E104" s="29" t="str">
        <f t="shared" si="29"/>
        <v>Transition from state 4 to state 2 (PVI T1)</v>
      </c>
      <c r="F104" s="44">
        <f t="shared" si="18"/>
        <v>8.6210170889687294E-4</v>
      </c>
      <c r="G104" s="44">
        <v>1</v>
      </c>
      <c r="H104" s="149">
        <f>'Transition Probabilites'!T36</f>
        <v>8.6210170889687294E-4</v>
      </c>
      <c r="I104" s="44" t="s">
        <v>37</v>
      </c>
      <c r="J104" s="44">
        <f t="shared" si="21"/>
        <v>6.9313287885204252E-4</v>
      </c>
      <c r="K104" s="44">
        <f t="shared" si="22"/>
        <v>1.0310705389417034E-3</v>
      </c>
      <c r="L104" s="44" t="s">
        <v>37</v>
      </c>
      <c r="M104" s="54" t="s">
        <v>242</v>
      </c>
      <c r="N104" s="44">
        <f t="shared" ca="1" si="23"/>
        <v>8.196648212811272E-4</v>
      </c>
      <c r="O104" s="44">
        <f t="shared" ca="1" si="17"/>
        <v>0.32020927425992873</v>
      </c>
      <c r="P104" s="55">
        <f t="shared" si="24"/>
        <v>99.9137898291103</v>
      </c>
      <c r="Q104" s="55">
        <f t="shared" si="25"/>
        <v>115795.60283919565</v>
      </c>
      <c r="R104" s="55">
        <f t="shared" si="19"/>
        <v>8.6210170889687305E-5</v>
      </c>
      <c r="S104"/>
      <c r="T104" s="94"/>
    </row>
    <row r="105" spans="1:20" ht="20.25" customHeight="1" x14ac:dyDescent="0.2">
      <c r="A105"/>
      <c r="B105" s="119">
        <v>3</v>
      </c>
      <c r="C105" s="210"/>
      <c r="D105" s="148">
        <f t="shared" si="26"/>
        <v>92</v>
      </c>
      <c r="E105" s="29" t="str">
        <f t="shared" si="29"/>
        <v>Transition from state 4 to state 3 (PVI T1)</v>
      </c>
      <c r="F105" s="44">
        <f t="shared" si="18"/>
        <v>1.8232656826034806E-5</v>
      </c>
      <c r="G105" s="44">
        <v>1</v>
      </c>
      <c r="H105" s="149">
        <f>'Transition Probabilites'!T37</f>
        <v>1.8232656826034806E-5</v>
      </c>
      <c r="I105" s="44" t="s">
        <v>37</v>
      </c>
      <c r="J105" s="44">
        <f t="shared" si="21"/>
        <v>1.4659121753884147E-5</v>
      </c>
      <c r="K105" s="44">
        <f t="shared" si="22"/>
        <v>2.1806191898185464E-5</v>
      </c>
      <c r="L105" s="44" t="s">
        <v>37</v>
      </c>
      <c r="M105" s="54" t="s">
        <v>242</v>
      </c>
      <c r="N105" s="44">
        <f t="shared" ca="1" si="23"/>
        <v>1.9992252529688059E-5</v>
      </c>
      <c r="O105" s="44">
        <f t="shared" ca="1" si="17"/>
        <v>0.83366574055748288</v>
      </c>
      <c r="P105" s="55">
        <f t="shared" si="24"/>
        <v>99.998176734317397</v>
      </c>
      <c r="Q105" s="55">
        <f t="shared" si="25"/>
        <v>5484464.191152446</v>
      </c>
      <c r="R105" s="55">
        <f t="shared" si="19"/>
        <v>1.8232656826034807E-6</v>
      </c>
      <c r="S105"/>
      <c r="T105" s="94"/>
    </row>
    <row r="106" spans="1:20" ht="20.25" customHeight="1" x14ac:dyDescent="0.2">
      <c r="A106"/>
      <c r="B106" s="119">
        <v>4</v>
      </c>
      <c r="C106" s="210"/>
      <c r="D106" s="148">
        <f t="shared" si="26"/>
        <v>93</v>
      </c>
      <c r="E106" s="29" t="str">
        <f t="shared" si="29"/>
        <v>Transition from state 4 to state 4 (PVI T1)</v>
      </c>
      <c r="F106" s="44">
        <f t="shared" si="18"/>
        <v>7.942252534761282E-6</v>
      </c>
      <c r="G106" s="44">
        <v>1</v>
      </c>
      <c r="H106" s="149">
        <f>'Transition Probabilites'!T38</f>
        <v>7.942252534761282E-6</v>
      </c>
      <c r="I106" s="44" t="s">
        <v>37</v>
      </c>
      <c r="J106" s="44">
        <f t="shared" si="21"/>
        <v>6.3855996423358753E-6</v>
      </c>
      <c r="K106" s="44">
        <f t="shared" si="22"/>
        <v>9.4989054271866879E-6</v>
      </c>
      <c r="L106" s="44" t="s">
        <v>37</v>
      </c>
      <c r="M106" s="54" t="s">
        <v>242</v>
      </c>
      <c r="N106" s="44">
        <f t="shared" ca="1" si="23"/>
        <v>7.8529525927647251E-6</v>
      </c>
      <c r="O106" s="44">
        <f t="shared" ca="1" si="17"/>
        <v>0.46832209455906515</v>
      </c>
      <c r="P106" s="55">
        <f t="shared" si="24"/>
        <v>99.999205774746528</v>
      </c>
      <c r="Q106" s="55">
        <f t="shared" si="25"/>
        <v>12590686.472440336</v>
      </c>
      <c r="R106" s="55">
        <f t="shared" si="19"/>
        <v>7.942252534761282E-7</v>
      </c>
      <c r="S106"/>
      <c r="T106" s="94"/>
    </row>
    <row r="107" spans="1:20" ht="20.25" customHeight="1" x14ac:dyDescent="0.2">
      <c r="A107"/>
      <c r="B107" s="119">
        <v>5</v>
      </c>
      <c r="C107" s="210"/>
      <c r="D107" s="148">
        <f t="shared" si="26"/>
        <v>94</v>
      </c>
      <c r="E107" s="29" t="str">
        <f t="shared" si="29"/>
        <v>Transition from state 4 to state 5 (PVI T1)</v>
      </c>
      <c r="F107" s="44">
        <f t="shared" si="18"/>
        <v>3.1161904440909887E-10</v>
      </c>
      <c r="G107" s="44">
        <v>1</v>
      </c>
      <c r="H107" s="149">
        <f>'Transition Probabilites'!T39</f>
        <v>3.1161904440909887E-10</v>
      </c>
      <c r="I107" s="44" t="s">
        <v>37</v>
      </c>
      <c r="J107" s="44">
        <f t="shared" si="21"/>
        <v>2.5054283401523673E-10</v>
      </c>
      <c r="K107" s="44">
        <f t="shared" si="22"/>
        <v>3.72695254802961E-10</v>
      </c>
      <c r="L107" s="44" t="s">
        <v>37</v>
      </c>
      <c r="M107" s="54" t="s">
        <v>242</v>
      </c>
      <c r="N107" s="44">
        <f t="shared" ca="1" si="23"/>
        <v>2.7562847085329875E-10</v>
      </c>
      <c r="O107" s="44">
        <f t="shared" ca="1" si="17"/>
        <v>0.12120103752707467</v>
      </c>
      <c r="P107" s="55">
        <f t="shared" si="24"/>
        <v>99.999999968838068</v>
      </c>
      <c r="Q107" s="55">
        <f t="shared" si="25"/>
        <v>320904648582.37109</v>
      </c>
      <c r="R107" s="55">
        <f t="shared" si="19"/>
        <v>3.1161904440909891E-11</v>
      </c>
      <c r="S107"/>
      <c r="T107" s="94"/>
    </row>
    <row r="108" spans="1:20" ht="20.25" customHeight="1" x14ac:dyDescent="0.2">
      <c r="A108"/>
      <c r="B108" s="119">
        <v>6</v>
      </c>
      <c r="C108" s="210"/>
      <c r="D108" s="148">
        <f t="shared" si="26"/>
        <v>95</v>
      </c>
      <c r="E108" s="29" t="str">
        <f t="shared" si="29"/>
        <v>Transition from state 4 to state 6 (PVI T1)</v>
      </c>
      <c r="F108" s="44">
        <f t="shared" si="18"/>
        <v>0</v>
      </c>
      <c r="G108" s="44">
        <v>1</v>
      </c>
      <c r="H108" s="149">
        <f>'Transition Probabilites'!T40</f>
        <v>0</v>
      </c>
      <c r="I108" s="44" t="s">
        <v>80</v>
      </c>
      <c r="J108" s="44">
        <f t="shared" si="21"/>
        <v>0</v>
      </c>
      <c r="K108" s="44">
        <f t="shared" si="22"/>
        <v>0</v>
      </c>
      <c r="L108" s="44" t="s">
        <v>80</v>
      </c>
      <c r="M108" s="54" t="s">
        <v>242</v>
      </c>
      <c r="N108" s="44" t="e">
        <f t="shared" ca="1" si="23"/>
        <v>#DIV/0!</v>
      </c>
      <c r="O108" s="44">
        <f t="shared" ca="1" si="17"/>
        <v>0.92547053466078788</v>
      </c>
      <c r="P108" s="55" t="e">
        <f t="shared" si="24"/>
        <v>#DIV/0!</v>
      </c>
      <c r="Q108" s="55" t="e">
        <f t="shared" si="25"/>
        <v>#DIV/0!</v>
      </c>
      <c r="R108" s="55">
        <f t="shared" si="19"/>
        <v>0</v>
      </c>
      <c r="S108"/>
      <c r="T108" s="94"/>
    </row>
    <row r="109" spans="1:20" ht="20.25" customHeight="1" x14ac:dyDescent="0.2">
      <c r="A109"/>
      <c r="B109" s="119">
        <v>7</v>
      </c>
      <c r="C109" s="210"/>
      <c r="D109" s="148">
        <f t="shared" si="26"/>
        <v>96</v>
      </c>
      <c r="E109" s="29" t="str">
        <f t="shared" si="29"/>
        <v>Transition from state 4 to state 7 (PVI T1)</v>
      </c>
      <c r="F109" s="44">
        <f t="shared" si="18"/>
        <v>0.79293932523604027</v>
      </c>
      <c r="G109" s="44">
        <v>1</v>
      </c>
      <c r="H109" s="149">
        <f>'Transition Probabilites'!T41</f>
        <v>0.79293932523604027</v>
      </c>
      <c r="I109" s="44" t="s">
        <v>80</v>
      </c>
      <c r="J109" s="44">
        <f t="shared" si="21"/>
        <v>0.63752607329722721</v>
      </c>
      <c r="K109" s="44">
        <f t="shared" si="22"/>
        <v>0.94835257717485333</v>
      </c>
      <c r="L109" s="44" t="s">
        <v>80</v>
      </c>
      <c r="M109" s="54" t="s">
        <v>242</v>
      </c>
      <c r="N109" s="44" t="e">
        <f t="shared" ca="1" si="23"/>
        <v>#NUM!</v>
      </c>
      <c r="O109" s="44">
        <f t="shared" ca="1" si="17"/>
        <v>1.0158372797448578E-2</v>
      </c>
      <c r="P109" s="55">
        <f t="shared" si="24"/>
        <v>20.706067476395965</v>
      </c>
      <c r="Q109" s="55">
        <f t="shared" si="25"/>
        <v>-65.957552674766802</v>
      </c>
      <c r="R109" s="55">
        <f t="shared" si="19"/>
        <v>7.9293932523604033E-2</v>
      </c>
      <c r="S109"/>
      <c r="T109" s="94"/>
    </row>
    <row r="110" spans="1:20" ht="20.25" customHeight="1" x14ac:dyDescent="0.2">
      <c r="A110"/>
      <c r="B110" s="119">
        <v>8</v>
      </c>
      <c r="C110" s="210"/>
      <c r="D110" s="148">
        <f t="shared" si="26"/>
        <v>97</v>
      </c>
      <c r="E110" s="29" t="str">
        <f t="shared" si="29"/>
        <v>Transition from state 4 to state 8 (PVI T1)</v>
      </c>
      <c r="F110" s="44">
        <f t="shared" si="18"/>
        <v>0.20568693142947148</v>
      </c>
      <c r="G110" s="44">
        <v>1</v>
      </c>
      <c r="H110" s="149">
        <f>'Transition Probabilites'!T42</f>
        <v>0.20568693142947148</v>
      </c>
      <c r="I110" s="44" t="s">
        <v>37</v>
      </c>
      <c r="J110" s="44">
        <f t="shared" si="21"/>
        <v>0.16537303366023909</v>
      </c>
      <c r="K110" s="44">
        <f t="shared" si="22"/>
        <v>0.24600082919870386</v>
      </c>
      <c r="L110" s="44" t="s">
        <v>37</v>
      </c>
      <c r="M110" s="54" t="s">
        <v>242</v>
      </c>
      <c r="N110" s="44">
        <f t="shared" ca="1" si="23"/>
        <v>0.21258320608408734</v>
      </c>
      <c r="O110" s="44">
        <f t="shared" ca="1" si="17"/>
        <v>0.44523705141942582</v>
      </c>
      <c r="P110" s="55">
        <f t="shared" si="24"/>
        <v>79.431306857052832</v>
      </c>
      <c r="Q110" s="55">
        <f t="shared" si="25"/>
        <v>288.23262829434077</v>
      </c>
      <c r="R110" s="55">
        <f t="shared" si="19"/>
        <v>2.056869314294715E-2</v>
      </c>
      <c r="S110"/>
      <c r="T110" s="94"/>
    </row>
    <row r="111" spans="1:20" ht="20.25" customHeight="1" x14ac:dyDescent="0.2">
      <c r="A111"/>
      <c r="B111" s="119">
        <v>1</v>
      </c>
      <c r="C111" s="210"/>
      <c r="D111" s="148">
        <f t="shared" si="26"/>
        <v>98</v>
      </c>
      <c r="E111" s="29" t="str">
        <f t="shared" ref="E111:E118" si="30">"Transition from state"&amp; " "&amp;$B$19&amp;" "&amp;"to state"&amp;" "&amp;B111&amp;" "&amp;"(PVI T1)"</f>
        <v>Transition from state 5 to state 1 (PVI T1)</v>
      </c>
      <c r="F111" s="44">
        <f t="shared" si="18"/>
        <v>0</v>
      </c>
      <c r="G111" s="44">
        <v>1</v>
      </c>
      <c r="H111" s="149">
        <f>'Transition Probabilites'!T43</f>
        <v>0</v>
      </c>
      <c r="I111" s="44" t="s">
        <v>80</v>
      </c>
      <c r="J111" s="44">
        <f t="shared" si="21"/>
        <v>0</v>
      </c>
      <c r="K111" s="44">
        <f t="shared" si="22"/>
        <v>0</v>
      </c>
      <c r="L111" s="44" t="s">
        <v>80</v>
      </c>
      <c r="M111" s="54" t="s">
        <v>242</v>
      </c>
      <c r="N111" s="44" t="e">
        <f t="shared" ca="1" si="23"/>
        <v>#DIV/0!</v>
      </c>
      <c r="O111" s="44">
        <f t="shared" ca="1" si="17"/>
        <v>0.69543113245780819</v>
      </c>
      <c r="P111" s="55" t="e">
        <f t="shared" si="24"/>
        <v>#DIV/0!</v>
      </c>
      <c r="Q111" s="55" t="e">
        <f t="shared" si="25"/>
        <v>#DIV/0!</v>
      </c>
      <c r="R111" s="55">
        <f t="shared" si="19"/>
        <v>0</v>
      </c>
      <c r="S111"/>
      <c r="T111" s="94"/>
    </row>
    <row r="112" spans="1:20" ht="20.25" customHeight="1" x14ac:dyDescent="0.2">
      <c r="A112"/>
      <c r="B112" s="119">
        <v>2</v>
      </c>
      <c r="C112" s="210"/>
      <c r="D112" s="148">
        <f t="shared" si="26"/>
        <v>99</v>
      </c>
      <c r="E112" s="29" t="str">
        <f t="shared" si="30"/>
        <v>Transition from state 5 to state 2 (PVI T1)</v>
      </c>
      <c r="F112" s="44">
        <f t="shared" si="18"/>
        <v>0</v>
      </c>
      <c r="G112" s="44">
        <v>1</v>
      </c>
      <c r="H112" s="149">
        <f>'Transition Probabilites'!T44</f>
        <v>0</v>
      </c>
      <c r="I112" s="44" t="s">
        <v>80</v>
      </c>
      <c r="J112" s="44">
        <f t="shared" si="21"/>
        <v>0</v>
      </c>
      <c r="K112" s="44">
        <f t="shared" si="22"/>
        <v>0</v>
      </c>
      <c r="L112" s="44" t="s">
        <v>80</v>
      </c>
      <c r="M112" s="54" t="s">
        <v>242</v>
      </c>
      <c r="N112" s="44" t="e">
        <f t="shared" ca="1" si="23"/>
        <v>#DIV/0!</v>
      </c>
      <c r="O112" s="44">
        <f t="shared" ca="1" si="17"/>
        <v>0.47530708384406517</v>
      </c>
      <c r="P112" s="55" t="e">
        <f t="shared" si="24"/>
        <v>#DIV/0!</v>
      </c>
      <c r="Q112" s="55" t="e">
        <f t="shared" si="25"/>
        <v>#DIV/0!</v>
      </c>
      <c r="R112" s="55">
        <f t="shared" si="19"/>
        <v>0</v>
      </c>
      <c r="S112"/>
      <c r="T112" s="94"/>
    </row>
    <row r="113" spans="1:20" ht="20.25" customHeight="1" x14ac:dyDescent="0.2">
      <c r="A113"/>
      <c r="B113" s="119">
        <v>3</v>
      </c>
      <c r="C113" s="210"/>
      <c r="D113" s="148">
        <f t="shared" si="26"/>
        <v>100</v>
      </c>
      <c r="E113" s="29" t="str">
        <f t="shared" si="30"/>
        <v>Transition from state 5 to state 3 (PVI T1)</v>
      </c>
      <c r="F113" s="44">
        <f t="shared" si="18"/>
        <v>0</v>
      </c>
      <c r="G113" s="44">
        <v>1</v>
      </c>
      <c r="H113" s="149">
        <f>'Transition Probabilites'!T45</f>
        <v>0</v>
      </c>
      <c r="I113" s="44" t="s">
        <v>80</v>
      </c>
      <c r="J113" s="44">
        <f t="shared" si="21"/>
        <v>0</v>
      </c>
      <c r="K113" s="44">
        <f t="shared" si="22"/>
        <v>0</v>
      </c>
      <c r="L113" s="44" t="s">
        <v>80</v>
      </c>
      <c r="M113" s="54" t="s">
        <v>242</v>
      </c>
      <c r="N113" s="44" t="e">
        <f t="shared" ca="1" si="23"/>
        <v>#DIV/0!</v>
      </c>
      <c r="O113" s="44">
        <f t="shared" ca="1" si="17"/>
        <v>0.18258259317184433</v>
      </c>
      <c r="P113" s="55" t="e">
        <f t="shared" si="24"/>
        <v>#DIV/0!</v>
      </c>
      <c r="Q113" s="55" t="e">
        <f t="shared" si="25"/>
        <v>#DIV/0!</v>
      </c>
      <c r="R113" s="55">
        <f t="shared" si="19"/>
        <v>0</v>
      </c>
      <c r="S113"/>
      <c r="T113" s="94"/>
    </row>
    <row r="114" spans="1:20" ht="20.25" customHeight="1" x14ac:dyDescent="0.2">
      <c r="A114"/>
      <c r="B114" s="119">
        <v>4</v>
      </c>
      <c r="C114" s="210"/>
      <c r="D114" s="148">
        <f t="shared" si="26"/>
        <v>101</v>
      </c>
      <c r="E114" s="29" t="str">
        <f t="shared" si="30"/>
        <v>Transition from state 5 to state 4 (PVI T1)</v>
      </c>
      <c r="F114" s="44">
        <f t="shared" si="18"/>
        <v>0</v>
      </c>
      <c r="G114" s="44">
        <v>1</v>
      </c>
      <c r="H114" s="149">
        <f>'Transition Probabilites'!T46</f>
        <v>0</v>
      </c>
      <c r="I114" s="44" t="s">
        <v>80</v>
      </c>
      <c r="J114" s="44">
        <f t="shared" si="21"/>
        <v>0</v>
      </c>
      <c r="K114" s="44">
        <f t="shared" si="22"/>
        <v>0</v>
      </c>
      <c r="L114" s="44" t="s">
        <v>80</v>
      </c>
      <c r="M114" s="54" t="s">
        <v>242</v>
      </c>
      <c r="N114" s="44" t="e">
        <f t="shared" ca="1" si="23"/>
        <v>#DIV/0!</v>
      </c>
      <c r="O114" s="44">
        <f t="shared" ca="1" si="17"/>
        <v>0.93244985455978113</v>
      </c>
      <c r="P114" s="55" t="e">
        <f t="shared" si="24"/>
        <v>#DIV/0!</v>
      </c>
      <c r="Q114" s="55" t="e">
        <f t="shared" si="25"/>
        <v>#DIV/0!</v>
      </c>
      <c r="R114" s="55">
        <f t="shared" si="19"/>
        <v>0</v>
      </c>
      <c r="S114"/>
      <c r="T114" s="94"/>
    </row>
    <row r="115" spans="1:20" ht="20.25" customHeight="1" x14ac:dyDescent="0.2">
      <c r="A115"/>
      <c r="B115" s="119">
        <v>5</v>
      </c>
      <c r="C115" s="210"/>
      <c r="D115" s="148">
        <f t="shared" si="26"/>
        <v>102</v>
      </c>
      <c r="E115" s="29" t="str">
        <f t="shared" si="30"/>
        <v>Transition from state 5 to state 5 (PVI T1)</v>
      </c>
      <c r="F115" s="44">
        <f t="shared" si="18"/>
        <v>0</v>
      </c>
      <c r="G115" s="44">
        <v>1</v>
      </c>
      <c r="H115" s="149">
        <f>'Transition Probabilites'!T47</f>
        <v>0</v>
      </c>
      <c r="I115" s="44" t="s">
        <v>80</v>
      </c>
      <c r="J115" s="44">
        <f t="shared" si="21"/>
        <v>0</v>
      </c>
      <c r="K115" s="44">
        <f t="shared" si="22"/>
        <v>0</v>
      </c>
      <c r="L115" s="44" t="s">
        <v>80</v>
      </c>
      <c r="M115" s="54" t="s">
        <v>242</v>
      </c>
      <c r="N115" s="44" t="e">
        <f t="shared" ca="1" si="23"/>
        <v>#DIV/0!</v>
      </c>
      <c r="O115" s="44">
        <f t="shared" ca="1" si="17"/>
        <v>8.8439192940652722E-2</v>
      </c>
      <c r="P115" s="55" t="e">
        <f t="shared" si="24"/>
        <v>#DIV/0!</v>
      </c>
      <c r="Q115" s="55" t="e">
        <f t="shared" si="25"/>
        <v>#DIV/0!</v>
      </c>
      <c r="R115" s="55">
        <f t="shared" si="19"/>
        <v>0</v>
      </c>
      <c r="S115"/>
      <c r="T115" s="94"/>
    </row>
    <row r="116" spans="1:20" ht="20.25" customHeight="1" x14ac:dyDescent="0.2">
      <c r="A116"/>
      <c r="B116" s="119">
        <v>6</v>
      </c>
      <c r="C116" s="210"/>
      <c r="D116" s="148">
        <f t="shared" si="26"/>
        <v>103</v>
      </c>
      <c r="E116" s="29" t="str">
        <f t="shared" si="30"/>
        <v>Transition from state 5 to state 6 (PVI T1)</v>
      </c>
      <c r="F116" s="44">
        <f t="shared" si="18"/>
        <v>1</v>
      </c>
      <c r="G116" s="44">
        <v>1</v>
      </c>
      <c r="H116" s="149">
        <f>'Transition Probabilites'!T48</f>
        <v>1</v>
      </c>
      <c r="I116" s="44" t="s">
        <v>37</v>
      </c>
      <c r="J116" s="44">
        <f t="shared" si="21"/>
        <v>0.8040036015459946</v>
      </c>
      <c r="K116" s="44">
        <f t="shared" si="22"/>
        <v>1.1959963984540054</v>
      </c>
      <c r="L116" s="44" t="s">
        <v>37</v>
      </c>
      <c r="M116" s="54" t="s">
        <v>242</v>
      </c>
      <c r="N116" s="44" t="e">
        <f t="shared" ca="1" si="23"/>
        <v>#NUM!</v>
      </c>
      <c r="O116" s="44">
        <f t="shared" ca="1" si="17"/>
        <v>0.31503079715022608</v>
      </c>
      <c r="P116" s="55">
        <f t="shared" si="24"/>
        <v>0</v>
      </c>
      <c r="Q116" s="55">
        <f t="shared" si="25"/>
        <v>-89.999999999999986</v>
      </c>
      <c r="R116" s="55">
        <f t="shared" si="19"/>
        <v>0.1</v>
      </c>
      <c r="S116"/>
      <c r="T116" s="94"/>
    </row>
    <row r="117" spans="1:20" ht="20.25" customHeight="1" x14ac:dyDescent="0.2">
      <c r="A117"/>
      <c r="B117" s="119">
        <v>7</v>
      </c>
      <c r="C117" s="210"/>
      <c r="D117" s="148">
        <f t="shared" si="26"/>
        <v>104</v>
      </c>
      <c r="E117" s="29" t="str">
        <f t="shared" si="30"/>
        <v>Transition from state 5 to state 7 (PVI T1)</v>
      </c>
      <c r="F117" s="44">
        <f t="shared" si="18"/>
        <v>0</v>
      </c>
      <c r="G117" s="44">
        <v>1</v>
      </c>
      <c r="H117" s="149">
        <f>'Transition Probabilites'!T49</f>
        <v>0</v>
      </c>
      <c r="I117" s="44" t="s">
        <v>80</v>
      </c>
      <c r="J117" s="44">
        <f t="shared" si="21"/>
        <v>0</v>
      </c>
      <c r="K117" s="44">
        <f t="shared" si="22"/>
        <v>0</v>
      </c>
      <c r="L117" s="44" t="s">
        <v>80</v>
      </c>
      <c r="M117" s="54" t="s">
        <v>242</v>
      </c>
      <c r="N117" s="44" t="e">
        <f t="shared" ca="1" si="23"/>
        <v>#DIV/0!</v>
      </c>
      <c r="O117" s="44">
        <f t="shared" ca="1" si="17"/>
        <v>0.52381610163744008</v>
      </c>
      <c r="P117" s="55" t="e">
        <f t="shared" si="24"/>
        <v>#DIV/0!</v>
      </c>
      <c r="Q117" s="55" t="e">
        <f t="shared" si="25"/>
        <v>#DIV/0!</v>
      </c>
      <c r="R117" s="55">
        <f t="shared" si="19"/>
        <v>0</v>
      </c>
      <c r="S117"/>
      <c r="T117" s="94"/>
    </row>
    <row r="118" spans="1:20" ht="20.25" customHeight="1" x14ac:dyDescent="0.2">
      <c r="A118"/>
      <c r="B118" s="119">
        <v>8</v>
      </c>
      <c r="C118" s="210"/>
      <c r="D118" s="148">
        <f t="shared" si="26"/>
        <v>105</v>
      </c>
      <c r="E118" s="29" t="str">
        <f t="shared" si="30"/>
        <v>Transition from state 5 to state 8 (PVI T1)</v>
      </c>
      <c r="F118" s="44">
        <f t="shared" si="18"/>
        <v>0</v>
      </c>
      <c r="G118" s="44">
        <v>1</v>
      </c>
      <c r="H118" s="149">
        <f>'Transition Probabilites'!T50</f>
        <v>0</v>
      </c>
      <c r="I118" s="44" t="s">
        <v>80</v>
      </c>
      <c r="J118" s="44">
        <f t="shared" si="21"/>
        <v>0</v>
      </c>
      <c r="K118" s="44">
        <f t="shared" si="22"/>
        <v>0</v>
      </c>
      <c r="L118" s="44" t="s">
        <v>80</v>
      </c>
      <c r="M118" s="54" t="s">
        <v>242</v>
      </c>
      <c r="N118" s="44" t="e">
        <f t="shared" ca="1" si="23"/>
        <v>#DIV/0!</v>
      </c>
      <c r="O118" s="44">
        <f t="shared" ca="1" si="17"/>
        <v>0.8435347453169354</v>
      </c>
      <c r="P118" s="55" t="e">
        <f t="shared" si="24"/>
        <v>#DIV/0!</v>
      </c>
      <c r="Q118" s="55" t="e">
        <f t="shared" si="25"/>
        <v>#DIV/0!</v>
      </c>
      <c r="R118" s="55">
        <f t="shared" si="19"/>
        <v>0</v>
      </c>
      <c r="S118"/>
      <c r="T118" s="94"/>
    </row>
    <row r="119" spans="1:20" ht="20.25" customHeight="1" x14ac:dyDescent="0.2">
      <c r="A119"/>
      <c r="B119" s="119">
        <v>1</v>
      </c>
      <c r="C119" s="210"/>
      <c r="D119" s="148">
        <f t="shared" si="26"/>
        <v>106</v>
      </c>
      <c r="E119" s="29" t="str">
        <f t="shared" ref="E119:E126" si="31">"Transition from state"&amp; " "&amp;$B$20&amp;" "&amp;"to state"&amp;" "&amp;B119&amp;" "&amp;"(PVI T1)"</f>
        <v>Transition from state 6 to state 1 (PVI T1)</v>
      </c>
      <c r="F119" s="44">
        <f t="shared" si="18"/>
        <v>3.1929019942910909E-4</v>
      </c>
      <c r="G119" s="44">
        <v>1</v>
      </c>
      <c r="H119" s="149">
        <f>'Transition Probabilites'!T51</f>
        <v>3.1929019942910909E-4</v>
      </c>
      <c r="I119" s="44" t="s">
        <v>37</v>
      </c>
      <c r="J119" s="44">
        <f t="shared" si="21"/>
        <v>2.567104702793426E-4</v>
      </c>
      <c r="K119" s="44">
        <f t="shared" si="22"/>
        <v>3.8186992857887559E-4</v>
      </c>
      <c r="L119" s="44" t="s">
        <v>37</v>
      </c>
      <c r="M119" s="54" t="s">
        <v>242</v>
      </c>
      <c r="N119" s="44">
        <f t="shared" ca="1" si="23"/>
        <v>2.9885990937315762E-4</v>
      </c>
      <c r="O119" s="44">
        <f t="shared" ca="1" si="17"/>
        <v>0.26745417125088267</v>
      </c>
      <c r="P119" s="55">
        <f t="shared" si="24"/>
        <v>99.968070980057092</v>
      </c>
      <c r="Q119" s="55">
        <f t="shared" si="25"/>
        <v>312994.70875793346</v>
      </c>
      <c r="R119" s="55">
        <f t="shared" si="19"/>
        <v>3.1929019942910908E-5</v>
      </c>
      <c r="S119"/>
      <c r="T119" s="94"/>
    </row>
    <row r="120" spans="1:20" ht="20.25" customHeight="1" x14ac:dyDescent="0.2">
      <c r="A120"/>
      <c r="B120" s="119">
        <v>2</v>
      </c>
      <c r="C120" s="210"/>
      <c r="D120" s="148">
        <f t="shared" si="26"/>
        <v>107</v>
      </c>
      <c r="E120" s="29" t="str">
        <f t="shared" si="31"/>
        <v>Transition from state 6 to state 2 (PVI T1)</v>
      </c>
      <c r="F120" s="44">
        <f t="shared" si="18"/>
        <v>5.669761989862466E-4</v>
      </c>
      <c r="G120" s="44">
        <v>1</v>
      </c>
      <c r="H120" s="149">
        <f>'Transition Probabilites'!T52</f>
        <v>5.669761989862466E-4</v>
      </c>
      <c r="I120" s="44" t="s">
        <v>37</v>
      </c>
      <c r="J120" s="44">
        <f t="shared" si="21"/>
        <v>4.5585090597580078E-4</v>
      </c>
      <c r="K120" s="44">
        <f t="shared" si="22"/>
        <v>6.7810149199669248E-4</v>
      </c>
      <c r="L120" s="44" t="s">
        <v>37</v>
      </c>
      <c r="M120" s="54" t="s">
        <v>242</v>
      </c>
      <c r="N120" s="44">
        <f t="shared" ca="1" si="23"/>
        <v>5.9738077575366422E-4</v>
      </c>
      <c r="O120" s="44">
        <f t="shared" ca="1" si="17"/>
        <v>0.71230789551477314</v>
      </c>
      <c r="P120" s="55">
        <f t="shared" si="24"/>
        <v>99.943302380101358</v>
      </c>
      <c r="Q120" s="55">
        <f t="shared" si="25"/>
        <v>176174.25238205781</v>
      </c>
      <c r="R120" s="55">
        <f t="shared" si="19"/>
        <v>5.6697619898624663E-5</v>
      </c>
      <c r="S120"/>
      <c r="T120" s="94"/>
    </row>
    <row r="121" spans="1:20" ht="20.25" customHeight="1" x14ac:dyDescent="0.2">
      <c r="A121"/>
      <c r="B121" s="119">
        <v>3</v>
      </c>
      <c r="C121" s="210"/>
      <c r="D121" s="148">
        <f t="shared" si="26"/>
        <v>108</v>
      </c>
      <c r="E121" s="29" t="str">
        <f t="shared" si="31"/>
        <v>Transition from state 6 to state 3 (PVI T1)</v>
      </c>
      <c r="F121" s="44">
        <f t="shared" si="18"/>
        <v>1.1992659978557124E-5</v>
      </c>
      <c r="G121" s="44">
        <v>1</v>
      </c>
      <c r="H121" s="149">
        <f>'Transition Probabilites'!T53</f>
        <v>1.1992659978557124E-5</v>
      </c>
      <c r="I121" s="44" t="s">
        <v>37</v>
      </c>
      <c r="J121" s="44">
        <f t="shared" si="21"/>
        <v>9.6421418148764384E-6</v>
      </c>
      <c r="K121" s="44">
        <f t="shared" si="22"/>
        <v>1.4343178142237809E-5</v>
      </c>
      <c r="L121" s="44" t="s">
        <v>37</v>
      </c>
      <c r="M121" s="54" t="s">
        <v>242</v>
      </c>
      <c r="N121" s="44">
        <f t="shared" ca="1" si="23"/>
        <v>1.0718816543331471E-5</v>
      </c>
      <c r="O121" s="44">
        <f t="shared" ca="1" si="17"/>
        <v>0.14261032603722601</v>
      </c>
      <c r="P121" s="55">
        <f t="shared" si="24"/>
        <v>99.99880073400216</v>
      </c>
      <c r="Q121" s="55">
        <f t="shared" si="25"/>
        <v>8338233.6902937507</v>
      </c>
      <c r="R121" s="55">
        <f t="shared" si="19"/>
        <v>1.1992659978557124E-6</v>
      </c>
      <c r="S121"/>
      <c r="T121" s="94"/>
    </row>
    <row r="122" spans="1:20" ht="20.25" customHeight="1" x14ac:dyDescent="0.2">
      <c r="A122"/>
      <c r="B122" s="119">
        <v>4</v>
      </c>
      <c r="C122" s="210"/>
      <c r="D122" s="148">
        <f t="shared" si="26"/>
        <v>109</v>
      </c>
      <c r="E122" s="29" t="str">
        <f t="shared" si="31"/>
        <v>Transition from state 6 to state 4 (PVI T1)</v>
      </c>
      <c r="F122" s="44">
        <f t="shared" si="18"/>
        <v>5.2199279906667681E-6</v>
      </c>
      <c r="G122" s="44">
        <v>1</v>
      </c>
      <c r="H122" s="149">
        <f>'Transition Probabilites'!T54</f>
        <v>5.2199279906667681E-6</v>
      </c>
      <c r="I122" s="44" t="s">
        <v>37</v>
      </c>
      <c r="J122" s="44">
        <f t="shared" si="21"/>
        <v>4.1968409043068287E-6</v>
      </c>
      <c r="K122" s="44">
        <f t="shared" si="22"/>
        <v>6.2430150770267075E-6</v>
      </c>
      <c r="L122" s="44" t="s">
        <v>37</v>
      </c>
      <c r="M122" s="54" t="s">
        <v>242</v>
      </c>
      <c r="N122" s="44">
        <f t="shared" ca="1" si="23"/>
        <v>4.8492195063402179E-6</v>
      </c>
      <c r="O122" s="44">
        <f t="shared" ca="1" si="17"/>
        <v>0.24378430272833018</v>
      </c>
      <c r="P122" s="55">
        <f t="shared" si="24"/>
        <v>99.999478007200935</v>
      </c>
      <c r="Q122" s="55">
        <f t="shared" si="25"/>
        <v>19157152.396253832</v>
      </c>
      <c r="R122" s="55">
        <f t="shared" si="19"/>
        <v>5.2199279906667681E-7</v>
      </c>
      <c r="S122"/>
      <c r="T122" s="94"/>
    </row>
    <row r="123" spans="1:20" ht="20.25" customHeight="1" x14ac:dyDescent="0.2">
      <c r="A123"/>
      <c r="B123" s="119">
        <v>5</v>
      </c>
      <c r="C123" s="210"/>
      <c r="D123" s="148">
        <f t="shared" si="26"/>
        <v>110</v>
      </c>
      <c r="E123" s="29" t="str">
        <f t="shared" si="31"/>
        <v>Transition from state 6 to state 5 (PVI T1)</v>
      </c>
      <c r="F123" s="44">
        <f t="shared" si="18"/>
        <v>0</v>
      </c>
      <c r="G123" s="44">
        <v>1</v>
      </c>
      <c r="H123" s="149">
        <f>'Transition Probabilites'!T55</f>
        <v>0</v>
      </c>
      <c r="I123" s="44" t="s">
        <v>80</v>
      </c>
      <c r="J123" s="44">
        <f t="shared" si="21"/>
        <v>0</v>
      </c>
      <c r="K123" s="44">
        <f t="shared" si="22"/>
        <v>0</v>
      </c>
      <c r="L123" s="44" t="s">
        <v>80</v>
      </c>
      <c r="M123" s="54" t="s">
        <v>242</v>
      </c>
      <c r="N123" s="44" t="e">
        <f t="shared" ca="1" si="23"/>
        <v>#DIV/0!</v>
      </c>
      <c r="O123" s="44">
        <f t="shared" ca="1" si="17"/>
        <v>0.94220452101564955</v>
      </c>
      <c r="P123" s="55" t="e">
        <f t="shared" si="24"/>
        <v>#DIV/0!</v>
      </c>
      <c r="Q123" s="55" t="e">
        <f t="shared" si="25"/>
        <v>#DIV/0!</v>
      </c>
      <c r="R123" s="55">
        <f t="shared" si="19"/>
        <v>0</v>
      </c>
      <c r="S123"/>
      <c r="T123" s="94"/>
    </row>
    <row r="124" spans="1:20" ht="20.25" customHeight="1" x14ac:dyDescent="0.2">
      <c r="A124"/>
      <c r="B124" s="119">
        <v>6</v>
      </c>
      <c r="C124" s="210"/>
      <c r="D124" s="148">
        <f t="shared" si="26"/>
        <v>111</v>
      </c>
      <c r="E124" s="29" t="str">
        <f t="shared" si="31"/>
        <v>Transition from state 6 to state 6 (PVI T1)</v>
      </c>
      <c r="F124" s="44">
        <f t="shared" si="18"/>
        <v>1.9152279965755723E-4</v>
      </c>
      <c r="G124" s="44">
        <v>1</v>
      </c>
      <c r="H124" s="149">
        <f>'Transition Probabilites'!T56</f>
        <v>1.9152279965755723E-4</v>
      </c>
      <c r="I124" s="44" t="s">
        <v>37</v>
      </c>
      <c r="J124" s="44">
        <f t="shared" si="21"/>
        <v>1.53985020702848E-4</v>
      </c>
      <c r="K124" s="44">
        <f t="shared" si="22"/>
        <v>2.2906057861226645E-4</v>
      </c>
      <c r="L124" s="44" t="s">
        <v>37</v>
      </c>
      <c r="M124" s="54" t="s">
        <v>242</v>
      </c>
      <c r="N124" s="44">
        <f t="shared" ca="1" si="23"/>
        <v>1.9321823719731235E-4</v>
      </c>
      <c r="O124" s="44">
        <f t="shared" ca="1" si="17"/>
        <v>0.54838192052358348</v>
      </c>
      <c r="P124" s="55">
        <f t="shared" si="24"/>
        <v>99.98084772003422</v>
      </c>
      <c r="Q124" s="55">
        <f t="shared" si="25"/>
        <v>521931.04938738269</v>
      </c>
      <c r="R124" s="55">
        <f t="shared" si="19"/>
        <v>1.9152279965755723E-5</v>
      </c>
      <c r="S124"/>
      <c r="T124" s="94"/>
    </row>
    <row r="125" spans="1:20" ht="20.25" customHeight="1" x14ac:dyDescent="0.2">
      <c r="A125"/>
      <c r="B125" s="119">
        <v>7</v>
      </c>
      <c r="C125" s="210"/>
      <c r="D125" s="148">
        <f t="shared" si="26"/>
        <v>112</v>
      </c>
      <c r="E125" s="29" t="str">
        <f t="shared" si="31"/>
        <v>Transition from state 6 to state 7 (PVI T1)</v>
      </c>
      <c r="F125" s="44">
        <f t="shared" si="18"/>
        <v>0.75131469865664935</v>
      </c>
      <c r="G125" s="44">
        <v>1</v>
      </c>
      <c r="H125" s="149">
        <f>'Transition Probabilites'!T57</f>
        <v>0.75131469865664935</v>
      </c>
      <c r="I125" s="44" t="s">
        <v>80</v>
      </c>
      <c r="J125" s="44">
        <f t="shared" si="21"/>
        <v>0.60405972361438975</v>
      </c>
      <c r="K125" s="44">
        <f t="shared" si="22"/>
        <v>0.89856967369890894</v>
      </c>
      <c r="L125" s="44" t="s">
        <v>80</v>
      </c>
      <c r="M125" s="54" t="s">
        <v>242</v>
      </c>
      <c r="N125" s="44" t="e">
        <f t="shared" ca="1" si="23"/>
        <v>#NUM!</v>
      </c>
      <c r="O125" s="44">
        <f t="shared" ca="1" si="17"/>
        <v>6.1371118143642489E-2</v>
      </c>
      <c r="P125" s="55">
        <f t="shared" si="24"/>
        <v>24.868530134335067</v>
      </c>
      <c r="Q125" s="55">
        <f t="shared" si="25"/>
        <v>-59.386834900118288</v>
      </c>
      <c r="R125" s="55">
        <f t="shared" si="19"/>
        <v>7.5131469865664935E-2</v>
      </c>
      <c r="S125"/>
      <c r="T125" s="94"/>
    </row>
    <row r="126" spans="1:20" ht="20.25" customHeight="1" x14ac:dyDescent="0.2">
      <c r="A126"/>
      <c r="B126" s="119">
        <v>8</v>
      </c>
      <c r="C126" s="210"/>
      <c r="D126" s="148">
        <f t="shared" si="26"/>
        <v>113</v>
      </c>
      <c r="E126" s="29" t="str">
        <f t="shared" si="31"/>
        <v>Transition from state 6 to state 8 (PVI T1)</v>
      </c>
      <c r="F126" s="44">
        <f t="shared" si="18"/>
        <v>0.24759029955730857</v>
      </c>
      <c r="G126" s="44">
        <v>1</v>
      </c>
      <c r="H126" s="149">
        <f>'Transition Probabilites'!T58</f>
        <v>0.24759029955730857</v>
      </c>
      <c r="I126" s="44" t="s">
        <v>37</v>
      </c>
      <c r="J126" s="44">
        <f t="shared" si="21"/>
        <v>0.19906349255192776</v>
      </c>
      <c r="K126" s="44">
        <f t="shared" si="22"/>
        <v>0.29611710656268936</v>
      </c>
      <c r="L126" s="44" t="s">
        <v>37</v>
      </c>
      <c r="M126" s="54" t="s">
        <v>242</v>
      </c>
      <c r="N126" s="44">
        <f t="shared" ca="1" si="23"/>
        <v>0.2676030716503226</v>
      </c>
      <c r="O126" s="44">
        <f t="shared" ca="1" si="17"/>
        <v>0.51471008804349971</v>
      </c>
      <c r="P126" s="55">
        <f t="shared" si="24"/>
        <v>75.240970044269133</v>
      </c>
      <c r="Q126" s="55">
        <f t="shared" si="25"/>
        <v>206.36894799289317</v>
      </c>
      <c r="R126" s="55">
        <f t="shared" si="19"/>
        <v>2.4759029955730857E-2</v>
      </c>
      <c r="S126"/>
      <c r="T126" s="94"/>
    </row>
    <row r="127" spans="1:20" ht="20.25" customHeight="1" x14ac:dyDescent="0.2">
      <c r="A127"/>
      <c r="B127" s="119">
        <v>1</v>
      </c>
      <c r="C127" s="210"/>
      <c r="D127" s="148">
        <f t="shared" si="26"/>
        <v>114</v>
      </c>
      <c r="E127" s="29" t="str">
        <f t="shared" ref="E127:E134" si="32">"Transition from state"&amp; " "&amp;$B$21&amp;" "&amp;"to state"&amp;" "&amp;B127&amp;" "&amp;"(PVI T1)"</f>
        <v>Transition from state 7 to state 1 (PVI T1)</v>
      </c>
      <c r="F127" s="44">
        <f t="shared" si="18"/>
        <v>0</v>
      </c>
      <c r="G127" s="44">
        <v>1</v>
      </c>
      <c r="H127" s="149">
        <f>'Transition Probabilites'!T59</f>
        <v>0</v>
      </c>
      <c r="I127" s="44" t="s">
        <v>80</v>
      </c>
      <c r="J127" s="44">
        <f t="shared" si="21"/>
        <v>0</v>
      </c>
      <c r="K127" s="44">
        <f t="shared" si="22"/>
        <v>0</v>
      </c>
      <c r="L127" s="44" t="s">
        <v>80</v>
      </c>
      <c r="M127" s="54" t="s">
        <v>242</v>
      </c>
      <c r="N127" s="44" t="e">
        <f t="shared" ca="1" si="23"/>
        <v>#DIV/0!</v>
      </c>
      <c r="O127" s="44">
        <f t="shared" ca="1" si="17"/>
        <v>0.49975792761054505</v>
      </c>
      <c r="P127" s="55" t="e">
        <f t="shared" si="24"/>
        <v>#DIV/0!</v>
      </c>
      <c r="Q127" s="55" t="e">
        <f t="shared" si="25"/>
        <v>#DIV/0!</v>
      </c>
      <c r="R127" s="55">
        <f t="shared" si="19"/>
        <v>0</v>
      </c>
      <c r="S127"/>
      <c r="T127" s="94"/>
    </row>
    <row r="128" spans="1:20" ht="20.25" customHeight="1" x14ac:dyDescent="0.2">
      <c r="A128"/>
      <c r="B128" s="119">
        <v>2</v>
      </c>
      <c r="C128" s="210"/>
      <c r="D128" s="148">
        <f t="shared" si="26"/>
        <v>115</v>
      </c>
      <c r="E128" s="29" t="str">
        <f t="shared" si="32"/>
        <v>Transition from state 7 to state 2 (PVI T1)</v>
      </c>
      <c r="F128" s="44">
        <f t="shared" si="18"/>
        <v>0</v>
      </c>
      <c r="G128" s="44">
        <v>1</v>
      </c>
      <c r="H128" s="149">
        <f>'Transition Probabilites'!T60</f>
        <v>0</v>
      </c>
      <c r="I128" s="44" t="s">
        <v>80</v>
      </c>
      <c r="J128" s="44">
        <f t="shared" si="21"/>
        <v>0</v>
      </c>
      <c r="K128" s="44">
        <f t="shared" si="22"/>
        <v>0</v>
      </c>
      <c r="L128" s="44" t="s">
        <v>80</v>
      </c>
      <c r="M128" s="54" t="s">
        <v>242</v>
      </c>
      <c r="N128" s="44" t="e">
        <f t="shared" ca="1" si="23"/>
        <v>#DIV/0!</v>
      </c>
      <c r="O128" s="44">
        <f t="shared" ca="1" si="17"/>
        <v>7.1483842603993319E-2</v>
      </c>
      <c r="P128" s="55" t="e">
        <f t="shared" si="24"/>
        <v>#DIV/0!</v>
      </c>
      <c r="Q128" s="55" t="e">
        <f t="shared" si="25"/>
        <v>#DIV/0!</v>
      </c>
      <c r="R128" s="55">
        <f t="shared" si="19"/>
        <v>0</v>
      </c>
      <c r="S128"/>
      <c r="T128" s="94"/>
    </row>
    <row r="129" spans="1:20" ht="20.25" customHeight="1" x14ac:dyDescent="0.2">
      <c r="A129"/>
      <c r="B129" s="119">
        <v>3</v>
      </c>
      <c r="C129" s="210"/>
      <c r="D129" s="148">
        <f t="shared" si="26"/>
        <v>116</v>
      </c>
      <c r="E129" s="29" t="str">
        <f t="shared" si="32"/>
        <v>Transition from state 7 to state 3 (PVI T1)</v>
      </c>
      <c r="F129" s="44">
        <f t="shared" si="18"/>
        <v>0</v>
      </c>
      <c r="G129" s="44">
        <v>1</v>
      </c>
      <c r="H129" s="149">
        <f>'Transition Probabilites'!T61</f>
        <v>0</v>
      </c>
      <c r="I129" s="44" t="s">
        <v>80</v>
      </c>
      <c r="J129" s="44">
        <f t="shared" si="21"/>
        <v>0</v>
      </c>
      <c r="K129" s="44">
        <f t="shared" si="22"/>
        <v>0</v>
      </c>
      <c r="L129" s="44" t="s">
        <v>80</v>
      </c>
      <c r="M129" s="54" t="s">
        <v>242</v>
      </c>
      <c r="N129" s="44" t="e">
        <f t="shared" ca="1" si="23"/>
        <v>#DIV/0!</v>
      </c>
      <c r="O129" s="44">
        <f t="shared" ca="1" si="17"/>
        <v>0.49496271351031518</v>
      </c>
      <c r="P129" s="55" t="e">
        <f t="shared" si="24"/>
        <v>#DIV/0!</v>
      </c>
      <c r="Q129" s="55" t="e">
        <f t="shared" si="25"/>
        <v>#DIV/0!</v>
      </c>
      <c r="R129" s="55">
        <f t="shared" si="19"/>
        <v>0</v>
      </c>
      <c r="S129"/>
      <c r="T129" s="94"/>
    </row>
    <row r="130" spans="1:20" ht="20.25" customHeight="1" x14ac:dyDescent="0.2">
      <c r="A130"/>
      <c r="B130" s="119">
        <v>4</v>
      </c>
      <c r="C130" s="210"/>
      <c r="D130" s="148">
        <f t="shared" si="26"/>
        <v>117</v>
      </c>
      <c r="E130" s="29" t="str">
        <f t="shared" si="32"/>
        <v>Transition from state 7 to state 4 (PVI T1)</v>
      </c>
      <c r="F130" s="44">
        <f t="shared" si="18"/>
        <v>0</v>
      </c>
      <c r="G130" s="44">
        <v>1</v>
      </c>
      <c r="H130" s="149">
        <f>'Transition Probabilites'!T62</f>
        <v>0</v>
      </c>
      <c r="I130" s="44" t="s">
        <v>80</v>
      </c>
      <c r="J130" s="44">
        <f t="shared" si="21"/>
        <v>0</v>
      </c>
      <c r="K130" s="44">
        <f t="shared" si="22"/>
        <v>0</v>
      </c>
      <c r="L130" s="44" t="s">
        <v>80</v>
      </c>
      <c r="M130" s="54" t="s">
        <v>242</v>
      </c>
      <c r="N130" s="44" t="e">
        <f t="shared" ca="1" si="23"/>
        <v>#DIV/0!</v>
      </c>
      <c r="O130" s="44">
        <f t="shared" ca="1" si="17"/>
        <v>0.32647940073484771</v>
      </c>
      <c r="P130" s="55" t="e">
        <f t="shared" si="24"/>
        <v>#DIV/0!</v>
      </c>
      <c r="Q130" s="55" t="e">
        <f t="shared" si="25"/>
        <v>#DIV/0!</v>
      </c>
      <c r="R130" s="55">
        <f t="shared" si="19"/>
        <v>0</v>
      </c>
      <c r="S130"/>
      <c r="T130" s="94"/>
    </row>
    <row r="131" spans="1:20" ht="20.25" customHeight="1" x14ac:dyDescent="0.2">
      <c r="A131"/>
      <c r="B131" s="119">
        <v>5</v>
      </c>
      <c r="C131" s="210"/>
      <c r="D131" s="148">
        <f t="shared" si="26"/>
        <v>118</v>
      </c>
      <c r="E131" s="29" t="str">
        <f t="shared" si="32"/>
        <v>Transition from state 7 to state 5 (PVI T1)</v>
      </c>
      <c r="F131" s="44">
        <f t="shared" si="18"/>
        <v>0</v>
      </c>
      <c r="G131" s="44">
        <v>1</v>
      </c>
      <c r="H131" s="149">
        <f>'Transition Probabilites'!T63</f>
        <v>0</v>
      </c>
      <c r="I131" s="44" t="s">
        <v>80</v>
      </c>
      <c r="J131" s="44">
        <f t="shared" si="21"/>
        <v>0</v>
      </c>
      <c r="K131" s="44">
        <f t="shared" si="22"/>
        <v>0</v>
      </c>
      <c r="L131" s="44" t="s">
        <v>80</v>
      </c>
      <c r="M131" s="54" t="s">
        <v>242</v>
      </c>
      <c r="N131" s="44" t="e">
        <f t="shared" ca="1" si="23"/>
        <v>#DIV/0!</v>
      </c>
      <c r="O131" s="44">
        <f t="shared" ca="1" si="17"/>
        <v>0.19078005834406786</v>
      </c>
      <c r="P131" s="55" t="e">
        <f t="shared" si="24"/>
        <v>#DIV/0!</v>
      </c>
      <c r="Q131" s="55" t="e">
        <f t="shared" si="25"/>
        <v>#DIV/0!</v>
      </c>
      <c r="R131" s="55">
        <f t="shared" si="19"/>
        <v>0</v>
      </c>
      <c r="S131"/>
      <c r="T131" s="94"/>
    </row>
    <row r="132" spans="1:20" ht="20.25" customHeight="1" x14ac:dyDescent="0.2">
      <c r="A132"/>
      <c r="B132" s="119">
        <v>6</v>
      </c>
      <c r="C132" s="210"/>
      <c r="D132" s="148">
        <f t="shared" si="26"/>
        <v>119</v>
      </c>
      <c r="E132" s="29" t="str">
        <f t="shared" si="32"/>
        <v>Transition from state 7 to state 6 (PVI T1)</v>
      </c>
      <c r="F132" s="44">
        <f t="shared" si="18"/>
        <v>0</v>
      </c>
      <c r="G132" s="44">
        <v>1</v>
      </c>
      <c r="H132" s="149">
        <f>'Transition Probabilites'!T64</f>
        <v>0</v>
      </c>
      <c r="I132" s="44" t="s">
        <v>80</v>
      </c>
      <c r="J132" s="44">
        <f t="shared" si="21"/>
        <v>0</v>
      </c>
      <c r="K132" s="44">
        <f t="shared" si="22"/>
        <v>0</v>
      </c>
      <c r="L132" s="44" t="s">
        <v>80</v>
      </c>
      <c r="M132" s="54" t="s">
        <v>242</v>
      </c>
      <c r="N132" s="44" t="e">
        <f t="shared" ca="1" si="23"/>
        <v>#DIV/0!</v>
      </c>
      <c r="O132" s="44">
        <f t="shared" ca="1" si="17"/>
        <v>0.36590926680870994</v>
      </c>
      <c r="P132" s="55" t="e">
        <f t="shared" si="24"/>
        <v>#DIV/0!</v>
      </c>
      <c r="Q132" s="55" t="e">
        <f t="shared" si="25"/>
        <v>#DIV/0!</v>
      </c>
      <c r="R132" s="55">
        <f t="shared" si="19"/>
        <v>0</v>
      </c>
      <c r="S132"/>
      <c r="T132" s="94"/>
    </row>
    <row r="133" spans="1:20" ht="20.25" customHeight="1" x14ac:dyDescent="0.2">
      <c r="A133"/>
      <c r="B133" s="119">
        <v>7</v>
      </c>
      <c r="C133" s="210"/>
      <c r="D133" s="148">
        <f t="shared" si="26"/>
        <v>120</v>
      </c>
      <c r="E133" s="29" t="str">
        <f t="shared" si="32"/>
        <v>Transition from state 7 to state 7 (PVI T1)</v>
      </c>
      <c r="F133" s="44">
        <f t="shared" si="18"/>
        <v>1</v>
      </c>
      <c r="G133" s="44">
        <v>1</v>
      </c>
      <c r="H133" s="149">
        <f>'Transition Probabilites'!T65</f>
        <v>1</v>
      </c>
      <c r="I133" s="44" t="s">
        <v>80</v>
      </c>
      <c r="J133" s="44">
        <f t="shared" si="21"/>
        <v>0.8040036015459946</v>
      </c>
      <c r="K133" s="44">
        <f t="shared" si="22"/>
        <v>1.1959963984540054</v>
      </c>
      <c r="L133" s="44" t="s">
        <v>80</v>
      </c>
      <c r="M133" s="54" t="s">
        <v>242</v>
      </c>
      <c r="N133" s="44" t="e">
        <f t="shared" ca="1" si="23"/>
        <v>#NUM!</v>
      </c>
      <c r="O133" s="44">
        <f t="shared" ca="1" si="17"/>
        <v>0.31430025056401223</v>
      </c>
      <c r="P133" s="55">
        <f t="shared" si="24"/>
        <v>0</v>
      </c>
      <c r="Q133" s="55">
        <f t="shared" si="25"/>
        <v>-89.999999999999986</v>
      </c>
      <c r="R133" s="55">
        <f t="shared" si="19"/>
        <v>0.1</v>
      </c>
      <c r="S133"/>
      <c r="T133" s="94"/>
    </row>
    <row r="134" spans="1:20" ht="20.25" customHeight="1" x14ac:dyDescent="0.2">
      <c r="A134"/>
      <c r="B134" s="119">
        <v>8</v>
      </c>
      <c r="C134" s="210"/>
      <c r="D134" s="148">
        <f t="shared" si="26"/>
        <v>121</v>
      </c>
      <c r="E134" s="29" t="str">
        <f t="shared" si="32"/>
        <v>Transition from state 7 to state 8 (PVI T1)</v>
      </c>
      <c r="F134" s="44">
        <f t="shared" si="18"/>
        <v>0</v>
      </c>
      <c r="G134" s="44">
        <v>1</v>
      </c>
      <c r="H134" s="149">
        <f>'Transition Probabilites'!T66</f>
        <v>0</v>
      </c>
      <c r="I134" s="44" t="s">
        <v>80</v>
      </c>
      <c r="J134" s="44">
        <f t="shared" si="21"/>
        <v>0</v>
      </c>
      <c r="K134" s="44">
        <f t="shared" si="22"/>
        <v>0</v>
      </c>
      <c r="L134" s="44" t="s">
        <v>80</v>
      </c>
      <c r="M134" s="54" t="s">
        <v>242</v>
      </c>
      <c r="N134" s="44" t="e">
        <f t="shared" ca="1" si="23"/>
        <v>#DIV/0!</v>
      </c>
      <c r="O134" s="44">
        <f t="shared" ca="1" si="17"/>
        <v>0.29800779332022498</v>
      </c>
      <c r="P134" s="55" t="e">
        <f t="shared" si="24"/>
        <v>#DIV/0!</v>
      </c>
      <c r="Q134" s="55" t="e">
        <f t="shared" si="25"/>
        <v>#DIV/0!</v>
      </c>
      <c r="R134" s="55">
        <f t="shared" si="19"/>
        <v>0</v>
      </c>
      <c r="S134"/>
      <c r="T134" s="94"/>
    </row>
    <row r="135" spans="1:20" ht="20.25" customHeight="1" x14ac:dyDescent="0.2">
      <c r="A135"/>
      <c r="B135" s="119">
        <v>1</v>
      </c>
      <c r="C135" s="210"/>
      <c r="D135" s="148">
        <f t="shared" si="26"/>
        <v>122</v>
      </c>
      <c r="E135" s="29" t="str">
        <f t="shared" ref="E135:E142" si="33">"Transition from state"&amp; " "&amp;$B$22&amp;" "&amp;"to state"&amp;" "&amp;B135&amp;" "&amp;"(PVI T1)"</f>
        <v>Transition from state 8 to state 1 (PVI T1)</v>
      </c>
      <c r="F135" s="44">
        <f t="shared" si="18"/>
        <v>0</v>
      </c>
      <c r="G135" s="44">
        <v>1</v>
      </c>
      <c r="H135" s="149">
        <f>'Transition Probabilites'!T67</f>
        <v>0</v>
      </c>
      <c r="I135" s="44" t="s">
        <v>80</v>
      </c>
      <c r="J135" s="44">
        <f t="shared" si="21"/>
        <v>0</v>
      </c>
      <c r="K135" s="44">
        <f t="shared" si="22"/>
        <v>0</v>
      </c>
      <c r="L135" s="44" t="s">
        <v>80</v>
      </c>
      <c r="M135" s="54" t="s">
        <v>242</v>
      </c>
      <c r="N135" s="44" t="e">
        <f t="shared" ca="1" si="23"/>
        <v>#DIV/0!</v>
      </c>
      <c r="O135" s="44">
        <f t="shared" ca="1" si="17"/>
        <v>0.57935378793560466</v>
      </c>
      <c r="P135" s="55" t="e">
        <f t="shared" si="24"/>
        <v>#DIV/0!</v>
      </c>
      <c r="Q135" s="55" t="e">
        <f t="shared" si="25"/>
        <v>#DIV/0!</v>
      </c>
      <c r="R135" s="55">
        <f t="shared" si="19"/>
        <v>0</v>
      </c>
      <c r="S135"/>
      <c r="T135" s="94"/>
    </row>
    <row r="136" spans="1:20" ht="20.25" customHeight="1" x14ac:dyDescent="0.2">
      <c r="A136"/>
      <c r="B136" s="119">
        <v>2</v>
      </c>
      <c r="C136" s="210"/>
      <c r="D136" s="148">
        <f t="shared" si="26"/>
        <v>123</v>
      </c>
      <c r="E136" s="29" t="str">
        <f t="shared" si="33"/>
        <v>Transition from state 8 to state 2 (PVI T1)</v>
      </c>
      <c r="F136" s="44">
        <f t="shared" si="18"/>
        <v>0</v>
      </c>
      <c r="G136" s="44">
        <v>1</v>
      </c>
      <c r="H136" s="149">
        <f>'Transition Probabilites'!T68</f>
        <v>0</v>
      </c>
      <c r="I136" s="44" t="s">
        <v>80</v>
      </c>
      <c r="J136" s="44">
        <f t="shared" si="21"/>
        <v>0</v>
      </c>
      <c r="K136" s="44">
        <f t="shared" si="22"/>
        <v>0</v>
      </c>
      <c r="L136" s="44" t="s">
        <v>80</v>
      </c>
      <c r="M136" s="54" t="s">
        <v>242</v>
      </c>
      <c r="N136" s="44" t="e">
        <f t="shared" ca="1" si="23"/>
        <v>#DIV/0!</v>
      </c>
      <c r="O136" s="44">
        <f t="shared" ca="1" si="17"/>
        <v>0.58219955371183496</v>
      </c>
      <c r="P136" s="55" t="e">
        <f t="shared" si="24"/>
        <v>#DIV/0!</v>
      </c>
      <c r="Q136" s="55" t="e">
        <f t="shared" si="25"/>
        <v>#DIV/0!</v>
      </c>
      <c r="R136" s="55">
        <f t="shared" si="19"/>
        <v>0</v>
      </c>
      <c r="S136"/>
      <c r="T136" s="94"/>
    </row>
    <row r="137" spans="1:20" ht="20.25" customHeight="1" x14ac:dyDescent="0.2">
      <c r="A137"/>
      <c r="B137" s="119">
        <v>3</v>
      </c>
      <c r="C137" s="210"/>
      <c r="D137" s="148">
        <f t="shared" si="26"/>
        <v>124</v>
      </c>
      <c r="E137" s="29" t="str">
        <f t="shared" si="33"/>
        <v>Transition from state 8 to state 3 (PVI T1)</v>
      </c>
      <c r="F137" s="44">
        <f t="shared" si="18"/>
        <v>0</v>
      </c>
      <c r="G137" s="44">
        <v>1</v>
      </c>
      <c r="H137" s="149">
        <f>'Transition Probabilites'!T69</f>
        <v>0</v>
      </c>
      <c r="I137" s="44" t="s">
        <v>80</v>
      </c>
      <c r="J137" s="44">
        <f t="shared" si="21"/>
        <v>0</v>
      </c>
      <c r="K137" s="44">
        <f t="shared" si="22"/>
        <v>0</v>
      </c>
      <c r="L137" s="44" t="s">
        <v>80</v>
      </c>
      <c r="M137" s="54" t="s">
        <v>242</v>
      </c>
      <c r="N137" s="44" t="e">
        <f t="shared" ca="1" si="23"/>
        <v>#DIV/0!</v>
      </c>
      <c r="O137" s="44">
        <f t="shared" ca="1" si="17"/>
        <v>0.25814903946722634</v>
      </c>
      <c r="P137" s="55" t="e">
        <f t="shared" si="24"/>
        <v>#DIV/0!</v>
      </c>
      <c r="Q137" s="55" t="e">
        <f t="shared" si="25"/>
        <v>#DIV/0!</v>
      </c>
      <c r="R137" s="55">
        <f t="shared" si="19"/>
        <v>0</v>
      </c>
      <c r="S137"/>
      <c r="T137" s="94"/>
    </row>
    <row r="138" spans="1:20" ht="20.25" customHeight="1" x14ac:dyDescent="0.2">
      <c r="A138"/>
      <c r="B138" s="119">
        <v>4</v>
      </c>
      <c r="C138" s="210"/>
      <c r="D138" s="148">
        <f t="shared" si="26"/>
        <v>125</v>
      </c>
      <c r="E138" s="29" t="str">
        <f t="shared" si="33"/>
        <v>Transition from state 8 to state 4 (PVI T1)</v>
      </c>
      <c r="F138" s="44">
        <f t="shared" si="18"/>
        <v>0</v>
      </c>
      <c r="G138" s="44">
        <v>1</v>
      </c>
      <c r="H138" s="149">
        <f>'Transition Probabilites'!T70</f>
        <v>0</v>
      </c>
      <c r="I138" s="44" t="s">
        <v>80</v>
      </c>
      <c r="J138" s="44">
        <f t="shared" si="21"/>
        <v>0</v>
      </c>
      <c r="K138" s="44">
        <f t="shared" si="22"/>
        <v>0</v>
      </c>
      <c r="L138" s="44" t="s">
        <v>80</v>
      </c>
      <c r="M138" s="54" t="s">
        <v>242</v>
      </c>
      <c r="N138" s="44" t="e">
        <f t="shared" ca="1" si="23"/>
        <v>#DIV/0!</v>
      </c>
      <c r="O138" s="44">
        <f t="shared" ca="1" si="17"/>
        <v>0.16548868720120236</v>
      </c>
      <c r="P138" s="55" t="e">
        <f t="shared" si="24"/>
        <v>#DIV/0!</v>
      </c>
      <c r="Q138" s="55" t="e">
        <f t="shared" si="25"/>
        <v>#DIV/0!</v>
      </c>
      <c r="R138" s="55">
        <f t="shared" si="19"/>
        <v>0</v>
      </c>
      <c r="S138"/>
      <c r="T138" s="94"/>
    </row>
    <row r="139" spans="1:20" ht="20.25" customHeight="1" x14ac:dyDescent="0.2">
      <c r="A139"/>
      <c r="B139" s="119">
        <v>5</v>
      </c>
      <c r="C139" s="210"/>
      <c r="D139" s="148">
        <f t="shared" si="26"/>
        <v>126</v>
      </c>
      <c r="E139" s="29" t="str">
        <f t="shared" si="33"/>
        <v>Transition from state 8 to state 5 (PVI T1)</v>
      </c>
      <c r="F139" s="44">
        <f t="shared" si="18"/>
        <v>0</v>
      </c>
      <c r="G139" s="44">
        <v>1</v>
      </c>
      <c r="H139" s="149">
        <f>'Transition Probabilites'!T71</f>
        <v>0</v>
      </c>
      <c r="I139" s="44" t="s">
        <v>80</v>
      </c>
      <c r="J139" s="44">
        <f t="shared" si="21"/>
        <v>0</v>
      </c>
      <c r="K139" s="44">
        <f t="shared" si="22"/>
        <v>0</v>
      </c>
      <c r="L139" s="44" t="s">
        <v>80</v>
      </c>
      <c r="M139" s="54" t="s">
        <v>242</v>
      </c>
      <c r="N139" s="44" t="e">
        <f t="shared" ca="1" si="23"/>
        <v>#DIV/0!</v>
      </c>
      <c r="O139" s="44">
        <f t="shared" ref="O139:O202" ca="1" si="34">RAND()</f>
        <v>0.81772894753490111</v>
      </c>
      <c r="P139" s="55" t="e">
        <f t="shared" si="24"/>
        <v>#DIV/0!</v>
      </c>
      <c r="Q139" s="55" t="e">
        <f t="shared" si="25"/>
        <v>#DIV/0!</v>
      </c>
      <c r="R139" s="55">
        <f t="shared" si="19"/>
        <v>0</v>
      </c>
      <c r="S139"/>
      <c r="T139" s="94"/>
    </row>
    <row r="140" spans="1:20" ht="20.25" customHeight="1" x14ac:dyDescent="0.2">
      <c r="A140"/>
      <c r="B140" s="119">
        <v>6</v>
      </c>
      <c r="C140" s="210"/>
      <c r="D140" s="148">
        <f t="shared" si="26"/>
        <v>127</v>
      </c>
      <c r="E140" s="29" t="str">
        <f t="shared" si="33"/>
        <v>Transition from state 8 to state 6 (PVI T1)</v>
      </c>
      <c r="F140" s="44">
        <f t="shared" si="18"/>
        <v>0</v>
      </c>
      <c r="G140" s="44">
        <v>1</v>
      </c>
      <c r="H140" s="149">
        <f>'Transition Probabilites'!T72</f>
        <v>0</v>
      </c>
      <c r="I140" s="44" t="s">
        <v>80</v>
      </c>
      <c r="J140" s="44">
        <f t="shared" si="21"/>
        <v>0</v>
      </c>
      <c r="K140" s="44">
        <f t="shared" si="22"/>
        <v>0</v>
      </c>
      <c r="L140" s="44" t="s">
        <v>80</v>
      </c>
      <c r="M140" s="54" t="s">
        <v>242</v>
      </c>
      <c r="N140" s="44" t="e">
        <f t="shared" ca="1" si="23"/>
        <v>#DIV/0!</v>
      </c>
      <c r="O140" s="44">
        <f t="shared" ca="1" si="34"/>
        <v>0.43176754788721106</v>
      </c>
      <c r="P140" s="55" t="e">
        <f t="shared" si="24"/>
        <v>#DIV/0!</v>
      </c>
      <c r="Q140" s="55" t="e">
        <f t="shared" si="25"/>
        <v>#DIV/0!</v>
      </c>
      <c r="R140" s="55">
        <f t="shared" si="19"/>
        <v>0</v>
      </c>
      <c r="S140"/>
      <c r="T140" s="94"/>
    </row>
    <row r="141" spans="1:20" ht="20.25" customHeight="1" x14ac:dyDescent="0.2">
      <c r="A141"/>
      <c r="B141" s="119">
        <v>7</v>
      </c>
      <c r="C141" s="210"/>
      <c r="D141" s="148">
        <f t="shared" si="26"/>
        <v>128</v>
      </c>
      <c r="E141" s="29" t="str">
        <f t="shared" si="33"/>
        <v>Transition from state 8 to state 7 (PVI T1)</v>
      </c>
      <c r="F141" s="44">
        <f t="shared" si="18"/>
        <v>0</v>
      </c>
      <c r="G141" s="44">
        <v>1</v>
      </c>
      <c r="H141" s="149">
        <f>'Transition Probabilites'!T73</f>
        <v>0</v>
      </c>
      <c r="I141" s="44" t="s">
        <v>80</v>
      </c>
      <c r="J141" s="44">
        <f t="shared" si="21"/>
        <v>0</v>
      </c>
      <c r="K141" s="44">
        <f t="shared" si="22"/>
        <v>0</v>
      </c>
      <c r="L141" s="44" t="s">
        <v>80</v>
      </c>
      <c r="M141" s="54" t="s">
        <v>242</v>
      </c>
      <c r="N141" s="44" t="e">
        <f t="shared" ca="1" si="23"/>
        <v>#DIV/0!</v>
      </c>
      <c r="O141" s="44">
        <f t="shared" ca="1" si="34"/>
        <v>0.68765518462353181</v>
      </c>
      <c r="P141" s="55" t="e">
        <f t="shared" si="24"/>
        <v>#DIV/0!</v>
      </c>
      <c r="Q141" s="55" t="e">
        <f t="shared" si="25"/>
        <v>#DIV/0!</v>
      </c>
      <c r="R141" s="55">
        <f t="shared" si="19"/>
        <v>0</v>
      </c>
      <c r="S141"/>
      <c r="T141" s="94"/>
    </row>
    <row r="142" spans="1:20" ht="20.25" customHeight="1" x14ac:dyDescent="0.2">
      <c r="A142"/>
      <c r="B142" s="119">
        <v>8</v>
      </c>
      <c r="C142" s="210"/>
      <c r="D142" s="148">
        <f t="shared" si="26"/>
        <v>129</v>
      </c>
      <c r="E142" s="29" t="str">
        <f t="shared" si="33"/>
        <v>Transition from state 8 to state 8 (PVI T1)</v>
      </c>
      <c r="F142" s="44">
        <f t="shared" ref="F142:F205" si="35">CHOOSE(G142,H142,J142,K142,N142)</f>
        <v>1</v>
      </c>
      <c r="G142" s="44">
        <v>1</v>
      </c>
      <c r="H142" s="149">
        <f>'Transition Probabilites'!T74</f>
        <v>1</v>
      </c>
      <c r="I142" s="44" t="s">
        <v>80</v>
      </c>
      <c r="J142" s="44">
        <f t="shared" si="21"/>
        <v>0.8040036015459946</v>
      </c>
      <c r="K142" s="44">
        <f t="shared" si="22"/>
        <v>1.1959963984540054</v>
      </c>
      <c r="L142" s="44" t="s">
        <v>80</v>
      </c>
      <c r="M142" s="54" t="s">
        <v>242</v>
      </c>
      <c r="N142" s="44" t="e">
        <f t="shared" ca="1" si="23"/>
        <v>#NUM!</v>
      </c>
      <c r="O142" s="44">
        <f t="shared" ca="1" si="34"/>
        <v>0.21410204598286442</v>
      </c>
      <c r="P142" s="55">
        <f t="shared" si="24"/>
        <v>0</v>
      </c>
      <c r="Q142" s="55">
        <f t="shared" si="25"/>
        <v>-89.999999999999986</v>
      </c>
      <c r="R142" s="55">
        <f t="shared" ref="R142:R205" si="36">assumedSE*H142</f>
        <v>0.1</v>
      </c>
      <c r="S142"/>
      <c r="T142" s="94"/>
    </row>
    <row r="143" spans="1:20" ht="20.25" customHeight="1" x14ac:dyDescent="0.2">
      <c r="A143"/>
      <c r="B143" s="119">
        <v>1</v>
      </c>
      <c r="C143" s="209" t="s">
        <v>126</v>
      </c>
      <c r="D143" s="148">
        <f t="shared" si="26"/>
        <v>130</v>
      </c>
      <c r="E143" s="29" t="str">
        <f t="shared" ref="E143:E150" si="37">"Transition from state"&amp; " "&amp;$B$15&amp;" "&amp;"to state"&amp;" "&amp;B143&amp;" "&amp;"(CHG T4)"</f>
        <v>Transition from state 1 to state 1 (CHG T4)</v>
      </c>
      <c r="F143" s="44">
        <f t="shared" si="35"/>
        <v>1.6533191737849306E-4</v>
      </c>
      <c r="G143" s="44">
        <v>1</v>
      </c>
      <c r="H143" s="149">
        <f>'Transition Probabilites'!N11</f>
        <v>1.6533191737849306E-4</v>
      </c>
      <c r="I143" s="44" t="s">
        <v>37</v>
      </c>
      <c r="J143" s="44">
        <f t="shared" ref="J143:J206" si="38">IF(H143=0,0,_xlfn.NORM.INV(0.025,H143,R143))</f>
        <v>1.3292745702281323E-4</v>
      </c>
      <c r="K143" s="44">
        <f t="shared" ref="K143:K206" si="39">IF(H143=0,0,_xlfn.NORM.INV(0.975,H143,R143))</f>
        <v>1.9773637773417288E-4</v>
      </c>
      <c r="L143" s="44" t="s">
        <v>37</v>
      </c>
      <c r="M143" s="54" t="s">
        <v>242</v>
      </c>
      <c r="N143" s="44">
        <f t="shared" ref="N143:N206" ca="1" si="40">IF(H143=1,_xlfn.GAMMA.INV(O143,P143+1,1)/(_xlfn.GAMMA.INV(O143,P143+1,1)+_xlfn.GAMMA.INV(O143,Q143+1,1)),_xlfn.BETA.INV(O143,P143,Q143))</f>
        <v>1.5044064808128198E-4</v>
      </c>
      <c r="O143" s="44">
        <f t="shared" ca="1" si="34"/>
        <v>0.18522005706784461</v>
      </c>
      <c r="P143" s="55">
        <f t="shared" ref="P143:P206" si="41">((H143^2)*(1-H143))/(R143^2)</f>
        <v>99.983466808262136</v>
      </c>
      <c r="Q143" s="55">
        <f t="shared" ref="Q143:Q206" si="42">(H143*(1-H143)/(R143^2))-((H143^2)*(1-R143)/(R143^2))</f>
        <v>604643.89136077825</v>
      </c>
      <c r="R143" s="55">
        <f t="shared" si="36"/>
        <v>1.6533191737849308E-5</v>
      </c>
      <c r="S143"/>
      <c r="T143" s="94"/>
    </row>
    <row r="144" spans="1:20" ht="20.25" customHeight="1" x14ac:dyDescent="0.2">
      <c r="A144"/>
      <c r="B144" s="119">
        <v>2</v>
      </c>
      <c r="C144" s="210"/>
      <c r="D144" s="148">
        <f t="shared" ref="D144:D207" si="43">D143+1</f>
        <v>131</v>
      </c>
      <c r="E144" s="29" t="str">
        <f t="shared" si="37"/>
        <v>Transition from state 1 to state 2 (CHG T4)</v>
      </c>
      <c r="F144" s="44">
        <f t="shared" si="35"/>
        <v>2.8861005288294099E-4</v>
      </c>
      <c r="G144" s="44">
        <v>1</v>
      </c>
      <c r="H144" s="149">
        <f>'Transition Probabilites'!N12</f>
        <v>2.8861005288294099E-4</v>
      </c>
      <c r="I144" s="44" t="s">
        <v>37</v>
      </c>
      <c r="J144" s="44">
        <f t="shared" si="38"/>
        <v>2.3204352196026451E-4</v>
      </c>
      <c r="K144" s="44">
        <f t="shared" si="39"/>
        <v>3.4517658380561745E-4</v>
      </c>
      <c r="L144" s="44" t="s">
        <v>37</v>
      </c>
      <c r="M144" s="54" t="s">
        <v>242</v>
      </c>
      <c r="N144" s="44">
        <f t="shared" ca="1" si="40"/>
        <v>2.9323813266268761E-4</v>
      </c>
      <c r="O144" s="44">
        <f t="shared" ca="1" si="34"/>
        <v>0.57644029887792347</v>
      </c>
      <c r="P144" s="55">
        <f t="shared" si="41"/>
        <v>99.971138994711694</v>
      </c>
      <c r="Q144" s="55">
        <f t="shared" si="42"/>
        <v>346288.28006527264</v>
      </c>
      <c r="R144" s="55">
        <f t="shared" si="36"/>
        <v>2.8861005288294102E-5</v>
      </c>
      <c r="S144"/>
      <c r="T144" s="94"/>
    </row>
    <row r="145" spans="1:20" ht="20.25" customHeight="1" x14ac:dyDescent="0.2">
      <c r="A145"/>
      <c r="B145" s="119">
        <v>3</v>
      </c>
      <c r="C145" s="210"/>
      <c r="D145" s="148">
        <f t="shared" si="43"/>
        <v>132</v>
      </c>
      <c r="E145" s="29" t="str">
        <f t="shared" si="37"/>
        <v>Transition from state 1 to state 3 (CHG T4)</v>
      </c>
      <c r="F145" s="44">
        <f t="shared" si="35"/>
        <v>3.1483338297927693E-6</v>
      </c>
      <c r="G145" s="44">
        <v>1</v>
      </c>
      <c r="H145" s="149">
        <f>'Transition Probabilites'!N13</f>
        <v>3.1483338297927693E-6</v>
      </c>
      <c r="I145" s="44" t="s">
        <v>37</v>
      </c>
      <c r="J145" s="44">
        <f t="shared" si="38"/>
        <v>2.5312717380224807E-6</v>
      </c>
      <c r="K145" s="44">
        <f t="shared" si="39"/>
        <v>3.7653959215630574E-6</v>
      </c>
      <c r="L145" s="44" t="s">
        <v>37</v>
      </c>
      <c r="M145" s="54" t="s">
        <v>242</v>
      </c>
      <c r="N145" s="44">
        <f t="shared" ca="1" si="40"/>
        <v>3.6227975637181942E-6</v>
      </c>
      <c r="O145" s="44">
        <f t="shared" ca="1" si="34"/>
        <v>0.92925936467084047</v>
      </c>
      <c r="P145" s="55">
        <f t="shared" si="41"/>
        <v>99.999685166617027</v>
      </c>
      <c r="Q145" s="55">
        <f t="shared" si="42"/>
        <v>31762632.471511245</v>
      </c>
      <c r="R145" s="55">
        <f t="shared" si="36"/>
        <v>3.1483338297927693E-7</v>
      </c>
      <c r="S145"/>
      <c r="T145" s="94"/>
    </row>
    <row r="146" spans="1:20" ht="20.25" customHeight="1" x14ac:dyDescent="0.2">
      <c r="A146"/>
      <c r="B146" s="119">
        <v>4</v>
      </c>
      <c r="C146" s="210"/>
      <c r="D146" s="148">
        <f t="shared" si="43"/>
        <v>133</v>
      </c>
      <c r="E146" s="29" t="str">
        <f t="shared" si="37"/>
        <v>Transition from state 1 to state 4 (CHG T4)</v>
      </c>
      <c r="F146" s="44">
        <f t="shared" si="35"/>
        <v>5.2319302076817004E-6</v>
      </c>
      <c r="G146" s="44">
        <v>1</v>
      </c>
      <c r="H146" s="149">
        <f>'Transition Probabilites'!N14</f>
        <v>5.2319302076817004E-6</v>
      </c>
      <c r="I146" s="44" t="s">
        <v>37</v>
      </c>
      <c r="J146" s="44">
        <f t="shared" si="38"/>
        <v>4.2064907300133708E-6</v>
      </c>
      <c r="K146" s="44">
        <f t="shared" si="39"/>
        <v>6.2573696853500301E-6</v>
      </c>
      <c r="L146" s="44" t="s">
        <v>37</v>
      </c>
      <c r="M146" s="54" t="s">
        <v>242</v>
      </c>
      <c r="N146" s="44">
        <f t="shared" ca="1" si="40"/>
        <v>5.0992395872852942E-6</v>
      </c>
      <c r="O146" s="44">
        <f t="shared" ca="1" si="34"/>
        <v>0.41200857072638597</v>
      </c>
      <c r="P146" s="55">
        <f t="shared" si="41"/>
        <v>99.999476806979231</v>
      </c>
      <c r="Q146" s="55">
        <f t="shared" si="42"/>
        <v>19113204.810608953</v>
      </c>
      <c r="R146" s="55">
        <f t="shared" si="36"/>
        <v>5.2319302076817006E-7</v>
      </c>
      <c r="S146"/>
      <c r="T146" s="94"/>
    </row>
    <row r="147" spans="1:20" ht="20.25" customHeight="1" x14ac:dyDescent="0.2">
      <c r="A147"/>
      <c r="B147" s="119">
        <v>5</v>
      </c>
      <c r="C147" s="210"/>
      <c r="D147" s="148">
        <f t="shared" si="43"/>
        <v>134</v>
      </c>
      <c r="E147" s="29" t="str">
        <f t="shared" si="37"/>
        <v>Transition from state 1 to state 5 (CHG T4)</v>
      </c>
      <c r="F147" s="44">
        <f t="shared" si="35"/>
        <v>1.0117969214613694E-10</v>
      </c>
      <c r="G147" s="44">
        <v>1</v>
      </c>
      <c r="H147" s="149">
        <f>'Transition Probabilites'!N15</f>
        <v>1.0117969214613694E-10</v>
      </c>
      <c r="I147" s="44" t="s">
        <v>37</v>
      </c>
      <c r="J147" s="44">
        <f t="shared" si="38"/>
        <v>8.134883688880908E-11</v>
      </c>
      <c r="K147" s="44">
        <f t="shared" si="39"/>
        <v>1.2101054740346478E-10</v>
      </c>
      <c r="L147" s="44" t="s">
        <v>37</v>
      </c>
      <c r="M147" s="54" t="s">
        <v>242</v>
      </c>
      <c r="N147" s="44">
        <f t="shared" ca="1" si="40"/>
        <v>1.0956713314413946E-10</v>
      </c>
      <c r="O147" s="44">
        <f t="shared" ca="1" si="34"/>
        <v>0.79960941139953234</v>
      </c>
      <c r="P147" s="55">
        <f t="shared" si="41"/>
        <v>99.999999989882028</v>
      </c>
      <c r="Q147" s="55">
        <f t="shared" si="42"/>
        <v>988340623089.96741</v>
      </c>
      <c r="R147" s="55">
        <f t="shared" si="36"/>
        <v>1.0117969214613694E-11</v>
      </c>
      <c r="S147"/>
      <c r="T147" s="94"/>
    </row>
    <row r="148" spans="1:20" ht="20.25" customHeight="1" x14ac:dyDescent="0.2">
      <c r="A148"/>
      <c r="B148" s="119">
        <v>6</v>
      </c>
      <c r="C148" s="210"/>
      <c r="D148" s="148">
        <f t="shared" si="43"/>
        <v>135</v>
      </c>
      <c r="E148" s="29" t="str">
        <f t="shared" si="37"/>
        <v>Transition from state 1 to state 6 (CHG T4)</v>
      </c>
      <c r="F148" s="44">
        <f t="shared" si="35"/>
        <v>0</v>
      </c>
      <c r="G148" s="44">
        <v>1</v>
      </c>
      <c r="H148" s="149">
        <f>'Transition Probabilites'!N16</f>
        <v>0</v>
      </c>
      <c r="I148" s="44" t="s">
        <v>80</v>
      </c>
      <c r="J148" s="44">
        <f t="shared" si="38"/>
        <v>0</v>
      </c>
      <c r="K148" s="44">
        <f t="shared" si="39"/>
        <v>0</v>
      </c>
      <c r="L148" s="44" t="s">
        <v>80</v>
      </c>
      <c r="M148" s="54" t="s">
        <v>242</v>
      </c>
      <c r="N148" s="44" t="e">
        <f t="shared" ca="1" si="40"/>
        <v>#DIV/0!</v>
      </c>
      <c r="O148" s="44">
        <f t="shared" ca="1" si="34"/>
        <v>0.12547723349035078</v>
      </c>
      <c r="P148" s="55" t="e">
        <f t="shared" si="41"/>
        <v>#DIV/0!</v>
      </c>
      <c r="Q148" s="55" t="e">
        <f t="shared" si="42"/>
        <v>#DIV/0!</v>
      </c>
      <c r="R148" s="55">
        <f t="shared" si="36"/>
        <v>0</v>
      </c>
      <c r="S148"/>
      <c r="T148" s="94"/>
    </row>
    <row r="149" spans="1:20" ht="20.25" customHeight="1" x14ac:dyDescent="0.2">
      <c r="A149"/>
      <c r="B149" s="119">
        <v>7</v>
      </c>
      <c r="C149" s="210"/>
      <c r="D149" s="148">
        <f t="shared" si="43"/>
        <v>136</v>
      </c>
      <c r="E149" s="29" t="str">
        <f t="shared" si="37"/>
        <v>Transition from state 1 to state 7 (CHG T4)</v>
      </c>
      <c r="F149" s="44">
        <f t="shared" si="35"/>
        <v>0.78460160442091287</v>
      </c>
      <c r="G149" s="44">
        <v>1</v>
      </c>
      <c r="H149" s="149">
        <f>'Transition Probabilites'!N17</f>
        <v>0.78460160442091287</v>
      </c>
      <c r="I149" s="44" t="s">
        <v>80</v>
      </c>
      <c r="J149" s="44">
        <f t="shared" si="38"/>
        <v>0.63082251573317971</v>
      </c>
      <c r="K149" s="44">
        <f t="shared" si="39"/>
        <v>0.93838069310864602</v>
      </c>
      <c r="L149" s="44" t="s">
        <v>80</v>
      </c>
      <c r="M149" s="54" t="s">
        <v>242</v>
      </c>
      <c r="N149" s="44" t="e">
        <f t="shared" ca="1" si="40"/>
        <v>#NUM!</v>
      </c>
      <c r="O149" s="44">
        <f t="shared" ca="1" si="34"/>
        <v>0.40635978767381764</v>
      </c>
      <c r="P149" s="55">
        <f t="shared" si="41"/>
        <v>21.539839557908707</v>
      </c>
      <c r="Q149" s="55">
        <f t="shared" si="42"/>
        <v>-64.700765103649303</v>
      </c>
      <c r="R149" s="55">
        <f t="shared" si="36"/>
        <v>7.8460160442091295E-2</v>
      </c>
      <c r="S149"/>
      <c r="T149" s="94"/>
    </row>
    <row r="150" spans="1:20" ht="20.25" customHeight="1" x14ac:dyDescent="0.2">
      <c r="A150"/>
      <c r="B150" s="119">
        <v>8</v>
      </c>
      <c r="C150" s="210"/>
      <c r="D150" s="148">
        <f t="shared" si="43"/>
        <v>137</v>
      </c>
      <c r="E150" s="29" t="str">
        <f t="shared" si="37"/>
        <v>Transition from state 1 to state 8 (CHG T4)</v>
      </c>
      <c r="F150" s="44">
        <f t="shared" si="35"/>
        <v>0.21493607324360856</v>
      </c>
      <c r="G150" s="44">
        <v>1</v>
      </c>
      <c r="H150" s="149">
        <f>'Transition Probabilites'!N18</f>
        <v>0.21493607324360856</v>
      </c>
      <c r="I150" s="44" t="s">
        <v>37</v>
      </c>
      <c r="J150" s="44">
        <f t="shared" si="38"/>
        <v>0.17280937699001497</v>
      </c>
      <c r="K150" s="44">
        <f t="shared" si="39"/>
        <v>0.25706276949720214</v>
      </c>
      <c r="L150" s="44" t="s">
        <v>37</v>
      </c>
      <c r="M150" s="54" t="s">
        <v>242</v>
      </c>
      <c r="N150" s="44">
        <f t="shared" ca="1" si="40"/>
        <v>0.2252665935231625</v>
      </c>
      <c r="O150" s="44">
        <f t="shared" ca="1" si="34"/>
        <v>0.4793848220808683</v>
      </c>
      <c r="P150" s="55">
        <f t="shared" si="41"/>
        <v>78.506392675639148</v>
      </c>
      <c r="Q150" s="55">
        <f t="shared" si="42"/>
        <v>267.40397570188333</v>
      </c>
      <c r="R150" s="55">
        <f t="shared" si="36"/>
        <v>2.1493607324360856E-2</v>
      </c>
      <c r="S150"/>
      <c r="T150" s="94"/>
    </row>
    <row r="151" spans="1:20" ht="20.25" customHeight="1" x14ac:dyDescent="0.2">
      <c r="A151"/>
      <c r="B151" s="119">
        <v>1</v>
      </c>
      <c r="C151" s="210"/>
      <c r="D151" s="148">
        <f t="shared" si="43"/>
        <v>138</v>
      </c>
      <c r="E151" s="29" t="str">
        <f t="shared" ref="E151:E158" si="44">"Transition from state"&amp; " "&amp;$B$16&amp;" "&amp;"to state"&amp;" "&amp;B151&amp;" "&amp;"(CHG T4)"</f>
        <v>Transition from state 2 to state 1 (CHG T4)</v>
      </c>
      <c r="F151" s="44">
        <f t="shared" si="35"/>
        <v>1.8047611406851239E-4</v>
      </c>
      <c r="G151" s="44">
        <v>1</v>
      </c>
      <c r="H151" s="149">
        <f>'Transition Probabilites'!N19</f>
        <v>1.8047611406851239E-4</v>
      </c>
      <c r="I151" s="44" t="s">
        <v>37</v>
      </c>
      <c r="J151" s="44">
        <f t="shared" si="38"/>
        <v>1.4510344570410971E-4</v>
      </c>
      <c r="K151" s="44">
        <f t="shared" si="39"/>
        <v>2.1584878243291507E-4</v>
      </c>
      <c r="L151" s="44" t="s">
        <v>37</v>
      </c>
      <c r="M151" s="54" t="s">
        <v>242</v>
      </c>
      <c r="N151" s="44">
        <f t="shared" ca="1" si="40"/>
        <v>1.5950909745947973E-4</v>
      </c>
      <c r="O151" s="44">
        <f t="shared" ca="1" si="34"/>
        <v>0.11971923634793946</v>
      </c>
      <c r="P151" s="55">
        <f t="shared" si="41"/>
        <v>99.981952388593172</v>
      </c>
      <c r="Q151" s="55">
        <f t="shared" si="42"/>
        <v>553889.94615073688</v>
      </c>
      <c r="R151" s="55">
        <f t="shared" si="36"/>
        <v>1.8047611406851239E-5</v>
      </c>
      <c r="S151"/>
      <c r="T151" s="94"/>
    </row>
    <row r="152" spans="1:20" ht="20.25" customHeight="1" x14ac:dyDescent="0.2">
      <c r="A152"/>
      <c r="B152" s="119">
        <v>2</v>
      </c>
      <c r="C152" s="210"/>
      <c r="D152" s="148">
        <f t="shared" si="43"/>
        <v>139</v>
      </c>
      <c r="E152" s="29" t="str">
        <f t="shared" si="44"/>
        <v>Transition from state 2 to state 2 (CHG T4)</v>
      </c>
      <c r="F152" s="44">
        <f t="shared" si="35"/>
        <v>3.1485507279198241E-4</v>
      </c>
      <c r="G152" s="44">
        <v>1</v>
      </c>
      <c r="H152" s="149">
        <f>'Transition Probabilites'!N20</f>
        <v>3.1485507279198241E-4</v>
      </c>
      <c r="I152" s="44" t="s">
        <v>37</v>
      </c>
      <c r="J152" s="44">
        <f t="shared" si="38"/>
        <v>2.5314461248978015E-4</v>
      </c>
      <c r="K152" s="44">
        <f t="shared" si="39"/>
        <v>3.7656553309418466E-4</v>
      </c>
      <c r="L152" s="44" t="s">
        <v>37</v>
      </c>
      <c r="M152" s="54" t="s">
        <v>242</v>
      </c>
      <c r="N152" s="44">
        <f t="shared" ca="1" si="40"/>
        <v>3.3931320083868677E-4</v>
      </c>
      <c r="O152" s="44">
        <f t="shared" ca="1" si="34"/>
        <v>0.78543511879282368</v>
      </c>
      <c r="P152" s="55">
        <f t="shared" si="41"/>
        <v>99.968514492720814</v>
      </c>
      <c r="Q152" s="55">
        <f t="shared" si="42"/>
        <v>317406.44700619101</v>
      </c>
      <c r="R152" s="55">
        <f t="shared" si="36"/>
        <v>3.1485507279198242E-5</v>
      </c>
      <c r="S152"/>
      <c r="T152" s="94"/>
    </row>
    <row r="153" spans="1:20" ht="20.25" customHeight="1" x14ac:dyDescent="0.2">
      <c r="A153"/>
      <c r="B153" s="119">
        <v>3</v>
      </c>
      <c r="C153" s="210"/>
      <c r="D153" s="148">
        <f t="shared" si="43"/>
        <v>140</v>
      </c>
      <c r="E153" s="29" t="str">
        <f t="shared" si="44"/>
        <v>Transition from state 2 to state 3 (CHG T4)</v>
      </c>
      <c r="F153" s="44">
        <f t="shared" si="35"/>
        <v>3.4350742029923429E-6</v>
      </c>
      <c r="G153" s="44">
        <v>1</v>
      </c>
      <c r="H153" s="149">
        <f>'Transition Probabilites'!N21</f>
        <v>3.4350742029923429E-6</v>
      </c>
      <c r="I153" s="44" t="s">
        <v>37</v>
      </c>
      <c r="J153" s="44">
        <f t="shared" si="38"/>
        <v>2.7618120307835806E-6</v>
      </c>
      <c r="K153" s="44">
        <f t="shared" si="39"/>
        <v>4.1083363752011047E-6</v>
      </c>
      <c r="L153" s="44" t="s">
        <v>37</v>
      </c>
      <c r="M153" s="54" t="s">
        <v>242</v>
      </c>
      <c r="N153" s="44">
        <f t="shared" ca="1" si="40"/>
        <v>3.6942465030387339E-6</v>
      </c>
      <c r="O153" s="44">
        <f t="shared" ca="1" si="34"/>
        <v>0.77918495780595098</v>
      </c>
      <c r="P153" s="55">
        <f t="shared" si="41"/>
        <v>99.999656492579689</v>
      </c>
      <c r="Q153" s="55">
        <f t="shared" si="42"/>
        <v>29111252.647225652</v>
      </c>
      <c r="R153" s="55">
        <f t="shared" si="36"/>
        <v>3.4350742029923429E-7</v>
      </c>
      <c r="S153"/>
      <c r="T153" s="94"/>
    </row>
    <row r="154" spans="1:20" ht="20.25" customHeight="1" x14ac:dyDescent="0.2">
      <c r="A154"/>
      <c r="B154" s="119">
        <v>4</v>
      </c>
      <c r="C154" s="210"/>
      <c r="D154" s="148">
        <f t="shared" si="43"/>
        <v>141</v>
      </c>
      <c r="E154" s="29" t="str">
        <f t="shared" si="44"/>
        <v>Transition from state 2 to state 4 (CHG T4)</v>
      </c>
      <c r="F154" s="44">
        <f t="shared" si="35"/>
        <v>5.888826082055522E-6</v>
      </c>
      <c r="G154" s="44">
        <v>1</v>
      </c>
      <c r="H154" s="149">
        <f>'Transition Probabilites'!N22</f>
        <v>5.888826082055522E-6</v>
      </c>
      <c r="I154" s="44" t="s">
        <v>37</v>
      </c>
      <c r="J154" s="44">
        <f t="shared" si="38"/>
        <v>4.7346373788506288E-6</v>
      </c>
      <c r="K154" s="44">
        <f t="shared" si="39"/>
        <v>7.0430147852604151E-6</v>
      </c>
      <c r="L154" s="44" t="s">
        <v>37</v>
      </c>
      <c r="M154" s="54" t="s">
        <v>242</v>
      </c>
      <c r="N154" s="44">
        <f t="shared" ca="1" si="40"/>
        <v>5.8370351637272243E-6</v>
      </c>
      <c r="O154" s="44">
        <f t="shared" ca="1" si="34"/>
        <v>0.47813243171427411</v>
      </c>
      <c r="P154" s="55">
        <f t="shared" si="41"/>
        <v>99.999411117391787</v>
      </c>
      <c r="Q154" s="55">
        <f t="shared" si="42"/>
        <v>16981113.18652245</v>
      </c>
      <c r="R154" s="55">
        <f t="shared" si="36"/>
        <v>5.8888260820555224E-7</v>
      </c>
      <c r="S154"/>
      <c r="T154" s="94"/>
    </row>
    <row r="155" spans="1:20" ht="20.25" customHeight="1" x14ac:dyDescent="0.2">
      <c r="A155"/>
      <c r="B155" s="119">
        <v>5</v>
      </c>
      <c r="C155" s="210"/>
      <c r="D155" s="148">
        <f t="shared" si="43"/>
        <v>142</v>
      </c>
      <c r="E155" s="29" t="str">
        <f t="shared" si="44"/>
        <v>Transition from state 2 to state 5 (CHG T4)</v>
      </c>
      <c r="F155" s="44">
        <f t="shared" si="35"/>
        <v>1.1038773473043026E-10</v>
      </c>
      <c r="G155" s="44">
        <v>1</v>
      </c>
      <c r="H155" s="149">
        <f>'Transition Probabilites'!N23</f>
        <v>1.1038773473043026E-10</v>
      </c>
      <c r="I155" s="44" t="s">
        <v>37</v>
      </c>
      <c r="J155" s="44">
        <f t="shared" si="38"/>
        <v>8.8752136289769804E-11</v>
      </c>
      <c r="K155" s="44">
        <f t="shared" si="39"/>
        <v>1.3202333317109071E-10</v>
      </c>
      <c r="L155" s="44" t="s">
        <v>37</v>
      </c>
      <c r="M155" s="54" t="s">
        <v>242</v>
      </c>
      <c r="N155" s="44">
        <f t="shared" ca="1" si="40"/>
        <v>1.0687994584782926E-10</v>
      </c>
      <c r="O155" s="44">
        <f t="shared" ca="1" si="34"/>
        <v>0.38676172394323083</v>
      </c>
      <c r="P155" s="55">
        <f t="shared" si="41"/>
        <v>99.999999988961221</v>
      </c>
      <c r="Q155" s="55">
        <f t="shared" si="42"/>
        <v>905897745090.29529</v>
      </c>
      <c r="R155" s="55">
        <f t="shared" si="36"/>
        <v>1.1038773473043027E-11</v>
      </c>
      <c r="S155"/>
      <c r="T155" s="94"/>
    </row>
    <row r="156" spans="1:20" ht="20.25" customHeight="1" x14ac:dyDescent="0.2">
      <c r="A156"/>
      <c r="B156" s="119">
        <v>6</v>
      </c>
      <c r="C156" s="210"/>
      <c r="D156" s="148">
        <f t="shared" si="43"/>
        <v>143</v>
      </c>
      <c r="E156" s="29" t="str">
        <f t="shared" si="44"/>
        <v>Transition from state 2 to state 6 (CHG T4)</v>
      </c>
      <c r="F156" s="44">
        <f t="shared" si="35"/>
        <v>0</v>
      </c>
      <c r="G156" s="44">
        <v>1</v>
      </c>
      <c r="H156" s="149">
        <f>'Transition Probabilites'!N24</f>
        <v>0</v>
      </c>
      <c r="I156" s="44" t="s">
        <v>80</v>
      </c>
      <c r="J156" s="44">
        <f t="shared" si="38"/>
        <v>0</v>
      </c>
      <c r="K156" s="44">
        <f t="shared" si="39"/>
        <v>0</v>
      </c>
      <c r="L156" s="44" t="s">
        <v>80</v>
      </c>
      <c r="M156" s="54" t="s">
        <v>242</v>
      </c>
      <c r="N156" s="44" t="e">
        <f t="shared" ca="1" si="40"/>
        <v>#DIV/0!</v>
      </c>
      <c r="O156" s="44">
        <f t="shared" ca="1" si="34"/>
        <v>0.91879977433862836</v>
      </c>
      <c r="P156" s="55" t="e">
        <f t="shared" si="41"/>
        <v>#DIV/0!</v>
      </c>
      <c r="Q156" s="55" t="e">
        <f t="shared" si="42"/>
        <v>#DIV/0!</v>
      </c>
      <c r="R156" s="55">
        <f t="shared" si="36"/>
        <v>0</v>
      </c>
      <c r="S156"/>
      <c r="T156" s="94"/>
    </row>
    <row r="157" spans="1:20" ht="20.25" customHeight="1" x14ac:dyDescent="0.2">
      <c r="A157"/>
      <c r="B157" s="119">
        <v>7</v>
      </c>
      <c r="C157" s="210"/>
      <c r="D157" s="148">
        <f t="shared" si="43"/>
        <v>144</v>
      </c>
      <c r="E157" s="29" t="str">
        <f t="shared" si="44"/>
        <v>Transition from state 2 to state 7 (CHG T4)</v>
      </c>
      <c r="F157" s="44">
        <f t="shared" si="35"/>
        <v>0.72200227145722906</v>
      </c>
      <c r="G157" s="44">
        <v>1</v>
      </c>
      <c r="H157" s="149">
        <f>'Transition Probabilites'!N25</f>
        <v>0.72200227145722906</v>
      </c>
      <c r="I157" s="44" t="s">
        <v>80</v>
      </c>
      <c r="J157" s="44">
        <f t="shared" si="38"/>
        <v>0.58049242657600097</v>
      </c>
      <c r="K157" s="44">
        <f t="shared" si="39"/>
        <v>0.86351211633845715</v>
      </c>
      <c r="L157" s="44" t="s">
        <v>80</v>
      </c>
      <c r="M157" s="54" t="s">
        <v>242</v>
      </c>
      <c r="N157" s="44" t="e">
        <f t="shared" ca="1" si="40"/>
        <v>#NUM!</v>
      </c>
      <c r="O157" s="44">
        <f t="shared" ca="1" si="34"/>
        <v>7.0854694462620604E-2</v>
      </c>
      <c r="P157" s="55">
        <f t="shared" si="41"/>
        <v>27.799772854277091</v>
      </c>
      <c r="Q157" s="55">
        <f t="shared" si="42"/>
        <v>-54.276257902151585</v>
      </c>
      <c r="R157" s="55">
        <f t="shared" si="36"/>
        <v>7.2200227145722912E-2</v>
      </c>
      <c r="S157"/>
      <c r="T157" s="94"/>
    </row>
    <row r="158" spans="1:20" ht="20.25" customHeight="1" x14ac:dyDescent="0.2">
      <c r="A158"/>
      <c r="B158" s="119">
        <v>8</v>
      </c>
      <c r="C158" s="210"/>
      <c r="D158" s="148">
        <f t="shared" si="43"/>
        <v>145</v>
      </c>
      <c r="E158" s="29" t="str">
        <f t="shared" si="44"/>
        <v>Transition from state 2 to state 8 (CHG T4)</v>
      </c>
      <c r="F158" s="44">
        <f t="shared" si="35"/>
        <v>0.27749307334523754</v>
      </c>
      <c r="G158" s="44">
        <v>1</v>
      </c>
      <c r="H158" s="149">
        <f>'Transition Probabilites'!N26</f>
        <v>0.27749307334523754</v>
      </c>
      <c r="I158" s="44" t="s">
        <v>37</v>
      </c>
      <c r="J158" s="44">
        <f t="shared" si="38"/>
        <v>0.22310543037363781</v>
      </c>
      <c r="K158" s="44">
        <f t="shared" si="39"/>
        <v>0.33188071631683724</v>
      </c>
      <c r="L158" s="44" t="s">
        <v>37</v>
      </c>
      <c r="M158" s="54" t="s">
        <v>242</v>
      </c>
      <c r="N158" s="44">
        <f t="shared" ca="1" si="40"/>
        <v>0.30796415006111655</v>
      </c>
      <c r="O158" s="44">
        <f t="shared" ca="1" si="34"/>
        <v>0.52090038645020997</v>
      </c>
      <c r="P158" s="55">
        <f t="shared" si="41"/>
        <v>72.250692665476222</v>
      </c>
      <c r="Q158" s="55">
        <f t="shared" si="42"/>
        <v>163.14428624376797</v>
      </c>
      <c r="R158" s="55">
        <f t="shared" si="36"/>
        <v>2.7749307334523757E-2</v>
      </c>
      <c r="S158"/>
      <c r="T158" s="94"/>
    </row>
    <row r="159" spans="1:20" ht="20.25" customHeight="1" x14ac:dyDescent="0.2">
      <c r="A159"/>
      <c r="B159" s="119">
        <v>1</v>
      </c>
      <c r="C159" s="210"/>
      <c r="D159" s="148">
        <f t="shared" si="43"/>
        <v>146</v>
      </c>
      <c r="E159" s="29" t="str">
        <f t="shared" ref="E159:E166" si="45">"Transition from state"&amp; " "&amp;$B$17&amp;" "&amp;"to state"&amp;" "&amp;B159&amp;" "&amp;"(CHG T4)"</f>
        <v>Transition from state 3 to state 1 (CHG T4)</v>
      </c>
      <c r="F159" s="44">
        <f t="shared" si="35"/>
        <v>1.5706348861753967E-4</v>
      </c>
      <c r="G159" s="44">
        <v>1</v>
      </c>
      <c r="H159" s="149">
        <f>'Transition Probabilites'!N27</f>
        <v>1.5706348861753967E-4</v>
      </c>
      <c r="I159" s="44" t="s">
        <v>37</v>
      </c>
      <c r="J159" s="44">
        <f t="shared" si="38"/>
        <v>1.2627961051988023E-4</v>
      </c>
      <c r="K159" s="44">
        <f t="shared" si="39"/>
        <v>1.8784736671519911E-4</v>
      </c>
      <c r="L159" s="44" t="s">
        <v>37</v>
      </c>
      <c r="M159" s="54" t="s">
        <v>242</v>
      </c>
      <c r="N159" s="44">
        <f t="shared" ca="1" si="40"/>
        <v>1.8069804684239799E-4</v>
      </c>
      <c r="O159" s="44">
        <f t="shared" ca="1" si="34"/>
        <v>0.9289817295101831</v>
      </c>
      <c r="P159" s="55">
        <f t="shared" si="41"/>
        <v>99.984293651138231</v>
      </c>
      <c r="Q159" s="55">
        <f t="shared" si="42"/>
        <v>636485.21008212306</v>
      </c>
      <c r="R159" s="55">
        <f t="shared" si="36"/>
        <v>1.5706348861753967E-5</v>
      </c>
      <c r="S159"/>
      <c r="T159" s="94"/>
    </row>
    <row r="160" spans="1:20" ht="20.25" customHeight="1" x14ac:dyDescent="0.2">
      <c r="A160"/>
      <c r="B160" s="119">
        <v>2</v>
      </c>
      <c r="C160" s="210"/>
      <c r="D160" s="148">
        <f t="shared" si="43"/>
        <v>147</v>
      </c>
      <c r="E160" s="29" t="str">
        <f t="shared" si="45"/>
        <v>Transition from state 3 to state 2 (CHG T4)</v>
      </c>
      <c r="F160" s="44">
        <f t="shared" si="35"/>
        <v>2.7416183663645692E-4</v>
      </c>
      <c r="G160" s="44">
        <v>1</v>
      </c>
      <c r="H160" s="149">
        <f>'Transition Probabilites'!N28</f>
        <v>2.7416183663645692E-4</v>
      </c>
      <c r="I160" s="44" t="s">
        <v>37</v>
      </c>
      <c r="J160" s="44">
        <f t="shared" si="38"/>
        <v>2.2042710406217599E-4</v>
      </c>
      <c r="K160" s="44">
        <f t="shared" si="39"/>
        <v>3.2789656921073784E-4</v>
      </c>
      <c r="L160" s="44" t="s">
        <v>37</v>
      </c>
      <c r="M160" s="54" t="s">
        <v>242</v>
      </c>
      <c r="N160" s="44">
        <f t="shared" ca="1" si="40"/>
        <v>2.7092781036289659E-4</v>
      </c>
      <c r="O160" s="44">
        <f t="shared" ca="1" si="34"/>
        <v>0.46610566470742343</v>
      </c>
      <c r="P160" s="55">
        <f t="shared" si="41"/>
        <v>99.972583816336353</v>
      </c>
      <c r="Q160" s="55">
        <f t="shared" si="42"/>
        <v>364548.06989365467</v>
      </c>
      <c r="R160" s="55">
        <f t="shared" si="36"/>
        <v>2.7416183663645693E-5</v>
      </c>
      <c r="S160"/>
      <c r="T160" s="94"/>
    </row>
    <row r="161" spans="1:20" ht="20.25" customHeight="1" x14ac:dyDescent="0.2">
      <c r="A161"/>
      <c r="B161" s="119">
        <v>3</v>
      </c>
      <c r="C161" s="210"/>
      <c r="D161" s="148">
        <f t="shared" si="43"/>
        <v>148</v>
      </c>
      <c r="E161" s="29" t="str">
        <f t="shared" si="45"/>
        <v>Transition from state 3 to state 3 (CHG T4)</v>
      </c>
      <c r="F161" s="44">
        <f t="shared" si="35"/>
        <v>3.1479896703403257E-6</v>
      </c>
      <c r="G161" s="44">
        <v>1</v>
      </c>
      <c r="H161" s="149">
        <f>'Transition Probabilites'!N29</f>
        <v>3.1479896703403257E-6</v>
      </c>
      <c r="I161" s="44" t="s">
        <v>37</v>
      </c>
      <c r="J161" s="44">
        <f t="shared" si="38"/>
        <v>2.5309950325832099E-6</v>
      </c>
      <c r="K161" s="44">
        <f t="shared" si="39"/>
        <v>3.7649843080974412E-6</v>
      </c>
      <c r="L161" s="44" t="s">
        <v>37</v>
      </c>
      <c r="M161" s="54" t="s">
        <v>242</v>
      </c>
      <c r="N161" s="44">
        <f t="shared" ca="1" si="40"/>
        <v>3.4690154701033649E-6</v>
      </c>
      <c r="O161" s="44">
        <f t="shared" ca="1" si="34"/>
        <v>0.84616152160993574</v>
      </c>
      <c r="P161" s="55">
        <f t="shared" si="41"/>
        <v>99.999685201032932</v>
      </c>
      <c r="Q161" s="55">
        <f t="shared" si="42"/>
        <v>31766104.998481195</v>
      </c>
      <c r="R161" s="55">
        <f t="shared" si="36"/>
        <v>3.1479896703403262E-7</v>
      </c>
      <c r="S161"/>
      <c r="T161" s="94"/>
    </row>
    <row r="162" spans="1:20" ht="20.25" customHeight="1" x14ac:dyDescent="0.2">
      <c r="A162"/>
      <c r="B162" s="119">
        <v>4</v>
      </c>
      <c r="C162" s="210"/>
      <c r="D162" s="148">
        <f t="shared" si="43"/>
        <v>149</v>
      </c>
      <c r="E162" s="29" t="str">
        <f t="shared" si="45"/>
        <v>Transition from state 3 to state 4 (CHG T4)</v>
      </c>
      <c r="F162" s="44">
        <f t="shared" si="35"/>
        <v>4.7538472633761743E-6</v>
      </c>
      <c r="G162" s="44">
        <v>1</v>
      </c>
      <c r="H162" s="149">
        <f>'Transition Probabilites'!N30</f>
        <v>4.7538472633761743E-6</v>
      </c>
      <c r="I162" s="44" t="s">
        <v>37</v>
      </c>
      <c r="J162" s="44">
        <f t="shared" si="38"/>
        <v>3.8221103209540144E-6</v>
      </c>
      <c r="K162" s="44">
        <f t="shared" si="39"/>
        <v>5.6855842057983341E-6</v>
      </c>
      <c r="L162" s="44" t="s">
        <v>37</v>
      </c>
      <c r="M162" s="54" t="s">
        <v>242</v>
      </c>
      <c r="N162" s="44">
        <f t="shared" ca="1" si="40"/>
        <v>5.1781121138683162E-6</v>
      </c>
      <c r="O162" s="44">
        <f t="shared" ca="1" si="34"/>
        <v>0.81602462201420256</v>
      </c>
      <c r="P162" s="55">
        <f t="shared" si="41"/>
        <v>99.999524615273657</v>
      </c>
      <c r="Q162" s="55">
        <f t="shared" si="42"/>
        <v>21035393.795919761</v>
      </c>
      <c r="R162" s="55">
        <f t="shared" si="36"/>
        <v>4.7538472633761744E-7</v>
      </c>
      <c r="S162"/>
      <c r="T162" s="94"/>
    </row>
    <row r="163" spans="1:20" ht="20.25" customHeight="1" x14ac:dyDescent="0.2">
      <c r="A163"/>
      <c r="B163" s="119">
        <v>5</v>
      </c>
      <c r="C163" s="210"/>
      <c r="D163" s="148">
        <f t="shared" si="43"/>
        <v>150</v>
      </c>
      <c r="E163" s="29" t="str">
        <f t="shared" si="45"/>
        <v>Transition from state 3 to state 5 (CHG T4)</v>
      </c>
      <c r="F163" s="44">
        <f t="shared" si="35"/>
        <v>9.5666744083178709E-11</v>
      </c>
      <c r="G163" s="44">
        <v>1</v>
      </c>
      <c r="H163" s="149">
        <f>'Transition Probabilites'!N31</f>
        <v>9.5666744083178709E-11</v>
      </c>
      <c r="I163" s="44" t="s">
        <v>37</v>
      </c>
      <c r="J163" s="44">
        <f t="shared" si="38"/>
        <v>7.6916406791054647E-11</v>
      </c>
      <c r="K163" s="44">
        <f t="shared" si="39"/>
        <v>1.1441708137530277E-10</v>
      </c>
      <c r="L163" s="44" t="s">
        <v>37</v>
      </c>
      <c r="M163" s="54" t="s">
        <v>242</v>
      </c>
      <c r="N163" s="44">
        <f t="shared" ca="1" si="40"/>
        <v>1.1325440585352453E-10</v>
      </c>
      <c r="O163" s="44">
        <f t="shared" ca="1" si="34"/>
        <v>0.9615824743702498</v>
      </c>
      <c r="P163" s="55">
        <f t="shared" si="41"/>
        <v>99.999999990433309</v>
      </c>
      <c r="Q163" s="55">
        <f t="shared" si="42"/>
        <v>1045295321161.1376</v>
      </c>
      <c r="R163" s="55">
        <f t="shared" si="36"/>
        <v>9.5666744083178715E-12</v>
      </c>
      <c r="S163"/>
      <c r="T163" s="94"/>
    </row>
    <row r="164" spans="1:20" ht="20.25" customHeight="1" x14ac:dyDescent="0.2">
      <c r="A164"/>
      <c r="B164" s="119">
        <v>6</v>
      </c>
      <c r="C164" s="210"/>
      <c r="D164" s="148">
        <f t="shared" si="43"/>
        <v>151</v>
      </c>
      <c r="E164" s="29" t="str">
        <f t="shared" si="45"/>
        <v>Transition from state 3 to state 6 (CHG T4)</v>
      </c>
      <c r="F164" s="44">
        <f t="shared" si="35"/>
        <v>0</v>
      </c>
      <c r="G164" s="44">
        <v>1</v>
      </c>
      <c r="H164" s="149">
        <f>'Transition Probabilites'!N32</f>
        <v>0</v>
      </c>
      <c r="I164" s="44" t="s">
        <v>80</v>
      </c>
      <c r="J164" s="44">
        <f t="shared" si="38"/>
        <v>0</v>
      </c>
      <c r="K164" s="44">
        <f t="shared" si="39"/>
        <v>0</v>
      </c>
      <c r="L164" s="44" t="s">
        <v>80</v>
      </c>
      <c r="M164" s="54" t="s">
        <v>242</v>
      </c>
      <c r="N164" s="44" t="e">
        <f t="shared" ca="1" si="40"/>
        <v>#DIV/0!</v>
      </c>
      <c r="O164" s="44">
        <f t="shared" ca="1" si="34"/>
        <v>0.2629369421097757</v>
      </c>
      <c r="P164" s="55" t="e">
        <f t="shared" si="41"/>
        <v>#DIV/0!</v>
      </c>
      <c r="Q164" s="55" t="e">
        <f t="shared" si="42"/>
        <v>#DIV/0!</v>
      </c>
      <c r="R164" s="55">
        <f t="shared" si="36"/>
        <v>0</v>
      </c>
      <c r="S164"/>
      <c r="T164" s="94"/>
    </row>
    <row r="165" spans="1:20" ht="20.25" customHeight="1" x14ac:dyDescent="0.2">
      <c r="A165"/>
      <c r="B165" s="119">
        <v>7</v>
      </c>
      <c r="C165" s="210"/>
      <c r="D165" s="148">
        <f t="shared" si="43"/>
        <v>152</v>
      </c>
      <c r="E165" s="29" t="str">
        <f t="shared" si="45"/>
        <v>Transition from state 3 to state 7 (CHG T4)</v>
      </c>
      <c r="F165" s="44">
        <f t="shared" si="35"/>
        <v>0.89215602007880979</v>
      </c>
      <c r="G165" s="44">
        <v>1</v>
      </c>
      <c r="H165" s="149">
        <f>'Transition Probabilites'!N33</f>
        <v>0.89215602007880979</v>
      </c>
      <c r="I165" s="44" t="s">
        <v>80</v>
      </c>
      <c r="J165" s="44">
        <f t="shared" si="38"/>
        <v>0.7172966532843037</v>
      </c>
      <c r="K165" s="44">
        <f t="shared" si="39"/>
        <v>1.0670153868733159</v>
      </c>
      <c r="L165" s="44" t="s">
        <v>80</v>
      </c>
      <c r="M165" s="54" t="s">
        <v>242</v>
      </c>
      <c r="N165" s="44" t="e">
        <f t="shared" ca="1" si="40"/>
        <v>#NUM!</v>
      </c>
      <c r="O165" s="44">
        <f t="shared" ca="1" si="34"/>
        <v>0.39286101211013302</v>
      </c>
      <c r="P165" s="55">
        <f t="shared" si="41"/>
        <v>10.784397992119022</v>
      </c>
      <c r="Q165" s="55">
        <f t="shared" si="42"/>
        <v>-78.990421841135074</v>
      </c>
      <c r="R165" s="55">
        <f t="shared" si="36"/>
        <v>8.9215602007880979E-2</v>
      </c>
      <c r="S165"/>
      <c r="T165" s="94"/>
    </row>
    <row r="166" spans="1:20" ht="20.25" customHeight="1" x14ac:dyDescent="0.2">
      <c r="A166"/>
      <c r="B166" s="119">
        <v>8</v>
      </c>
      <c r="C166" s="210"/>
      <c r="D166" s="148">
        <f t="shared" si="43"/>
        <v>153</v>
      </c>
      <c r="E166" s="29" t="str">
        <f t="shared" si="45"/>
        <v>Transition from state 3 to state 8 (CHG T4)</v>
      </c>
      <c r="F166" s="44">
        <f t="shared" si="35"/>
        <v>0.10740485266333567</v>
      </c>
      <c r="G166" s="44">
        <v>1</v>
      </c>
      <c r="H166" s="149">
        <f>'Transition Probabilites'!N34</f>
        <v>0.10740485266333567</v>
      </c>
      <c r="I166" s="44" t="s">
        <v>37</v>
      </c>
      <c r="J166" s="44">
        <f t="shared" si="38"/>
        <v>8.6353888364838788E-2</v>
      </c>
      <c r="K166" s="44">
        <f t="shared" si="39"/>
        <v>0.12845581696183256</v>
      </c>
      <c r="L166" s="44" t="s">
        <v>37</v>
      </c>
      <c r="M166" s="54" t="s">
        <v>242</v>
      </c>
      <c r="N166" s="44">
        <f t="shared" ca="1" si="40"/>
        <v>0.11609965772188136</v>
      </c>
      <c r="O166" s="44">
        <f t="shared" ca="1" si="34"/>
        <v>0.75805366622065251</v>
      </c>
      <c r="P166" s="55">
        <f t="shared" si="41"/>
        <v>89.259514733666435</v>
      </c>
      <c r="Q166" s="55">
        <f t="shared" si="42"/>
        <v>732.13067697761744</v>
      </c>
      <c r="R166" s="55">
        <f t="shared" si="36"/>
        <v>1.0740485266333567E-2</v>
      </c>
      <c r="S166"/>
      <c r="T166" s="94"/>
    </row>
    <row r="167" spans="1:20" ht="20.25" customHeight="1" x14ac:dyDescent="0.2">
      <c r="A167"/>
      <c r="B167" s="119">
        <v>1</v>
      </c>
      <c r="C167" s="210"/>
      <c r="D167" s="148">
        <f t="shared" si="43"/>
        <v>154</v>
      </c>
      <c r="E167" s="29" t="str">
        <f t="shared" ref="E167:E174" si="46">"Transition from state"&amp; " "&amp;$B$18&amp;" "&amp;"to state"&amp;" "&amp;B167&amp;" "&amp;"(CHG T4)"</f>
        <v>Transition from state 4 to state 1 (CHG T4)</v>
      </c>
      <c r="F167" s="44">
        <f t="shared" si="35"/>
        <v>6.7434624380095255E-4</v>
      </c>
      <c r="G167" s="44">
        <v>1</v>
      </c>
      <c r="H167" s="149">
        <f>'Transition Probabilites'!N35</f>
        <v>6.7434624380095255E-4</v>
      </c>
      <c r="I167" s="44" t="s">
        <v>37</v>
      </c>
      <c r="J167" s="44">
        <f t="shared" si="38"/>
        <v>5.4217680870497918E-4</v>
      </c>
      <c r="K167" s="44">
        <f t="shared" si="39"/>
        <v>8.0651567889692593E-4</v>
      </c>
      <c r="L167" s="44" t="s">
        <v>37</v>
      </c>
      <c r="M167" s="54" t="s">
        <v>242</v>
      </c>
      <c r="N167" s="44">
        <f t="shared" ca="1" si="40"/>
        <v>7.1454895346323433E-4</v>
      </c>
      <c r="O167" s="44">
        <f t="shared" ca="1" si="34"/>
        <v>0.73167298753952048</v>
      </c>
      <c r="P167" s="55">
        <f t="shared" si="41"/>
        <v>99.932565375619916</v>
      </c>
      <c r="Q167" s="55">
        <f t="shared" si="42"/>
        <v>148091.77958162644</v>
      </c>
      <c r="R167" s="55">
        <f t="shared" si="36"/>
        <v>6.7434624380095253E-5</v>
      </c>
      <c r="S167"/>
      <c r="T167" s="94"/>
    </row>
    <row r="168" spans="1:20" ht="20.25" customHeight="1" x14ac:dyDescent="0.2">
      <c r="A168"/>
      <c r="B168" s="119">
        <v>2</v>
      </c>
      <c r="C168" s="210"/>
      <c r="D168" s="148">
        <f t="shared" si="43"/>
        <v>155</v>
      </c>
      <c r="E168" s="29" t="str">
        <f t="shared" si="46"/>
        <v>Transition from state 4 to state 2 (CHG T4)</v>
      </c>
      <c r="F168" s="44">
        <f t="shared" si="35"/>
        <v>1.1049535684966427E-3</v>
      </c>
      <c r="G168" s="44">
        <v>1</v>
      </c>
      <c r="H168" s="149">
        <f>'Transition Probabilites'!N36</f>
        <v>1.1049535684966427E-3</v>
      </c>
      <c r="I168" s="44" t="s">
        <v>37</v>
      </c>
      <c r="J168" s="44">
        <f t="shared" si="38"/>
        <v>8.8838664861239959E-4</v>
      </c>
      <c r="K168" s="44">
        <f t="shared" si="39"/>
        <v>1.3215204883808857E-3</v>
      </c>
      <c r="L168" s="44" t="s">
        <v>37</v>
      </c>
      <c r="M168" s="54" t="s">
        <v>242</v>
      </c>
      <c r="N168" s="44">
        <f t="shared" ca="1" si="40"/>
        <v>1.1779609646449529E-3</v>
      </c>
      <c r="O168" s="44">
        <f t="shared" ca="1" si="34"/>
        <v>0.75169720429890696</v>
      </c>
      <c r="P168" s="55">
        <f t="shared" si="41"/>
        <v>99.889504643150318</v>
      </c>
      <c r="Q168" s="55">
        <f t="shared" si="42"/>
        <v>90301.551431957487</v>
      </c>
      <c r="R168" s="55">
        <f t="shared" si="36"/>
        <v>1.1049535684966427E-4</v>
      </c>
      <c r="S168"/>
      <c r="T168" s="94"/>
    </row>
    <row r="169" spans="1:20" ht="20.25" customHeight="1" x14ac:dyDescent="0.2">
      <c r="A169"/>
      <c r="B169" s="119">
        <v>3</v>
      </c>
      <c r="C169" s="210"/>
      <c r="D169" s="148">
        <f t="shared" si="43"/>
        <v>156</v>
      </c>
      <c r="E169" s="29" t="str">
        <f t="shared" si="46"/>
        <v>Transition from state 4 to state 3 (CHG T4)</v>
      </c>
      <c r="F169" s="44">
        <f t="shared" si="35"/>
        <v>1.0553645673468881E-5</v>
      </c>
      <c r="G169" s="44">
        <v>1</v>
      </c>
      <c r="H169" s="149">
        <f>'Transition Probabilites'!N37</f>
        <v>1.0553645673468881E-5</v>
      </c>
      <c r="I169" s="44" t="s">
        <v>37</v>
      </c>
      <c r="J169" s="44">
        <f t="shared" si="38"/>
        <v>8.4851691309092841E-6</v>
      </c>
      <c r="K169" s="44">
        <f t="shared" si="39"/>
        <v>1.2622122216028478E-5</v>
      </c>
      <c r="L169" s="44" t="s">
        <v>37</v>
      </c>
      <c r="M169" s="54" t="s">
        <v>242</v>
      </c>
      <c r="N169" s="44">
        <f t="shared" ca="1" si="40"/>
        <v>1.0237028904885776E-5</v>
      </c>
      <c r="O169" s="44">
        <f t="shared" ca="1" si="34"/>
        <v>0.39372025099151786</v>
      </c>
      <c r="P169" s="55">
        <f t="shared" si="41"/>
        <v>99.99894463543265</v>
      </c>
      <c r="Q169" s="55">
        <f t="shared" si="42"/>
        <v>9475198.6532356981</v>
      </c>
      <c r="R169" s="55">
        <f t="shared" si="36"/>
        <v>1.0553645673468881E-6</v>
      </c>
      <c r="S169"/>
      <c r="T169" s="94"/>
    </row>
    <row r="170" spans="1:20" ht="20.25" customHeight="1" x14ac:dyDescent="0.2">
      <c r="A170"/>
      <c r="B170" s="119">
        <v>4</v>
      </c>
      <c r="C170" s="210"/>
      <c r="D170" s="148">
        <f t="shared" si="43"/>
        <v>157</v>
      </c>
      <c r="E170" s="29" t="str">
        <f t="shared" si="46"/>
        <v>Transition from state 4 to state 4 (CHG T4)</v>
      </c>
      <c r="F170" s="44">
        <f t="shared" si="35"/>
        <v>8.9677669175378794E-5</v>
      </c>
      <c r="G170" s="44">
        <v>1</v>
      </c>
      <c r="H170" s="149">
        <f>'Transition Probabilites'!N38</f>
        <v>8.9677669175378794E-5</v>
      </c>
      <c r="I170" s="44" t="s">
        <v>37</v>
      </c>
      <c r="J170" s="44">
        <f t="shared" si="38"/>
        <v>7.2101168995254781E-5</v>
      </c>
      <c r="K170" s="44">
        <f t="shared" si="39"/>
        <v>1.0725416935550281E-4</v>
      </c>
      <c r="L170" s="44" t="s">
        <v>37</v>
      </c>
      <c r="M170" s="54" t="s">
        <v>242</v>
      </c>
      <c r="N170" s="44">
        <f t="shared" ca="1" si="40"/>
        <v>8.3673680103061714E-5</v>
      </c>
      <c r="O170" s="44">
        <f t="shared" ca="1" si="34"/>
        <v>0.25735166085260464</v>
      </c>
      <c r="P170" s="55">
        <f t="shared" si="41"/>
        <v>99.99103223308245</v>
      </c>
      <c r="Q170" s="55">
        <f t="shared" si="42"/>
        <v>1114904.8081418697</v>
      </c>
      <c r="R170" s="55">
        <f t="shared" si="36"/>
        <v>8.9677669175378804E-6</v>
      </c>
      <c r="S170"/>
      <c r="T170" s="94"/>
    </row>
    <row r="171" spans="1:20" ht="20.25" customHeight="1" x14ac:dyDescent="0.2">
      <c r="A171"/>
      <c r="B171" s="119">
        <v>5</v>
      </c>
      <c r="C171" s="210"/>
      <c r="D171" s="148">
        <f t="shared" si="43"/>
        <v>158</v>
      </c>
      <c r="E171" s="29" t="str">
        <f t="shared" si="46"/>
        <v>Transition from state 4 to state 5 (CHG T4)</v>
      </c>
      <c r="F171" s="44">
        <f t="shared" si="35"/>
        <v>3.7683424782206378E-10</v>
      </c>
      <c r="G171" s="44">
        <v>1</v>
      </c>
      <c r="H171" s="149">
        <f>'Transition Probabilites'!N39</f>
        <v>3.7683424782206378E-10</v>
      </c>
      <c r="I171" s="44" t="s">
        <v>37</v>
      </c>
      <c r="J171" s="44">
        <f t="shared" si="38"/>
        <v>3.0297609243481516E-10</v>
      </c>
      <c r="K171" s="44">
        <f t="shared" si="39"/>
        <v>4.5069240320931241E-10</v>
      </c>
      <c r="L171" s="44" t="s">
        <v>37</v>
      </c>
      <c r="M171" s="54" t="s">
        <v>242</v>
      </c>
      <c r="N171" s="44">
        <f t="shared" ca="1" si="40"/>
        <v>3.6631839550581983E-10</v>
      </c>
      <c r="O171" s="44">
        <f t="shared" ca="1" si="34"/>
        <v>0.40195996797574507</v>
      </c>
      <c r="P171" s="55">
        <f t="shared" si="41"/>
        <v>99.999999962316565</v>
      </c>
      <c r="Q171" s="55">
        <f t="shared" si="42"/>
        <v>265368661427.64133</v>
      </c>
      <c r="R171" s="55">
        <f t="shared" si="36"/>
        <v>3.7683424782206381E-11</v>
      </c>
      <c r="S171"/>
      <c r="T171" s="94"/>
    </row>
    <row r="172" spans="1:20" ht="20.25" customHeight="1" x14ac:dyDescent="0.2">
      <c r="A172"/>
      <c r="B172" s="119">
        <v>6</v>
      </c>
      <c r="C172" s="210"/>
      <c r="D172" s="148">
        <f t="shared" si="43"/>
        <v>159</v>
      </c>
      <c r="E172" s="29" t="str">
        <f t="shared" si="46"/>
        <v>Transition from state 4 to state 6 (CHG T4)</v>
      </c>
      <c r="F172" s="44">
        <f t="shared" si="35"/>
        <v>0</v>
      </c>
      <c r="G172" s="44">
        <v>1</v>
      </c>
      <c r="H172" s="149">
        <f>'Transition Probabilites'!N40</f>
        <v>0</v>
      </c>
      <c r="I172" s="44" t="s">
        <v>80</v>
      </c>
      <c r="J172" s="44">
        <f t="shared" si="38"/>
        <v>0</v>
      </c>
      <c r="K172" s="44">
        <f t="shared" si="39"/>
        <v>0</v>
      </c>
      <c r="L172" s="44" t="s">
        <v>80</v>
      </c>
      <c r="M172" s="54" t="s">
        <v>242</v>
      </c>
      <c r="N172" s="44" t="e">
        <f t="shared" ca="1" si="40"/>
        <v>#DIV/0!</v>
      </c>
      <c r="O172" s="44">
        <f t="shared" ca="1" si="34"/>
        <v>0.32558425455524753</v>
      </c>
      <c r="P172" s="55" t="e">
        <f t="shared" si="41"/>
        <v>#DIV/0!</v>
      </c>
      <c r="Q172" s="55" t="e">
        <f t="shared" si="42"/>
        <v>#DIV/0!</v>
      </c>
      <c r="R172" s="55">
        <f t="shared" si="36"/>
        <v>0</v>
      </c>
      <c r="S172"/>
      <c r="T172" s="94"/>
    </row>
    <row r="173" spans="1:20" ht="20.25" customHeight="1" x14ac:dyDescent="0.2">
      <c r="A173"/>
      <c r="B173" s="119">
        <v>7</v>
      </c>
      <c r="C173" s="210"/>
      <c r="D173" s="148">
        <f t="shared" si="43"/>
        <v>160</v>
      </c>
      <c r="E173" s="29" t="str">
        <f t="shared" si="46"/>
        <v>Transition from state 4 to state 7 (CHG T4)</v>
      </c>
      <c r="F173" s="44">
        <f t="shared" si="35"/>
        <v>0.7835176038145506</v>
      </c>
      <c r="G173" s="44">
        <v>1</v>
      </c>
      <c r="H173" s="149">
        <f>'Transition Probabilites'!N41</f>
        <v>0.7835176038145506</v>
      </c>
      <c r="I173" s="44" t="s">
        <v>80</v>
      </c>
      <c r="J173" s="44">
        <f t="shared" si="38"/>
        <v>0.62995097534158639</v>
      </c>
      <c r="K173" s="44">
        <f t="shared" si="39"/>
        <v>0.93708423228751481</v>
      </c>
      <c r="L173" s="44" t="s">
        <v>80</v>
      </c>
      <c r="M173" s="54" t="s">
        <v>242</v>
      </c>
      <c r="N173" s="44" t="e">
        <f t="shared" ca="1" si="40"/>
        <v>#NUM!</v>
      </c>
      <c r="O173" s="44">
        <f t="shared" ca="1" si="34"/>
        <v>4.9311981598575416E-2</v>
      </c>
      <c r="P173" s="55">
        <f t="shared" si="41"/>
        <v>21.648239618544938</v>
      </c>
      <c r="Q173" s="55">
        <f t="shared" si="42"/>
        <v>-64.535272930517579</v>
      </c>
      <c r="R173" s="55">
        <f t="shared" si="36"/>
        <v>7.8351760381455068E-2</v>
      </c>
      <c r="S173"/>
      <c r="T173" s="94"/>
    </row>
    <row r="174" spans="1:20" ht="20.25" customHeight="1" x14ac:dyDescent="0.2">
      <c r="A174"/>
      <c r="B174" s="119">
        <v>8</v>
      </c>
      <c r="C174" s="210"/>
      <c r="D174" s="148">
        <f t="shared" si="43"/>
        <v>161</v>
      </c>
      <c r="E174" s="29" t="str">
        <f t="shared" si="46"/>
        <v>Transition from state 4 to state 8 (CHG T4)</v>
      </c>
      <c r="F174" s="44">
        <f t="shared" si="35"/>
        <v>0.21460286468146864</v>
      </c>
      <c r="G174" s="44">
        <v>1</v>
      </c>
      <c r="H174" s="149">
        <f>'Transition Probabilites'!N42</f>
        <v>0.21460286468146864</v>
      </c>
      <c r="I174" s="44" t="s">
        <v>37</v>
      </c>
      <c r="J174" s="44">
        <f t="shared" si="38"/>
        <v>0.17254147610598852</v>
      </c>
      <c r="K174" s="44">
        <f t="shared" si="39"/>
        <v>0.25666425325694875</v>
      </c>
      <c r="L174" s="44" t="s">
        <v>37</v>
      </c>
      <c r="M174" s="54" t="s">
        <v>242</v>
      </c>
      <c r="N174" s="44">
        <f t="shared" ca="1" si="40"/>
        <v>0.22031633225360653</v>
      </c>
      <c r="O174" s="44">
        <f t="shared" ca="1" si="34"/>
        <v>0.39902110333039331</v>
      </c>
      <c r="P174" s="55">
        <f t="shared" si="41"/>
        <v>78.539713531853138</v>
      </c>
      <c r="Q174" s="55">
        <f t="shared" si="42"/>
        <v>268.12303295394872</v>
      </c>
      <c r="R174" s="55">
        <f t="shared" si="36"/>
        <v>2.1460286468146864E-2</v>
      </c>
      <c r="S174"/>
      <c r="T174" s="94"/>
    </row>
    <row r="175" spans="1:20" ht="20.25" customHeight="1" x14ac:dyDescent="0.2">
      <c r="A175"/>
      <c r="B175" s="119">
        <v>1</v>
      </c>
      <c r="C175" s="210"/>
      <c r="D175" s="148">
        <f t="shared" si="43"/>
        <v>162</v>
      </c>
      <c r="E175" s="29" t="str">
        <f t="shared" ref="E175:E182" si="47">"Transition from state"&amp; " "&amp;$B$19&amp;" "&amp;"to state"&amp;" "&amp;B175&amp;" "&amp;"(CHG T4)"</f>
        <v>Transition from state 5 to state 1 (CHG T4)</v>
      </c>
      <c r="F175" s="44">
        <f t="shared" si="35"/>
        <v>0</v>
      </c>
      <c r="G175" s="44">
        <v>1</v>
      </c>
      <c r="H175" s="149">
        <f>'Transition Probabilites'!N43</f>
        <v>0</v>
      </c>
      <c r="I175" s="44" t="s">
        <v>80</v>
      </c>
      <c r="J175" s="44">
        <f t="shared" si="38"/>
        <v>0</v>
      </c>
      <c r="K175" s="44">
        <f t="shared" si="39"/>
        <v>0</v>
      </c>
      <c r="L175" s="44" t="s">
        <v>80</v>
      </c>
      <c r="M175" s="54" t="s">
        <v>242</v>
      </c>
      <c r="N175" s="44" t="e">
        <f t="shared" ca="1" si="40"/>
        <v>#DIV/0!</v>
      </c>
      <c r="O175" s="44">
        <f t="shared" ca="1" si="34"/>
        <v>0.30469860915193725</v>
      </c>
      <c r="P175" s="55" t="e">
        <f t="shared" si="41"/>
        <v>#DIV/0!</v>
      </c>
      <c r="Q175" s="55" t="e">
        <f t="shared" si="42"/>
        <v>#DIV/0!</v>
      </c>
      <c r="R175" s="55">
        <f t="shared" si="36"/>
        <v>0</v>
      </c>
      <c r="S175"/>
      <c r="T175" s="94"/>
    </row>
    <row r="176" spans="1:20" ht="20.25" customHeight="1" x14ac:dyDescent="0.2">
      <c r="A176"/>
      <c r="B176" s="119">
        <v>2</v>
      </c>
      <c r="C176" s="210"/>
      <c r="D176" s="148">
        <f t="shared" si="43"/>
        <v>163</v>
      </c>
      <c r="E176" s="29" t="str">
        <f t="shared" si="47"/>
        <v>Transition from state 5 to state 2 (CHG T4)</v>
      </c>
      <c r="F176" s="44">
        <f t="shared" si="35"/>
        <v>0</v>
      </c>
      <c r="G176" s="44">
        <v>1</v>
      </c>
      <c r="H176" s="149">
        <f>'Transition Probabilites'!N44</f>
        <v>0</v>
      </c>
      <c r="I176" s="44" t="s">
        <v>80</v>
      </c>
      <c r="J176" s="44">
        <f t="shared" si="38"/>
        <v>0</v>
      </c>
      <c r="K176" s="44">
        <f t="shared" si="39"/>
        <v>0</v>
      </c>
      <c r="L176" s="44" t="s">
        <v>80</v>
      </c>
      <c r="M176" s="54" t="s">
        <v>242</v>
      </c>
      <c r="N176" s="44" t="e">
        <f t="shared" ca="1" si="40"/>
        <v>#DIV/0!</v>
      </c>
      <c r="O176" s="44">
        <f t="shared" ca="1" si="34"/>
        <v>0.73003222067203066</v>
      </c>
      <c r="P176" s="55" t="e">
        <f t="shared" si="41"/>
        <v>#DIV/0!</v>
      </c>
      <c r="Q176" s="55" t="e">
        <f t="shared" si="42"/>
        <v>#DIV/0!</v>
      </c>
      <c r="R176" s="55">
        <f t="shared" si="36"/>
        <v>0</v>
      </c>
      <c r="S176"/>
      <c r="T176" s="94"/>
    </row>
    <row r="177" spans="1:20" ht="20.25" customHeight="1" x14ac:dyDescent="0.2">
      <c r="A177"/>
      <c r="B177" s="119">
        <v>3</v>
      </c>
      <c r="C177" s="210"/>
      <c r="D177" s="148">
        <f t="shared" si="43"/>
        <v>164</v>
      </c>
      <c r="E177" s="29" t="str">
        <f t="shared" si="47"/>
        <v>Transition from state 5 to state 3 (CHG T4)</v>
      </c>
      <c r="F177" s="44">
        <f t="shared" si="35"/>
        <v>0</v>
      </c>
      <c r="G177" s="44">
        <v>1</v>
      </c>
      <c r="H177" s="149">
        <f>'Transition Probabilites'!N45</f>
        <v>0</v>
      </c>
      <c r="I177" s="44" t="s">
        <v>80</v>
      </c>
      <c r="J177" s="44">
        <f t="shared" si="38"/>
        <v>0</v>
      </c>
      <c r="K177" s="44">
        <f t="shared" si="39"/>
        <v>0</v>
      </c>
      <c r="L177" s="44" t="s">
        <v>80</v>
      </c>
      <c r="M177" s="54" t="s">
        <v>242</v>
      </c>
      <c r="N177" s="44" t="e">
        <f t="shared" ca="1" si="40"/>
        <v>#DIV/0!</v>
      </c>
      <c r="O177" s="44">
        <f t="shared" ca="1" si="34"/>
        <v>0.46757725565424768</v>
      </c>
      <c r="P177" s="55" t="e">
        <f t="shared" si="41"/>
        <v>#DIV/0!</v>
      </c>
      <c r="Q177" s="55" t="e">
        <f t="shared" si="42"/>
        <v>#DIV/0!</v>
      </c>
      <c r="R177" s="55">
        <f t="shared" si="36"/>
        <v>0</v>
      </c>
      <c r="S177"/>
      <c r="T177" s="94"/>
    </row>
    <row r="178" spans="1:20" ht="20.25" customHeight="1" x14ac:dyDescent="0.2">
      <c r="A178"/>
      <c r="B178" s="119">
        <v>4</v>
      </c>
      <c r="C178" s="210"/>
      <c r="D178" s="148">
        <f t="shared" si="43"/>
        <v>165</v>
      </c>
      <c r="E178" s="29" t="str">
        <f t="shared" si="47"/>
        <v>Transition from state 5 to state 4 (CHG T4)</v>
      </c>
      <c r="F178" s="44">
        <f t="shared" si="35"/>
        <v>0</v>
      </c>
      <c r="G178" s="44">
        <v>1</v>
      </c>
      <c r="H178" s="149">
        <f>'Transition Probabilites'!N46</f>
        <v>0</v>
      </c>
      <c r="I178" s="44" t="s">
        <v>80</v>
      </c>
      <c r="J178" s="44">
        <f t="shared" si="38"/>
        <v>0</v>
      </c>
      <c r="K178" s="44">
        <f t="shared" si="39"/>
        <v>0</v>
      </c>
      <c r="L178" s="44" t="s">
        <v>80</v>
      </c>
      <c r="M178" s="54" t="s">
        <v>242</v>
      </c>
      <c r="N178" s="44" t="e">
        <f t="shared" ca="1" si="40"/>
        <v>#DIV/0!</v>
      </c>
      <c r="O178" s="44">
        <f t="shared" ca="1" si="34"/>
        <v>0.76337671467162638</v>
      </c>
      <c r="P178" s="55" t="e">
        <f t="shared" si="41"/>
        <v>#DIV/0!</v>
      </c>
      <c r="Q178" s="55" t="e">
        <f t="shared" si="42"/>
        <v>#DIV/0!</v>
      </c>
      <c r="R178" s="55">
        <f t="shared" si="36"/>
        <v>0</v>
      </c>
      <c r="S178"/>
      <c r="T178" s="94"/>
    </row>
    <row r="179" spans="1:20" ht="20.25" customHeight="1" x14ac:dyDescent="0.2">
      <c r="A179"/>
      <c r="B179" s="119">
        <v>5</v>
      </c>
      <c r="C179" s="210"/>
      <c r="D179" s="148">
        <f t="shared" si="43"/>
        <v>166</v>
      </c>
      <c r="E179" s="29" t="str">
        <f t="shared" si="47"/>
        <v>Transition from state 5 to state 5 (CHG T4)</v>
      </c>
      <c r="F179" s="44">
        <f t="shared" si="35"/>
        <v>0</v>
      </c>
      <c r="G179" s="44">
        <v>1</v>
      </c>
      <c r="H179" s="149">
        <f>'Transition Probabilites'!N47</f>
        <v>0</v>
      </c>
      <c r="I179" s="44" t="s">
        <v>80</v>
      </c>
      <c r="J179" s="44">
        <f t="shared" si="38"/>
        <v>0</v>
      </c>
      <c r="K179" s="44">
        <f t="shared" si="39"/>
        <v>0</v>
      </c>
      <c r="L179" s="44" t="s">
        <v>80</v>
      </c>
      <c r="M179" s="54" t="s">
        <v>242</v>
      </c>
      <c r="N179" s="44" t="e">
        <f t="shared" ca="1" si="40"/>
        <v>#DIV/0!</v>
      </c>
      <c r="O179" s="44">
        <f t="shared" ca="1" si="34"/>
        <v>0.693476132945398</v>
      </c>
      <c r="P179" s="55" t="e">
        <f t="shared" si="41"/>
        <v>#DIV/0!</v>
      </c>
      <c r="Q179" s="55" t="e">
        <f t="shared" si="42"/>
        <v>#DIV/0!</v>
      </c>
      <c r="R179" s="55">
        <f t="shared" si="36"/>
        <v>0</v>
      </c>
      <c r="S179"/>
      <c r="T179" s="94"/>
    </row>
    <row r="180" spans="1:20" ht="20.25" customHeight="1" x14ac:dyDescent="0.2">
      <c r="A180"/>
      <c r="B180" s="119">
        <v>6</v>
      </c>
      <c r="C180" s="210"/>
      <c r="D180" s="148">
        <f t="shared" si="43"/>
        <v>167</v>
      </c>
      <c r="E180" s="29" t="str">
        <f t="shared" si="47"/>
        <v>Transition from state 5 to state 6 (CHG T4)</v>
      </c>
      <c r="F180" s="44">
        <f t="shared" si="35"/>
        <v>1</v>
      </c>
      <c r="G180" s="44">
        <v>1</v>
      </c>
      <c r="H180" s="149">
        <f>'Transition Probabilites'!N48</f>
        <v>1</v>
      </c>
      <c r="I180" s="44" t="s">
        <v>37</v>
      </c>
      <c r="J180" s="44">
        <f t="shared" si="38"/>
        <v>0.8040036015459946</v>
      </c>
      <c r="K180" s="44">
        <f t="shared" si="39"/>
        <v>1.1959963984540054</v>
      </c>
      <c r="L180" s="44" t="s">
        <v>37</v>
      </c>
      <c r="M180" s="54" t="s">
        <v>242</v>
      </c>
      <c r="N180" s="44" t="e">
        <f t="shared" ca="1" si="40"/>
        <v>#NUM!</v>
      </c>
      <c r="O180" s="44">
        <f t="shared" ca="1" si="34"/>
        <v>0.31152255024911302</v>
      </c>
      <c r="P180" s="55">
        <f t="shared" si="41"/>
        <v>0</v>
      </c>
      <c r="Q180" s="55">
        <f t="shared" si="42"/>
        <v>-89.999999999999986</v>
      </c>
      <c r="R180" s="55">
        <f t="shared" si="36"/>
        <v>0.1</v>
      </c>
      <c r="S180"/>
      <c r="T180" s="94"/>
    </row>
    <row r="181" spans="1:20" ht="20.25" customHeight="1" x14ac:dyDescent="0.2">
      <c r="A181"/>
      <c r="B181" s="119">
        <v>7</v>
      </c>
      <c r="C181" s="210"/>
      <c r="D181" s="148">
        <f t="shared" si="43"/>
        <v>168</v>
      </c>
      <c r="E181" s="29" t="str">
        <f t="shared" si="47"/>
        <v>Transition from state 5 to state 7 (CHG T4)</v>
      </c>
      <c r="F181" s="44">
        <f t="shared" si="35"/>
        <v>0</v>
      </c>
      <c r="G181" s="44">
        <v>1</v>
      </c>
      <c r="H181" s="149">
        <f>'Transition Probabilites'!N49</f>
        <v>0</v>
      </c>
      <c r="I181" s="44" t="s">
        <v>80</v>
      </c>
      <c r="J181" s="44">
        <f t="shared" si="38"/>
        <v>0</v>
      </c>
      <c r="K181" s="44">
        <f t="shared" si="39"/>
        <v>0</v>
      </c>
      <c r="L181" s="44" t="s">
        <v>80</v>
      </c>
      <c r="M181" s="54" t="s">
        <v>242</v>
      </c>
      <c r="N181" s="44" t="e">
        <f t="shared" ca="1" si="40"/>
        <v>#DIV/0!</v>
      </c>
      <c r="O181" s="44">
        <f t="shared" ca="1" si="34"/>
        <v>1.9964914142170387E-2</v>
      </c>
      <c r="P181" s="55" t="e">
        <f t="shared" si="41"/>
        <v>#DIV/0!</v>
      </c>
      <c r="Q181" s="55" t="e">
        <f t="shared" si="42"/>
        <v>#DIV/0!</v>
      </c>
      <c r="R181" s="55">
        <f t="shared" si="36"/>
        <v>0</v>
      </c>
      <c r="S181"/>
      <c r="T181" s="94"/>
    </row>
    <row r="182" spans="1:20" ht="20.25" customHeight="1" x14ac:dyDescent="0.2">
      <c r="A182"/>
      <c r="B182" s="119">
        <v>8</v>
      </c>
      <c r="C182" s="210"/>
      <c r="D182" s="148">
        <f t="shared" si="43"/>
        <v>169</v>
      </c>
      <c r="E182" s="29" t="str">
        <f t="shared" si="47"/>
        <v>Transition from state 5 to state 8 (CHG T4)</v>
      </c>
      <c r="F182" s="44">
        <f t="shared" si="35"/>
        <v>0</v>
      </c>
      <c r="G182" s="44">
        <v>1</v>
      </c>
      <c r="H182" s="149">
        <f>'Transition Probabilites'!N50</f>
        <v>0</v>
      </c>
      <c r="I182" s="44" t="s">
        <v>80</v>
      </c>
      <c r="J182" s="44">
        <f t="shared" si="38"/>
        <v>0</v>
      </c>
      <c r="K182" s="44">
        <f t="shared" si="39"/>
        <v>0</v>
      </c>
      <c r="L182" s="44" t="s">
        <v>80</v>
      </c>
      <c r="M182" s="54" t="s">
        <v>242</v>
      </c>
      <c r="N182" s="44" t="e">
        <f t="shared" ca="1" si="40"/>
        <v>#DIV/0!</v>
      </c>
      <c r="O182" s="44">
        <f t="shared" ca="1" si="34"/>
        <v>0.73892704587002334</v>
      </c>
      <c r="P182" s="55" t="e">
        <f t="shared" si="41"/>
        <v>#DIV/0!</v>
      </c>
      <c r="Q182" s="55" t="e">
        <f t="shared" si="42"/>
        <v>#DIV/0!</v>
      </c>
      <c r="R182" s="55">
        <f t="shared" si="36"/>
        <v>0</v>
      </c>
      <c r="S182"/>
      <c r="T182" s="94"/>
    </row>
    <row r="183" spans="1:20" ht="20.25" customHeight="1" x14ac:dyDescent="0.2">
      <c r="A183"/>
      <c r="B183" s="119">
        <v>1</v>
      </c>
      <c r="C183" s="210"/>
      <c r="D183" s="148">
        <f t="shared" si="43"/>
        <v>170</v>
      </c>
      <c r="E183" s="29" t="str">
        <f t="shared" ref="E183:E190" si="48">"Transition from state"&amp; " "&amp;$B$20&amp;" "&amp;"to state"&amp;" "&amp;B183&amp;" "&amp;"(CHG T4)"</f>
        <v>Transition from state 6 to state 1 (CHG T4)</v>
      </c>
      <c r="F183" s="44">
        <f t="shared" si="35"/>
        <v>2.3378119386908817E-4</v>
      </c>
      <c r="G183" s="44">
        <v>1</v>
      </c>
      <c r="H183" s="149">
        <f>'Transition Probabilites'!N51</f>
        <v>2.3378119386908817E-4</v>
      </c>
      <c r="I183" s="44" t="s">
        <v>37</v>
      </c>
      <c r="J183" s="44">
        <f t="shared" si="38"/>
        <v>1.8796092184446929E-4</v>
      </c>
      <c r="K183" s="44">
        <f t="shared" si="39"/>
        <v>2.7960146589370706E-4</v>
      </c>
      <c r="L183" s="44" t="s">
        <v>37</v>
      </c>
      <c r="M183" s="54" t="s">
        <v>242</v>
      </c>
      <c r="N183" s="44">
        <f t="shared" ca="1" si="40"/>
        <v>2.4795579265379786E-4</v>
      </c>
      <c r="O183" s="44">
        <f t="shared" ca="1" si="34"/>
        <v>0.73488379848229801</v>
      </c>
      <c r="P183" s="55">
        <f t="shared" si="41"/>
        <v>99.976621880613081</v>
      </c>
      <c r="Q183" s="55">
        <f t="shared" si="42"/>
        <v>427550.40580267564</v>
      </c>
      <c r="R183" s="55">
        <f t="shared" si="36"/>
        <v>2.3378119386908819E-5</v>
      </c>
      <c r="S183"/>
      <c r="T183" s="94"/>
    </row>
    <row r="184" spans="1:20" ht="20.25" customHeight="1" x14ac:dyDescent="0.2">
      <c r="A184"/>
      <c r="B184" s="119">
        <v>2</v>
      </c>
      <c r="C184" s="210"/>
      <c r="D184" s="148">
        <f t="shared" si="43"/>
        <v>171</v>
      </c>
      <c r="E184" s="29" t="str">
        <f t="shared" si="48"/>
        <v>Transition from state 6 to state 2 (CHG T4)</v>
      </c>
      <c r="F184" s="44">
        <f t="shared" si="35"/>
        <v>4.0864068928339787E-4</v>
      </c>
      <c r="G184" s="44">
        <v>1</v>
      </c>
      <c r="H184" s="149">
        <f>'Transition Probabilites'!N52</f>
        <v>4.0864068928339787E-4</v>
      </c>
      <c r="I184" s="44" t="s">
        <v>37</v>
      </c>
      <c r="J184" s="44">
        <f t="shared" si="38"/>
        <v>3.2854858592208961E-4</v>
      </c>
      <c r="K184" s="44">
        <f t="shared" si="39"/>
        <v>4.8873279264470613E-4</v>
      </c>
      <c r="L184" s="44" t="s">
        <v>37</v>
      </c>
      <c r="M184" s="54" t="s">
        <v>242</v>
      </c>
      <c r="N184" s="44">
        <f t="shared" ca="1" si="40"/>
        <v>4.2391113478834619E-4</v>
      </c>
      <c r="O184" s="44">
        <f t="shared" ca="1" si="34"/>
        <v>0.65628978546339645</v>
      </c>
      <c r="P184" s="55">
        <f t="shared" si="41"/>
        <v>99.959135931071657</v>
      </c>
      <c r="Q184" s="55">
        <f t="shared" si="42"/>
        <v>244513.76515450416</v>
      </c>
      <c r="R184" s="55">
        <f t="shared" si="36"/>
        <v>4.0864068928339789E-5</v>
      </c>
      <c r="S184"/>
      <c r="T184" s="94"/>
    </row>
    <row r="185" spans="1:20" ht="20.25" customHeight="1" x14ac:dyDescent="0.2">
      <c r="A185"/>
      <c r="B185" s="119">
        <v>3</v>
      </c>
      <c r="C185" s="210"/>
      <c r="D185" s="148">
        <f t="shared" si="43"/>
        <v>172</v>
      </c>
      <c r="E185" s="29" t="str">
        <f t="shared" si="48"/>
        <v>Transition from state 6 to state 3 (CHG T4)</v>
      </c>
      <c r="F185" s="44">
        <f t="shared" si="35"/>
        <v>4.6210458788130721E-6</v>
      </c>
      <c r="G185" s="44">
        <v>1</v>
      </c>
      <c r="H185" s="149">
        <f>'Transition Probabilites'!N53</f>
        <v>4.6210458788130721E-6</v>
      </c>
      <c r="I185" s="44" t="s">
        <v>37</v>
      </c>
      <c r="J185" s="44">
        <f t="shared" si="38"/>
        <v>3.7153375294749855E-6</v>
      </c>
      <c r="K185" s="44">
        <f t="shared" si="39"/>
        <v>5.5267542281511587E-6</v>
      </c>
      <c r="L185" s="44" t="s">
        <v>37</v>
      </c>
      <c r="M185" s="54" t="s">
        <v>242</v>
      </c>
      <c r="N185" s="44">
        <f t="shared" ca="1" si="40"/>
        <v>4.1775367418761247E-6</v>
      </c>
      <c r="O185" s="44">
        <f t="shared" ca="1" si="34"/>
        <v>0.16885729925310222</v>
      </c>
      <c r="P185" s="55">
        <f t="shared" si="41"/>
        <v>99.999537895412104</v>
      </c>
      <c r="Q185" s="55">
        <f t="shared" si="42"/>
        <v>21639922.739032146</v>
      </c>
      <c r="R185" s="55">
        <f t="shared" si="36"/>
        <v>4.6210458788130724E-7</v>
      </c>
      <c r="S185"/>
      <c r="T185" s="94"/>
    </row>
    <row r="186" spans="1:20" ht="20.25" customHeight="1" x14ac:dyDescent="0.2">
      <c r="A186"/>
      <c r="B186" s="119">
        <v>4</v>
      </c>
      <c r="C186" s="210"/>
      <c r="D186" s="148">
        <f t="shared" si="43"/>
        <v>173</v>
      </c>
      <c r="E186" s="29" t="str">
        <f t="shared" si="48"/>
        <v>Transition from state 6 to state 4 (CHG T4)</v>
      </c>
      <c r="F186" s="44">
        <f t="shared" si="35"/>
        <v>6.7708788224337023E-6</v>
      </c>
      <c r="G186" s="44">
        <v>1</v>
      </c>
      <c r="H186" s="149">
        <f>'Transition Probabilites'!N54</f>
        <v>6.7708788224337023E-6</v>
      </c>
      <c r="I186" s="44" t="s">
        <v>37</v>
      </c>
      <c r="J186" s="44">
        <f t="shared" si="38"/>
        <v>5.4438109588681991E-6</v>
      </c>
      <c r="K186" s="44">
        <f t="shared" si="39"/>
        <v>8.0979466859992056E-6</v>
      </c>
      <c r="L186" s="44" t="s">
        <v>37</v>
      </c>
      <c r="M186" s="54" t="s">
        <v>242</v>
      </c>
      <c r="N186" s="44">
        <f t="shared" ca="1" si="40"/>
        <v>5.6515419562082593E-6</v>
      </c>
      <c r="O186" s="44">
        <f t="shared" ca="1" si="34"/>
        <v>4.2681994076043783E-2</v>
      </c>
      <c r="P186" s="55">
        <f t="shared" si="41"/>
        <v>99.999322912117748</v>
      </c>
      <c r="Q186" s="55">
        <f t="shared" si="42"/>
        <v>14768931.544509724</v>
      </c>
      <c r="R186" s="55">
        <f t="shared" si="36"/>
        <v>6.7708788224337028E-7</v>
      </c>
      <c r="S186"/>
      <c r="T186" s="94"/>
    </row>
    <row r="187" spans="1:20" ht="20.25" customHeight="1" x14ac:dyDescent="0.2">
      <c r="A187"/>
      <c r="B187" s="119">
        <v>5</v>
      </c>
      <c r="C187" s="210"/>
      <c r="D187" s="148">
        <f t="shared" si="43"/>
        <v>174</v>
      </c>
      <c r="E187" s="29" t="str">
        <f t="shared" si="48"/>
        <v>Transition from state 6 to state 5 (CHG T4)</v>
      </c>
      <c r="F187" s="44">
        <f t="shared" si="35"/>
        <v>0</v>
      </c>
      <c r="G187" s="44">
        <v>1</v>
      </c>
      <c r="H187" s="149">
        <f>'Transition Probabilites'!N55</f>
        <v>0</v>
      </c>
      <c r="I187" s="44" t="s">
        <v>80</v>
      </c>
      <c r="J187" s="44">
        <f t="shared" si="38"/>
        <v>0</v>
      </c>
      <c r="K187" s="44">
        <f t="shared" si="39"/>
        <v>0</v>
      </c>
      <c r="L187" s="44" t="s">
        <v>80</v>
      </c>
      <c r="M187" s="54" t="s">
        <v>242</v>
      </c>
      <c r="N187" s="44" t="e">
        <f t="shared" ca="1" si="40"/>
        <v>#DIV/0!</v>
      </c>
      <c r="O187" s="44">
        <f t="shared" ca="1" si="34"/>
        <v>0.41630340727241222</v>
      </c>
      <c r="P187" s="55" t="e">
        <f t="shared" si="41"/>
        <v>#DIV/0!</v>
      </c>
      <c r="Q187" s="55" t="e">
        <f t="shared" si="42"/>
        <v>#DIV/0!</v>
      </c>
      <c r="R187" s="55">
        <f t="shared" si="36"/>
        <v>0</v>
      </c>
      <c r="S187"/>
      <c r="T187" s="94"/>
    </row>
    <row r="188" spans="1:20" ht="20.25" customHeight="1" x14ac:dyDescent="0.2">
      <c r="A188"/>
      <c r="B188" s="119">
        <v>6</v>
      </c>
      <c r="C188" s="210"/>
      <c r="D188" s="148">
        <f t="shared" si="43"/>
        <v>175</v>
      </c>
      <c r="E188" s="29" t="str">
        <f t="shared" si="48"/>
        <v>Transition from state 6 to state 6 (CHG T4)</v>
      </c>
      <c r="F188" s="44">
        <f t="shared" si="35"/>
        <v>2.0621239459207995E-4</v>
      </c>
      <c r="G188" s="44">
        <v>1</v>
      </c>
      <c r="H188" s="149">
        <f>'Transition Probabilites'!N56</f>
        <v>2.0621239459207995E-4</v>
      </c>
      <c r="I188" s="44" t="s">
        <v>37</v>
      </c>
      <c r="J188" s="44">
        <f t="shared" si="38"/>
        <v>1.6579550793545606E-4</v>
      </c>
      <c r="K188" s="44">
        <f t="shared" si="39"/>
        <v>2.4662928124870385E-4</v>
      </c>
      <c r="L188" s="44" t="s">
        <v>37</v>
      </c>
      <c r="M188" s="54" t="s">
        <v>242</v>
      </c>
      <c r="N188" s="44">
        <f t="shared" ca="1" si="40"/>
        <v>2.4717351584946368E-4</v>
      </c>
      <c r="O188" s="44">
        <f t="shared" ca="1" si="34"/>
        <v>0.9713544333265719</v>
      </c>
      <c r="P188" s="55">
        <f t="shared" si="41"/>
        <v>99.979378760540769</v>
      </c>
      <c r="Q188" s="55">
        <f t="shared" si="42"/>
        <v>484736.90509268845</v>
      </c>
      <c r="R188" s="55">
        <f t="shared" si="36"/>
        <v>2.0621239459207998E-5</v>
      </c>
      <c r="S188"/>
      <c r="T188" s="94"/>
    </row>
    <row r="189" spans="1:20" ht="20.25" customHeight="1" x14ac:dyDescent="0.2">
      <c r="A189"/>
      <c r="B189" s="119">
        <v>7</v>
      </c>
      <c r="C189" s="210"/>
      <c r="D189" s="148">
        <f t="shared" si="43"/>
        <v>176</v>
      </c>
      <c r="E189" s="29" t="str">
        <f t="shared" si="48"/>
        <v>Transition from state 6 to state 7 (CHG T4)</v>
      </c>
      <c r="F189" s="44">
        <f t="shared" si="35"/>
        <v>0.84609897781105425</v>
      </c>
      <c r="G189" s="44">
        <v>1</v>
      </c>
      <c r="H189" s="149">
        <f>'Transition Probabilites'!N57</f>
        <v>0.84609897781105425</v>
      </c>
      <c r="I189" s="44" t="s">
        <v>80</v>
      </c>
      <c r="J189" s="44">
        <f t="shared" si="38"/>
        <v>0.68026662542447225</v>
      </c>
      <c r="K189" s="44">
        <f t="shared" si="39"/>
        <v>1.0119313301976363</v>
      </c>
      <c r="L189" s="44" t="s">
        <v>80</v>
      </c>
      <c r="M189" s="54" t="s">
        <v>242</v>
      </c>
      <c r="N189" s="44" t="e">
        <f t="shared" ca="1" si="40"/>
        <v>#NUM!</v>
      </c>
      <c r="O189" s="44">
        <f t="shared" ca="1" si="34"/>
        <v>7.9603604267660555E-2</v>
      </c>
      <c r="P189" s="55">
        <f t="shared" si="41"/>
        <v>15.390102218894572</v>
      </c>
      <c r="Q189" s="55">
        <f t="shared" si="42"/>
        <v>-73.349528113412774</v>
      </c>
      <c r="R189" s="55">
        <f t="shared" si="36"/>
        <v>8.4609897781105434E-2</v>
      </c>
      <c r="S189"/>
      <c r="T189" s="94"/>
    </row>
    <row r="190" spans="1:20" ht="20.25" customHeight="1" x14ac:dyDescent="0.2">
      <c r="A190"/>
      <c r="B190" s="119">
        <v>8</v>
      </c>
      <c r="C190" s="210"/>
      <c r="D190" s="148">
        <f t="shared" si="43"/>
        <v>177</v>
      </c>
      <c r="E190" s="29" t="str">
        <f t="shared" si="48"/>
        <v>Transition from state 6 to state 8 (CHG T4)</v>
      </c>
      <c r="F190" s="44">
        <f t="shared" si="35"/>
        <v>0.15304099598649989</v>
      </c>
      <c r="G190" s="44">
        <v>1</v>
      </c>
      <c r="H190" s="149">
        <f>'Transition Probabilites'!N58</f>
        <v>0.15304099598649989</v>
      </c>
      <c r="I190" s="44" t="s">
        <v>37</v>
      </c>
      <c r="J190" s="44">
        <f t="shared" si="38"/>
        <v>0.12304551195733202</v>
      </c>
      <c r="K190" s="44">
        <f t="shared" si="39"/>
        <v>0.18303648001566777</v>
      </c>
      <c r="L190" s="44" t="s">
        <v>37</v>
      </c>
      <c r="M190" s="54" t="s">
        <v>242</v>
      </c>
      <c r="N190" s="44">
        <f t="shared" ca="1" si="40"/>
        <v>0.17318174203937908</v>
      </c>
      <c r="O190" s="44">
        <f t="shared" ca="1" si="34"/>
        <v>0.84988438939443378</v>
      </c>
      <c r="P190" s="55">
        <f t="shared" si="41"/>
        <v>84.695900401350002</v>
      </c>
      <c r="Q190" s="55">
        <f t="shared" si="42"/>
        <v>454.95009894843656</v>
      </c>
      <c r="R190" s="55">
        <f t="shared" si="36"/>
        <v>1.5304099598649991E-2</v>
      </c>
      <c r="S190"/>
      <c r="T190" s="94"/>
    </row>
    <row r="191" spans="1:20" ht="20.25" customHeight="1" x14ac:dyDescent="0.2">
      <c r="A191"/>
      <c r="B191" s="119">
        <v>1</v>
      </c>
      <c r="C191" s="210"/>
      <c r="D191" s="148">
        <f t="shared" si="43"/>
        <v>178</v>
      </c>
      <c r="E191" s="29" t="str">
        <f t="shared" ref="E191:E198" si="49">"Transition from state"&amp; " "&amp;$B$21&amp;" "&amp;"to state"&amp;" "&amp;B191&amp;" "&amp;"(CHG T4)"</f>
        <v>Transition from state 7 to state 1 (CHG T4)</v>
      </c>
      <c r="F191" s="44">
        <f t="shared" si="35"/>
        <v>0</v>
      </c>
      <c r="G191" s="44">
        <v>1</v>
      </c>
      <c r="H191" s="149">
        <f>'Transition Probabilites'!N59</f>
        <v>0</v>
      </c>
      <c r="I191" s="44" t="s">
        <v>80</v>
      </c>
      <c r="J191" s="44">
        <f t="shared" si="38"/>
        <v>0</v>
      </c>
      <c r="K191" s="44">
        <f t="shared" si="39"/>
        <v>0</v>
      </c>
      <c r="L191" s="44" t="s">
        <v>80</v>
      </c>
      <c r="M191" s="54" t="s">
        <v>242</v>
      </c>
      <c r="N191" s="44" t="e">
        <f t="shared" ca="1" si="40"/>
        <v>#DIV/0!</v>
      </c>
      <c r="O191" s="44">
        <f t="shared" ca="1" si="34"/>
        <v>7.9766621591738307E-2</v>
      </c>
      <c r="P191" s="55" t="e">
        <f t="shared" si="41"/>
        <v>#DIV/0!</v>
      </c>
      <c r="Q191" s="55" t="e">
        <f t="shared" si="42"/>
        <v>#DIV/0!</v>
      </c>
      <c r="R191" s="55">
        <f t="shared" si="36"/>
        <v>0</v>
      </c>
      <c r="S191"/>
      <c r="T191" s="94"/>
    </row>
    <row r="192" spans="1:20" ht="20.25" customHeight="1" x14ac:dyDescent="0.2">
      <c r="A192"/>
      <c r="B192" s="119">
        <v>2</v>
      </c>
      <c r="C192" s="210"/>
      <c r="D192" s="148">
        <f t="shared" si="43"/>
        <v>179</v>
      </c>
      <c r="E192" s="29" t="str">
        <f t="shared" si="49"/>
        <v>Transition from state 7 to state 2 (CHG T4)</v>
      </c>
      <c r="F192" s="44">
        <f t="shared" si="35"/>
        <v>0</v>
      </c>
      <c r="G192" s="44">
        <v>1</v>
      </c>
      <c r="H192" s="149">
        <f>'Transition Probabilites'!N60</f>
        <v>0</v>
      </c>
      <c r="I192" s="44" t="s">
        <v>80</v>
      </c>
      <c r="J192" s="44">
        <f t="shared" si="38"/>
        <v>0</v>
      </c>
      <c r="K192" s="44">
        <f t="shared" si="39"/>
        <v>0</v>
      </c>
      <c r="L192" s="44" t="s">
        <v>80</v>
      </c>
      <c r="M192" s="54" t="s">
        <v>242</v>
      </c>
      <c r="N192" s="44" t="e">
        <f t="shared" ca="1" si="40"/>
        <v>#DIV/0!</v>
      </c>
      <c r="O192" s="44">
        <f t="shared" ca="1" si="34"/>
        <v>0.44438235731336828</v>
      </c>
      <c r="P192" s="55" t="e">
        <f t="shared" si="41"/>
        <v>#DIV/0!</v>
      </c>
      <c r="Q192" s="55" t="e">
        <f t="shared" si="42"/>
        <v>#DIV/0!</v>
      </c>
      <c r="R192" s="55">
        <f t="shared" si="36"/>
        <v>0</v>
      </c>
      <c r="S192"/>
      <c r="T192" s="94"/>
    </row>
    <row r="193" spans="1:20" ht="20.25" customHeight="1" x14ac:dyDescent="0.2">
      <c r="A193"/>
      <c r="B193" s="119">
        <v>3</v>
      </c>
      <c r="C193" s="210"/>
      <c r="D193" s="148">
        <f t="shared" si="43"/>
        <v>180</v>
      </c>
      <c r="E193" s="29" t="str">
        <f t="shared" si="49"/>
        <v>Transition from state 7 to state 3 (CHG T4)</v>
      </c>
      <c r="F193" s="44">
        <f t="shared" si="35"/>
        <v>0</v>
      </c>
      <c r="G193" s="44">
        <v>1</v>
      </c>
      <c r="H193" s="149">
        <f>'Transition Probabilites'!N61</f>
        <v>0</v>
      </c>
      <c r="I193" s="44" t="s">
        <v>80</v>
      </c>
      <c r="J193" s="44">
        <f t="shared" si="38"/>
        <v>0</v>
      </c>
      <c r="K193" s="44">
        <f t="shared" si="39"/>
        <v>0</v>
      </c>
      <c r="L193" s="44" t="s">
        <v>80</v>
      </c>
      <c r="M193" s="54" t="s">
        <v>242</v>
      </c>
      <c r="N193" s="44" t="e">
        <f t="shared" ca="1" si="40"/>
        <v>#DIV/0!</v>
      </c>
      <c r="O193" s="44">
        <f t="shared" ca="1" si="34"/>
        <v>0.34949778381239183</v>
      </c>
      <c r="P193" s="55" t="e">
        <f t="shared" si="41"/>
        <v>#DIV/0!</v>
      </c>
      <c r="Q193" s="55" t="e">
        <f t="shared" si="42"/>
        <v>#DIV/0!</v>
      </c>
      <c r="R193" s="55">
        <f t="shared" si="36"/>
        <v>0</v>
      </c>
      <c r="S193"/>
      <c r="T193" s="94"/>
    </row>
    <row r="194" spans="1:20" ht="20.25" customHeight="1" x14ac:dyDescent="0.2">
      <c r="A194"/>
      <c r="B194" s="119">
        <v>4</v>
      </c>
      <c r="C194" s="210"/>
      <c r="D194" s="148">
        <f t="shared" si="43"/>
        <v>181</v>
      </c>
      <c r="E194" s="29" t="str">
        <f t="shared" si="49"/>
        <v>Transition from state 7 to state 4 (CHG T4)</v>
      </c>
      <c r="F194" s="44">
        <f t="shared" si="35"/>
        <v>0</v>
      </c>
      <c r="G194" s="44">
        <v>1</v>
      </c>
      <c r="H194" s="149">
        <f>'Transition Probabilites'!N62</f>
        <v>0</v>
      </c>
      <c r="I194" s="44" t="s">
        <v>80</v>
      </c>
      <c r="J194" s="44">
        <f t="shared" si="38"/>
        <v>0</v>
      </c>
      <c r="K194" s="44">
        <f t="shared" si="39"/>
        <v>0</v>
      </c>
      <c r="L194" s="44" t="s">
        <v>80</v>
      </c>
      <c r="M194" s="54" t="s">
        <v>242</v>
      </c>
      <c r="N194" s="44" t="e">
        <f t="shared" ca="1" si="40"/>
        <v>#DIV/0!</v>
      </c>
      <c r="O194" s="44">
        <f t="shared" ca="1" si="34"/>
        <v>0.71251865761732358</v>
      </c>
      <c r="P194" s="55" t="e">
        <f t="shared" si="41"/>
        <v>#DIV/0!</v>
      </c>
      <c r="Q194" s="55" t="e">
        <f t="shared" si="42"/>
        <v>#DIV/0!</v>
      </c>
      <c r="R194" s="55">
        <f t="shared" si="36"/>
        <v>0</v>
      </c>
      <c r="S194"/>
      <c r="T194" s="94"/>
    </row>
    <row r="195" spans="1:20" ht="20.25" customHeight="1" x14ac:dyDescent="0.2">
      <c r="A195"/>
      <c r="B195" s="119">
        <v>5</v>
      </c>
      <c r="C195" s="210"/>
      <c r="D195" s="148">
        <f t="shared" si="43"/>
        <v>182</v>
      </c>
      <c r="E195" s="29" t="str">
        <f t="shared" si="49"/>
        <v>Transition from state 7 to state 5 (CHG T4)</v>
      </c>
      <c r="F195" s="44">
        <f t="shared" si="35"/>
        <v>0</v>
      </c>
      <c r="G195" s="44">
        <v>1</v>
      </c>
      <c r="H195" s="149">
        <f>'Transition Probabilites'!N63</f>
        <v>0</v>
      </c>
      <c r="I195" s="44" t="s">
        <v>80</v>
      </c>
      <c r="J195" s="44">
        <f t="shared" si="38"/>
        <v>0</v>
      </c>
      <c r="K195" s="44">
        <f t="shared" si="39"/>
        <v>0</v>
      </c>
      <c r="L195" s="44" t="s">
        <v>80</v>
      </c>
      <c r="M195" s="54" t="s">
        <v>242</v>
      </c>
      <c r="N195" s="44" t="e">
        <f t="shared" ca="1" si="40"/>
        <v>#DIV/0!</v>
      </c>
      <c r="O195" s="44">
        <f t="shared" ca="1" si="34"/>
        <v>0.66327269105404629</v>
      </c>
      <c r="P195" s="55" t="e">
        <f t="shared" si="41"/>
        <v>#DIV/0!</v>
      </c>
      <c r="Q195" s="55" t="e">
        <f t="shared" si="42"/>
        <v>#DIV/0!</v>
      </c>
      <c r="R195" s="55">
        <f t="shared" si="36"/>
        <v>0</v>
      </c>
      <c r="S195"/>
      <c r="T195" s="94"/>
    </row>
    <row r="196" spans="1:20" ht="20.25" customHeight="1" x14ac:dyDescent="0.2">
      <c r="A196"/>
      <c r="B196" s="119">
        <v>6</v>
      </c>
      <c r="C196" s="210"/>
      <c r="D196" s="148">
        <f t="shared" si="43"/>
        <v>183</v>
      </c>
      <c r="E196" s="29" t="str">
        <f t="shared" si="49"/>
        <v>Transition from state 7 to state 6 (CHG T4)</v>
      </c>
      <c r="F196" s="44">
        <f t="shared" si="35"/>
        <v>0</v>
      </c>
      <c r="G196" s="44">
        <v>1</v>
      </c>
      <c r="H196" s="149">
        <f>'Transition Probabilites'!N64</f>
        <v>0</v>
      </c>
      <c r="I196" s="44" t="s">
        <v>80</v>
      </c>
      <c r="J196" s="44">
        <f t="shared" si="38"/>
        <v>0</v>
      </c>
      <c r="K196" s="44">
        <f t="shared" si="39"/>
        <v>0</v>
      </c>
      <c r="L196" s="44" t="s">
        <v>80</v>
      </c>
      <c r="M196" s="54" t="s">
        <v>242</v>
      </c>
      <c r="N196" s="44" t="e">
        <f t="shared" ca="1" si="40"/>
        <v>#DIV/0!</v>
      </c>
      <c r="O196" s="44">
        <f t="shared" ca="1" si="34"/>
        <v>0.29275633954088054</v>
      </c>
      <c r="P196" s="55" t="e">
        <f t="shared" si="41"/>
        <v>#DIV/0!</v>
      </c>
      <c r="Q196" s="55" t="e">
        <f t="shared" si="42"/>
        <v>#DIV/0!</v>
      </c>
      <c r="R196" s="55">
        <f t="shared" si="36"/>
        <v>0</v>
      </c>
      <c r="S196"/>
      <c r="T196" s="94"/>
    </row>
    <row r="197" spans="1:20" ht="20.25" customHeight="1" x14ac:dyDescent="0.2">
      <c r="A197"/>
      <c r="B197" s="119">
        <v>7</v>
      </c>
      <c r="C197" s="210"/>
      <c r="D197" s="148">
        <f t="shared" si="43"/>
        <v>184</v>
      </c>
      <c r="E197" s="29" t="str">
        <f t="shared" si="49"/>
        <v>Transition from state 7 to state 7 (CHG T4)</v>
      </c>
      <c r="F197" s="44">
        <f t="shared" si="35"/>
        <v>1</v>
      </c>
      <c r="G197" s="44">
        <v>1</v>
      </c>
      <c r="H197" s="149">
        <f>'Transition Probabilites'!N65</f>
        <v>1</v>
      </c>
      <c r="I197" s="44" t="s">
        <v>80</v>
      </c>
      <c r="J197" s="44">
        <f t="shared" si="38"/>
        <v>0.8040036015459946</v>
      </c>
      <c r="K197" s="44">
        <f t="shared" si="39"/>
        <v>1.1959963984540054</v>
      </c>
      <c r="L197" s="44" t="s">
        <v>80</v>
      </c>
      <c r="M197" s="54" t="s">
        <v>242</v>
      </c>
      <c r="N197" s="44" t="e">
        <f t="shared" ca="1" si="40"/>
        <v>#NUM!</v>
      </c>
      <c r="O197" s="44">
        <f t="shared" ca="1" si="34"/>
        <v>0.1216980129450479</v>
      </c>
      <c r="P197" s="55">
        <f t="shared" si="41"/>
        <v>0</v>
      </c>
      <c r="Q197" s="55">
        <f t="shared" si="42"/>
        <v>-89.999999999999986</v>
      </c>
      <c r="R197" s="55">
        <f t="shared" si="36"/>
        <v>0.1</v>
      </c>
      <c r="S197"/>
      <c r="T197" s="94"/>
    </row>
    <row r="198" spans="1:20" ht="20.25" customHeight="1" x14ac:dyDescent="0.2">
      <c r="A198"/>
      <c r="B198" s="119">
        <v>8</v>
      </c>
      <c r="C198" s="210"/>
      <c r="D198" s="148">
        <f t="shared" si="43"/>
        <v>185</v>
      </c>
      <c r="E198" s="29" t="str">
        <f t="shared" si="49"/>
        <v>Transition from state 7 to state 8 (CHG T4)</v>
      </c>
      <c r="F198" s="44">
        <f t="shared" si="35"/>
        <v>0</v>
      </c>
      <c r="G198" s="44">
        <v>1</v>
      </c>
      <c r="H198" s="149">
        <f>'Transition Probabilites'!N66</f>
        <v>0</v>
      </c>
      <c r="I198" s="44" t="s">
        <v>80</v>
      </c>
      <c r="J198" s="44">
        <f t="shared" si="38"/>
        <v>0</v>
      </c>
      <c r="K198" s="44">
        <f t="shared" si="39"/>
        <v>0</v>
      </c>
      <c r="L198" s="44" t="s">
        <v>80</v>
      </c>
      <c r="M198" s="54" t="s">
        <v>242</v>
      </c>
      <c r="N198" s="44" t="e">
        <f t="shared" ca="1" si="40"/>
        <v>#DIV/0!</v>
      </c>
      <c r="O198" s="44">
        <f t="shared" ca="1" si="34"/>
        <v>0.12803677422130599</v>
      </c>
      <c r="P198" s="55" t="e">
        <f t="shared" si="41"/>
        <v>#DIV/0!</v>
      </c>
      <c r="Q198" s="55" t="e">
        <f t="shared" si="42"/>
        <v>#DIV/0!</v>
      </c>
      <c r="R198" s="55">
        <f t="shared" si="36"/>
        <v>0</v>
      </c>
      <c r="S198"/>
      <c r="T198" s="94"/>
    </row>
    <row r="199" spans="1:20" ht="20.25" customHeight="1" x14ac:dyDescent="0.2">
      <c r="A199"/>
      <c r="B199" s="119">
        <v>1</v>
      </c>
      <c r="C199" s="210"/>
      <c r="D199" s="148">
        <f t="shared" si="43"/>
        <v>186</v>
      </c>
      <c r="E199" s="29" t="str">
        <f t="shared" ref="E199:E206" si="50">"Transition from state"&amp; " "&amp;$B$22&amp;" "&amp;"to state"&amp;" "&amp;B199&amp;" "&amp;"(CHG T4)"</f>
        <v>Transition from state 8 to state 1 (CHG T4)</v>
      </c>
      <c r="F199" s="44">
        <f t="shared" si="35"/>
        <v>0</v>
      </c>
      <c r="G199" s="44">
        <v>1</v>
      </c>
      <c r="H199" s="149">
        <f>'Transition Probabilites'!N67</f>
        <v>0</v>
      </c>
      <c r="I199" s="44" t="s">
        <v>80</v>
      </c>
      <c r="J199" s="44">
        <f t="shared" si="38"/>
        <v>0</v>
      </c>
      <c r="K199" s="44">
        <f t="shared" si="39"/>
        <v>0</v>
      </c>
      <c r="L199" s="44" t="s">
        <v>80</v>
      </c>
      <c r="M199" s="54" t="s">
        <v>242</v>
      </c>
      <c r="N199" s="44" t="e">
        <f t="shared" ca="1" si="40"/>
        <v>#DIV/0!</v>
      </c>
      <c r="O199" s="44">
        <f t="shared" ca="1" si="34"/>
        <v>0.53952643146812274</v>
      </c>
      <c r="P199" s="55" t="e">
        <f t="shared" si="41"/>
        <v>#DIV/0!</v>
      </c>
      <c r="Q199" s="55" t="e">
        <f t="shared" si="42"/>
        <v>#DIV/0!</v>
      </c>
      <c r="R199" s="55">
        <f t="shared" si="36"/>
        <v>0</v>
      </c>
      <c r="S199"/>
      <c r="T199" s="94"/>
    </row>
    <row r="200" spans="1:20" ht="20.25" customHeight="1" x14ac:dyDescent="0.2">
      <c r="A200"/>
      <c r="B200" s="119">
        <v>2</v>
      </c>
      <c r="C200" s="210"/>
      <c r="D200" s="148">
        <f t="shared" si="43"/>
        <v>187</v>
      </c>
      <c r="E200" s="29" t="str">
        <f t="shared" si="50"/>
        <v>Transition from state 8 to state 2 (CHG T4)</v>
      </c>
      <c r="F200" s="44">
        <f t="shared" si="35"/>
        <v>0</v>
      </c>
      <c r="G200" s="44">
        <v>1</v>
      </c>
      <c r="H200" s="149">
        <f>'Transition Probabilites'!N68</f>
        <v>0</v>
      </c>
      <c r="I200" s="44" t="s">
        <v>80</v>
      </c>
      <c r="J200" s="44">
        <f t="shared" si="38"/>
        <v>0</v>
      </c>
      <c r="K200" s="44">
        <f t="shared" si="39"/>
        <v>0</v>
      </c>
      <c r="L200" s="44" t="s">
        <v>80</v>
      </c>
      <c r="M200" s="54" t="s">
        <v>242</v>
      </c>
      <c r="N200" s="44" t="e">
        <f t="shared" ca="1" si="40"/>
        <v>#DIV/0!</v>
      </c>
      <c r="O200" s="44">
        <f t="shared" ca="1" si="34"/>
        <v>0.19570594851559353</v>
      </c>
      <c r="P200" s="55" t="e">
        <f t="shared" si="41"/>
        <v>#DIV/0!</v>
      </c>
      <c r="Q200" s="55" t="e">
        <f t="shared" si="42"/>
        <v>#DIV/0!</v>
      </c>
      <c r="R200" s="55">
        <f t="shared" si="36"/>
        <v>0</v>
      </c>
      <c r="S200"/>
      <c r="T200" s="94"/>
    </row>
    <row r="201" spans="1:20" ht="20.25" customHeight="1" x14ac:dyDescent="0.2">
      <c r="A201"/>
      <c r="B201" s="119">
        <v>3</v>
      </c>
      <c r="C201" s="210"/>
      <c r="D201" s="148">
        <f t="shared" si="43"/>
        <v>188</v>
      </c>
      <c r="E201" s="29" t="str">
        <f t="shared" si="50"/>
        <v>Transition from state 8 to state 3 (CHG T4)</v>
      </c>
      <c r="F201" s="44">
        <f t="shared" si="35"/>
        <v>0</v>
      </c>
      <c r="G201" s="44">
        <v>1</v>
      </c>
      <c r="H201" s="149">
        <f>'Transition Probabilites'!N69</f>
        <v>0</v>
      </c>
      <c r="I201" s="44" t="s">
        <v>80</v>
      </c>
      <c r="J201" s="44">
        <f t="shared" si="38"/>
        <v>0</v>
      </c>
      <c r="K201" s="44">
        <f t="shared" si="39"/>
        <v>0</v>
      </c>
      <c r="L201" s="44" t="s">
        <v>80</v>
      </c>
      <c r="M201" s="54" t="s">
        <v>242</v>
      </c>
      <c r="N201" s="44" t="e">
        <f t="shared" ca="1" si="40"/>
        <v>#DIV/0!</v>
      </c>
      <c r="O201" s="44">
        <f t="shared" ca="1" si="34"/>
        <v>0.95490734048426551</v>
      </c>
      <c r="P201" s="55" t="e">
        <f t="shared" si="41"/>
        <v>#DIV/0!</v>
      </c>
      <c r="Q201" s="55" t="e">
        <f t="shared" si="42"/>
        <v>#DIV/0!</v>
      </c>
      <c r="R201" s="55">
        <f t="shared" si="36"/>
        <v>0</v>
      </c>
      <c r="S201"/>
      <c r="T201" s="94"/>
    </row>
    <row r="202" spans="1:20" ht="20.25" customHeight="1" x14ac:dyDescent="0.2">
      <c r="A202"/>
      <c r="B202" s="119">
        <v>4</v>
      </c>
      <c r="C202" s="210"/>
      <c r="D202" s="148">
        <f t="shared" si="43"/>
        <v>189</v>
      </c>
      <c r="E202" s="29" t="str">
        <f t="shared" si="50"/>
        <v>Transition from state 8 to state 4 (CHG T4)</v>
      </c>
      <c r="F202" s="44">
        <f t="shared" si="35"/>
        <v>0</v>
      </c>
      <c r="G202" s="44">
        <v>1</v>
      </c>
      <c r="H202" s="149">
        <f>'Transition Probabilites'!N70</f>
        <v>0</v>
      </c>
      <c r="I202" s="44" t="s">
        <v>80</v>
      </c>
      <c r="J202" s="44">
        <f t="shared" si="38"/>
        <v>0</v>
      </c>
      <c r="K202" s="44">
        <f t="shared" si="39"/>
        <v>0</v>
      </c>
      <c r="L202" s="44" t="s">
        <v>80</v>
      </c>
      <c r="M202" s="54" t="s">
        <v>242</v>
      </c>
      <c r="N202" s="44" t="e">
        <f t="shared" ca="1" si="40"/>
        <v>#DIV/0!</v>
      </c>
      <c r="O202" s="44">
        <f t="shared" ca="1" si="34"/>
        <v>9.2505097678336812E-2</v>
      </c>
      <c r="P202" s="55" t="e">
        <f t="shared" si="41"/>
        <v>#DIV/0!</v>
      </c>
      <c r="Q202" s="55" t="e">
        <f t="shared" si="42"/>
        <v>#DIV/0!</v>
      </c>
      <c r="R202" s="55">
        <f t="shared" si="36"/>
        <v>0</v>
      </c>
      <c r="S202"/>
      <c r="T202" s="94"/>
    </row>
    <row r="203" spans="1:20" ht="20.25" customHeight="1" x14ac:dyDescent="0.2">
      <c r="A203"/>
      <c r="B203" s="119">
        <v>5</v>
      </c>
      <c r="C203" s="210"/>
      <c r="D203" s="148">
        <f t="shared" si="43"/>
        <v>190</v>
      </c>
      <c r="E203" s="29" t="str">
        <f t="shared" si="50"/>
        <v>Transition from state 8 to state 5 (CHG T4)</v>
      </c>
      <c r="F203" s="44">
        <f t="shared" si="35"/>
        <v>0</v>
      </c>
      <c r="G203" s="44">
        <v>1</v>
      </c>
      <c r="H203" s="149">
        <f>'Transition Probabilites'!N71</f>
        <v>0</v>
      </c>
      <c r="I203" s="44" t="s">
        <v>80</v>
      </c>
      <c r="J203" s="44">
        <f t="shared" si="38"/>
        <v>0</v>
      </c>
      <c r="K203" s="44">
        <f t="shared" si="39"/>
        <v>0</v>
      </c>
      <c r="L203" s="44" t="s">
        <v>80</v>
      </c>
      <c r="M203" s="54" t="s">
        <v>242</v>
      </c>
      <c r="N203" s="44" t="e">
        <f t="shared" ca="1" si="40"/>
        <v>#DIV/0!</v>
      </c>
      <c r="O203" s="44">
        <f t="shared" ref="O203:O266" ca="1" si="51">RAND()</f>
        <v>0.74883830650357519</v>
      </c>
      <c r="P203" s="55" t="e">
        <f t="shared" si="41"/>
        <v>#DIV/0!</v>
      </c>
      <c r="Q203" s="55" t="e">
        <f t="shared" si="42"/>
        <v>#DIV/0!</v>
      </c>
      <c r="R203" s="55">
        <f t="shared" si="36"/>
        <v>0</v>
      </c>
      <c r="S203"/>
      <c r="T203" s="94"/>
    </row>
    <row r="204" spans="1:20" ht="20.25" customHeight="1" x14ac:dyDescent="0.2">
      <c r="A204"/>
      <c r="B204" s="119">
        <v>6</v>
      </c>
      <c r="C204" s="210"/>
      <c r="D204" s="148">
        <f t="shared" si="43"/>
        <v>191</v>
      </c>
      <c r="E204" s="29" t="str">
        <f t="shared" si="50"/>
        <v>Transition from state 8 to state 6 (CHG T4)</v>
      </c>
      <c r="F204" s="44">
        <f t="shared" si="35"/>
        <v>0</v>
      </c>
      <c r="G204" s="44">
        <v>1</v>
      </c>
      <c r="H204" s="149">
        <f>'Transition Probabilites'!N72</f>
        <v>0</v>
      </c>
      <c r="I204" s="44" t="s">
        <v>80</v>
      </c>
      <c r="J204" s="44">
        <f t="shared" si="38"/>
        <v>0</v>
      </c>
      <c r="K204" s="44">
        <f t="shared" si="39"/>
        <v>0</v>
      </c>
      <c r="L204" s="44" t="s">
        <v>80</v>
      </c>
      <c r="M204" s="54" t="s">
        <v>242</v>
      </c>
      <c r="N204" s="44" t="e">
        <f t="shared" ca="1" si="40"/>
        <v>#DIV/0!</v>
      </c>
      <c r="O204" s="44">
        <f t="shared" ca="1" si="51"/>
        <v>0.65203640660489293</v>
      </c>
      <c r="P204" s="55" t="e">
        <f t="shared" si="41"/>
        <v>#DIV/0!</v>
      </c>
      <c r="Q204" s="55" t="e">
        <f t="shared" si="42"/>
        <v>#DIV/0!</v>
      </c>
      <c r="R204" s="55">
        <f t="shared" si="36"/>
        <v>0</v>
      </c>
      <c r="S204"/>
      <c r="T204" s="94"/>
    </row>
    <row r="205" spans="1:20" ht="20.25" customHeight="1" x14ac:dyDescent="0.2">
      <c r="A205"/>
      <c r="B205" s="119">
        <v>7</v>
      </c>
      <c r="C205" s="210"/>
      <c r="D205" s="148">
        <f t="shared" si="43"/>
        <v>192</v>
      </c>
      <c r="E205" s="29" t="str">
        <f t="shared" si="50"/>
        <v>Transition from state 8 to state 7 (CHG T4)</v>
      </c>
      <c r="F205" s="44">
        <f t="shared" si="35"/>
        <v>0</v>
      </c>
      <c r="G205" s="44">
        <v>1</v>
      </c>
      <c r="H205" s="149">
        <f>'Transition Probabilites'!N73</f>
        <v>0</v>
      </c>
      <c r="I205" s="44" t="s">
        <v>80</v>
      </c>
      <c r="J205" s="44">
        <f t="shared" si="38"/>
        <v>0</v>
      </c>
      <c r="K205" s="44">
        <f t="shared" si="39"/>
        <v>0</v>
      </c>
      <c r="L205" s="44" t="s">
        <v>80</v>
      </c>
      <c r="M205" s="54" t="s">
        <v>242</v>
      </c>
      <c r="N205" s="44" t="e">
        <f t="shared" ca="1" si="40"/>
        <v>#DIV/0!</v>
      </c>
      <c r="O205" s="44">
        <f t="shared" ca="1" si="51"/>
        <v>0.63591281584494552</v>
      </c>
      <c r="P205" s="55" t="e">
        <f t="shared" si="41"/>
        <v>#DIV/0!</v>
      </c>
      <c r="Q205" s="55" t="e">
        <f t="shared" si="42"/>
        <v>#DIV/0!</v>
      </c>
      <c r="R205" s="55">
        <f t="shared" si="36"/>
        <v>0</v>
      </c>
      <c r="S205"/>
      <c r="T205" s="94"/>
    </row>
    <row r="206" spans="1:20" ht="20.25" customHeight="1" x14ac:dyDescent="0.2">
      <c r="A206"/>
      <c r="B206" s="119">
        <v>8</v>
      </c>
      <c r="C206" s="210"/>
      <c r="D206" s="148">
        <f t="shared" si="43"/>
        <v>193</v>
      </c>
      <c r="E206" s="29" t="str">
        <f t="shared" si="50"/>
        <v>Transition from state 8 to state 8 (CHG T4)</v>
      </c>
      <c r="F206" s="44">
        <f t="shared" ref="F206:F269" si="52">CHOOSE(G206,H206,J206,K206,N206)</f>
        <v>1</v>
      </c>
      <c r="G206" s="44">
        <v>1</v>
      </c>
      <c r="H206" s="149">
        <f>'Transition Probabilites'!N74</f>
        <v>1</v>
      </c>
      <c r="I206" s="44" t="s">
        <v>80</v>
      </c>
      <c r="J206" s="44">
        <f t="shared" si="38"/>
        <v>0.8040036015459946</v>
      </c>
      <c r="K206" s="44">
        <f t="shared" si="39"/>
        <v>1.1959963984540054</v>
      </c>
      <c r="L206" s="44" t="s">
        <v>80</v>
      </c>
      <c r="M206" s="54" t="s">
        <v>242</v>
      </c>
      <c r="N206" s="44" t="e">
        <f t="shared" ca="1" si="40"/>
        <v>#NUM!</v>
      </c>
      <c r="O206" s="44">
        <f t="shared" ca="1" si="51"/>
        <v>0.54149697583276168</v>
      </c>
      <c r="P206" s="55">
        <f t="shared" si="41"/>
        <v>0</v>
      </c>
      <c r="Q206" s="55">
        <f t="shared" si="42"/>
        <v>-89.999999999999986</v>
      </c>
      <c r="R206" s="55">
        <f t="shared" ref="R206:R269" si="53">assumedSE*H206</f>
        <v>0.1</v>
      </c>
      <c r="S206"/>
      <c r="T206" s="94"/>
    </row>
    <row r="207" spans="1:20" ht="20.25" customHeight="1" x14ac:dyDescent="0.2">
      <c r="A207"/>
      <c r="B207" s="119">
        <v>1</v>
      </c>
      <c r="C207" s="209" t="s">
        <v>127</v>
      </c>
      <c r="D207" s="148">
        <f t="shared" si="43"/>
        <v>194</v>
      </c>
      <c r="E207" s="29" t="str">
        <f t="shared" ref="E207:E214" si="54">"Transition from state"&amp; " "&amp;$B$15&amp;" "&amp;"to state"&amp;" "&amp;B207&amp;" "&amp;"(PVI T4)"</f>
        <v>Transition from state 1 to state 1 (PVI T4)</v>
      </c>
      <c r="F207" s="44">
        <f t="shared" si="52"/>
        <v>3.3611188301699806E-4</v>
      </c>
      <c r="G207" s="44">
        <v>1</v>
      </c>
      <c r="H207" s="149">
        <f>'Transition Probabilites'!Z11</f>
        <v>3.3611188301699806E-4</v>
      </c>
      <c r="I207" s="44" t="s">
        <v>37</v>
      </c>
      <c r="J207" s="44">
        <f t="shared" ref="J207:J270" si="55">IF(H207=0,0,_xlfn.NORM.INV(0.025,H207,R207))</f>
        <v>2.7023516446807248E-4</v>
      </c>
      <c r="K207" s="44">
        <f t="shared" ref="K207:K270" si="56">IF(H207=0,0,_xlfn.NORM.INV(0.975,H207,R207))</f>
        <v>4.0198860156592364E-4</v>
      </c>
      <c r="L207" s="44" t="s">
        <v>37</v>
      </c>
      <c r="M207" s="54" t="s">
        <v>242</v>
      </c>
      <c r="N207" s="44">
        <f t="shared" ref="N207:N270" ca="1" si="57">IF(H207=1,_xlfn.GAMMA.INV(O207,P207+1,1)/(_xlfn.GAMMA.INV(O207,P207+1,1)+_xlfn.GAMMA.INV(O207,Q207+1,1)),_xlfn.BETA.INV(O207,P207,Q207))</f>
        <v>2.9681555869519695E-4</v>
      </c>
      <c r="O207" s="44">
        <f t="shared" ca="1" si="51"/>
        <v>0.11812554295225208</v>
      </c>
      <c r="P207" s="55">
        <f t="shared" ref="P207:P270" si="58">((H207^2)*(1-H207))/(R207^2)</f>
        <v>99.96638881169828</v>
      </c>
      <c r="Q207" s="55">
        <f t="shared" ref="Q207:Q270" si="59">(H207*(1-H207)/(R207^2))-((H207^2)*(1-R207)/(R207^2))</f>
        <v>297319.98123986204</v>
      </c>
      <c r="R207" s="55">
        <f t="shared" si="53"/>
        <v>3.3611188301699808E-5</v>
      </c>
      <c r="S207"/>
      <c r="T207" s="94"/>
    </row>
    <row r="208" spans="1:20" ht="20.25" customHeight="1" x14ac:dyDescent="0.2">
      <c r="A208"/>
      <c r="B208" s="119">
        <v>2</v>
      </c>
      <c r="C208" s="210"/>
      <c r="D208" s="148">
        <f t="shared" ref="D208:D271" si="60">D207+1</f>
        <v>195</v>
      </c>
      <c r="E208" s="29" t="str">
        <f t="shared" si="54"/>
        <v>Transition from state 1 to state 2 (PVI T4)</v>
      </c>
      <c r="F208" s="44">
        <f t="shared" si="52"/>
        <v>5.4119268125983394E-4</v>
      </c>
      <c r="G208" s="44">
        <v>1</v>
      </c>
      <c r="H208" s="149">
        <f>'Transition Probabilites'!Z12</f>
        <v>5.4119268125983394E-4</v>
      </c>
      <c r="I208" s="44" t="s">
        <v>37</v>
      </c>
      <c r="J208" s="44">
        <f t="shared" si="55"/>
        <v>4.3512086486323999E-4</v>
      </c>
      <c r="K208" s="44">
        <f t="shared" si="56"/>
        <v>6.4726449765642783E-4</v>
      </c>
      <c r="L208" s="44" t="s">
        <v>37</v>
      </c>
      <c r="M208" s="54" t="s">
        <v>242</v>
      </c>
      <c r="N208" s="44">
        <f t="shared" ca="1" si="57"/>
        <v>4.7547403567136249E-4</v>
      </c>
      <c r="O208" s="44">
        <f t="shared" ca="1" si="51"/>
        <v>0.10867815476094533</v>
      </c>
      <c r="P208" s="55">
        <f t="shared" si="58"/>
        <v>99.945880731873999</v>
      </c>
      <c r="Q208" s="55">
        <f t="shared" si="59"/>
        <v>184577.07920237709</v>
      </c>
      <c r="R208" s="55">
        <f t="shared" si="53"/>
        <v>5.4119268125983399E-5</v>
      </c>
      <c r="S208"/>
      <c r="T208" s="94"/>
    </row>
    <row r="209" spans="1:20" ht="20.25" customHeight="1" x14ac:dyDescent="0.2">
      <c r="A209"/>
      <c r="B209" s="119">
        <v>3</v>
      </c>
      <c r="C209" s="210"/>
      <c r="D209" s="148">
        <f t="shared" si="60"/>
        <v>196</v>
      </c>
      <c r="E209" s="29" t="str">
        <f t="shared" si="54"/>
        <v>Transition from state 1 to state 3 (PVI T4)</v>
      </c>
      <c r="F209" s="44">
        <f t="shared" si="52"/>
        <v>1.2652639012015653E-6</v>
      </c>
      <c r="G209" s="44">
        <v>1</v>
      </c>
      <c r="H209" s="149">
        <f>'Transition Probabilites'!Z13</f>
        <v>1.2652639012015653E-6</v>
      </c>
      <c r="I209" s="44" t="s">
        <v>37</v>
      </c>
      <c r="J209" s="44">
        <f t="shared" si="55"/>
        <v>1.0172767334721939E-6</v>
      </c>
      <c r="K209" s="44">
        <f t="shared" si="56"/>
        <v>1.5132510689309366E-6</v>
      </c>
      <c r="L209" s="44" t="s">
        <v>37</v>
      </c>
      <c r="M209" s="54" t="s">
        <v>242</v>
      </c>
      <c r="N209" s="44">
        <f t="shared" ca="1" si="57"/>
        <v>1.3229150789273447E-6</v>
      </c>
      <c r="O209" s="44">
        <f t="shared" ca="1" si="51"/>
        <v>0.68513963817781809</v>
      </c>
      <c r="P209" s="55">
        <f t="shared" si="58"/>
        <v>99.999873473609853</v>
      </c>
      <c r="Q209" s="55">
        <f t="shared" si="59"/>
        <v>79034695.332942307</v>
      </c>
      <c r="R209" s="55">
        <f t="shared" si="53"/>
        <v>1.2652639012015654E-7</v>
      </c>
      <c r="S209"/>
      <c r="T209" s="94"/>
    </row>
    <row r="210" spans="1:20" ht="20.25" customHeight="1" x14ac:dyDescent="0.2">
      <c r="A210"/>
      <c r="B210" s="119">
        <v>4</v>
      </c>
      <c r="C210" s="210"/>
      <c r="D210" s="148">
        <f t="shared" si="60"/>
        <v>197</v>
      </c>
      <c r="E210" s="29" t="str">
        <f t="shared" si="54"/>
        <v>Transition from state 1 to state 4 (PVI T4)</v>
      </c>
      <c r="F210" s="44">
        <f t="shared" si="52"/>
        <v>9.2459520508072177E-6</v>
      </c>
      <c r="G210" s="44">
        <v>1</v>
      </c>
      <c r="H210" s="149">
        <f>'Transition Probabilites'!Z14</f>
        <v>9.2459520508072177E-6</v>
      </c>
      <c r="I210" s="44" t="s">
        <v>37</v>
      </c>
      <c r="J210" s="44">
        <f t="shared" si="55"/>
        <v>7.4337787485705778E-6</v>
      </c>
      <c r="K210" s="44">
        <f t="shared" si="56"/>
        <v>1.1058125353043858E-5</v>
      </c>
      <c r="L210" s="44" t="s">
        <v>37</v>
      </c>
      <c r="M210" s="54" t="s">
        <v>242</v>
      </c>
      <c r="N210" s="44">
        <f t="shared" ca="1" si="57"/>
        <v>9.5867495334411856E-6</v>
      </c>
      <c r="O210" s="44">
        <f t="shared" ca="1" si="51"/>
        <v>0.65446272331626842</v>
      </c>
      <c r="P210" s="55">
        <f t="shared" si="58"/>
        <v>99.999075404794922</v>
      </c>
      <c r="Q210" s="55">
        <f t="shared" si="59"/>
        <v>10815343.86734294</v>
      </c>
      <c r="R210" s="55">
        <f t="shared" si="53"/>
        <v>9.2459520508072179E-7</v>
      </c>
      <c r="S210"/>
      <c r="T210" s="94"/>
    </row>
    <row r="211" spans="1:20" ht="20.25" customHeight="1" x14ac:dyDescent="0.2">
      <c r="A211"/>
      <c r="B211" s="119">
        <v>5</v>
      </c>
      <c r="C211" s="210"/>
      <c r="D211" s="148">
        <f t="shared" si="60"/>
        <v>198</v>
      </c>
      <c r="E211" s="29" t="str">
        <f t="shared" si="54"/>
        <v>Transition from state 1 to state 5 (PVI T4)</v>
      </c>
      <c r="F211" s="44">
        <f t="shared" si="52"/>
        <v>2.5923977042398521E-10</v>
      </c>
      <c r="G211" s="44">
        <v>1</v>
      </c>
      <c r="H211" s="149">
        <f>'Transition Probabilites'!Z15</f>
        <v>2.5923977042398521E-10</v>
      </c>
      <c r="I211" s="44" t="s">
        <v>37</v>
      </c>
      <c r="J211" s="44">
        <f t="shared" si="55"/>
        <v>2.0842970908484092E-10</v>
      </c>
      <c r="K211" s="44">
        <f t="shared" si="56"/>
        <v>3.1004983176312948E-10</v>
      </c>
      <c r="L211" s="44" t="s">
        <v>37</v>
      </c>
      <c r="M211" s="54" t="s">
        <v>242</v>
      </c>
      <c r="N211" s="44">
        <f t="shared" ca="1" si="57"/>
        <v>2.4661848942533293E-10</v>
      </c>
      <c r="O211" s="44">
        <f t="shared" ca="1" si="51"/>
        <v>0.32221557530522849</v>
      </c>
      <c r="P211" s="55">
        <f t="shared" si="58"/>
        <v>99.999999974076005</v>
      </c>
      <c r="Q211" s="55">
        <f t="shared" si="59"/>
        <v>385743282308.12183</v>
      </c>
      <c r="R211" s="55">
        <f t="shared" si="53"/>
        <v>2.5923977042398523E-11</v>
      </c>
      <c r="S211"/>
      <c r="T211" s="94"/>
    </row>
    <row r="212" spans="1:20" ht="20.25" customHeight="1" x14ac:dyDescent="0.2">
      <c r="A212"/>
      <c r="B212" s="119">
        <v>6</v>
      </c>
      <c r="C212" s="210"/>
      <c r="D212" s="148">
        <f t="shared" si="60"/>
        <v>199</v>
      </c>
      <c r="E212" s="29" t="str">
        <f t="shared" si="54"/>
        <v>Transition from state 1 to state 6 (PVI T4)</v>
      </c>
      <c r="F212" s="44">
        <f t="shared" si="52"/>
        <v>0</v>
      </c>
      <c r="G212" s="44">
        <v>1</v>
      </c>
      <c r="H212" s="149">
        <f>'Transition Probabilites'!Z16</f>
        <v>0</v>
      </c>
      <c r="I212" s="44" t="s">
        <v>80</v>
      </c>
      <c r="J212" s="44">
        <f t="shared" si="55"/>
        <v>0</v>
      </c>
      <c r="K212" s="44">
        <f t="shared" si="56"/>
        <v>0</v>
      </c>
      <c r="L212" s="44" t="s">
        <v>80</v>
      </c>
      <c r="M212" s="54" t="s">
        <v>242</v>
      </c>
      <c r="N212" s="44" t="e">
        <f t="shared" ca="1" si="57"/>
        <v>#DIV/0!</v>
      </c>
      <c r="O212" s="44">
        <f t="shared" ca="1" si="51"/>
        <v>0.68181681339474476</v>
      </c>
      <c r="P212" s="55" t="e">
        <f t="shared" si="58"/>
        <v>#DIV/0!</v>
      </c>
      <c r="Q212" s="55" t="e">
        <f t="shared" si="59"/>
        <v>#DIV/0!</v>
      </c>
      <c r="R212" s="55">
        <f t="shared" si="53"/>
        <v>0</v>
      </c>
      <c r="S212"/>
      <c r="T212" s="94"/>
    </row>
    <row r="213" spans="1:20" ht="20.25" customHeight="1" x14ac:dyDescent="0.2">
      <c r="A213"/>
      <c r="B213" s="119">
        <v>7</v>
      </c>
      <c r="C213" s="210"/>
      <c r="D213" s="148">
        <f t="shared" si="60"/>
        <v>200</v>
      </c>
      <c r="E213" s="29" t="str">
        <f t="shared" si="54"/>
        <v>Transition from state 1 to state 7 (PVI T4)</v>
      </c>
      <c r="F213" s="44">
        <f t="shared" si="52"/>
        <v>0.76985312665640004</v>
      </c>
      <c r="G213" s="44">
        <v>1</v>
      </c>
      <c r="H213" s="149">
        <f>'Transition Probabilites'!Z17</f>
        <v>0.76985312665640004</v>
      </c>
      <c r="I213" s="44" t="s">
        <v>80</v>
      </c>
      <c r="J213" s="44">
        <f t="shared" si="55"/>
        <v>0.61896468649319036</v>
      </c>
      <c r="K213" s="44">
        <f t="shared" si="56"/>
        <v>0.92074156681960972</v>
      </c>
      <c r="L213" s="44" t="s">
        <v>80</v>
      </c>
      <c r="M213" s="54" t="s">
        <v>242</v>
      </c>
      <c r="N213" s="44" t="e">
        <f t="shared" ca="1" si="57"/>
        <v>#NUM!</v>
      </c>
      <c r="O213" s="44">
        <f t="shared" ca="1" si="51"/>
        <v>0.20165242037757691</v>
      </c>
      <c r="P213" s="55">
        <f t="shared" si="58"/>
        <v>23.014687334359991</v>
      </c>
      <c r="Q213" s="55">
        <f t="shared" si="59"/>
        <v>-62.406562111030489</v>
      </c>
      <c r="R213" s="55">
        <f t="shared" si="53"/>
        <v>7.6985312665640016E-2</v>
      </c>
      <c r="S213"/>
      <c r="T213" s="94"/>
    </row>
    <row r="214" spans="1:20" ht="20.25" customHeight="1" x14ac:dyDescent="0.2">
      <c r="A214"/>
      <c r="B214" s="119">
        <v>8</v>
      </c>
      <c r="C214" s="210"/>
      <c r="D214" s="148">
        <f t="shared" si="60"/>
        <v>201</v>
      </c>
      <c r="E214" s="29" t="str">
        <f t="shared" si="54"/>
        <v>Transition from state 1 to state 8 (PVI T4)</v>
      </c>
      <c r="F214" s="44">
        <f t="shared" si="52"/>
        <v>0.22925905730413135</v>
      </c>
      <c r="G214" s="44">
        <v>1</v>
      </c>
      <c r="H214" s="149">
        <f>'Transition Probabilites'!Z18</f>
        <v>0.22925905730413135</v>
      </c>
      <c r="I214" s="44" t="s">
        <v>37</v>
      </c>
      <c r="J214" s="44">
        <f t="shared" si="55"/>
        <v>0.18432510775956118</v>
      </c>
      <c r="K214" s="44">
        <f t="shared" si="56"/>
        <v>0.27419300684870151</v>
      </c>
      <c r="L214" s="44" t="s">
        <v>37</v>
      </c>
      <c r="M214" s="54" t="s">
        <v>242</v>
      </c>
      <c r="N214" s="44">
        <f t="shared" ca="1" si="57"/>
        <v>0.23538439013678297</v>
      </c>
      <c r="O214" s="44">
        <f t="shared" ca="1" si="51"/>
        <v>0.36431866581596684</v>
      </c>
      <c r="P214" s="55">
        <f t="shared" si="58"/>
        <v>77.074094269586865</v>
      </c>
      <c r="Q214" s="55">
        <f t="shared" si="59"/>
        <v>238.48037384278416</v>
      </c>
      <c r="R214" s="55">
        <f t="shared" si="53"/>
        <v>2.2925905730413136E-2</v>
      </c>
      <c r="S214"/>
      <c r="T214" s="94"/>
    </row>
    <row r="215" spans="1:20" ht="20.25" customHeight="1" x14ac:dyDescent="0.2">
      <c r="A215"/>
      <c r="B215" s="119">
        <v>1</v>
      </c>
      <c r="C215" s="210"/>
      <c r="D215" s="148">
        <f t="shared" si="60"/>
        <v>202</v>
      </c>
      <c r="E215" s="29" t="str">
        <f t="shared" ref="E215:E222" si="61">"Transition from state"&amp; " "&amp;$B$16&amp;" "&amp;"to state"&amp;" "&amp;B215&amp;" "&amp;"(PVI T4)"</f>
        <v>Transition from state 2 to state 1 (PVI T4)</v>
      </c>
      <c r="F215" s="44">
        <f t="shared" si="52"/>
        <v>3.5770871534286663E-4</v>
      </c>
      <c r="G215" s="44">
        <v>1</v>
      </c>
      <c r="H215" s="149">
        <f>'Transition Probabilites'!Z19</f>
        <v>3.5770871534286663E-4</v>
      </c>
      <c r="I215" s="44" t="s">
        <v>37</v>
      </c>
      <c r="J215" s="44">
        <f t="shared" si="55"/>
        <v>2.8759909544005574E-4</v>
      </c>
      <c r="K215" s="44">
        <f t="shared" si="56"/>
        <v>4.2781833524567752E-4</v>
      </c>
      <c r="L215" s="44" t="s">
        <v>37</v>
      </c>
      <c r="M215" s="54" t="s">
        <v>242</v>
      </c>
      <c r="N215" s="44">
        <f t="shared" ca="1" si="57"/>
        <v>2.8150642767401708E-4</v>
      </c>
      <c r="O215" s="44">
        <f t="shared" ca="1" si="51"/>
        <v>1.1614048023432244E-2</v>
      </c>
      <c r="P215" s="55">
        <f t="shared" si="58"/>
        <v>99.964229128465689</v>
      </c>
      <c r="Q215" s="55">
        <f t="shared" si="59"/>
        <v>279357.07252954243</v>
      </c>
      <c r="R215" s="55">
        <f t="shared" si="53"/>
        <v>3.5770871534286666E-5</v>
      </c>
      <c r="S215"/>
      <c r="T215" s="94"/>
    </row>
    <row r="216" spans="1:20" ht="20.25" customHeight="1" x14ac:dyDescent="0.2">
      <c r="A216"/>
      <c r="B216" s="119">
        <v>2</v>
      </c>
      <c r="C216" s="210"/>
      <c r="D216" s="148">
        <f t="shared" si="60"/>
        <v>203</v>
      </c>
      <c r="E216" s="29" t="str">
        <f t="shared" si="61"/>
        <v>Transition from state 2 to state 2 (PVI T4)</v>
      </c>
      <c r="F216" s="44">
        <f t="shared" si="52"/>
        <v>5.7599194421941542E-4</v>
      </c>
      <c r="G216" s="44">
        <v>1</v>
      </c>
      <c r="H216" s="149">
        <f>'Transition Probabilites'!Z20</f>
        <v>5.7599194421941542E-4</v>
      </c>
      <c r="I216" s="44" t="s">
        <v>37</v>
      </c>
      <c r="J216" s="44">
        <f t="shared" si="55"/>
        <v>4.630995976138896E-4</v>
      </c>
      <c r="K216" s="44">
        <f t="shared" si="56"/>
        <v>6.8888429082494124E-4</v>
      </c>
      <c r="L216" s="44" t="s">
        <v>37</v>
      </c>
      <c r="M216" s="54" t="s">
        <v>242</v>
      </c>
      <c r="N216" s="44">
        <f t="shared" ca="1" si="57"/>
        <v>5.9312356468588234E-4</v>
      </c>
      <c r="O216" s="44">
        <f t="shared" ca="1" si="51"/>
        <v>0.6284565147122585</v>
      </c>
      <c r="P216" s="55">
        <f t="shared" si="58"/>
        <v>99.942400805578046</v>
      </c>
      <c r="Q216" s="55">
        <f t="shared" si="59"/>
        <v>173413.54498314593</v>
      </c>
      <c r="R216" s="55">
        <f t="shared" si="53"/>
        <v>5.7599194421941547E-5</v>
      </c>
      <c r="S216"/>
      <c r="T216" s="94"/>
    </row>
    <row r="217" spans="1:20" ht="20.25" customHeight="1" x14ac:dyDescent="0.2">
      <c r="A217"/>
      <c r="B217" s="119">
        <v>3</v>
      </c>
      <c r="C217" s="210"/>
      <c r="D217" s="148">
        <f t="shared" si="60"/>
        <v>204</v>
      </c>
      <c r="E217" s="29" t="str">
        <f t="shared" si="61"/>
        <v>Transition from state 2 to state 3 (PVI T4)</v>
      </c>
      <c r="F217" s="44">
        <f t="shared" si="52"/>
        <v>1.3474262025131128E-6</v>
      </c>
      <c r="G217" s="44">
        <v>1</v>
      </c>
      <c r="H217" s="149">
        <f>'Transition Probabilites'!Z21</f>
        <v>1.3474262025131128E-6</v>
      </c>
      <c r="I217" s="44" t="s">
        <v>37</v>
      </c>
      <c r="J217" s="44">
        <f t="shared" si="55"/>
        <v>1.0833355196379855E-6</v>
      </c>
      <c r="K217" s="44">
        <f t="shared" si="56"/>
        <v>1.6115168853882402E-6</v>
      </c>
      <c r="L217" s="44" t="s">
        <v>37</v>
      </c>
      <c r="M217" s="54" t="s">
        <v>242</v>
      </c>
      <c r="N217" s="44">
        <f t="shared" ca="1" si="57"/>
        <v>1.3314066635416941E-6</v>
      </c>
      <c r="O217" s="44">
        <f t="shared" ca="1" si="51"/>
        <v>0.46573718904703809</v>
      </c>
      <c r="P217" s="55">
        <f t="shared" si="58"/>
        <v>99.999865257379739</v>
      </c>
      <c r="Q217" s="55">
        <f t="shared" si="59"/>
        <v>74215367.289329857</v>
      </c>
      <c r="R217" s="55">
        <f t="shared" si="53"/>
        <v>1.3474262025131129E-7</v>
      </c>
      <c r="S217"/>
      <c r="T217" s="94"/>
    </row>
    <row r="218" spans="1:20" ht="20.25" customHeight="1" x14ac:dyDescent="0.2">
      <c r="A218"/>
      <c r="B218" s="119">
        <v>4</v>
      </c>
      <c r="C218" s="210"/>
      <c r="D218" s="148">
        <f t="shared" si="60"/>
        <v>205</v>
      </c>
      <c r="E218" s="29" t="str">
        <f t="shared" si="61"/>
        <v>Transition from state 2 to state 4 (PVI T4)</v>
      </c>
      <c r="F218" s="44">
        <f t="shared" si="52"/>
        <v>9.8426403031512951E-6</v>
      </c>
      <c r="G218" s="44">
        <v>1</v>
      </c>
      <c r="H218" s="149">
        <f>'Transition Probabilites'!Z22</f>
        <v>9.8426403031512951E-6</v>
      </c>
      <c r="I218" s="44" t="s">
        <v>37</v>
      </c>
      <c r="J218" s="44">
        <f t="shared" si="55"/>
        <v>7.9135182524554024E-6</v>
      </c>
      <c r="K218" s="44">
        <f t="shared" si="56"/>
        <v>1.1771762353847188E-5</v>
      </c>
      <c r="L218" s="44" t="s">
        <v>37</v>
      </c>
      <c r="M218" s="54" t="s">
        <v>242</v>
      </c>
      <c r="N218" s="44">
        <f t="shared" ca="1" si="57"/>
        <v>1.1144299608911723E-5</v>
      </c>
      <c r="O218" s="44">
        <f t="shared" ca="1" si="51"/>
        <v>0.90341907761149853</v>
      </c>
      <c r="P218" s="55">
        <f t="shared" si="58"/>
        <v>99.999015735969692</v>
      </c>
      <c r="Q218" s="55">
        <f t="shared" si="59"/>
        <v>10159675.492854495</v>
      </c>
      <c r="R218" s="55">
        <f t="shared" si="53"/>
        <v>9.8426403031512951E-7</v>
      </c>
      <c r="S218"/>
      <c r="T218" s="94"/>
    </row>
    <row r="219" spans="1:20" ht="20.25" customHeight="1" x14ac:dyDescent="0.2">
      <c r="A219"/>
      <c r="B219" s="119">
        <v>5</v>
      </c>
      <c r="C219" s="210"/>
      <c r="D219" s="148">
        <f t="shared" si="60"/>
        <v>206</v>
      </c>
      <c r="E219" s="29" t="str">
        <f t="shared" si="61"/>
        <v>Transition from state 2 to state 5 (PVI T4)</v>
      </c>
      <c r="F219" s="44">
        <f t="shared" si="52"/>
        <v>2.7601890477457801E-10</v>
      </c>
      <c r="G219" s="44">
        <v>1</v>
      </c>
      <c r="H219" s="149">
        <f>'Transition Probabilites'!Z23</f>
        <v>2.7601890477457801E-10</v>
      </c>
      <c r="I219" s="44" t="s">
        <v>37</v>
      </c>
      <c r="J219" s="44">
        <f t="shared" si="55"/>
        <v>2.2192019353354165E-10</v>
      </c>
      <c r="K219" s="44">
        <f t="shared" si="56"/>
        <v>3.3011761601561434E-10</v>
      </c>
      <c r="L219" s="44" t="s">
        <v>37</v>
      </c>
      <c r="M219" s="54" t="s">
        <v>242</v>
      </c>
      <c r="N219" s="44">
        <f t="shared" ca="1" si="57"/>
        <v>2.7070373211360288E-10</v>
      </c>
      <c r="O219" s="44">
        <f t="shared" ca="1" si="51"/>
        <v>0.43627488998250441</v>
      </c>
      <c r="P219" s="55">
        <f t="shared" si="58"/>
        <v>99.999999972398086</v>
      </c>
      <c r="Q219" s="55">
        <f t="shared" si="59"/>
        <v>362294024847.55615</v>
      </c>
      <c r="R219" s="55">
        <f t="shared" si="53"/>
        <v>2.7601890477457803E-11</v>
      </c>
      <c r="S219"/>
      <c r="T219" s="94"/>
    </row>
    <row r="220" spans="1:20" ht="20.25" customHeight="1" x14ac:dyDescent="0.2">
      <c r="A220"/>
      <c r="B220" s="119">
        <v>6</v>
      </c>
      <c r="C220" s="210"/>
      <c r="D220" s="148">
        <f t="shared" si="60"/>
        <v>207</v>
      </c>
      <c r="E220" s="29" t="str">
        <f t="shared" si="61"/>
        <v>Transition from state 2 to state 6 (PVI T4)</v>
      </c>
      <c r="F220" s="44">
        <f t="shared" si="52"/>
        <v>0</v>
      </c>
      <c r="G220" s="44">
        <v>1</v>
      </c>
      <c r="H220" s="149">
        <f>'Transition Probabilites'!Z24</f>
        <v>0</v>
      </c>
      <c r="I220" s="44" t="s">
        <v>80</v>
      </c>
      <c r="J220" s="44">
        <f t="shared" si="55"/>
        <v>0</v>
      </c>
      <c r="K220" s="44">
        <f t="shared" si="56"/>
        <v>0</v>
      </c>
      <c r="L220" s="44" t="s">
        <v>80</v>
      </c>
      <c r="M220" s="54" t="s">
        <v>242</v>
      </c>
      <c r="N220" s="44" t="e">
        <f t="shared" ca="1" si="57"/>
        <v>#DIV/0!</v>
      </c>
      <c r="O220" s="44">
        <f t="shared" ca="1" si="51"/>
        <v>0.12457619630774242</v>
      </c>
      <c r="P220" s="55" t="e">
        <f t="shared" si="58"/>
        <v>#DIV/0!</v>
      </c>
      <c r="Q220" s="55" t="e">
        <f t="shared" si="59"/>
        <v>#DIV/0!</v>
      </c>
      <c r="R220" s="55">
        <f t="shared" si="53"/>
        <v>0</v>
      </c>
      <c r="S220"/>
      <c r="T220" s="94"/>
    </row>
    <row r="221" spans="1:20" ht="20.25" customHeight="1" x14ac:dyDescent="0.2">
      <c r="A221"/>
      <c r="B221" s="119">
        <v>7</v>
      </c>
      <c r="C221" s="210"/>
      <c r="D221" s="148">
        <f t="shared" si="60"/>
        <v>208</v>
      </c>
      <c r="E221" s="29" t="str">
        <f t="shared" si="61"/>
        <v>Transition from state 2 to state 7 (PVI T4)</v>
      </c>
      <c r="F221" s="44">
        <f t="shared" si="52"/>
        <v>0.68550935039332217</v>
      </c>
      <c r="G221" s="44">
        <v>1</v>
      </c>
      <c r="H221" s="149">
        <f>'Transition Probabilites'!Z25</f>
        <v>0.68550935039332217</v>
      </c>
      <c r="I221" s="44" t="s">
        <v>80</v>
      </c>
      <c r="J221" s="44">
        <f t="shared" si="55"/>
        <v>0.55115198660968623</v>
      </c>
      <c r="K221" s="44">
        <f t="shared" si="56"/>
        <v>0.81986671417695811</v>
      </c>
      <c r="L221" s="44" t="s">
        <v>80</v>
      </c>
      <c r="M221" s="54" t="s">
        <v>242</v>
      </c>
      <c r="N221" s="44" t="e">
        <f t="shared" ca="1" si="57"/>
        <v>#NUM!</v>
      </c>
      <c r="O221" s="44">
        <f t="shared" ca="1" si="51"/>
        <v>0.37468649175548518</v>
      </c>
      <c r="P221" s="55">
        <f t="shared" si="58"/>
        <v>31.44906496066778</v>
      </c>
      <c r="Q221" s="55">
        <f t="shared" si="59"/>
        <v>-47.26797579829676</v>
      </c>
      <c r="R221" s="55">
        <f t="shared" si="53"/>
        <v>6.8550935039332225E-2</v>
      </c>
      <c r="S221"/>
      <c r="T221" s="94"/>
    </row>
    <row r="222" spans="1:20" ht="20.25" customHeight="1" x14ac:dyDescent="0.2">
      <c r="A222"/>
      <c r="B222" s="119">
        <v>8</v>
      </c>
      <c r="C222" s="210"/>
      <c r="D222" s="148">
        <f t="shared" si="60"/>
        <v>209</v>
      </c>
      <c r="E222" s="29" t="str">
        <f t="shared" si="61"/>
        <v>Transition from state 2 to state 8 (PVI T4)</v>
      </c>
      <c r="F222" s="44">
        <f t="shared" si="52"/>
        <v>0.31354575860459116</v>
      </c>
      <c r="G222" s="44">
        <v>1</v>
      </c>
      <c r="H222" s="149">
        <f>'Transition Probabilites'!Z26</f>
        <v>0.31354575860459116</v>
      </c>
      <c r="I222" s="44" t="s">
        <v>37</v>
      </c>
      <c r="J222" s="44">
        <f t="shared" si="55"/>
        <v>0.25209191916756235</v>
      </c>
      <c r="K222" s="44">
        <f t="shared" si="56"/>
        <v>0.37499959804161997</v>
      </c>
      <c r="L222" s="44" t="s">
        <v>37</v>
      </c>
      <c r="M222" s="54" t="s">
        <v>242</v>
      </c>
      <c r="N222" s="44">
        <f t="shared" ca="1" si="57"/>
        <v>0.40394460736083981</v>
      </c>
      <c r="O222" s="44">
        <f t="shared" ca="1" si="51"/>
        <v>0.89600110729607174</v>
      </c>
      <c r="P222" s="55">
        <f t="shared" si="58"/>
        <v>68.645424139540893</v>
      </c>
      <c r="Q222" s="55">
        <f t="shared" si="59"/>
        <v>122.06817236758701</v>
      </c>
      <c r="R222" s="55">
        <f t="shared" si="53"/>
        <v>3.1354575860459116E-2</v>
      </c>
      <c r="S222"/>
      <c r="T222" s="94"/>
    </row>
    <row r="223" spans="1:20" ht="20.25" customHeight="1" x14ac:dyDescent="0.2">
      <c r="A223"/>
      <c r="B223" s="119">
        <v>1</v>
      </c>
      <c r="C223" s="210"/>
      <c r="D223" s="148">
        <f t="shared" si="60"/>
        <v>210</v>
      </c>
      <c r="E223" s="29" t="str">
        <f t="shared" ref="E223:E230" si="62">"Transition from state"&amp; " "&amp;$B$17&amp;" "&amp;"to state"&amp;" "&amp;B223&amp;" "&amp;"(PVI T4)"</f>
        <v>Transition from state 3 to state 1 (PVI T4)</v>
      </c>
      <c r="F223" s="44">
        <f t="shared" si="52"/>
        <v>3.1514739823364056E-4</v>
      </c>
      <c r="G223" s="44">
        <v>1</v>
      </c>
      <c r="H223" s="149">
        <f>'Transition Probabilites'!Z27</f>
        <v>3.1514739823364056E-4</v>
      </c>
      <c r="I223" s="44" t="s">
        <v>37</v>
      </c>
      <c r="J223" s="44">
        <f t="shared" si="55"/>
        <v>2.5337964319769679E-4</v>
      </c>
      <c r="K223" s="44">
        <f t="shared" si="56"/>
        <v>3.7691515326958427E-4</v>
      </c>
      <c r="L223" s="44" t="s">
        <v>37</v>
      </c>
      <c r="M223" s="54" t="s">
        <v>242</v>
      </c>
      <c r="N223" s="44">
        <f t="shared" ca="1" si="57"/>
        <v>3.1737537654241699E-4</v>
      </c>
      <c r="O223" s="44">
        <f t="shared" ca="1" si="51"/>
        <v>0.541352169347183</v>
      </c>
      <c r="P223" s="55">
        <f t="shared" si="58"/>
        <v>99.968485260176607</v>
      </c>
      <c r="Q223" s="55">
        <f t="shared" si="59"/>
        <v>317111.84059797274</v>
      </c>
      <c r="R223" s="55">
        <f t="shared" si="53"/>
        <v>3.151473982336406E-5</v>
      </c>
      <c r="S223"/>
      <c r="T223" s="94"/>
    </row>
    <row r="224" spans="1:20" ht="20.25" customHeight="1" x14ac:dyDescent="0.2">
      <c r="A224"/>
      <c r="B224" s="119">
        <v>2</v>
      </c>
      <c r="C224" s="210"/>
      <c r="D224" s="148">
        <f t="shared" si="60"/>
        <v>211</v>
      </c>
      <c r="E224" s="29" t="str">
        <f t="shared" si="62"/>
        <v>Transition from state 3 to state 2 (PVI T4)</v>
      </c>
      <c r="F224" s="44">
        <f t="shared" si="52"/>
        <v>5.0745138544291382E-4</v>
      </c>
      <c r="G224" s="44">
        <v>1</v>
      </c>
      <c r="H224" s="149">
        <f>'Transition Probabilites'!Z28</f>
        <v>5.0745138544291382E-4</v>
      </c>
      <c r="I224" s="44" t="s">
        <v>37</v>
      </c>
      <c r="J224" s="44">
        <f t="shared" si="55"/>
        <v>4.0799274150560738E-4</v>
      </c>
      <c r="K224" s="44">
        <f t="shared" si="56"/>
        <v>6.0691002938022026E-4</v>
      </c>
      <c r="L224" s="44" t="s">
        <v>37</v>
      </c>
      <c r="M224" s="54" t="s">
        <v>242</v>
      </c>
      <c r="N224" s="44">
        <f t="shared" ca="1" si="57"/>
        <v>5.5101816644753665E-4</v>
      </c>
      <c r="O224" s="44">
        <f t="shared" ca="1" si="51"/>
        <v>0.8073668490702397</v>
      </c>
      <c r="P224" s="55">
        <f t="shared" si="58"/>
        <v>99.949254861455699</v>
      </c>
      <c r="Q224" s="55">
        <f t="shared" si="59"/>
        <v>196863.21717456155</v>
      </c>
      <c r="R224" s="55">
        <f t="shared" si="53"/>
        <v>5.0745138544291385E-5</v>
      </c>
      <c r="S224"/>
      <c r="T224" s="94"/>
    </row>
    <row r="225" spans="1:20" ht="20.25" customHeight="1" x14ac:dyDescent="0.2">
      <c r="A225"/>
      <c r="B225" s="119">
        <v>3</v>
      </c>
      <c r="C225" s="210"/>
      <c r="D225" s="148">
        <f t="shared" si="60"/>
        <v>212</v>
      </c>
      <c r="E225" s="29" t="str">
        <f t="shared" si="62"/>
        <v>Transition from state 3 to state 3 (PVI T4)</v>
      </c>
      <c r="F225" s="44">
        <f t="shared" si="52"/>
        <v>1.1868532962702738E-6</v>
      </c>
      <c r="G225" s="44">
        <v>1</v>
      </c>
      <c r="H225" s="149">
        <f>'Transition Probabilites'!Z29</f>
        <v>1.1868532962702738E-6</v>
      </c>
      <c r="I225" s="44" t="s">
        <v>37</v>
      </c>
      <c r="J225" s="44">
        <f t="shared" si="55"/>
        <v>9.5423432470803559E-7</v>
      </c>
      <c r="K225" s="44">
        <f t="shared" si="56"/>
        <v>1.4194722678325121E-6</v>
      </c>
      <c r="L225" s="44" t="s">
        <v>37</v>
      </c>
      <c r="M225" s="54" t="s">
        <v>242</v>
      </c>
      <c r="N225" s="44">
        <f t="shared" ca="1" si="57"/>
        <v>1.1909381846253453E-6</v>
      </c>
      <c r="O225" s="44">
        <f t="shared" ca="1" si="51"/>
        <v>0.52699181028412923</v>
      </c>
      <c r="P225" s="55">
        <f t="shared" si="58"/>
        <v>99.999881314670375</v>
      </c>
      <c r="Q225" s="55">
        <f t="shared" si="59"/>
        <v>84256211.735357195</v>
      </c>
      <c r="R225" s="55">
        <f t="shared" si="53"/>
        <v>1.1868532962702738E-7</v>
      </c>
      <c r="S225"/>
      <c r="T225" s="94"/>
    </row>
    <row r="226" spans="1:20" ht="20.25" customHeight="1" x14ac:dyDescent="0.2">
      <c r="A226"/>
      <c r="B226" s="119">
        <v>4</v>
      </c>
      <c r="C226" s="210"/>
      <c r="D226" s="148">
        <f t="shared" si="60"/>
        <v>213</v>
      </c>
      <c r="E226" s="29" t="str">
        <f t="shared" si="62"/>
        <v>Transition from state 3 to state 4 (PVI T4)</v>
      </c>
      <c r="F226" s="44">
        <f t="shared" si="52"/>
        <v>8.670789608760836E-6</v>
      </c>
      <c r="G226" s="44">
        <v>1</v>
      </c>
      <c r="H226" s="149">
        <f>'Transition Probabilites'!Z30</f>
        <v>8.670789608760836E-6</v>
      </c>
      <c r="I226" s="44" t="s">
        <v>37</v>
      </c>
      <c r="J226" s="44">
        <f t="shared" si="55"/>
        <v>6.9713460736912977E-6</v>
      </c>
      <c r="K226" s="44">
        <f t="shared" si="56"/>
        <v>1.0370233143830373E-5</v>
      </c>
      <c r="L226" s="44" t="s">
        <v>37</v>
      </c>
      <c r="M226" s="54" t="s">
        <v>242</v>
      </c>
      <c r="N226" s="44">
        <f t="shared" ca="1" si="57"/>
        <v>6.6175679238600838E-6</v>
      </c>
      <c r="O226" s="44">
        <f t="shared" ca="1" si="51"/>
        <v>5.3576944028856932E-3</v>
      </c>
      <c r="P226" s="55">
        <f t="shared" si="58"/>
        <v>99.999132921039106</v>
      </c>
      <c r="Q226" s="55">
        <f t="shared" si="59"/>
        <v>11532775.024525253</v>
      </c>
      <c r="R226" s="55">
        <f t="shared" si="53"/>
        <v>8.6707896087608368E-7</v>
      </c>
      <c r="S226"/>
      <c r="T226" s="94"/>
    </row>
    <row r="227" spans="1:20" ht="20.25" customHeight="1" x14ac:dyDescent="0.2">
      <c r="A227"/>
      <c r="B227" s="119">
        <v>5</v>
      </c>
      <c r="C227" s="210"/>
      <c r="D227" s="148">
        <f t="shared" si="60"/>
        <v>214</v>
      </c>
      <c r="E227" s="29" t="str">
        <f t="shared" si="62"/>
        <v>Transition from state 3 to state 5 (PVI T4)</v>
      </c>
      <c r="F227" s="44">
        <f t="shared" si="52"/>
        <v>2.4314177653399652E-10</v>
      </c>
      <c r="G227" s="44">
        <v>1</v>
      </c>
      <c r="H227" s="149">
        <f>'Transition Probabilites'!Z31</f>
        <v>2.4314177653399652E-10</v>
      </c>
      <c r="I227" s="44" t="s">
        <v>80</v>
      </c>
      <c r="J227" s="44">
        <f t="shared" si="55"/>
        <v>1.9548686401962462E-10</v>
      </c>
      <c r="K227" s="44">
        <f t="shared" si="56"/>
        <v>2.9079668904836842E-10</v>
      </c>
      <c r="L227" s="44" t="s">
        <v>80</v>
      </c>
      <c r="M227" s="54" t="s">
        <v>242</v>
      </c>
      <c r="N227" s="44">
        <f t="shared" ca="1" si="57"/>
        <v>2.3934607398626761E-10</v>
      </c>
      <c r="O227" s="44">
        <f t="shared" ca="1" si="51"/>
        <v>0.4508375130339487</v>
      </c>
      <c r="P227" s="55">
        <f t="shared" si="58"/>
        <v>99.999999975685824</v>
      </c>
      <c r="Q227" s="55">
        <f t="shared" si="59"/>
        <v>411282673742.36884</v>
      </c>
      <c r="R227" s="55">
        <f t="shared" si="53"/>
        <v>2.4314177653399652E-11</v>
      </c>
      <c r="S227"/>
      <c r="T227" s="94"/>
    </row>
    <row r="228" spans="1:20" ht="20.25" customHeight="1" x14ac:dyDescent="0.2">
      <c r="A228"/>
      <c r="B228" s="119">
        <v>6</v>
      </c>
      <c r="C228" s="210"/>
      <c r="D228" s="148">
        <f t="shared" si="60"/>
        <v>215</v>
      </c>
      <c r="E228" s="29" t="str">
        <f t="shared" si="62"/>
        <v>Transition from state 3 to state 6 (PVI T4)</v>
      </c>
      <c r="F228" s="44">
        <f t="shared" si="52"/>
        <v>0</v>
      </c>
      <c r="G228" s="44">
        <v>1</v>
      </c>
      <c r="H228" s="149">
        <f>'Transition Probabilites'!Z32</f>
        <v>0</v>
      </c>
      <c r="I228" s="44" t="s">
        <v>80</v>
      </c>
      <c r="J228" s="44">
        <f t="shared" si="55"/>
        <v>0</v>
      </c>
      <c r="K228" s="44">
        <f t="shared" si="56"/>
        <v>0</v>
      </c>
      <c r="L228" s="44" t="s">
        <v>80</v>
      </c>
      <c r="M228" s="54" t="s">
        <v>242</v>
      </c>
      <c r="N228" s="44" t="e">
        <f t="shared" ca="1" si="57"/>
        <v>#DIV/0!</v>
      </c>
      <c r="O228" s="44">
        <f t="shared" ca="1" si="51"/>
        <v>0.39735098155598114</v>
      </c>
      <c r="P228" s="55" t="e">
        <f t="shared" si="58"/>
        <v>#DIV/0!</v>
      </c>
      <c r="Q228" s="55" t="e">
        <f t="shared" si="59"/>
        <v>#DIV/0!</v>
      </c>
      <c r="R228" s="55">
        <f t="shared" si="53"/>
        <v>0</v>
      </c>
      <c r="S228"/>
      <c r="T228" s="94"/>
    </row>
    <row r="229" spans="1:20" ht="20.25" customHeight="1" x14ac:dyDescent="0.2">
      <c r="A229"/>
      <c r="B229" s="119">
        <v>7</v>
      </c>
      <c r="C229" s="210"/>
      <c r="D229" s="148">
        <f t="shared" si="60"/>
        <v>216</v>
      </c>
      <c r="E229" s="29" t="str">
        <f t="shared" si="62"/>
        <v>Transition from state 3 to state 7 (PVI T4)</v>
      </c>
      <c r="F229" s="44">
        <f t="shared" si="52"/>
        <v>0.75195801540836582</v>
      </c>
      <c r="G229" s="44">
        <v>1</v>
      </c>
      <c r="H229" s="149">
        <f>'Transition Probabilites'!Z33</f>
        <v>0.75195801540836582</v>
      </c>
      <c r="I229" s="44" t="s">
        <v>80</v>
      </c>
      <c r="J229" s="44">
        <f t="shared" si="55"/>
        <v>0.60457695259970468</v>
      </c>
      <c r="K229" s="44">
        <f t="shared" si="56"/>
        <v>0.89933907821702697</v>
      </c>
      <c r="L229" s="44" t="s">
        <v>80</v>
      </c>
      <c r="M229" s="54" t="s">
        <v>242</v>
      </c>
      <c r="N229" s="44" t="e">
        <f t="shared" ca="1" si="57"/>
        <v>#NUM!</v>
      </c>
      <c r="O229" s="44">
        <f t="shared" ca="1" si="51"/>
        <v>0.32580847728120754</v>
      </c>
      <c r="P229" s="55">
        <f t="shared" si="58"/>
        <v>24.804198459163413</v>
      </c>
      <c r="Q229" s="55">
        <f t="shared" si="59"/>
        <v>-59.494271748681143</v>
      </c>
      <c r="R229" s="55">
        <f t="shared" si="53"/>
        <v>7.519580154083659E-2</v>
      </c>
      <c r="S229"/>
      <c r="T229" s="94"/>
    </row>
    <row r="230" spans="1:20" ht="20.25" customHeight="1" x14ac:dyDescent="0.2">
      <c r="A230"/>
      <c r="B230" s="119">
        <v>8</v>
      </c>
      <c r="C230" s="210"/>
      <c r="D230" s="148">
        <f t="shared" si="60"/>
        <v>217</v>
      </c>
      <c r="E230" s="29" t="str">
        <f t="shared" si="62"/>
        <v>Transition from state 3 to state 8 (PVI T4)</v>
      </c>
      <c r="F230" s="44">
        <f t="shared" si="52"/>
        <v>0.24720952792191087</v>
      </c>
      <c r="G230" s="44">
        <v>1</v>
      </c>
      <c r="H230" s="149">
        <f>'Transition Probabilites'!Z34</f>
        <v>0.24720952792191087</v>
      </c>
      <c r="I230" s="44" t="s">
        <v>37</v>
      </c>
      <c r="J230" s="44">
        <f t="shared" si="55"/>
        <v>0.19875735078570145</v>
      </c>
      <c r="K230" s="44">
        <f t="shared" si="56"/>
        <v>0.29566170505812028</v>
      </c>
      <c r="L230" s="44" t="s">
        <v>37</v>
      </c>
      <c r="M230" s="54" t="s">
        <v>242</v>
      </c>
      <c r="N230" s="44">
        <f t="shared" ca="1" si="57"/>
        <v>0.28343544187807179</v>
      </c>
      <c r="O230" s="44">
        <f t="shared" ca="1" si="51"/>
        <v>0.74158592609458451</v>
      </c>
      <c r="P230" s="55">
        <f t="shared" si="58"/>
        <v>75.279047207808901</v>
      </c>
      <c r="Q230" s="55">
        <f t="shared" si="59"/>
        <v>206.98724823719178</v>
      </c>
      <c r="R230" s="55">
        <f t="shared" si="53"/>
        <v>2.4720952792191088E-2</v>
      </c>
      <c r="S230"/>
      <c r="T230" s="94"/>
    </row>
    <row r="231" spans="1:20" ht="20.25" customHeight="1" x14ac:dyDescent="0.2">
      <c r="A231"/>
      <c r="B231" s="119">
        <v>1</v>
      </c>
      <c r="C231" s="210"/>
      <c r="D231" s="148">
        <f t="shared" si="60"/>
        <v>218</v>
      </c>
      <c r="E231" s="29" t="str">
        <f t="shared" ref="E231:E238" si="63">"Transition from state"&amp; " "&amp;$B$18&amp;" "&amp;"to state"&amp;" "&amp;B231&amp;" "&amp;"(PVI T4)"</f>
        <v>Transition from state 4 to state 1 (PVI T4)</v>
      </c>
      <c r="F231" s="44">
        <f t="shared" si="52"/>
        <v>4.2340387366569972E-4</v>
      </c>
      <c r="G231" s="44">
        <v>1</v>
      </c>
      <c r="H231" s="149">
        <f>'Transition Probabilites'!Z35</f>
        <v>4.2340387366569972E-4</v>
      </c>
      <c r="I231" s="44" t="s">
        <v>37</v>
      </c>
      <c r="J231" s="44">
        <f t="shared" si="55"/>
        <v>3.4041823933574788E-4</v>
      </c>
      <c r="K231" s="44">
        <f t="shared" si="56"/>
        <v>5.063895079956515E-4</v>
      </c>
      <c r="L231" s="44" t="s">
        <v>37</v>
      </c>
      <c r="M231" s="54" t="s">
        <v>242</v>
      </c>
      <c r="N231" s="44">
        <f t="shared" ca="1" si="57"/>
        <v>4.4834829012485589E-4</v>
      </c>
      <c r="O231" s="44">
        <f t="shared" ca="1" si="51"/>
        <v>0.72944053070546089</v>
      </c>
      <c r="P231" s="55">
        <f t="shared" si="58"/>
        <v>99.957659612633421</v>
      </c>
      <c r="Q231" s="55">
        <f t="shared" si="59"/>
        <v>235981.1216485558</v>
      </c>
      <c r="R231" s="55">
        <f t="shared" si="53"/>
        <v>4.2340387366569977E-5</v>
      </c>
      <c r="S231"/>
      <c r="T231" s="94"/>
    </row>
    <row r="232" spans="1:20" ht="20.25" customHeight="1" x14ac:dyDescent="0.2">
      <c r="A232"/>
      <c r="B232" s="119">
        <v>2</v>
      </c>
      <c r="C232" s="210"/>
      <c r="D232" s="148">
        <f t="shared" si="60"/>
        <v>219</v>
      </c>
      <c r="E232" s="29" t="str">
        <f t="shared" si="63"/>
        <v>Transition from state 4 to state 2 (PVI T4)</v>
      </c>
      <c r="F232" s="44">
        <f t="shared" si="52"/>
        <v>6.8178925728564941E-4</v>
      </c>
      <c r="G232" s="44">
        <v>1</v>
      </c>
      <c r="H232" s="149">
        <f>'Transition Probabilites'!Z36</f>
        <v>6.8178925728564941E-4</v>
      </c>
      <c r="I232" s="44" t="s">
        <v>37</v>
      </c>
      <c r="J232" s="44">
        <f t="shared" si="55"/>
        <v>5.4816101835303082E-4</v>
      </c>
      <c r="K232" s="44">
        <f t="shared" si="56"/>
        <v>8.1541749621826789E-4</v>
      </c>
      <c r="L232" s="44" t="s">
        <v>37</v>
      </c>
      <c r="M232" s="54" t="s">
        <v>242</v>
      </c>
      <c r="N232" s="44">
        <f t="shared" ca="1" si="57"/>
        <v>6.6414944174544388E-4</v>
      </c>
      <c r="O232" s="44">
        <f t="shared" ca="1" si="51"/>
        <v>0.40997658658845082</v>
      </c>
      <c r="P232" s="55">
        <f t="shared" si="58"/>
        <v>99.931821074271426</v>
      </c>
      <c r="Q232" s="55">
        <f t="shared" si="59"/>
        <v>146472.89573685505</v>
      </c>
      <c r="R232" s="55">
        <f t="shared" si="53"/>
        <v>6.8178925728564941E-5</v>
      </c>
      <c r="S232"/>
      <c r="T232" s="94"/>
    </row>
    <row r="233" spans="1:20" ht="20.25" customHeight="1" x14ac:dyDescent="0.2">
      <c r="A233"/>
      <c r="B233" s="119">
        <v>3</v>
      </c>
      <c r="C233" s="210"/>
      <c r="D233" s="148">
        <f t="shared" si="60"/>
        <v>220</v>
      </c>
      <c r="E233" s="29" t="str">
        <f t="shared" si="63"/>
        <v>Transition from state 4 to state 3 (PVI T4)</v>
      </c>
      <c r="F233" s="44">
        <f t="shared" si="52"/>
        <v>1.5952193552472028E-6</v>
      </c>
      <c r="G233" s="44">
        <v>1</v>
      </c>
      <c r="H233" s="149">
        <f>'Transition Probabilites'!Z37</f>
        <v>1.5952193552472028E-6</v>
      </c>
      <c r="I233" s="44" t="s">
        <v>37</v>
      </c>
      <c r="J233" s="44">
        <f t="shared" si="55"/>
        <v>1.2825621068746303E-6</v>
      </c>
      <c r="K233" s="44">
        <f t="shared" si="56"/>
        <v>1.9078766036197752E-6</v>
      </c>
      <c r="L233" s="44" t="s">
        <v>37</v>
      </c>
      <c r="M233" s="54" t="s">
        <v>242</v>
      </c>
      <c r="N233" s="44">
        <f t="shared" ca="1" si="57"/>
        <v>1.7665299650859723E-6</v>
      </c>
      <c r="O233" s="44">
        <f t="shared" ca="1" si="51"/>
        <v>0.85785967754058967</v>
      </c>
      <c r="P233" s="55">
        <f t="shared" si="58"/>
        <v>99.999840478064485</v>
      </c>
      <c r="Q233" s="55">
        <f t="shared" si="59"/>
        <v>62687103.580596894</v>
      </c>
      <c r="R233" s="55">
        <f t="shared" si="53"/>
        <v>1.5952193552472028E-7</v>
      </c>
      <c r="S233"/>
      <c r="T233" s="94"/>
    </row>
    <row r="234" spans="1:20" ht="20.25" customHeight="1" x14ac:dyDescent="0.2">
      <c r="A234"/>
      <c r="B234" s="119">
        <v>4</v>
      </c>
      <c r="C234" s="210"/>
      <c r="D234" s="148">
        <f t="shared" si="60"/>
        <v>221</v>
      </c>
      <c r="E234" s="29" t="str">
        <f t="shared" si="63"/>
        <v>Transition from state 4 to state 4 (PVI T4)</v>
      </c>
      <c r="F234" s="44">
        <f t="shared" si="52"/>
        <v>1.1654474378914977E-5</v>
      </c>
      <c r="G234" s="44">
        <v>1</v>
      </c>
      <c r="H234" s="149">
        <f>'Transition Probabilites'!Z38</f>
        <v>1.1654474378914977E-5</v>
      </c>
      <c r="I234" s="44" t="s">
        <v>37</v>
      </c>
      <c r="J234" s="44">
        <f t="shared" si="55"/>
        <v>9.3702393747731602E-6</v>
      </c>
      <c r="K234" s="44">
        <f t="shared" si="56"/>
        <v>1.3938709383056793E-5</v>
      </c>
      <c r="L234" s="44" t="s">
        <v>37</v>
      </c>
      <c r="M234" s="54" t="s">
        <v>242</v>
      </c>
      <c r="N234" s="44">
        <f t="shared" ca="1" si="57"/>
        <v>1.1098000396193863E-5</v>
      </c>
      <c r="O234" s="44">
        <f t="shared" ca="1" si="51"/>
        <v>0.32569947906519359</v>
      </c>
      <c r="P234" s="55">
        <f t="shared" si="58"/>
        <v>99.998834552562087</v>
      </c>
      <c r="Q234" s="55">
        <f t="shared" si="59"/>
        <v>8580195.5416707657</v>
      </c>
      <c r="R234" s="55">
        <f t="shared" si="53"/>
        <v>1.1654474378914979E-6</v>
      </c>
      <c r="S234"/>
      <c r="T234" s="94"/>
    </row>
    <row r="235" spans="1:20" ht="20.25" customHeight="1" x14ac:dyDescent="0.2">
      <c r="A235"/>
      <c r="B235" s="119">
        <v>5</v>
      </c>
      <c r="C235" s="210"/>
      <c r="D235" s="148">
        <f t="shared" si="60"/>
        <v>222</v>
      </c>
      <c r="E235" s="29" t="str">
        <f t="shared" si="63"/>
        <v>Transition from state 4 to state 5 (PVI T4)</v>
      </c>
      <c r="F235" s="44">
        <f t="shared" si="52"/>
        <v>3.2675971660885703E-10</v>
      </c>
      <c r="G235" s="44">
        <v>1</v>
      </c>
      <c r="H235" s="149">
        <f>'Transition Probabilites'!Z39</f>
        <v>3.2675971660885703E-10</v>
      </c>
      <c r="I235" s="44" t="s">
        <v>37</v>
      </c>
      <c r="J235" s="44">
        <f t="shared" si="55"/>
        <v>2.6271598899366956E-10</v>
      </c>
      <c r="K235" s="44">
        <f t="shared" si="56"/>
        <v>3.9080344422404444E-10</v>
      </c>
      <c r="L235" s="44" t="s">
        <v>37</v>
      </c>
      <c r="M235" s="54" t="s">
        <v>242</v>
      </c>
      <c r="N235" s="44">
        <f t="shared" ca="1" si="57"/>
        <v>2.8734604240479047E-10</v>
      </c>
      <c r="O235" s="44">
        <f t="shared" ca="1" si="51"/>
        <v>0.11033793136787629</v>
      </c>
      <c r="P235" s="55">
        <f t="shared" si="58"/>
        <v>99.999999967323987</v>
      </c>
      <c r="Q235" s="55">
        <f t="shared" si="59"/>
        <v>306035275622.27496</v>
      </c>
      <c r="R235" s="55">
        <f t="shared" si="53"/>
        <v>3.2675971660885706E-11</v>
      </c>
      <c r="S235"/>
      <c r="T235" s="94"/>
    </row>
    <row r="236" spans="1:20" ht="20.25" customHeight="1" x14ac:dyDescent="0.2">
      <c r="A236"/>
      <c r="B236" s="119">
        <v>6</v>
      </c>
      <c r="C236" s="210"/>
      <c r="D236" s="148">
        <f t="shared" si="60"/>
        <v>223</v>
      </c>
      <c r="E236" s="29" t="str">
        <f t="shared" si="63"/>
        <v>Transition from state 4 to state 6 (PVI T4)</v>
      </c>
      <c r="F236" s="44">
        <f t="shared" si="52"/>
        <v>0</v>
      </c>
      <c r="G236" s="44">
        <v>1</v>
      </c>
      <c r="H236" s="149">
        <f>'Transition Probabilites'!Z40</f>
        <v>0</v>
      </c>
      <c r="I236" s="44" t="s">
        <v>80</v>
      </c>
      <c r="J236" s="44">
        <f t="shared" si="55"/>
        <v>0</v>
      </c>
      <c r="K236" s="44">
        <f t="shared" si="56"/>
        <v>0</v>
      </c>
      <c r="L236" s="44" t="s">
        <v>80</v>
      </c>
      <c r="M236" s="54" t="s">
        <v>242</v>
      </c>
      <c r="N236" s="44" t="e">
        <f t="shared" ca="1" si="57"/>
        <v>#DIV/0!</v>
      </c>
      <c r="O236" s="44">
        <f t="shared" ca="1" si="51"/>
        <v>0.15892497044873788</v>
      </c>
      <c r="P236" s="55" t="e">
        <f t="shared" si="58"/>
        <v>#DIV/0!</v>
      </c>
      <c r="Q236" s="55" t="e">
        <f t="shared" si="59"/>
        <v>#DIV/0!</v>
      </c>
      <c r="R236" s="55">
        <f t="shared" si="53"/>
        <v>0</v>
      </c>
      <c r="S236"/>
      <c r="T236" s="94"/>
    </row>
    <row r="237" spans="1:20" ht="20.25" customHeight="1" x14ac:dyDescent="0.2">
      <c r="A237"/>
      <c r="B237" s="119">
        <v>7</v>
      </c>
      <c r="C237" s="210"/>
      <c r="D237" s="148">
        <f t="shared" si="60"/>
        <v>224</v>
      </c>
      <c r="E237" s="29" t="str">
        <f t="shared" si="63"/>
        <v>Transition from state 4 to state 7 (PVI T4)</v>
      </c>
      <c r="F237" s="44">
        <f t="shared" si="52"/>
        <v>0.6586908425431095</v>
      </c>
      <c r="G237" s="44">
        <v>1</v>
      </c>
      <c r="H237" s="149">
        <f>'Transition Probabilites'!Z41</f>
        <v>0.6586908425431095</v>
      </c>
      <c r="I237" s="44" t="s">
        <v>80</v>
      </c>
      <c r="J237" s="44">
        <f t="shared" si="55"/>
        <v>0.52958980971002567</v>
      </c>
      <c r="K237" s="44">
        <f t="shared" si="56"/>
        <v>0.78779187537619333</v>
      </c>
      <c r="L237" s="44" t="s">
        <v>80</v>
      </c>
      <c r="M237" s="54" t="s">
        <v>242</v>
      </c>
      <c r="N237" s="44" t="e">
        <f t="shared" ca="1" si="57"/>
        <v>#NUM!</v>
      </c>
      <c r="O237" s="44">
        <f t="shared" ca="1" si="51"/>
        <v>0.39197735998363914</v>
      </c>
      <c r="P237" s="55">
        <f t="shared" si="58"/>
        <v>34.130915745689038</v>
      </c>
      <c r="Q237" s="55">
        <f t="shared" si="59"/>
        <v>-41.596801531861523</v>
      </c>
      <c r="R237" s="55">
        <f t="shared" si="53"/>
        <v>6.5869084254310956E-2</v>
      </c>
      <c r="S237"/>
      <c r="T237" s="94"/>
    </row>
    <row r="238" spans="1:20" ht="20.25" customHeight="1" x14ac:dyDescent="0.2">
      <c r="A238"/>
      <c r="B238" s="119">
        <v>8</v>
      </c>
      <c r="C238" s="210"/>
      <c r="D238" s="148">
        <f t="shared" si="60"/>
        <v>225</v>
      </c>
      <c r="E238" s="29" t="str">
        <f t="shared" si="63"/>
        <v>Transition from state 4 to state 8 (PVI T4)</v>
      </c>
      <c r="F238" s="44">
        <f t="shared" si="52"/>
        <v>0.34019071430544517</v>
      </c>
      <c r="G238" s="44">
        <v>1</v>
      </c>
      <c r="H238" s="149">
        <f>'Transition Probabilites'!Z42</f>
        <v>0.34019071430544517</v>
      </c>
      <c r="I238" s="44" t="s">
        <v>37</v>
      </c>
      <c r="J238" s="44">
        <f t="shared" si="55"/>
        <v>0.27351455951408243</v>
      </c>
      <c r="K238" s="44">
        <f t="shared" si="56"/>
        <v>0.40686686909680791</v>
      </c>
      <c r="L238" s="44" t="s">
        <v>37</v>
      </c>
      <c r="M238" s="54" t="s">
        <v>242</v>
      </c>
      <c r="N238" s="44">
        <f t="shared" ca="1" si="57"/>
        <v>0.45616336554327019</v>
      </c>
      <c r="O238" s="44">
        <f t="shared" ca="1" si="51"/>
        <v>0.9119808116059811</v>
      </c>
      <c r="P238" s="55">
        <f t="shared" si="58"/>
        <v>65.980928569455457</v>
      </c>
      <c r="Q238" s="55">
        <f t="shared" si="59"/>
        <v>97.35466891718545</v>
      </c>
      <c r="R238" s="55">
        <f t="shared" si="53"/>
        <v>3.4019071430544522E-2</v>
      </c>
      <c r="S238"/>
      <c r="T238" s="94"/>
    </row>
    <row r="239" spans="1:20" ht="20.25" customHeight="1" x14ac:dyDescent="0.2">
      <c r="A239"/>
      <c r="B239" s="119">
        <v>1</v>
      </c>
      <c r="C239" s="210"/>
      <c r="D239" s="148">
        <f t="shared" si="60"/>
        <v>226</v>
      </c>
      <c r="E239" s="29" t="str">
        <f t="shared" ref="E239:E246" si="64">"Transition from state"&amp; " "&amp;$B$19&amp;" "&amp;"to state"&amp;" "&amp;B239&amp;" "&amp;"(PVI T4)"</f>
        <v>Transition from state 5 to state 1 (PVI T4)</v>
      </c>
      <c r="F239" s="44">
        <f t="shared" si="52"/>
        <v>0</v>
      </c>
      <c r="G239" s="44">
        <v>1</v>
      </c>
      <c r="H239" s="149">
        <f>'Transition Probabilites'!Z43</f>
        <v>0</v>
      </c>
      <c r="I239" s="44" t="s">
        <v>80</v>
      </c>
      <c r="J239" s="44">
        <f t="shared" si="55"/>
        <v>0</v>
      </c>
      <c r="K239" s="44">
        <f t="shared" si="56"/>
        <v>0</v>
      </c>
      <c r="L239" s="44" t="s">
        <v>80</v>
      </c>
      <c r="M239" s="54" t="s">
        <v>242</v>
      </c>
      <c r="N239" s="44" t="e">
        <f t="shared" ca="1" si="57"/>
        <v>#DIV/0!</v>
      </c>
      <c r="O239" s="44">
        <f t="shared" ca="1" si="51"/>
        <v>0.68007193890858075</v>
      </c>
      <c r="P239" s="55" t="e">
        <f t="shared" si="58"/>
        <v>#DIV/0!</v>
      </c>
      <c r="Q239" s="55" t="e">
        <f t="shared" si="59"/>
        <v>#DIV/0!</v>
      </c>
      <c r="R239" s="55">
        <f t="shared" si="53"/>
        <v>0</v>
      </c>
      <c r="S239"/>
      <c r="T239" s="94"/>
    </row>
    <row r="240" spans="1:20" ht="20.25" customHeight="1" x14ac:dyDescent="0.2">
      <c r="A240"/>
      <c r="B240" s="119">
        <v>2</v>
      </c>
      <c r="C240" s="210"/>
      <c r="D240" s="148">
        <f t="shared" si="60"/>
        <v>227</v>
      </c>
      <c r="E240" s="29" t="str">
        <f t="shared" si="64"/>
        <v>Transition from state 5 to state 2 (PVI T4)</v>
      </c>
      <c r="F240" s="44">
        <f t="shared" si="52"/>
        <v>0</v>
      </c>
      <c r="G240" s="44">
        <v>1</v>
      </c>
      <c r="H240" s="149">
        <f>'Transition Probabilites'!Z44</f>
        <v>0</v>
      </c>
      <c r="I240" s="44" t="s">
        <v>80</v>
      </c>
      <c r="J240" s="44">
        <f t="shared" si="55"/>
        <v>0</v>
      </c>
      <c r="K240" s="44">
        <f t="shared" si="56"/>
        <v>0</v>
      </c>
      <c r="L240" s="44" t="s">
        <v>80</v>
      </c>
      <c r="M240" s="54" t="s">
        <v>242</v>
      </c>
      <c r="N240" s="44" t="e">
        <f t="shared" ca="1" si="57"/>
        <v>#DIV/0!</v>
      </c>
      <c r="O240" s="44">
        <f t="shared" ca="1" si="51"/>
        <v>0.17256238523617495</v>
      </c>
      <c r="P240" s="55" t="e">
        <f t="shared" si="58"/>
        <v>#DIV/0!</v>
      </c>
      <c r="Q240" s="55" t="e">
        <f t="shared" si="59"/>
        <v>#DIV/0!</v>
      </c>
      <c r="R240" s="55">
        <f t="shared" si="53"/>
        <v>0</v>
      </c>
      <c r="S240"/>
      <c r="T240" s="94"/>
    </row>
    <row r="241" spans="1:20" ht="20.25" customHeight="1" x14ac:dyDescent="0.2">
      <c r="A241"/>
      <c r="B241" s="119">
        <v>3</v>
      </c>
      <c r="C241" s="210"/>
      <c r="D241" s="148">
        <f t="shared" si="60"/>
        <v>228</v>
      </c>
      <c r="E241" s="29" t="str">
        <f t="shared" si="64"/>
        <v>Transition from state 5 to state 3 (PVI T4)</v>
      </c>
      <c r="F241" s="44">
        <f t="shared" si="52"/>
        <v>0</v>
      </c>
      <c r="G241" s="44">
        <v>1</v>
      </c>
      <c r="H241" s="149">
        <f>'Transition Probabilites'!Z45</f>
        <v>0</v>
      </c>
      <c r="I241" s="44" t="s">
        <v>80</v>
      </c>
      <c r="J241" s="44">
        <f t="shared" si="55"/>
        <v>0</v>
      </c>
      <c r="K241" s="44">
        <f t="shared" si="56"/>
        <v>0</v>
      </c>
      <c r="L241" s="44" t="s">
        <v>80</v>
      </c>
      <c r="M241" s="54" t="s">
        <v>242</v>
      </c>
      <c r="N241" s="44" t="e">
        <f t="shared" ca="1" si="57"/>
        <v>#DIV/0!</v>
      </c>
      <c r="O241" s="44">
        <f t="shared" ca="1" si="51"/>
        <v>0.10433197414038997</v>
      </c>
      <c r="P241" s="55" t="e">
        <f t="shared" si="58"/>
        <v>#DIV/0!</v>
      </c>
      <c r="Q241" s="55" t="e">
        <f t="shared" si="59"/>
        <v>#DIV/0!</v>
      </c>
      <c r="R241" s="55">
        <f t="shared" si="53"/>
        <v>0</v>
      </c>
      <c r="S241"/>
      <c r="T241" s="94"/>
    </row>
    <row r="242" spans="1:20" ht="20.25" customHeight="1" x14ac:dyDescent="0.2">
      <c r="A242"/>
      <c r="B242" s="119">
        <v>4</v>
      </c>
      <c r="C242" s="210"/>
      <c r="D242" s="148">
        <f t="shared" si="60"/>
        <v>229</v>
      </c>
      <c r="E242" s="29" t="str">
        <f t="shared" si="64"/>
        <v>Transition from state 5 to state 4 (PVI T4)</v>
      </c>
      <c r="F242" s="44">
        <f t="shared" si="52"/>
        <v>0</v>
      </c>
      <c r="G242" s="44">
        <v>1</v>
      </c>
      <c r="H242" s="149">
        <f>'Transition Probabilites'!Z46</f>
        <v>0</v>
      </c>
      <c r="I242" s="44" t="s">
        <v>80</v>
      </c>
      <c r="J242" s="44">
        <f t="shared" si="55"/>
        <v>0</v>
      </c>
      <c r="K242" s="44">
        <f t="shared" si="56"/>
        <v>0</v>
      </c>
      <c r="L242" s="44" t="s">
        <v>80</v>
      </c>
      <c r="M242" s="54" t="s">
        <v>242</v>
      </c>
      <c r="N242" s="44" t="e">
        <f t="shared" ca="1" si="57"/>
        <v>#DIV/0!</v>
      </c>
      <c r="O242" s="44">
        <f t="shared" ca="1" si="51"/>
        <v>0.60725099168765861</v>
      </c>
      <c r="P242" s="55" t="e">
        <f t="shared" si="58"/>
        <v>#DIV/0!</v>
      </c>
      <c r="Q242" s="55" t="e">
        <f t="shared" si="59"/>
        <v>#DIV/0!</v>
      </c>
      <c r="R242" s="55">
        <f t="shared" si="53"/>
        <v>0</v>
      </c>
      <c r="S242"/>
      <c r="T242" s="94"/>
    </row>
    <row r="243" spans="1:20" ht="20.25" customHeight="1" x14ac:dyDescent="0.2">
      <c r="A243"/>
      <c r="B243" s="119">
        <v>5</v>
      </c>
      <c r="C243" s="210"/>
      <c r="D243" s="148">
        <f t="shared" si="60"/>
        <v>230</v>
      </c>
      <c r="E243" s="29" t="str">
        <f t="shared" si="64"/>
        <v>Transition from state 5 to state 5 (PVI T4)</v>
      </c>
      <c r="F243" s="44">
        <f t="shared" si="52"/>
        <v>0</v>
      </c>
      <c r="G243" s="44">
        <v>1</v>
      </c>
      <c r="H243" s="149">
        <f>'Transition Probabilites'!Z47</f>
        <v>0</v>
      </c>
      <c r="I243" s="44" t="s">
        <v>80</v>
      </c>
      <c r="J243" s="44">
        <f t="shared" si="55"/>
        <v>0</v>
      </c>
      <c r="K243" s="44">
        <f t="shared" si="56"/>
        <v>0</v>
      </c>
      <c r="L243" s="44" t="s">
        <v>80</v>
      </c>
      <c r="M243" s="54" t="s">
        <v>242</v>
      </c>
      <c r="N243" s="44" t="e">
        <f t="shared" ca="1" si="57"/>
        <v>#DIV/0!</v>
      </c>
      <c r="O243" s="44">
        <f t="shared" ca="1" si="51"/>
        <v>0.78391044568727619</v>
      </c>
      <c r="P243" s="55" t="e">
        <f t="shared" si="58"/>
        <v>#DIV/0!</v>
      </c>
      <c r="Q243" s="55" t="e">
        <f t="shared" si="59"/>
        <v>#DIV/0!</v>
      </c>
      <c r="R243" s="55">
        <f t="shared" si="53"/>
        <v>0</v>
      </c>
      <c r="S243"/>
      <c r="T243" s="94"/>
    </row>
    <row r="244" spans="1:20" ht="20.25" customHeight="1" x14ac:dyDescent="0.2">
      <c r="A244"/>
      <c r="B244" s="119">
        <v>6</v>
      </c>
      <c r="C244" s="210"/>
      <c r="D244" s="148">
        <f t="shared" si="60"/>
        <v>231</v>
      </c>
      <c r="E244" s="29" t="str">
        <f t="shared" si="64"/>
        <v>Transition from state 5 to state 6 (PVI T4)</v>
      </c>
      <c r="F244" s="44">
        <f t="shared" si="52"/>
        <v>1</v>
      </c>
      <c r="G244" s="44">
        <v>1</v>
      </c>
      <c r="H244" s="149">
        <f>'Transition Probabilites'!Z48</f>
        <v>1</v>
      </c>
      <c r="I244" s="44" t="s">
        <v>37</v>
      </c>
      <c r="J244" s="44">
        <f t="shared" si="55"/>
        <v>0.8040036015459946</v>
      </c>
      <c r="K244" s="44">
        <f t="shared" si="56"/>
        <v>1.1959963984540054</v>
      </c>
      <c r="L244" s="44" t="s">
        <v>37</v>
      </c>
      <c r="M244" s="54" t="s">
        <v>242</v>
      </c>
      <c r="N244" s="44" t="e">
        <f t="shared" ca="1" si="57"/>
        <v>#NUM!</v>
      </c>
      <c r="O244" s="44">
        <f t="shared" ca="1" si="51"/>
        <v>0.19252488998916906</v>
      </c>
      <c r="P244" s="55">
        <f t="shared" si="58"/>
        <v>0</v>
      </c>
      <c r="Q244" s="55">
        <f t="shared" si="59"/>
        <v>-89.999999999999986</v>
      </c>
      <c r="R244" s="55">
        <f t="shared" si="53"/>
        <v>0.1</v>
      </c>
      <c r="S244"/>
      <c r="T244" s="94"/>
    </row>
    <row r="245" spans="1:20" ht="20.25" customHeight="1" x14ac:dyDescent="0.2">
      <c r="A245"/>
      <c r="B245" s="119">
        <v>7</v>
      </c>
      <c r="C245" s="210"/>
      <c r="D245" s="148">
        <f t="shared" si="60"/>
        <v>232</v>
      </c>
      <c r="E245" s="29" t="str">
        <f t="shared" si="64"/>
        <v>Transition from state 5 to state 7 (PVI T4)</v>
      </c>
      <c r="F245" s="44">
        <f t="shared" si="52"/>
        <v>0</v>
      </c>
      <c r="G245" s="44">
        <v>1</v>
      </c>
      <c r="H245" s="149">
        <f>'Transition Probabilites'!Z49</f>
        <v>0</v>
      </c>
      <c r="I245" s="44" t="s">
        <v>80</v>
      </c>
      <c r="J245" s="44">
        <f t="shared" si="55"/>
        <v>0</v>
      </c>
      <c r="K245" s="44">
        <f t="shared" si="56"/>
        <v>0</v>
      </c>
      <c r="L245" s="44" t="s">
        <v>80</v>
      </c>
      <c r="M245" s="54" t="s">
        <v>242</v>
      </c>
      <c r="N245" s="44" t="e">
        <f t="shared" ca="1" si="57"/>
        <v>#DIV/0!</v>
      </c>
      <c r="O245" s="44">
        <f t="shared" ca="1" si="51"/>
        <v>0.57491744972606773</v>
      </c>
      <c r="P245" s="55" t="e">
        <f t="shared" si="58"/>
        <v>#DIV/0!</v>
      </c>
      <c r="Q245" s="55" t="e">
        <f t="shared" si="59"/>
        <v>#DIV/0!</v>
      </c>
      <c r="R245" s="55">
        <f t="shared" si="53"/>
        <v>0</v>
      </c>
      <c r="S245"/>
      <c r="T245" s="94"/>
    </row>
    <row r="246" spans="1:20" ht="20.25" customHeight="1" x14ac:dyDescent="0.2">
      <c r="A246"/>
      <c r="B246" s="119">
        <v>8</v>
      </c>
      <c r="C246" s="210"/>
      <c r="D246" s="148">
        <f t="shared" si="60"/>
        <v>233</v>
      </c>
      <c r="E246" s="29" t="str">
        <f t="shared" si="64"/>
        <v>Transition from state 5 to state 8 (PVI T4)</v>
      </c>
      <c r="F246" s="44">
        <f t="shared" si="52"/>
        <v>0</v>
      </c>
      <c r="G246" s="44">
        <v>1</v>
      </c>
      <c r="H246" s="149">
        <f>'Transition Probabilites'!Z50</f>
        <v>0</v>
      </c>
      <c r="I246" s="44" t="s">
        <v>80</v>
      </c>
      <c r="J246" s="44">
        <f t="shared" si="55"/>
        <v>0</v>
      </c>
      <c r="K246" s="44">
        <f t="shared" si="56"/>
        <v>0</v>
      </c>
      <c r="L246" s="44" t="s">
        <v>80</v>
      </c>
      <c r="M246" s="54" t="s">
        <v>242</v>
      </c>
      <c r="N246" s="44" t="e">
        <f t="shared" ca="1" si="57"/>
        <v>#DIV/0!</v>
      </c>
      <c r="O246" s="44">
        <f t="shared" ca="1" si="51"/>
        <v>0.22900108010855591</v>
      </c>
      <c r="P246" s="55" t="e">
        <f t="shared" si="58"/>
        <v>#DIV/0!</v>
      </c>
      <c r="Q246" s="55" t="e">
        <f t="shared" si="59"/>
        <v>#DIV/0!</v>
      </c>
      <c r="R246" s="55">
        <f t="shared" si="53"/>
        <v>0</v>
      </c>
      <c r="S246"/>
      <c r="T246" s="94"/>
    </row>
    <row r="247" spans="1:20" ht="20.25" customHeight="1" x14ac:dyDescent="0.2">
      <c r="A247"/>
      <c r="B247" s="119">
        <v>1</v>
      </c>
      <c r="C247" s="210"/>
      <c r="D247" s="148">
        <f t="shared" si="60"/>
        <v>234</v>
      </c>
      <c r="E247" s="29" t="str">
        <f t="shared" ref="E247:E254" si="65">"Transition from state"&amp; " "&amp;$B$20&amp;" "&amp;"to state"&amp;" "&amp;B247&amp;" "&amp;"(PVI T4)"</f>
        <v>Transition from state 6 to state 1 (PVI T4)</v>
      </c>
      <c r="F247" s="44">
        <f t="shared" si="52"/>
        <v>4.8217991137751708E-4</v>
      </c>
      <c r="G247" s="44">
        <v>1</v>
      </c>
      <c r="H247" s="149">
        <f>'Transition Probabilites'!Z51</f>
        <v>4.8217991137751708E-4</v>
      </c>
      <c r="I247" s="44" t="s">
        <v>37</v>
      </c>
      <c r="J247" s="44">
        <f t="shared" si="55"/>
        <v>3.8767438534065225E-4</v>
      </c>
      <c r="K247" s="44">
        <f t="shared" si="56"/>
        <v>5.7668543741438191E-4</v>
      </c>
      <c r="L247" s="44" t="s">
        <v>37</v>
      </c>
      <c r="M247" s="54" t="s">
        <v>242</v>
      </c>
      <c r="N247" s="44">
        <f t="shared" ca="1" si="57"/>
        <v>4.5924391651014606E-4</v>
      </c>
      <c r="O247" s="44">
        <f t="shared" ca="1" si="51"/>
        <v>0.32636594637115546</v>
      </c>
      <c r="P247" s="55">
        <f t="shared" si="58"/>
        <v>99.951782008862239</v>
      </c>
      <c r="Q247" s="55">
        <f t="shared" si="59"/>
        <v>207191.4735254925</v>
      </c>
      <c r="R247" s="55">
        <f t="shared" si="53"/>
        <v>4.8217991137751708E-5</v>
      </c>
      <c r="S247"/>
      <c r="T247" s="94"/>
    </row>
    <row r="248" spans="1:20" ht="20.25" customHeight="1" x14ac:dyDescent="0.2">
      <c r="A248"/>
      <c r="B248" s="119">
        <v>2</v>
      </c>
      <c r="C248" s="210"/>
      <c r="D248" s="148">
        <f t="shared" si="60"/>
        <v>235</v>
      </c>
      <c r="E248" s="29" t="str">
        <f t="shared" si="65"/>
        <v>Transition from state 6 to state 2 (PVI T4)</v>
      </c>
      <c r="F248" s="44">
        <f t="shared" si="52"/>
        <v>7.765995183246421E-4</v>
      </c>
      <c r="G248" s="44">
        <v>1</v>
      </c>
      <c r="H248" s="149">
        <f>'Transition Probabilites'!Z52</f>
        <v>7.765995183246421E-4</v>
      </c>
      <c r="I248" s="44" t="s">
        <v>37</v>
      </c>
      <c r="J248" s="44">
        <f t="shared" si="55"/>
        <v>6.2438880969189689E-4</v>
      </c>
      <c r="K248" s="44">
        <f t="shared" si="56"/>
        <v>9.2881022695738731E-4</v>
      </c>
      <c r="L248" s="44" t="s">
        <v>37</v>
      </c>
      <c r="M248" s="54" t="s">
        <v>242</v>
      </c>
      <c r="N248" s="44">
        <f t="shared" ca="1" si="57"/>
        <v>6.4247120705799752E-4</v>
      </c>
      <c r="O248" s="44">
        <f t="shared" ca="1" si="51"/>
        <v>3.5611320230242494E-2</v>
      </c>
      <c r="P248" s="55">
        <f t="shared" si="58"/>
        <v>99.922340048167527</v>
      </c>
      <c r="Q248" s="55">
        <f t="shared" si="59"/>
        <v>128566.50534988496</v>
      </c>
      <c r="R248" s="55">
        <f t="shared" si="53"/>
        <v>7.7659951832464215E-5</v>
      </c>
      <c r="S248"/>
      <c r="T248" s="94"/>
    </row>
    <row r="249" spans="1:20" ht="20.25" customHeight="1" x14ac:dyDescent="0.2">
      <c r="A249"/>
      <c r="B249" s="119">
        <v>3</v>
      </c>
      <c r="C249" s="210"/>
      <c r="D249" s="148">
        <f t="shared" si="60"/>
        <v>236</v>
      </c>
      <c r="E249" s="29" t="str">
        <f t="shared" si="65"/>
        <v>Transition from state 6 to state 3 (PVI T4)</v>
      </c>
      <c r="F249" s="44">
        <f t="shared" si="52"/>
        <v>1.8225640430052209E-6</v>
      </c>
      <c r="G249" s="44">
        <v>1</v>
      </c>
      <c r="H249" s="149">
        <f>'Transition Probabilites'!Z53</f>
        <v>1.8225640430052209E-6</v>
      </c>
      <c r="I249" s="44" t="s">
        <v>37</v>
      </c>
      <c r="J249" s="44">
        <f t="shared" si="55"/>
        <v>1.4653480546244266E-6</v>
      </c>
      <c r="K249" s="44">
        <f t="shared" si="56"/>
        <v>2.1797800313860153E-6</v>
      </c>
      <c r="L249" s="44" t="s">
        <v>37</v>
      </c>
      <c r="M249" s="54" t="s">
        <v>242</v>
      </c>
      <c r="N249" s="44">
        <f t="shared" ca="1" si="57"/>
        <v>1.7927094395846785E-6</v>
      </c>
      <c r="O249" s="44">
        <f t="shared" ca="1" si="51"/>
        <v>0.44776044543537707</v>
      </c>
      <c r="P249" s="55">
        <f t="shared" si="58"/>
        <v>99.999817743595699</v>
      </c>
      <c r="Q249" s="55">
        <f t="shared" si="59"/>
        <v>54867556.435677007</v>
      </c>
      <c r="R249" s="55">
        <f t="shared" si="53"/>
        <v>1.822564043005221E-7</v>
      </c>
      <c r="S249"/>
      <c r="T249" s="94"/>
    </row>
    <row r="250" spans="1:20" ht="20.25" customHeight="1" x14ac:dyDescent="0.2">
      <c r="A250"/>
      <c r="B250" s="119">
        <v>4</v>
      </c>
      <c r="C250" s="210"/>
      <c r="D250" s="148">
        <f t="shared" si="60"/>
        <v>237</v>
      </c>
      <c r="E250" s="29" t="str">
        <f t="shared" si="65"/>
        <v>Transition from state 6 to state 4 (PVI T4)</v>
      </c>
      <c r="F250" s="44">
        <f t="shared" si="52"/>
        <v>1.3285540313485608E-5</v>
      </c>
      <c r="G250" s="44">
        <v>1</v>
      </c>
      <c r="H250" s="149">
        <f>'Transition Probabilites'!Z54</f>
        <v>1.3285540313485608E-5</v>
      </c>
      <c r="I250" s="44" t="s">
        <v>37</v>
      </c>
      <c r="J250" s="44">
        <f t="shared" si="55"/>
        <v>1.0681622260526931E-5</v>
      </c>
      <c r="K250" s="44">
        <f t="shared" si="56"/>
        <v>1.5889458366444284E-5</v>
      </c>
      <c r="L250" s="44" t="s">
        <v>37</v>
      </c>
      <c r="M250" s="54" t="s">
        <v>242</v>
      </c>
      <c r="N250" s="44">
        <f t="shared" ca="1" si="57"/>
        <v>1.2085568459730219E-5</v>
      </c>
      <c r="O250" s="44">
        <f t="shared" ca="1" si="51"/>
        <v>0.18450217361205978</v>
      </c>
      <c r="P250" s="55">
        <f t="shared" si="58"/>
        <v>99.99867144596864</v>
      </c>
      <c r="Q250" s="55">
        <f t="shared" si="59"/>
        <v>7526780.2839903422</v>
      </c>
      <c r="R250" s="55">
        <f t="shared" si="53"/>
        <v>1.3285540313485609E-6</v>
      </c>
      <c r="S250"/>
      <c r="T250" s="94"/>
    </row>
    <row r="251" spans="1:20" ht="20.5" customHeight="1" x14ac:dyDescent="0.2">
      <c r="A251"/>
      <c r="B251" s="119">
        <v>5</v>
      </c>
      <c r="C251" s="210"/>
      <c r="D251" s="148">
        <f t="shared" si="60"/>
        <v>238</v>
      </c>
      <c r="E251" s="29" t="str">
        <f t="shared" si="65"/>
        <v>Transition from state 6 to state 5 (PVI T4)</v>
      </c>
      <c r="F251" s="44">
        <f t="shared" si="52"/>
        <v>0</v>
      </c>
      <c r="G251" s="44">
        <v>1</v>
      </c>
      <c r="H251" s="149">
        <f>'Transition Probabilites'!Z55</f>
        <v>0</v>
      </c>
      <c r="I251" s="44" t="s">
        <v>80</v>
      </c>
      <c r="J251" s="44">
        <f t="shared" si="55"/>
        <v>0</v>
      </c>
      <c r="K251" s="44">
        <f t="shared" si="56"/>
        <v>0</v>
      </c>
      <c r="L251" s="44" t="s">
        <v>80</v>
      </c>
      <c r="M251" s="54" t="s">
        <v>242</v>
      </c>
      <c r="N251" s="44" t="e">
        <f t="shared" ca="1" si="57"/>
        <v>#DIV/0!</v>
      </c>
      <c r="O251" s="44">
        <f t="shared" ca="1" si="51"/>
        <v>0.27855781249057754</v>
      </c>
      <c r="P251" s="55" t="e">
        <f t="shared" si="58"/>
        <v>#DIV/0!</v>
      </c>
      <c r="Q251" s="55" t="e">
        <f t="shared" si="59"/>
        <v>#DIV/0!</v>
      </c>
      <c r="R251" s="55">
        <f t="shared" si="53"/>
        <v>0</v>
      </c>
      <c r="S251"/>
      <c r="T251" s="94"/>
    </row>
    <row r="252" spans="1:20" ht="20.25" customHeight="1" x14ac:dyDescent="0.2">
      <c r="A252"/>
      <c r="B252" s="119">
        <v>6</v>
      </c>
      <c r="C252" s="210"/>
      <c r="D252" s="148">
        <f t="shared" si="60"/>
        <v>239</v>
      </c>
      <c r="E252" s="29" t="str">
        <f t="shared" si="65"/>
        <v>Transition from state 6 to state 6 (PVI T4)</v>
      </c>
      <c r="F252" s="44">
        <f t="shared" si="52"/>
        <v>5.1168891207381149E-4</v>
      </c>
      <c r="G252" s="44">
        <v>1</v>
      </c>
      <c r="H252" s="149">
        <f>'Transition Probabilites'!Z56</f>
        <v>5.1168891207381149E-4</v>
      </c>
      <c r="I252" s="44" t="s">
        <v>37</v>
      </c>
      <c r="J252" s="44">
        <f t="shared" si="55"/>
        <v>4.1139972817849624E-4</v>
      </c>
      <c r="K252" s="44">
        <f t="shared" si="56"/>
        <v>6.1197809596912674E-4</v>
      </c>
      <c r="L252" s="44" t="s">
        <v>37</v>
      </c>
      <c r="M252" s="54" t="s">
        <v>242</v>
      </c>
      <c r="N252" s="44">
        <f t="shared" ca="1" si="57"/>
        <v>4.6483625171897308E-4</v>
      </c>
      <c r="O252" s="44">
        <f t="shared" ca="1" si="51"/>
        <v>0.18099233366637135</v>
      </c>
      <c r="P252" s="55">
        <f t="shared" si="58"/>
        <v>99.948831108792632</v>
      </c>
      <c r="Q252" s="55">
        <f t="shared" si="59"/>
        <v>195231.24789037905</v>
      </c>
      <c r="R252" s="55">
        <f t="shared" si="53"/>
        <v>5.1168891207381149E-5</v>
      </c>
      <c r="S252"/>
      <c r="T252" s="94"/>
    </row>
    <row r="253" spans="1:20" ht="20.25" customHeight="1" x14ac:dyDescent="0.2">
      <c r="A253"/>
      <c r="B253" s="119">
        <v>7</v>
      </c>
      <c r="C253" s="210"/>
      <c r="D253" s="148">
        <f t="shared" si="60"/>
        <v>240</v>
      </c>
      <c r="E253" s="29" t="str">
        <f t="shared" si="65"/>
        <v>Transition from state 6 to state 7 (PVI T4)</v>
      </c>
      <c r="F253" s="44">
        <f t="shared" si="52"/>
        <v>0.7596581179248928</v>
      </c>
      <c r="G253" s="44">
        <v>1</v>
      </c>
      <c r="H253" s="149">
        <f>'Transition Probabilites'!Z57</f>
        <v>0.7596581179248928</v>
      </c>
      <c r="I253" s="44" t="s">
        <v>80</v>
      </c>
      <c r="J253" s="44">
        <f t="shared" si="55"/>
        <v>0.61076786275526573</v>
      </c>
      <c r="K253" s="44">
        <f t="shared" si="56"/>
        <v>0.90854837309451986</v>
      </c>
      <c r="L253" s="44" t="s">
        <v>80</v>
      </c>
      <c r="M253" s="54" t="s">
        <v>242</v>
      </c>
      <c r="N253" s="44" t="e">
        <f t="shared" ca="1" si="57"/>
        <v>#NUM!</v>
      </c>
      <c r="O253" s="44">
        <f t="shared" ca="1" si="51"/>
        <v>0.79473133515942884</v>
      </c>
      <c r="P253" s="55">
        <f t="shared" si="58"/>
        <v>24.034188207510713</v>
      </c>
      <c r="Q253" s="55">
        <f t="shared" si="59"/>
        <v>-60.765254704025352</v>
      </c>
      <c r="R253" s="55">
        <f t="shared" si="53"/>
        <v>7.5965811792489291E-2</v>
      </c>
      <c r="S253"/>
      <c r="T253" s="94"/>
    </row>
    <row r="254" spans="1:20" ht="20.25" customHeight="1" x14ac:dyDescent="0.2">
      <c r="A254"/>
      <c r="B254" s="119">
        <v>8</v>
      </c>
      <c r="C254" s="210"/>
      <c r="D254" s="148">
        <f t="shared" si="60"/>
        <v>241</v>
      </c>
      <c r="E254" s="29" t="str">
        <f t="shared" si="65"/>
        <v>Transition from state 6 to state 8 (PVI T4)</v>
      </c>
      <c r="F254" s="44">
        <f t="shared" si="52"/>
        <v>0.23855630562897456</v>
      </c>
      <c r="G254" s="44">
        <v>1</v>
      </c>
      <c r="H254" s="149">
        <f>'Transition Probabilites'!Z58</f>
        <v>0.23855630562897456</v>
      </c>
      <c r="I254" s="44" t="s">
        <v>37</v>
      </c>
      <c r="J254" s="44">
        <f t="shared" si="55"/>
        <v>0.19180012889720258</v>
      </c>
      <c r="K254" s="44">
        <f t="shared" si="56"/>
        <v>0.28531248236074652</v>
      </c>
      <c r="L254" s="44" t="s">
        <v>37</v>
      </c>
      <c r="M254" s="54" t="s">
        <v>242</v>
      </c>
      <c r="N254" s="44">
        <f t="shared" ca="1" si="57"/>
        <v>0.24845807363108008</v>
      </c>
      <c r="O254" s="44">
        <f t="shared" ca="1" si="51"/>
        <v>0.39408024503490613</v>
      </c>
      <c r="P254" s="55">
        <f t="shared" si="58"/>
        <v>76.14436943710254</v>
      </c>
      <c r="Q254" s="55">
        <f t="shared" si="59"/>
        <v>221.57381186967262</v>
      </c>
      <c r="R254" s="55">
        <f t="shared" si="53"/>
        <v>2.3855630562897457E-2</v>
      </c>
      <c r="S254"/>
      <c r="T254" s="94"/>
    </row>
    <row r="255" spans="1:20" ht="20.25" customHeight="1" x14ac:dyDescent="0.2">
      <c r="A255"/>
      <c r="B255" s="119">
        <v>1</v>
      </c>
      <c r="C255" s="210"/>
      <c r="D255" s="148">
        <f t="shared" si="60"/>
        <v>242</v>
      </c>
      <c r="E255" s="29" t="str">
        <f t="shared" ref="E255:E262" si="66">"Transition from state"&amp; " "&amp;$B$21&amp;" "&amp;"to state"&amp;" "&amp;B255&amp;" "&amp;"(PVI T4)"</f>
        <v>Transition from state 7 to state 1 (PVI T4)</v>
      </c>
      <c r="F255" s="44">
        <f t="shared" si="52"/>
        <v>0</v>
      </c>
      <c r="G255" s="44">
        <v>1</v>
      </c>
      <c r="H255" s="149">
        <f>'Transition Probabilites'!Z59</f>
        <v>0</v>
      </c>
      <c r="I255" s="44" t="s">
        <v>80</v>
      </c>
      <c r="J255" s="44">
        <f t="shared" si="55"/>
        <v>0</v>
      </c>
      <c r="K255" s="44">
        <f t="shared" si="56"/>
        <v>0</v>
      </c>
      <c r="L255" s="44" t="s">
        <v>80</v>
      </c>
      <c r="M255" s="54" t="s">
        <v>242</v>
      </c>
      <c r="N255" s="44" t="e">
        <f t="shared" ca="1" si="57"/>
        <v>#DIV/0!</v>
      </c>
      <c r="O255" s="44">
        <f t="shared" ca="1" si="51"/>
        <v>0.6705080152913967</v>
      </c>
      <c r="P255" s="55" t="e">
        <f t="shared" si="58"/>
        <v>#DIV/0!</v>
      </c>
      <c r="Q255" s="55" t="e">
        <f t="shared" si="59"/>
        <v>#DIV/0!</v>
      </c>
      <c r="R255" s="55">
        <f t="shared" si="53"/>
        <v>0</v>
      </c>
      <c r="S255"/>
      <c r="T255" s="94"/>
    </row>
    <row r="256" spans="1:20" ht="20.25" customHeight="1" x14ac:dyDescent="0.2">
      <c r="A256"/>
      <c r="B256" s="119">
        <v>2</v>
      </c>
      <c r="C256" s="210"/>
      <c r="D256" s="148">
        <f t="shared" si="60"/>
        <v>243</v>
      </c>
      <c r="E256" s="29" t="str">
        <f t="shared" si="66"/>
        <v>Transition from state 7 to state 2 (PVI T4)</v>
      </c>
      <c r="F256" s="44">
        <f t="shared" si="52"/>
        <v>0</v>
      </c>
      <c r="G256" s="44">
        <v>1</v>
      </c>
      <c r="H256" s="149">
        <f>'Transition Probabilites'!Z60</f>
        <v>0</v>
      </c>
      <c r="I256" s="44" t="s">
        <v>80</v>
      </c>
      <c r="J256" s="44">
        <f t="shared" si="55"/>
        <v>0</v>
      </c>
      <c r="K256" s="44">
        <f t="shared" si="56"/>
        <v>0</v>
      </c>
      <c r="L256" s="44" t="s">
        <v>80</v>
      </c>
      <c r="M256" s="54" t="s">
        <v>242</v>
      </c>
      <c r="N256" s="44" t="e">
        <f t="shared" ca="1" si="57"/>
        <v>#DIV/0!</v>
      </c>
      <c r="O256" s="44">
        <f t="shared" ca="1" si="51"/>
        <v>0.91895806491271648</v>
      </c>
      <c r="P256" s="55" t="e">
        <f t="shared" si="58"/>
        <v>#DIV/0!</v>
      </c>
      <c r="Q256" s="55" t="e">
        <f t="shared" si="59"/>
        <v>#DIV/0!</v>
      </c>
      <c r="R256" s="55">
        <f t="shared" si="53"/>
        <v>0</v>
      </c>
      <c r="S256"/>
      <c r="T256" s="94"/>
    </row>
    <row r="257" spans="1:20" ht="20.25" customHeight="1" x14ac:dyDescent="0.2">
      <c r="A257"/>
      <c r="B257" s="119">
        <v>3</v>
      </c>
      <c r="C257" s="210"/>
      <c r="D257" s="148">
        <f t="shared" si="60"/>
        <v>244</v>
      </c>
      <c r="E257" s="29" t="str">
        <f t="shared" si="66"/>
        <v>Transition from state 7 to state 3 (PVI T4)</v>
      </c>
      <c r="F257" s="44">
        <f t="shared" si="52"/>
        <v>0</v>
      </c>
      <c r="G257" s="44">
        <v>1</v>
      </c>
      <c r="H257" s="149">
        <f>'Transition Probabilites'!Z61</f>
        <v>0</v>
      </c>
      <c r="I257" s="44" t="s">
        <v>80</v>
      </c>
      <c r="J257" s="44">
        <f t="shared" si="55"/>
        <v>0</v>
      </c>
      <c r="K257" s="44">
        <f t="shared" si="56"/>
        <v>0</v>
      </c>
      <c r="L257" s="44" t="s">
        <v>80</v>
      </c>
      <c r="M257" s="54" t="s">
        <v>242</v>
      </c>
      <c r="N257" s="44" t="e">
        <f t="shared" ca="1" si="57"/>
        <v>#DIV/0!</v>
      </c>
      <c r="O257" s="44">
        <f t="shared" ca="1" si="51"/>
        <v>0.987913761728339</v>
      </c>
      <c r="P257" s="55" t="e">
        <f t="shared" si="58"/>
        <v>#DIV/0!</v>
      </c>
      <c r="Q257" s="55" t="e">
        <f t="shared" si="59"/>
        <v>#DIV/0!</v>
      </c>
      <c r="R257" s="55">
        <f t="shared" si="53"/>
        <v>0</v>
      </c>
      <c r="S257"/>
      <c r="T257" s="94"/>
    </row>
    <row r="258" spans="1:20" ht="20.25" customHeight="1" x14ac:dyDescent="0.2">
      <c r="A258"/>
      <c r="B258" s="119">
        <v>4</v>
      </c>
      <c r="C258" s="210"/>
      <c r="D258" s="148">
        <f t="shared" si="60"/>
        <v>245</v>
      </c>
      <c r="E258" s="29" t="str">
        <f t="shared" si="66"/>
        <v>Transition from state 7 to state 4 (PVI T4)</v>
      </c>
      <c r="F258" s="44">
        <f t="shared" si="52"/>
        <v>0</v>
      </c>
      <c r="G258" s="44">
        <v>1</v>
      </c>
      <c r="H258" s="149">
        <f>'Transition Probabilites'!Z62</f>
        <v>0</v>
      </c>
      <c r="I258" s="44" t="s">
        <v>80</v>
      </c>
      <c r="J258" s="44">
        <f t="shared" si="55"/>
        <v>0</v>
      </c>
      <c r="K258" s="44">
        <f t="shared" si="56"/>
        <v>0</v>
      </c>
      <c r="L258" s="44" t="s">
        <v>80</v>
      </c>
      <c r="M258" s="54" t="s">
        <v>242</v>
      </c>
      <c r="N258" s="44" t="e">
        <f t="shared" ca="1" si="57"/>
        <v>#DIV/0!</v>
      </c>
      <c r="O258" s="44">
        <f t="shared" ca="1" si="51"/>
        <v>0.11756966340433528</v>
      </c>
      <c r="P258" s="55" t="e">
        <f t="shared" si="58"/>
        <v>#DIV/0!</v>
      </c>
      <c r="Q258" s="55" t="e">
        <f t="shared" si="59"/>
        <v>#DIV/0!</v>
      </c>
      <c r="R258" s="55">
        <f t="shared" si="53"/>
        <v>0</v>
      </c>
      <c r="S258"/>
      <c r="T258" s="94"/>
    </row>
    <row r="259" spans="1:20" ht="20.25" customHeight="1" x14ac:dyDescent="0.2">
      <c r="A259"/>
      <c r="B259" s="119">
        <v>5</v>
      </c>
      <c r="C259" s="210"/>
      <c r="D259" s="148">
        <f t="shared" si="60"/>
        <v>246</v>
      </c>
      <c r="E259" s="29" t="str">
        <f t="shared" si="66"/>
        <v>Transition from state 7 to state 5 (PVI T4)</v>
      </c>
      <c r="F259" s="44">
        <f t="shared" si="52"/>
        <v>0</v>
      </c>
      <c r="G259" s="44">
        <v>1</v>
      </c>
      <c r="H259" s="149">
        <f>'Transition Probabilites'!Z63</f>
        <v>0</v>
      </c>
      <c r="I259" s="44" t="s">
        <v>80</v>
      </c>
      <c r="J259" s="44">
        <f t="shared" si="55"/>
        <v>0</v>
      </c>
      <c r="K259" s="44">
        <f t="shared" si="56"/>
        <v>0</v>
      </c>
      <c r="L259" s="44" t="s">
        <v>80</v>
      </c>
      <c r="M259" s="54" t="s">
        <v>242</v>
      </c>
      <c r="N259" s="44" t="e">
        <f t="shared" ca="1" si="57"/>
        <v>#DIV/0!</v>
      </c>
      <c r="O259" s="44">
        <f t="shared" ca="1" si="51"/>
        <v>0.14380740191732344</v>
      </c>
      <c r="P259" s="55" t="e">
        <f t="shared" si="58"/>
        <v>#DIV/0!</v>
      </c>
      <c r="Q259" s="55" t="e">
        <f t="shared" si="59"/>
        <v>#DIV/0!</v>
      </c>
      <c r="R259" s="55">
        <f t="shared" si="53"/>
        <v>0</v>
      </c>
      <c r="S259"/>
      <c r="T259" s="94"/>
    </row>
    <row r="260" spans="1:20" ht="20.25" customHeight="1" x14ac:dyDescent="0.2">
      <c r="A260"/>
      <c r="B260" s="119">
        <v>6</v>
      </c>
      <c r="C260" s="210"/>
      <c r="D260" s="148">
        <f t="shared" si="60"/>
        <v>247</v>
      </c>
      <c r="E260" s="29" t="str">
        <f t="shared" si="66"/>
        <v>Transition from state 7 to state 6 (PVI T4)</v>
      </c>
      <c r="F260" s="44">
        <f t="shared" si="52"/>
        <v>0</v>
      </c>
      <c r="G260" s="44">
        <v>1</v>
      </c>
      <c r="H260" s="149">
        <f>'Transition Probabilites'!Z64</f>
        <v>0</v>
      </c>
      <c r="I260" s="44" t="s">
        <v>80</v>
      </c>
      <c r="J260" s="44">
        <f t="shared" si="55"/>
        <v>0</v>
      </c>
      <c r="K260" s="44">
        <f t="shared" si="56"/>
        <v>0</v>
      </c>
      <c r="L260" s="44" t="s">
        <v>80</v>
      </c>
      <c r="M260" s="54" t="s">
        <v>242</v>
      </c>
      <c r="N260" s="44" t="e">
        <f t="shared" ca="1" si="57"/>
        <v>#DIV/0!</v>
      </c>
      <c r="O260" s="44">
        <f t="shared" ca="1" si="51"/>
        <v>0.75461403493232104</v>
      </c>
      <c r="P260" s="55" t="e">
        <f t="shared" si="58"/>
        <v>#DIV/0!</v>
      </c>
      <c r="Q260" s="55" t="e">
        <f t="shared" si="59"/>
        <v>#DIV/0!</v>
      </c>
      <c r="R260" s="55">
        <f t="shared" si="53"/>
        <v>0</v>
      </c>
      <c r="S260"/>
      <c r="T260" s="94"/>
    </row>
    <row r="261" spans="1:20" ht="20.25" customHeight="1" x14ac:dyDescent="0.2">
      <c r="A261"/>
      <c r="B261" s="119">
        <v>7</v>
      </c>
      <c r="C261" s="210"/>
      <c r="D261" s="148">
        <f t="shared" si="60"/>
        <v>248</v>
      </c>
      <c r="E261" s="29" t="str">
        <f t="shared" si="66"/>
        <v>Transition from state 7 to state 7 (PVI T4)</v>
      </c>
      <c r="F261" s="44">
        <f t="shared" si="52"/>
        <v>1</v>
      </c>
      <c r="G261" s="44">
        <v>1</v>
      </c>
      <c r="H261" s="149">
        <f>'Transition Probabilites'!Z65</f>
        <v>1</v>
      </c>
      <c r="I261" s="44" t="s">
        <v>80</v>
      </c>
      <c r="J261" s="44">
        <f t="shared" si="55"/>
        <v>0.8040036015459946</v>
      </c>
      <c r="K261" s="44">
        <f t="shared" si="56"/>
        <v>1.1959963984540054</v>
      </c>
      <c r="L261" s="44" t="s">
        <v>80</v>
      </c>
      <c r="M261" s="54" t="s">
        <v>242</v>
      </c>
      <c r="N261" s="44" t="e">
        <f t="shared" ca="1" si="57"/>
        <v>#NUM!</v>
      </c>
      <c r="O261" s="44">
        <f t="shared" ca="1" si="51"/>
        <v>0.73279327335990629</v>
      </c>
      <c r="P261" s="55">
        <f t="shared" si="58"/>
        <v>0</v>
      </c>
      <c r="Q261" s="55">
        <f t="shared" si="59"/>
        <v>-89.999999999999986</v>
      </c>
      <c r="R261" s="55">
        <f t="shared" si="53"/>
        <v>0.1</v>
      </c>
      <c r="S261"/>
      <c r="T261" s="94"/>
    </row>
    <row r="262" spans="1:20" ht="20.25" customHeight="1" x14ac:dyDescent="0.2">
      <c r="A262"/>
      <c r="B262" s="119">
        <v>8</v>
      </c>
      <c r="C262" s="210"/>
      <c r="D262" s="148">
        <f t="shared" si="60"/>
        <v>249</v>
      </c>
      <c r="E262" s="29" t="str">
        <f t="shared" si="66"/>
        <v>Transition from state 7 to state 8 (PVI T4)</v>
      </c>
      <c r="F262" s="44">
        <f t="shared" si="52"/>
        <v>0</v>
      </c>
      <c r="G262" s="44">
        <v>1</v>
      </c>
      <c r="H262" s="149">
        <f>'Transition Probabilites'!Z66</f>
        <v>0</v>
      </c>
      <c r="I262" s="44" t="s">
        <v>80</v>
      </c>
      <c r="J262" s="44">
        <f t="shared" si="55"/>
        <v>0</v>
      </c>
      <c r="K262" s="44">
        <f t="shared" si="56"/>
        <v>0</v>
      </c>
      <c r="L262" s="44" t="s">
        <v>80</v>
      </c>
      <c r="M262" s="54" t="s">
        <v>242</v>
      </c>
      <c r="N262" s="44" t="e">
        <f t="shared" ca="1" si="57"/>
        <v>#DIV/0!</v>
      </c>
      <c r="O262" s="44">
        <f t="shared" ca="1" si="51"/>
        <v>0.53626930301074482</v>
      </c>
      <c r="P262" s="55" t="e">
        <f t="shared" si="58"/>
        <v>#DIV/0!</v>
      </c>
      <c r="Q262" s="55" t="e">
        <f t="shared" si="59"/>
        <v>#DIV/0!</v>
      </c>
      <c r="R262" s="55">
        <f t="shared" si="53"/>
        <v>0</v>
      </c>
      <c r="S262"/>
      <c r="T262" s="94"/>
    </row>
    <row r="263" spans="1:20" ht="20.25" customHeight="1" x14ac:dyDescent="0.2">
      <c r="A263"/>
      <c r="B263" s="119">
        <v>1</v>
      </c>
      <c r="C263" s="210"/>
      <c r="D263" s="148">
        <f t="shared" si="60"/>
        <v>250</v>
      </c>
      <c r="E263" s="29" t="str">
        <f t="shared" ref="E263:E270" si="67">"Transition from state"&amp; " "&amp;$B$22&amp;" "&amp;"to state"&amp;" "&amp;B263&amp;" "&amp;"(PVI T4)"</f>
        <v>Transition from state 8 to state 1 (PVI T4)</v>
      </c>
      <c r="F263" s="44">
        <f t="shared" si="52"/>
        <v>0</v>
      </c>
      <c r="G263" s="44">
        <v>1</v>
      </c>
      <c r="H263" s="149">
        <f>'Transition Probabilites'!Z67</f>
        <v>0</v>
      </c>
      <c r="I263" s="44" t="s">
        <v>80</v>
      </c>
      <c r="J263" s="44">
        <f t="shared" si="55"/>
        <v>0</v>
      </c>
      <c r="K263" s="44">
        <f t="shared" si="56"/>
        <v>0</v>
      </c>
      <c r="L263" s="44" t="s">
        <v>80</v>
      </c>
      <c r="M263" s="54" t="s">
        <v>242</v>
      </c>
      <c r="N263" s="44" t="e">
        <f t="shared" ca="1" si="57"/>
        <v>#DIV/0!</v>
      </c>
      <c r="O263" s="44">
        <f t="shared" ca="1" si="51"/>
        <v>0.43979971368607484</v>
      </c>
      <c r="P263" s="55" t="e">
        <f t="shared" si="58"/>
        <v>#DIV/0!</v>
      </c>
      <c r="Q263" s="55" t="e">
        <f t="shared" si="59"/>
        <v>#DIV/0!</v>
      </c>
      <c r="R263" s="55">
        <f t="shared" si="53"/>
        <v>0</v>
      </c>
      <c r="S263"/>
      <c r="T263" s="94"/>
    </row>
    <row r="264" spans="1:20" ht="20.25" customHeight="1" x14ac:dyDescent="0.2">
      <c r="A264"/>
      <c r="B264" s="119">
        <v>2</v>
      </c>
      <c r="C264" s="210"/>
      <c r="D264" s="148">
        <f t="shared" si="60"/>
        <v>251</v>
      </c>
      <c r="E264" s="29" t="str">
        <f t="shared" si="67"/>
        <v>Transition from state 8 to state 2 (PVI T4)</v>
      </c>
      <c r="F264" s="44">
        <f t="shared" si="52"/>
        <v>0</v>
      </c>
      <c r="G264" s="44">
        <v>1</v>
      </c>
      <c r="H264" s="149">
        <f>'Transition Probabilites'!Z68</f>
        <v>0</v>
      </c>
      <c r="I264" s="44" t="s">
        <v>80</v>
      </c>
      <c r="J264" s="44">
        <f t="shared" si="55"/>
        <v>0</v>
      </c>
      <c r="K264" s="44">
        <f t="shared" si="56"/>
        <v>0</v>
      </c>
      <c r="L264" s="44" t="s">
        <v>80</v>
      </c>
      <c r="M264" s="54" t="s">
        <v>242</v>
      </c>
      <c r="N264" s="44" t="e">
        <f t="shared" ca="1" si="57"/>
        <v>#DIV/0!</v>
      </c>
      <c r="O264" s="44">
        <f t="shared" ca="1" si="51"/>
        <v>0.72852972045869058</v>
      </c>
      <c r="P264" s="55" t="e">
        <f t="shared" si="58"/>
        <v>#DIV/0!</v>
      </c>
      <c r="Q264" s="55" t="e">
        <f t="shared" si="59"/>
        <v>#DIV/0!</v>
      </c>
      <c r="R264" s="55">
        <f t="shared" si="53"/>
        <v>0</v>
      </c>
      <c r="S264"/>
      <c r="T264" s="94"/>
    </row>
    <row r="265" spans="1:20" ht="20.25" customHeight="1" x14ac:dyDescent="0.2">
      <c r="A265"/>
      <c r="B265" s="119">
        <v>3</v>
      </c>
      <c r="C265" s="210"/>
      <c r="D265" s="148">
        <f t="shared" si="60"/>
        <v>252</v>
      </c>
      <c r="E265" s="29" t="str">
        <f t="shared" si="67"/>
        <v>Transition from state 8 to state 3 (PVI T4)</v>
      </c>
      <c r="F265" s="44">
        <f t="shared" si="52"/>
        <v>0</v>
      </c>
      <c r="G265" s="44">
        <v>1</v>
      </c>
      <c r="H265" s="149">
        <f>'Transition Probabilites'!Z69</f>
        <v>0</v>
      </c>
      <c r="I265" s="44" t="s">
        <v>80</v>
      </c>
      <c r="J265" s="44">
        <f t="shared" si="55"/>
        <v>0</v>
      </c>
      <c r="K265" s="44">
        <f t="shared" si="56"/>
        <v>0</v>
      </c>
      <c r="L265" s="44" t="s">
        <v>80</v>
      </c>
      <c r="M265" s="54" t="s">
        <v>242</v>
      </c>
      <c r="N265" s="44" t="e">
        <f t="shared" ca="1" si="57"/>
        <v>#DIV/0!</v>
      </c>
      <c r="O265" s="44">
        <f t="shared" ca="1" si="51"/>
        <v>0.55260116909989809</v>
      </c>
      <c r="P265" s="55" t="e">
        <f t="shared" si="58"/>
        <v>#DIV/0!</v>
      </c>
      <c r="Q265" s="55" t="e">
        <f t="shared" si="59"/>
        <v>#DIV/0!</v>
      </c>
      <c r="R265" s="55">
        <f t="shared" si="53"/>
        <v>0</v>
      </c>
      <c r="S265"/>
      <c r="T265" s="94"/>
    </row>
    <row r="266" spans="1:20" ht="20.25" customHeight="1" x14ac:dyDescent="0.2">
      <c r="A266"/>
      <c r="B266" s="119">
        <v>4</v>
      </c>
      <c r="C266" s="210"/>
      <c r="D266" s="148">
        <f t="shared" si="60"/>
        <v>253</v>
      </c>
      <c r="E266" s="29" t="str">
        <f t="shared" si="67"/>
        <v>Transition from state 8 to state 4 (PVI T4)</v>
      </c>
      <c r="F266" s="44">
        <f t="shared" si="52"/>
        <v>0</v>
      </c>
      <c r="G266" s="44">
        <v>1</v>
      </c>
      <c r="H266" s="149">
        <f>'Transition Probabilites'!Z70</f>
        <v>0</v>
      </c>
      <c r="I266" s="44" t="s">
        <v>80</v>
      </c>
      <c r="J266" s="44">
        <f t="shared" si="55"/>
        <v>0</v>
      </c>
      <c r="K266" s="44">
        <f t="shared" si="56"/>
        <v>0</v>
      </c>
      <c r="L266" s="44" t="s">
        <v>80</v>
      </c>
      <c r="M266" s="54" t="s">
        <v>242</v>
      </c>
      <c r="N266" s="44" t="e">
        <f t="shared" ca="1" si="57"/>
        <v>#DIV/0!</v>
      </c>
      <c r="O266" s="44">
        <f t="shared" ca="1" si="51"/>
        <v>0.35281854814097224</v>
      </c>
      <c r="P266" s="55" t="e">
        <f t="shared" si="58"/>
        <v>#DIV/0!</v>
      </c>
      <c r="Q266" s="55" t="e">
        <f t="shared" si="59"/>
        <v>#DIV/0!</v>
      </c>
      <c r="R266" s="55">
        <f t="shared" si="53"/>
        <v>0</v>
      </c>
      <c r="S266"/>
      <c r="T266" s="94"/>
    </row>
    <row r="267" spans="1:20" ht="20.25" customHeight="1" x14ac:dyDescent="0.2">
      <c r="A267"/>
      <c r="B267" s="119">
        <v>5</v>
      </c>
      <c r="C267" s="210"/>
      <c r="D267" s="148">
        <f t="shared" si="60"/>
        <v>254</v>
      </c>
      <c r="E267" s="29" t="str">
        <f t="shared" si="67"/>
        <v>Transition from state 8 to state 5 (PVI T4)</v>
      </c>
      <c r="F267" s="44">
        <f t="shared" si="52"/>
        <v>0</v>
      </c>
      <c r="G267" s="44">
        <v>1</v>
      </c>
      <c r="H267" s="149">
        <f>'Transition Probabilites'!Z71</f>
        <v>0</v>
      </c>
      <c r="I267" s="44" t="s">
        <v>80</v>
      </c>
      <c r="J267" s="44">
        <f t="shared" si="55"/>
        <v>0</v>
      </c>
      <c r="K267" s="44">
        <f t="shared" si="56"/>
        <v>0</v>
      </c>
      <c r="L267" s="44" t="s">
        <v>80</v>
      </c>
      <c r="M267" s="54" t="s">
        <v>242</v>
      </c>
      <c r="N267" s="44" t="e">
        <f t="shared" ca="1" si="57"/>
        <v>#DIV/0!</v>
      </c>
      <c r="O267" s="44">
        <f t="shared" ref="O267:O282" ca="1" si="68">RAND()</f>
        <v>0.74127102865757311</v>
      </c>
      <c r="P267" s="55" t="e">
        <f t="shared" si="58"/>
        <v>#DIV/0!</v>
      </c>
      <c r="Q267" s="55" t="e">
        <f t="shared" si="59"/>
        <v>#DIV/0!</v>
      </c>
      <c r="R267" s="55">
        <f t="shared" si="53"/>
        <v>0</v>
      </c>
      <c r="S267"/>
      <c r="T267" s="94"/>
    </row>
    <row r="268" spans="1:20" ht="20.25" customHeight="1" x14ac:dyDescent="0.2">
      <c r="A268"/>
      <c r="B268" s="119">
        <v>6</v>
      </c>
      <c r="C268" s="210"/>
      <c r="D268" s="148">
        <f t="shared" si="60"/>
        <v>255</v>
      </c>
      <c r="E268" s="29" t="str">
        <f t="shared" si="67"/>
        <v>Transition from state 8 to state 6 (PVI T4)</v>
      </c>
      <c r="F268" s="44">
        <f t="shared" si="52"/>
        <v>0</v>
      </c>
      <c r="G268" s="44">
        <v>1</v>
      </c>
      <c r="H268" s="149">
        <f>'Transition Probabilites'!Z72</f>
        <v>0</v>
      </c>
      <c r="I268" s="44" t="s">
        <v>80</v>
      </c>
      <c r="J268" s="44">
        <f t="shared" si="55"/>
        <v>0</v>
      </c>
      <c r="K268" s="44">
        <f t="shared" si="56"/>
        <v>0</v>
      </c>
      <c r="L268" s="44" t="s">
        <v>80</v>
      </c>
      <c r="M268" s="54" t="s">
        <v>242</v>
      </c>
      <c r="N268" s="44" t="e">
        <f t="shared" ca="1" si="57"/>
        <v>#DIV/0!</v>
      </c>
      <c r="O268" s="44">
        <f t="shared" ca="1" si="68"/>
        <v>5.0475062371795332E-2</v>
      </c>
      <c r="P268" s="55" t="e">
        <f t="shared" si="58"/>
        <v>#DIV/0!</v>
      </c>
      <c r="Q268" s="55" t="e">
        <f t="shared" si="59"/>
        <v>#DIV/0!</v>
      </c>
      <c r="R268" s="55">
        <f t="shared" si="53"/>
        <v>0</v>
      </c>
      <c r="S268"/>
      <c r="T268" s="94"/>
    </row>
    <row r="269" spans="1:20" ht="20.25" customHeight="1" x14ac:dyDescent="0.2">
      <c r="A269"/>
      <c r="B269" s="119">
        <v>7</v>
      </c>
      <c r="C269" s="210"/>
      <c r="D269" s="148">
        <f t="shared" si="60"/>
        <v>256</v>
      </c>
      <c r="E269" s="29" t="str">
        <f t="shared" si="67"/>
        <v>Transition from state 8 to state 7 (PVI T4)</v>
      </c>
      <c r="F269" s="44">
        <f t="shared" si="52"/>
        <v>0</v>
      </c>
      <c r="G269" s="44">
        <v>1</v>
      </c>
      <c r="H269" s="149">
        <f>'Transition Probabilites'!Z73</f>
        <v>0</v>
      </c>
      <c r="I269" s="44" t="s">
        <v>80</v>
      </c>
      <c r="J269" s="44">
        <f t="shared" si="55"/>
        <v>0</v>
      </c>
      <c r="K269" s="44">
        <f t="shared" si="56"/>
        <v>0</v>
      </c>
      <c r="L269" s="44" t="s">
        <v>80</v>
      </c>
      <c r="M269" s="54" t="s">
        <v>242</v>
      </c>
      <c r="N269" s="44" t="e">
        <f t="shared" ca="1" si="57"/>
        <v>#DIV/0!</v>
      </c>
      <c r="O269" s="44">
        <f t="shared" ca="1" si="68"/>
        <v>0.12678956914664119</v>
      </c>
      <c r="P269" s="55" t="e">
        <f t="shared" si="58"/>
        <v>#DIV/0!</v>
      </c>
      <c r="Q269" s="55" t="e">
        <f t="shared" si="59"/>
        <v>#DIV/0!</v>
      </c>
      <c r="R269" s="55">
        <f t="shared" si="53"/>
        <v>0</v>
      </c>
      <c r="S269"/>
      <c r="T269" s="94"/>
    </row>
    <row r="270" spans="1:20" ht="20.25" customHeight="1" x14ac:dyDescent="0.2">
      <c r="A270"/>
      <c r="B270" s="119">
        <v>8</v>
      </c>
      <c r="C270" s="210"/>
      <c r="D270" s="148">
        <f t="shared" si="60"/>
        <v>257</v>
      </c>
      <c r="E270" s="29" t="str">
        <f t="shared" si="67"/>
        <v>Transition from state 8 to state 8 (PVI T4)</v>
      </c>
      <c r="F270" s="44">
        <f t="shared" ref="F270:F286" si="69">CHOOSE(G270,H270,J270,K270,N270)</f>
        <v>1</v>
      </c>
      <c r="G270" s="44">
        <v>1</v>
      </c>
      <c r="H270" s="149">
        <f>'Transition Probabilites'!Z74</f>
        <v>1</v>
      </c>
      <c r="I270" s="44" t="s">
        <v>80</v>
      </c>
      <c r="J270" s="44">
        <f t="shared" si="55"/>
        <v>0.8040036015459946</v>
      </c>
      <c r="K270" s="44">
        <f t="shared" si="56"/>
        <v>1.1959963984540054</v>
      </c>
      <c r="L270" s="44" t="s">
        <v>80</v>
      </c>
      <c r="M270" s="54" t="s">
        <v>242</v>
      </c>
      <c r="N270" s="44" t="e">
        <f t="shared" ca="1" si="57"/>
        <v>#NUM!</v>
      </c>
      <c r="O270" s="44">
        <f t="shared" ca="1" si="68"/>
        <v>0.18245043754502299</v>
      </c>
      <c r="P270" s="55">
        <f t="shared" si="58"/>
        <v>0</v>
      </c>
      <c r="Q270" s="55">
        <f t="shared" si="59"/>
        <v>-89.999999999999986</v>
      </c>
      <c r="R270" s="55">
        <f t="shared" ref="R270:R286" si="70">assumedSE*H270</f>
        <v>0.1</v>
      </c>
      <c r="S270"/>
      <c r="T270" s="94"/>
    </row>
    <row r="271" spans="1:20" ht="15" customHeight="1" x14ac:dyDescent="0.2">
      <c r="A271"/>
      <c r="B271" s="94"/>
      <c r="C271" s="209" t="s">
        <v>81</v>
      </c>
      <c r="D271" s="148">
        <f t="shared" si="60"/>
        <v>258</v>
      </c>
      <c r="E271" s="29" t="s">
        <v>32</v>
      </c>
      <c r="F271" s="44">
        <f t="shared" si="69"/>
        <v>1.98</v>
      </c>
      <c r="G271" s="44">
        <v>1</v>
      </c>
      <c r="H271" s="149">
        <f>Costs!F11</f>
        <v>1.98</v>
      </c>
      <c r="I271" s="44" t="s">
        <v>80</v>
      </c>
      <c r="J271" s="44">
        <f t="shared" ref="J271:J286" si="71">IF(H271=0,0,_xlfn.NORM.INV(0.025,H271,R271))</f>
        <v>1.5919271310610692</v>
      </c>
      <c r="K271" s="44">
        <f t="shared" ref="K271:K286" si="72">IF(H271=0,0,_xlfn.NORM.INV(0.975,H271,R271))</f>
        <v>2.3680728689389308</v>
      </c>
      <c r="L271" s="44" t="s">
        <v>37</v>
      </c>
      <c r="M271" s="54" t="s">
        <v>243</v>
      </c>
      <c r="N271" s="44">
        <f t="shared" ref="N271:N286" ca="1" si="73">GAMMAINV(RAND(),P271,Q271)</f>
        <v>2.0858799812883402</v>
      </c>
      <c r="O271" s="44">
        <f t="shared" ca="1" si="68"/>
        <v>0.79110872567065316</v>
      </c>
      <c r="P271" s="55">
        <f t="shared" ref="P271:P286" si="74">(H271/R271)^2</f>
        <v>100</v>
      </c>
      <c r="Q271" s="55">
        <f t="shared" ref="Q271:Q286" si="75">(R271^2)/H271</f>
        <v>1.9800000000000002E-2</v>
      </c>
      <c r="R271" s="55">
        <f t="shared" si="70"/>
        <v>0.19800000000000001</v>
      </c>
      <c r="S271"/>
      <c r="T271" s="94"/>
    </row>
    <row r="272" spans="1:20" ht="15" customHeight="1" x14ac:dyDescent="0.2">
      <c r="A272"/>
      <c r="B272" s="94"/>
      <c r="C272" s="210"/>
      <c r="D272" s="148">
        <f t="shared" ref="D272:D286" si="76">D271+1</f>
        <v>259</v>
      </c>
      <c r="E272" s="29" t="s">
        <v>33</v>
      </c>
      <c r="F272" s="44">
        <f t="shared" si="69"/>
        <v>3.53</v>
      </c>
      <c r="G272" s="44">
        <v>1</v>
      </c>
      <c r="H272" s="149">
        <f>Costs!F12</f>
        <v>3.53</v>
      </c>
      <c r="I272" s="44" t="s">
        <v>80</v>
      </c>
      <c r="J272" s="44">
        <f t="shared" si="71"/>
        <v>2.8381327134573606</v>
      </c>
      <c r="K272" s="44">
        <f t="shared" si="72"/>
        <v>4.221867286542639</v>
      </c>
      <c r="L272" s="44" t="s">
        <v>37</v>
      </c>
      <c r="M272" s="54" t="s">
        <v>243</v>
      </c>
      <c r="N272" s="44">
        <f t="shared" ca="1" si="73"/>
        <v>3.6623893889858685</v>
      </c>
      <c r="O272" s="44">
        <f t="shared" ca="1" si="68"/>
        <v>0.62839670195526487</v>
      </c>
      <c r="P272" s="55">
        <f t="shared" si="74"/>
        <v>100</v>
      </c>
      <c r="Q272" s="55">
        <f t="shared" si="75"/>
        <v>3.5299999999999998E-2</v>
      </c>
      <c r="R272" s="55">
        <f t="shared" si="70"/>
        <v>0.35299999999999998</v>
      </c>
      <c r="S272"/>
      <c r="T272" s="94"/>
    </row>
    <row r="273" spans="1:20" ht="15" customHeight="1" x14ac:dyDescent="0.2">
      <c r="A273"/>
      <c r="B273" s="94"/>
      <c r="C273" s="210"/>
      <c r="D273" s="148">
        <f t="shared" si="76"/>
        <v>260</v>
      </c>
      <c r="E273" s="29" t="s">
        <v>34</v>
      </c>
      <c r="F273" s="44">
        <f t="shared" si="69"/>
        <v>3.45</v>
      </c>
      <c r="G273" s="44">
        <v>1</v>
      </c>
      <c r="H273" s="149">
        <f>Costs!F13</f>
        <v>3.45</v>
      </c>
      <c r="I273" s="44" t="s">
        <v>80</v>
      </c>
      <c r="J273" s="44">
        <f t="shared" si="71"/>
        <v>2.7738124253336816</v>
      </c>
      <c r="K273" s="44">
        <f t="shared" si="72"/>
        <v>4.1261875746663188</v>
      </c>
      <c r="L273" s="44" t="s">
        <v>37</v>
      </c>
      <c r="M273" s="54" t="s">
        <v>243</v>
      </c>
      <c r="N273" s="44">
        <f t="shared" ca="1" si="73"/>
        <v>3.3215373079193493</v>
      </c>
      <c r="O273" s="44">
        <f t="shared" ca="1" si="68"/>
        <v>0.35504691340694428</v>
      </c>
      <c r="P273" s="55">
        <f t="shared" si="74"/>
        <v>100</v>
      </c>
      <c r="Q273" s="55">
        <f t="shared" si="75"/>
        <v>3.4500000000000003E-2</v>
      </c>
      <c r="R273" s="55">
        <f t="shared" si="70"/>
        <v>0.34500000000000003</v>
      </c>
      <c r="S273"/>
      <c r="T273" s="94"/>
    </row>
    <row r="274" spans="1:20" ht="15" customHeight="1" x14ac:dyDescent="0.2">
      <c r="A274"/>
      <c r="B274" s="94"/>
      <c r="C274" s="211"/>
      <c r="D274" s="148">
        <f t="shared" si="76"/>
        <v>261</v>
      </c>
      <c r="E274" s="29" t="s">
        <v>35</v>
      </c>
      <c r="F274" s="44">
        <f t="shared" si="69"/>
        <v>4.8499999999999996</v>
      </c>
      <c r="G274" s="44">
        <v>1</v>
      </c>
      <c r="H274" s="149">
        <f>Costs!F14</f>
        <v>4.8499999999999996</v>
      </c>
      <c r="I274" s="44" t="s">
        <v>80</v>
      </c>
      <c r="J274" s="44">
        <f t="shared" si="71"/>
        <v>3.8994174674980737</v>
      </c>
      <c r="K274" s="44">
        <f t="shared" si="72"/>
        <v>5.8005825325019256</v>
      </c>
      <c r="L274" s="44" t="s">
        <v>37</v>
      </c>
      <c r="M274" s="54" t="s">
        <v>243</v>
      </c>
      <c r="N274" s="44">
        <f t="shared" ca="1" si="73"/>
        <v>4.4758215240651777</v>
      </c>
      <c r="O274" s="44">
        <f t="shared" ca="1" si="68"/>
        <v>0.63353242251652209</v>
      </c>
      <c r="P274" s="55">
        <f t="shared" si="74"/>
        <v>100</v>
      </c>
      <c r="Q274" s="55">
        <f t="shared" si="75"/>
        <v>4.8500000000000001E-2</v>
      </c>
      <c r="R274" s="55">
        <f t="shared" si="70"/>
        <v>0.48499999999999999</v>
      </c>
      <c r="S274"/>
      <c r="T274" s="94"/>
    </row>
    <row r="275" spans="1:20" ht="15" customHeight="1" x14ac:dyDescent="0.2">
      <c r="A275"/>
      <c r="B275" s="94"/>
      <c r="C275" s="209" t="s">
        <v>44</v>
      </c>
      <c r="D275" s="148">
        <f t="shared" si="76"/>
        <v>262</v>
      </c>
      <c r="E275" s="29" t="s">
        <v>32</v>
      </c>
      <c r="F275" s="44">
        <f t="shared" si="69"/>
        <v>0.12</v>
      </c>
      <c r="G275" s="44">
        <v>1</v>
      </c>
      <c r="H275" s="149">
        <f>Costs!F16</f>
        <v>0.12</v>
      </c>
      <c r="I275" s="44" t="s">
        <v>80</v>
      </c>
      <c r="J275" s="44">
        <f t="shared" si="71"/>
        <v>9.6480432185519355E-2</v>
      </c>
      <c r="K275" s="44">
        <f t="shared" si="72"/>
        <v>0.14351956781448064</v>
      </c>
      <c r="L275" s="44" t="s">
        <v>37</v>
      </c>
      <c r="M275" s="54" t="s">
        <v>243</v>
      </c>
      <c r="N275" s="44">
        <f t="shared" ca="1" si="73"/>
        <v>0.11996783372445738</v>
      </c>
      <c r="O275" s="44">
        <f t="shared" ca="1" si="68"/>
        <v>0.30064011012927716</v>
      </c>
      <c r="P275" s="55">
        <f t="shared" si="74"/>
        <v>100</v>
      </c>
      <c r="Q275" s="55">
        <f t="shared" si="75"/>
        <v>1.2000000000000001E-3</v>
      </c>
      <c r="R275" s="55">
        <f t="shared" si="70"/>
        <v>1.2E-2</v>
      </c>
      <c r="S275"/>
      <c r="T275" s="94"/>
    </row>
    <row r="276" spans="1:20" ht="15" customHeight="1" x14ac:dyDescent="0.2">
      <c r="A276"/>
      <c r="B276" s="94"/>
      <c r="C276" s="210"/>
      <c r="D276" s="148">
        <f t="shared" si="76"/>
        <v>263</v>
      </c>
      <c r="E276" s="29" t="s">
        <v>33</v>
      </c>
      <c r="F276" s="44">
        <f t="shared" si="69"/>
        <v>0.12</v>
      </c>
      <c r="G276" s="44">
        <v>1</v>
      </c>
      <c r="H276" s="149">
        <f>Costs!F17</f>
        <v>0.12</v>
      </c>
      <c r="I276" s="44" t="s">
        <v>80</v>
      </c>
      <c r="J276" s="44">
        <f t="shared" si="71"/>
        <v>9.6480432185519355E-2</v>
      </c>
      <c r="K276" s="44">
        <f t="shared" si="72"/>
        <v>0.14351956781448064</v>
      </c>
      <c r="L276" s="44" t="s">
        <v>37</v>
      </c>
      <c r="M276" s="54" t="s">
        <v>243</v>
      </c>
      <c r="N276" s="44">
        <f t="shared" ca="1" si="73"/>
        <v>0.11554034015973198</v>
      </c>
      <c r="O276" s="44">
        <f t="shared" ca="1" si="68"/>
        <v>0.22677330225860692</v>
      </c>
      <c r="P276" s="55">
        <f t="shared" si="74"/>
        <v>100</v>
      </c>
      <c r="Q276" s="55">
        <f t="shared" si="75"/>
        <v>1.2000000000000001E-3</v>
      </c>
      <c r="R276" s="55">
        <f t="shared" si="70"/>
        <v>1.2E-2</v>
      </c>
      <c r="S276"/>
      <c r="T276" s="94"/>
    </row>
    <row r="277" spans="1:20" ht="15" customHeight="1" x14ac:dyDescent="0.2">
      <c r="A277"/>
      <c r="B277" s="94"/>
      <c r="C277" s="210"/>
      <c r="D277" s="148">
        <f t="shared" si="76"/>
        <v>264</v>
      </c>
      <c r="E277" s="29" t="s">
        <v>34</v>
      </c>
      <c r="F277" s="44">
        <f t="shared" si="69"/>
        <v>0.12</v>
      </c>
      <c r="G277" s="44">
        <v>1</v>
      </c>
      <c r="H277" s="149">
        <f>Costs!F18</f>
        <v>0.12</v>
      </c>
      <c r="I277" s="44" t="s">
        <v>80</v>
      </c>
      <c r="J277" s="44">
        <f t="shared" si="71"/>
        <v>9.6480432185519355E-2</v>
      </c>
      <c r="K277" s="44">
        <f t="shared" si="72"/>
        <v>0.14351956781448064</v>
      </c>
      <c r="L277" s="44" t="s">
        <v>37</v>
      </c>
      <c r="M277" s="54" t="s">
        <v>243</v>
      </c>
      <c r="N277" s="44">
        <f t="shared" ca="1" si="73"/>
        <v>0.12837752939095276</v>
      </c>
      <c r="O277" s="44">
        <f t="shared" ca="1" si="68"/>
        <v>0.10259226487488093</v>
      </c>
      <c r="P277" s="55">
        <f t="shared" si="74"/>
        <v>100</v>
      </c>
      <c r="Q277" s="55">
        <f t="shared" si="75"/>
        <v>1.2000000000000001E-3</v>
      </c>
      <c r="R277" s="55">
        <f t="shared" si="70"/>
        <v>1.2E-2</v>
      </c>
      <c r="S277"/>
      <c r="T277" s="94"/>
    </row>
    <row r="278" spans="1:20" ht="15" customHeight="1" x14ac:dyDescent="0.2">
      <c r="A278"/>
      <c r="B278" s="94"/>
      <c r="C278" s="211"/>
      <c r="D278" s="148">
        <f t="shared" si="76"/>
        <v>265</v>
      </c>
      <c r="E278" s="29" t="s">
        <v>35</v>
      </c>
      <c r="F278" s="44">
        <f t="shared" si="69"/>
        <v>0.12</v>
      </c>
      <c r="G278" s="44">
        <v>1</v>
      </c>
      <c r="H278" s="149">
        <f>Costs!F19</f>
        <v>0.12</v>
      </c>
      <c r="I278" s="44" t="s">
        <v>80</v>
      </c>
      <c r="J278" s="44">
        <f t="shared" si="71"/>
        <v>9.6480432185519355E-2</v>
      </c>
      <c r="K278" s="44">
        <f t="shared" si="72"/>
        <v>0.14351956781448064</v>
      </c>
      <c r="L278" s="44" t="s">
        <v>37</v>
      </c>
      <c r="M278" s="54" t="s">
        <v>243</v>
      </c>
      <c r="N278" s="44">
        <f t="shared" ca="1" si="73"/>
        <v>0.1278153549219761</v>
      </c>
      <c r="O278" s="44">
        <f t="shared" ca="1" si="68"/>
        <v>0.39483532411881461</v>
      </c>
      <c r="P278" s="55">
        <f t="shared" si="74"/>
        <v>100</v>
      </c>
      <c r="Q278" s="55">
        <f t="shared" si="75"/>
        <v>1.2000000000000001E-3</v>
      </c>
      <c r="R278" s="55">
        <f t="shared" si="70"/>
        <v>1.2E-2</v>
      </c>
      <c r="S278"/>
      <c r="T278" s="94"/>
    </row>
    <row r="279" spans="1:20" ht="16" customHeight="1" x14ac:dyDescent="0.2">
      <c r="A279"/>
      <c r="B279" s="94"/>
      <c r="C279" s="209" t="s">
        <v>82</v>
      </c>
      <c r="D279" s="148">
        <f t="shared" si="76"/>
        <v>266</v>
      </c>
      <c r="E279" s="29" t="s">
        <v>52</v>
      </c>
      <c r="F279" s="44">
        <f t="shared" si="69"/>
        <v>29.11</v>
      </c>
      <c r="G279" s="44">
        <v>1</v>
      </c>
      <c r="H279" s="149">
        <f>Costs!F31</f>
        <v>29.11</v>
      </c>
      <c r="I279" s="44" t="s">
        <v>80</v>
      </c>
      <c r="J279" s="44">
        <f t="shared" si="71"/>
        <v>23.404544841003904</v>
      </c>
      <c r="K279" s="44">
        <f t="shared" si="72"/>
        <v>34.815455158996095</v>
      </c>
      <c r="L279" s="44" t="s">
        <v>37</v>
      </c>
      <c r="M279" s="54" t="s">
        <v>243</v>
      </c>
      <c r="N279" s="44">
        <f t="shared" ca="1" si="73"/>
        <v>25.134460392726851</v>
      </c>
      <c r="O279" s="44">
        <f t="shared" ca="1" si="68"/>
        <v>0.48643010198188263</v>
      </c>
      <c r="P279" s="55">
        <f t="shared" si="74"/>
        <v>100</v>
      </c>
      <c r="Q279" s="55">
        <f t="shared" si="75"/>
        <v>0.29110000000000003</v>
      </c>
      <c r="R279" s="55">
        <f t="shared" si="70"/>
        <v>2.911</v>
      </c>
      <c r="S279"/>
      <c r="T279" s="94"/>
    </row>
    <row r="280" spans="1:20" ht="16" customHeight="1" x14ac:dyDescent="0.2">
      <c r="A280"/>
      <c r="B280" s="94"/>
      <c r="C280" s="210"/>
      <c r="D280" s="148">
        <f t="shared" si="76"/>
        <v>267</v>
      </c>
      <c r="E280" s="29" t="s">
        <v>53</v>
      </c>
      <c r="F280" s="44">
        <f t="shared" si="69"/>
        <v>4.8499999999999996</v>
      </c>
      <c r="G280" s="44">
        <v>1</v>
      </c>
      <c r="H280" s="149">
        <f>Costs!F32</f>
        <v>4.8499999999999996</v>
      </c>
      <c r="I280" s="44" t="s">
        <v>80</v>
      </c>
      <c r="J280" s="44">
        <f t="shared" si="71"/>
        <v>3.8994174674980737</v>
      </c>
      <c r="K280" s="44">
        <f t="shared" si="72"/>
        <v>5.8005825325019256</v>
      </c>
      <c r="L280" s="44" t="s">
        <v>37</v>
      </c>
      <c r="M280" s="54" t="s">
        <v>243</v>
      </c>
      <c r="N280" s="44">
        <f t="shared" ca="1" si="73"/>
        <v>4.8100701834535986</v>
      </c>
      <c r="O280" s="44">
        <f t="shared" ca="1" si="68"/>
        <v>0.26220122754617547</v>
      </c>
      <c r="P280" s="55">
        <f t="shared" si="74"/>
        <v>100</v>
      </c>
      <c r="Q280" s="55">
        <f t="shared" si="75"/>
        <v>4.8500000000000001E-2</v>
      </c>
      <c r="R280" s="55">
        <f t="shared" si="70"/>
        <v>0.48499999999999999</v>
      </c>
      <c r="S280"/>
      <c r="T280" s="94"/>
    </row>
    <row r="281" spans="1:20" ht="16" customHeight="1" x14ac:dyDescent="0.2">
      <c r="A281"/>
      <c r="B281" s="94"/>
      <c r="C281" s="210"/>
      <c r="D281" s="148">
        <f t="shared" si="76"/>
        <v>268</v>
      </c>
      <c r="E281" s="29" t="s">
        <v>407</v>
      </c>
      <c r="F281" s="44">
        <f t="shared" si="69"/>
        <v>116.9</v>
      </c>
      <c r="G281" s="44">
        <v>1</v>
      </c>
      <c r="H281" s="149">
        <f>Costs!F33</f>
        <v>116.9</v>
      </c>
      <c r="I281" s="44" t="s">
        <v>80</v>
      </c>
      <c r="J281" s="44">
        <f t="shared" si="71"/>
        <v>93.988021020726777</v>
      </c>
      <c r="K281" s="44">
        <f t="shared" si="72"/>
        <v>139.81197897927325</v>
      </c>
      <c r="L281" s="44" t="s">
        <v>37</v>
      </c>
      <c r="M281" s="54" t="s">
        <v>243</v>
      </c>
      <c r="N281" s="44">
        <f t="shared" ca="1" si="73"/>
        <v>109.23092215833704</v>
      </c>
      <c r="O281" s="44">
        <f t="shared" ca="1" si="68"/>
        <v>0.66580963580325925</v>
      </c>
      <c r="P281" s="55">
        <f t="shared" si="74"/>
        <v>100</v>
      </c>
      <c r="Q281" s="55">
        <f t="shared" si="75"/>
        <v>1.1690000000000003</v>
      </c>
      <c r="R281" s="55">
        <f t="shared" si="70"/>
        <v>11.690000000000001</v>
      </c>
      <c r="S281"/>
      <c r="T281" s="94"/>
    </row>
    <row r="282" spans="1:20" ht="15.5" customHeight="1" x14ac:dyDescent="0.2">
      <c r="A282"/>
      <c r="B282" s="94"/>
      <c r="C282" s="211"/>
      <c r="D282" s="148">
        <f t="shared" si="76"/>
        <v>269</v>
      </c>
      <c r="E282" s="29" t="s">
        <v>44</v>
      </c>
      <c r="F282" s="44">
        <f t="shared" si="69"/>
        <v>0.12</v>
      </c>
      <c r="G282" s="44">
        <v>1</v>
      </c>
      <c r="H282" s="149">
        <f>Costs!F34</f>
        <v>0.12</v>
      </c>
      <c r="I282" s="44" t="s">
        <v>80</v>
      </c>
      <c r="J282" s="44">
        <f t="shared" si="71"/>
        <v>9.6480432185519355E-2</v>
      </c>
      <c r="K282" s="44">
        <f t="shared" si="72"/>
        <v>0.14351956781448064</v>
      </c>
      <c r="L282" s="44" t="s">
        <v>37</v>
      </c>
      <c r="M282" s="55" t="s">
        <v>243</v>
      </c>
      <c r="N282" s="44">
        <f t="shared" ca="1" si="73"/>
        <v>0.11711938850232956</v>
      </c>
      <c r="O282" s="44">
        <f t="shared" ca="1" si="68"/>
        <v>0.69995724748338384</v>
      </c>
      <c r="P282" s="55">
        <f t="shared" si="74"/>
        <v>100</v>
      </c>
      <c r="Q282" s="55">
        <f t="shared" si="75"/>
        <v>1.2000000000000001E-3</v>
      </c>
      <c r="R282" s="55">
        <f t="shared" si="70"/>
        <v>1.2E-2</v>
      </c>
      <c r="S282"/>
      <c r="T282" s="94"/>
    </row>
    <row r="283" spans="1:20" ht="56.5" customHeight="1" x14ac:dyDescent="0.2">
      <c r="A283"/>
      <c r="B283" s="94"/>
      <c r="C283" s="117" t="s">
        <v>19</v>
      </c>
      <c r="D283" s="148">
        <f t="shared" si="76"/>
        <v>270</v>
      </c>
      <c r="E283" s="29" t="s">
        <v>47</v>
      </c>
      <c r="F283" s="44">
        <f t="shared" si="69"/>
        <v>715.01</v>
      </c>
      <c r="G283" s="44">
        <v>1</v>
      </c>
      <c r="H283" s="149">
        <f>Costs!F21</f>
        <v>715.01</v>
      </c>
      <c r="I283" s="44" t="s">
        <v>37</v>
      </c>
      <c r="J283" s="44">
        <f t="shared" si="71"/>
        <v>574.87061514140157</v>
      </c>
      <c r="K283" s="44">
        <f t="shared" si="72"/>
        <v>855.14938485859841</v>
      </c>
      <c r="L283" s="44" t="s">
        <v>37</v>
      </c>
      <c r="M283" s="55" t="s">
        <v>243</v>
      </c>
      <c r="N283" s="44">
        <f t="shared" ca="1" si="73"/>
        <v>644.73581923851236</v>
      </c>
      <c r="O283" s="44">
        <f ca="1">RAND()</f>
        <v>0.11501812804089351</v>
      </c>
      <c r="P283" s="55">
        <f t="shared" si="74"/>
        <v>100</v>
      </c>
      <c r="Q283" s="55">
        <f t="shared" si="75"/>
        <v>7.150100000000001</v>
      </c>
      <c r="R283" s="55">
        <f t="shared" si="70"/>
        <v>71.501000000000005</v>
      </c>
      <c r="S283"/>
      <c r="T283" s="94"/>
    </row>
    <row r="284" spans="1:20" ht="41.25" customHeight="1" x14ac:dyDescent="0.2">
      <c r="A284"/>
      <c r="B284" s="94"/>
      <c r="C284" s="209" t="s">
        <v>20</v>
      </c>
      <c r="D284" s="148">
        <f t="shared" si="76"/>
        <v>271</v>
      </c>
      <c r="E284" s="67" t="s">
        <v>138</v>
      </c>
      <c r="F284" s="44">
        <f t="shared" si="69"/>
        <v>1125.4100000000001</v>
      </c>
      <c r="G284" s="44">
        <v>1</v>
      </c>
      <c r="H284" s="149">
        <f>ICU_Cost_per_day_without</f>
        <v>1125.4100000000001</v>
      </c>
      <c r="I284" s="44" t="s">
        <v>37</v>
      </c>
      <c r="J284" s="44">
        <f t="shared" si="71"/>
        <v>904.83369321587793</v>
      </c>
      <c r="K284" s="44">
        <f t="shared" si="72"/>
        <v>1345.9863067841222</v>
      </c>
      <c r="L284" s="44" t="s">
        <v>37</v>
      </c>
      <c r="M284" s="55" t="s">
        <v>243</v>
      </c>
      <c r="N284" s="44">
        <f t="shared" ca="1" si="73"/>
        <v>1386.2618507774303</v>
      </c>
      <c r="O284" s="44">
        <f ca="1">RAND()</f>
        <v>0.80536269310316866</v>
      </c>
      <c r="P284" s="55">
        <f t="shared" si="74"/>
        <v>100</v>
      </c>
      <c r="Q284" s="55">
        <f t="shared" si="75"/>
        <v>11.254100000000001</v>
      </c>
      <c r="R284" s="55">
        <f t="shared" si="70"/>
        <v>112.54100000000001</v>
      </c>
      <c r="S284"/>
      <c r="T284" s="94"/>
    </row>
    <row r="285" spans="1:20" ht="41.25" customHeight="1" x14ac:dyDescent="0.2">
      <c r="A285"/>
      <c r="B285" s="94"/>
      <c r="C285" s="211"/>
      <c r="D285" s="148">
        <f t="shared" si="76"/>
        <v>272</v>
      </c>
      <c r="E285" s="67" t="s">
        <v>49</v>
      </c>
      <c r="F285" s="44">
        <f t="shared" si="69"/>
        <v>11.77</v>
      </c>
      <c r="G285" s="44">
        <v>1</v>
      </c>
      <c r="H285" s="149">
        <f>Costs!F26</f>
        <v>11.77</v>
      </c>
      <c r="I285" s="44" t="s">
        <v>37</v>
      </c>
      <c r="J285" s="44">
        <f t="shared" si="71"/>
        <v>9.4631223901963555</v>
      </c>
      <c r="K285" s="44">
        <f t="shared" si="72"/>
        <v>14.076877609803642</v>
      </c>
      <c r="L285" s="44" t="s">
        <v>37</v>
      </c>
      <c r="M285" s="55" t="s">
        <v>243</v>
      </c>
      <c r="N285" s="44">
        <f t="shared" ca="1" si="73"/>
        <v>9.2668265533387348</v>
      </c>
      <c r="O285" s="44">
        <f ca="1">RAND()</f>
        <v>0.67500398853309806</v>
      </c>
      <c r="P285" s="55">
        <f t="shared" si="74"/>
        <v>100</v>
      </c>
      <c r="Q285" s="55">
        <f t="shared" si="75"/>
        <v>0.11770000000000001</v>
      </c>
      <c r="R285" s="55">
        <f t="shared" si="70"/>
        <v>1.177</v>
      </c>
      <c r="S285"/>
      <c r="T285" s="94"/>
    </row>
    <row r="286" spans="1:20" ht="46" customHeight="1" x14ac:dyDescent="0.2">
      <c r="A286"/>
      <c r="B286" s="94"/>
      <c r="C286" s="117" t="s">
        <v>83</v>
      </c>
      <c r="D286" s="148">
        <f t="shared" si="76"/>
        <v>273</v>
      </c>
      <c r="E286" s="29" t="s">
        <v>84</v>
      </c>
      <c r="F286" s="44">
        <f t="shared" si="69"/>
        <v>117.02</v>
      </c>
      <c r="G286" s="44">
        <v>1</v>
      </c>
      <c r="H286" s="145">
        <f>Resource_use_cost</f>
        <v>117.02</v>
      </c>
      <c r="I286" s="44" t="s">
        <v>37</v>
      </c>
      <c r="J286" s="44">
        <f t="shared" si="71"/>
        <v>94.084501452912292</v>
      </c>
      <c r="K286" s="44">
        <f t="shared" si="72"/>
        <v>139.9554985470877</v>
      </c>
      <c r="L286" s="44" t="s">
        <v>37</v>
      </c>
      <c r="M286" s="55" t="s">
        <v>243</v>
      </c>
      <c r="N286" s="44">
        <f t="shared" ca="1" si="73"/>
        <v>104.03195491960042</v>
      </c>
      <c r="O286" s="44">
        <f ca="1">RAND()</f>
        <v>0.61551736455418227</v>
      </c>
      <c r="P286" s="55">
        <f t="shared" si="74"/>
        <v>100</v>
      </c>
      <c r="Q286" s="55">
        <f t="shared" si="75"/>
        <v>1.1701999999999999</v>
      </c>
      <c r="R286" s="55">
        <f t="shared" si="70"/>
        <v>11.702</v>
      </c>
      <c r="S286"/>
      <c r="T286" s="94"/>
    </row>
    <row r="287" spans="1:20" ht="14.5" customHeight="1" x14ac:dyDescent="0.2">
      <c r="A287"/>
      <c r="B287" s="94"/>
      <c r="C287" s="9"/>
      <c r="D287" s="9"/>
      <c r="E287" s="9"/>
      <c r="F287" s="9"/>
      <c r="G287" s="9"/>
      <c r="H287" s="9"/>
      <c r="I287" s="9"/>
      <c r="J287" s="9"/>
      <c r="K287" s="9"/>
      <c r="L287" s="9"/>
      <c r="M287" s="9"/>
      <c r="N287" s="9"/>
      <c r="O287" s="9"/>
      <c r="P287" s="9"/>
      <c r="Q287" s="9"/>
      <c r="R287" s="9"/>
      <c r="S287" s="9"/>
      <c r="T287" s="94"/>
    </row>
    <row r="288" spans="1:20" ht="14.5" customHeight="1" x14ac:dyDescent="0.2">
      <c r="A288"/>
      <c r="B288" s="94"/>
      <c r="C288" s="9"/>
      <c r="D288" s="9"/>
      <c r="E288" s="9"/>
      <c r="F288" s="9"/>
      <c r="G288" s="9"/>
      <c r="H288" s="9"/>
      <c r="I288" s="9"/>
      <c r="J288" s="9"/>
      <c r="K288" s="9"/>
      <c r="L288" s="9"/>
      <c r="M288" s="9"/>
      <c r="N288" s="9"/>
      <c r="O288" s="9"/>
      <c r="P288" s="9"/>
      <c r="Q288" s="9"/>
      <c r="R288" s="9"/>
      <c r="S288" s="9"/>
      <c r="T288" s="94"/>
    </row>
    <row r="289" spans="1:20" ht="14.5" customHeight="1" x14ac:dyDescent="0.2">
      <c r="A289"/>
      <c r="B289" s="94"/>
      <c r="C289" s="9"/>
      <c r="D289" s="9"/>
      <c r="E289" s="9"/>
      <c r="F289" s="9"/>
      <c r="G289" s="9"/>
      <c r="H289" s="9"/>
      <c r="I289" s="9"/>
      <c r="J289" s="9"/>
      <c r="K289" s="9"/>
      <c r="L289" s="9"/>
      <c r="M289" s="9"/>
      <c r="N289" s="9"/>
      <c r="O289" s="3"/>
      <c r="P289" s="3"/>
      <c r="Q289" s="3"/>
      <c r="R289" s="3"/>
      <c r="S289"/>
      <c r="T289" s="94"/>
    </row>
    <row r="290" spans="1:20" ht="14.5" customHeight="1" thickBot="1" x14ac:dyDescent="0.25">
      <c r="A290" s="93"/>
      <c r="B290" s="98"/>
      <c r="C290" s="95"/>
      <c r="D290" s="95"/>
      <c r="E290" s="95"/>
      <c r="F290" s="95"/>
      <c r="G290" s="95"/>
      <c r="H290" s="95"/>
      <c r="I290" s="95"/>
      <c r="J290" s="95"/>
      <c r="K290" s="95"/>
      <c r="L290" s="95"/>
      <c r="M290" s="95"/>
      <c r="N290" s="95"/>
      <c r="O290" s="95"/>
      <c r="P290" s="95"/>
      <c r="Q290" s="95"/>
      <c r="R290" s="95"/>
      <c r="S290" s="95"/>
      <c r="T290" s="94"/>
    </row>
    <row r="291" spans="1:20" ht="14.5" customHeight="1" x14ac:dyDescent="0.2">
      <c r="A291"/>
      <c r="B291"/>
      <c r="C291"/>
      <c r="D291"/>
      <c r="E291"/>
      <c r="F291"/>
      <c r="G291"/>
      <c r="H291"/>
      <c r="I291"/>
      <c r="J291"/>
      <c r="K291"/>
      <c r="L291"/>
      <c r="M291"/>
      <c r="N291"/>
      <c r="O291"/>
      <c r="P291"/>
      <c r="Q291"/>
      <c r="R291"/>
      <c r="S291"/>
      <c r="T291"/>
    </row>
    <row r="292" spans="1:20" ht="14.5" customHeight="1" x14ac:dyDescent="0.2">
      <c r="C292" s="9"/>
      <c r="D292" s="9"/>
      <c r="E292" s="9"/>
      <c r="F292" s="9"/>
      <c r="G292" s="9"/>
      <c r="H292" s="9"/>
      <c r="I292" s="9"/>
      <c r="J292" s="9"/>
      <c r="K292" s="9"/>
      <c r="L292" s="9"/>
      <c r="M292" s="9"/>
      <c r="N292" s="9"/>
      <c r="O292" s="3"/>
      <c r="P292" s="3"/>
      <c r="Q292" s="3"/>
      <c r="R292" s="3"/>
    </row>
    <row r="293" spans="1:20" ht="14.5" customHeight="1" x14ac:dyDescent="0.2">
      <c r="C293" s="9"/>
      <c r="D293" s="9"/>
      <c r="E293" s="9"/>
      <c r="F293" s="9"/>
      <c r="G293" s="9"/>
      <c r="H293" s="9"/>
      <c r="I293" s="9"/>
      <c r="J293" s="9"/>
      <c r="K293" s="9"/>
      <c r="L293" s="9"/>
      <c r="M293" s="9"/>
      <c r="N293" s="9"/>
      <c r="O293" s="3"/>
      <c r="P293" s="3"/>
      <c r="Q293" s="3"/>
      <c r="R293" s="3"/>
    </row>
    <row r="294" spans="1:20" ht="14.5" customHeight="1" x14ac:dyDescent="0.2">
      <c r="C294" s="9"/>
      <c r="D294" s="9"/>
      <c r="E294" s="9"/>
      <c r="F294" s="9"/>
      <c r="G294" s="9"/>
      <c r="H294" s="9"/>
      <c r="I294" s="9"/>
      <c r="J294" s="9"/>
      <c r="K294" s="9"/>
      <c r="L294" s="9"/>
      <c r="M294" s="9"/>
      <c r="N294" s="9"/>
      <c r="O294" s="3"/>
      <c r="P294" s="3"/>
      <c r="Q294" s="3"/>
      <c r="R294" s="3"/>
    </row>
    <row r="295" spans="1:20" ht="14.5" customHeight="1" x14ac:dyDescent="0.2">
      <c r="C295" s="9"/>
      <c r="D295" s="9"/>
      <c r="E295" s="9"/>
      <c r="F295" s="9"/>
      <c r="G295" s="9"/>
      <c r="H295" s="9"/>
      <c r="I295" s="9"/>
      <c r="J295" s="9"/>
      <c r="K295" s="9"/>
      <c r="L295" s="9"/>
      <c r="M295" s="9"/>
      <c r="N295" s="9"/>
      <c r="O295" s="3"/>
      <c r="P295" s="3"/>
      <c r="Q295" s="3"/>
      <c r="R295" s="3"/>
    </row>
    <row r="296" spans="1:20" ht="14.5" customHeight="1" x14ac:dyDescent="0.2">
      <c r="C296" s="9"/>
      <c r="D296" s="9"/>
      <c r="E296" s="9"/>
      <c r="F296" s="9"/>
      <c r="G296" s="9"/>
      <c r="H296" s="9"/>
      <c r="I296" s="9"/>
      <c r="J296" s="9"/>
      <c r="K296" s="9"/>
      <c r="L296" s="9"/>
      <c r="M296" s="9"/>
      <c r="N296" s="9"/>
      <c r="O296" s="3"/>
      <c r="P296" s="3"/>
      <c r="Q296" s="3"/>
      <c r="R296" s="3"/>
    </row>
    <row r="297" spans="1:20" ht="14.5" customHeight="1" x14ac:dyDescent="0.2">
      <c r="C297" s="9"/>
      <c r="D297" s="9"/>
      <c r="E297" s="9"/>
      <c r="F297" s="9"/>
      <c r="G297" s="9"/>
      <c r="H297" s="9"/>
      <c r="I297" s="9"/>
      <c r="J297" s="9"/>
      <c r="K297" s="9"/>
      <c r="L297" s="9"/>
      <c r="M297" s="9"/>
      <c r="N297" s="9"/>
      <c r="O297" s="3"/>
      <c r="P297" s="3"/>
      <c r="Q297" s="3"/>
      <c r="R297" s="3"/>
    </row>
    <row r="298" spans="1:20" ht="14.5" customHeight="1" x14ac:dyDescent="0.2">
      <c r="C298" s="9"/>
      <c r="D298" s="9"/>
      <c r="E298" s="9"/>
      <c r="F298" s="9"/>
      <c r="G298" s="9"/>
      <c r="H298" s="9"/>
      <c r="I298" s="9"/>
      <c r="J298" s="9"/>
      <c r="K298" s="9"/>
      <c r="L298" s="9"/>
      <c r="M298" s="9"/>
      <c r="N298" s="9"/>
      <c r="O298" s="3"/>
      <c r="P298" s="3"/>
      <c r="Q298" s="3"/>
      <c r="R298" s="3"/>
    </row>
    <row r="299" spans="1:20" ht="14.5" customHeight="1" x14ac:dyDescent="0.2">
      <c r="C299" s="9"/>
      <c r="D299" s="9"/>
      <c r="E299" s="9"/>
      <c r="F299" s="9"/>
      <c r="G299" s="9"/>
      <c r="H299" s="9"/>
      <c r="I299" s="9"/>
      <c r="J299" s="9"/>
      <c r="K299" s="9"/>
      <c r="L299" s="9"/>
      <c r="M299" s="9"/>
      <c r="N299" s="9"/>
      <c r="O299" s="3"/>
      <c r="P299" s="3"/>
      <c r="Q299" s="3"/>
      <c r="R299" s="3"/>
    </row>
    <row r="300" spans="1:20" ht="14.5" customHeight="1" x14ac:dyDescent="0.2">
      <c r="C300" s="9"/>
      <c r="D300" s="9"/>
      <c r="E300" s="9"/>
      <c r="F300" s="9"/>
      <c r="G300" s="9"/>
      <c r="H300" s="9"/>
      <c r="I300" s="9"/>
      <c r="J300" s="9"/>
      <c r="K300" s="9"/>
      <c r="L300" s="9"/>
      <c r="M300" s="9"/>
      <c r="N300" s="9"/>
      <c r="O300" s="3"/>
      <c r="P300" s="3"/>
      <c r="Q300" s="3"/>
      <c r="R300" s="3"/>
    </row>
    <row r="301" spans="1:20" ht="14.5" customHeight="1" x14ac:dyDescent="0.2">
      <c r="C301" s="9"/>
      <c r="D301" s="9"/>
      <c r="E301" s="9"/>
      <c r="F301" s="9"/>
      <c r="G301" s="9"/>
      <c r="H301" s="9"/>
      <c r="I301" s="9"/>
      <c r="J301" s="9"/>
      <c r="K301" s="9"/>
      <c r="L301" s="9"/>
      <c r="M301" s="9"/>
      <c r="N301" s="9"/>
      <c r="O301" s="3"/>
      <c r="P301" s="3"/>
      <c r="Q301" s="3"/>
      <c r="R301" s="3"/>
    </row>
    <row r="302" spans="1:20" ht="14.5" customHeight="1" x14ac:dyDescent="0.2">
      <c r="C302" s="9"/>
      <c r="D302" s="9"/>
      <c r="E302" s="9"/>
      <c r="F302" s="9"/>
      <c r="G302" s="9"/>
      <c r="H302" s="9"/>
      <c r="I302" s="9"/>
      <c r="J302" s="9"/>
      <c r="K302" s="9"/>
      <c r="L302" s="9"/>
      <c r="M302" s="9"/>
      <c r="N302" s="9"/>
      <c r="O302" s="3"/>
      <c r="P302" s="3"/>
      <c r="Q302" s="3"/>
      <c r="R302" s="3"/>
    </row>
    <row r="303" spans="1:20" ht="14.5" customHeight="1" x14ac:dyDescent="0.2">
      <c r="C303" s="9"/>
      <c r="D303" s="9"/>
      <c r="E303" s="9"/>
      <c r="F303" s="9"/>
      <c r="G303" s="9"/>
      <c r="H303" s="9"/>
      <c r="I303" s="9"/>
      <c r="J303" s="9"/>
      <c r="K303" s="9"/>
      <c r="L303" s="9"/>
      <c r="M303" s="9"/>
      <c r="N303" s="9"/>
      <c r="O303" s="3"/>
      <c r="P303" s="3"/>
      <c r="Q303" s="3"/>
      <c r="R303" s="3"/>
    </row>
    <row r="304" spans="1:20" ht="14.5" customHeight="1" x14ac:dyDescent="0.2">
      <c r="C304" s="9"/>
      <c r="D304" s="9"/>
      <c r="E304" s="9"/>
      <c r="F304" s="9"/>
      <c r="G304" s="9"/>
      <c r="H304" s="9"/>
      <c r="I304" s="9"/>
      <c r="J304" s="9"/>
      <c r="K304" s="9"/>
      <c r="L304" s="9"/>
      <c r="M304" s="9"/>
      <c r="N304" s="9"/>
      <c r="O304" s="3"/>
      <c r="P304" s="3"/>
      <c r="Q304" s="3"/>
      <c r="R304" s="3"/>
    </row>
    <row r="305" spans="1:20" ht="14.5" customHeight="1" x14ac:dyDescent="0.2">
      <c r="C305" s="9"/>
      <c r="D305" s="9"/>
      <c r="E305" s="9"/>
      <c r="F305" s="9"/>
      <c r="G305" s="9"/>
      <c r="H305" s="9"/>
      <c r="I305" s="9"/>
      <c r="J305" s="9"/>
      <c r="K305" s="9"/>
      <c r="L305" s="9"/>
      <c r="M305" s="9"/>
      <c r="N305" s="9"/>
      <c r="O305" s="3"/>
      <c r="P305" s="3"/>
      <c r="Q305" s="3"/>
      <c r="R305" s="3"/>
    </row>
    <row r="306" spans="1:20" ht="14.5" customHeight="1" x14ac:dyDescent="0.2">
      <c r="C306" s="9"/>
      <c r="D306" s="9"/>
      <c r="E306" s="9"/>
      <c r="F306" s="9"/>
      <c r="G306" s="9"/>
      <c r="H306" s="9"/>
      <c r="I306" s="9"/>
      <c r="J306" s="9"/>
      <c r="K306" s="9"/>
      <c r="L306" s="9"/>
      <c r="M306" s="9"/>
      <c r="N306" s="9"/>
      <c r="O306" s="3"/>
      <c r="P306" s="3"/>
      <c r="Q306" s="3"/>
      <c r="R306" s="3"/>
    </row>
    <row r="307" spans="1:20" ht="14.5" customHeight="1" x14ac:dyDescent="0.2">
      <c r="C307" s="9"/>
      <c r="D307" s="9"/>
      <c r="E307" s="9"/>
      <c r="F307" s="9"/>
      <c r="G307" s="9"/>
      <c r="H307" s="9"/>
      <c r="I307" s="9"/>
      <c r="J307" s="9"/>
      <c r="K307" s="9"/>
      <c r="L307" s="9"/>
      <c r="M307" s="9"/>
      <c r="N307" s="9"/>
      <c r="O307" s="3"/>
      <c r="P307" s="3"/>
      <c r="Q307" s="3"/>
      <c r="R307" s="3"/>
    </row>
    <row r="308" spans="1:20" ht="14.5" customHeight="1" x14ac:dyDescent="0.2">
      <c r="C308" s="9"/>
      <c r="D308" s="9"/>
      <c r="E308" s="9"/>
      <c r="F308" s="9"/>
      <c r="G308" s="9"/>
      <c r="H308" s="9"/>
      <c r="I308" s="9"/>
      <c r="J308" s="9"/>
      <c r="K308" s="9"/>
      <c r="L308" s="9"/>
      <c r="M308" s="9"/>
      <c r="N308" s="9"/>
      <c r="O308" s="3"/>
      <c r="P308" s="3"/>
      <c r="Q308" s="3"/>
      <c r="R308" s="3"/>
    </row>
    <row r="309" spans="1:20" ht="14.5" customHeight="1" x14ac:dyDescent="0.2">
      <c r="C309" s="9"/>
      <c r="D309" s="9"/>
      <c r="E309" s="9"/>
      <c r="F309" s="9"/>
      <c r="G309" s="9"/>
      <c r="H309" s="9"/>
      <c r="I309" s="9"/>
      <c r="J309" s="9"/>
      <c r="K309" s="9"/>
      <c r="L309" s="9"/>
      <c r="M309" s="9"/>
      <c r="N309" s="9"/>
      <c r="O309" s="3"/>
      <c r="P309" s="3"/>
      <c r="Q309" s="3"/>
      <c r="R309" s="3"/>
    </row>
    <row r="310" spans="1:20" ht="14.5" customHeight="1" x14ac:dyDescent="0.2">
      <c r="C310" s="9"/>
      <c r="D310" s="9"/>
      <c r="E310" s="9"/>
      <c r="F310" s="9"/>
      <c r="G310" s="9"/>
      <c r="H310" s="9"/>
      <c r="I310" s="9"/>
      <c r="J310" s="9"/>
      <c r="K310" s="9"/>
      <c r="L310" s="9"/>
      <c r="M310" s="9"/>
      <c r="N310" s="9"/>
      <c r="O310" s="3"/>
      <c r="P310" s="3"/>
      <c r="Q310" s="3"/>
      <c r="R310" s="3"/>
    </row>
    <row r="311" spans="1:20" ht="14.5" customHeight="1" x14ac:dyDescent="0.2">
      <c r="C311" s="9"/>
      <c r="D311" s="9"/>
      <c r="E311" s="9"/>
      <c r="F311" s="9"/>
      <c r="G311" s="9"/>
      <c r="H311" s="9"/>
      <c r="I311" s="9"/>
      <c r="J311" s="9"/>
      <c r="K311" s="9"/>
      <c r="L311" s="9"/>
      <c r="M311" s="9"/>
      <c r="N311" s="9"/>
      <c r="O311" s="3"/>
      <c r="P311" s="3"/>
      <c r="Q311" s="3"/>
      <c r="R311" s="3"/>
    </row>
    <row r="312" spans="1:20" s="7" customFormat="1" ht="15" x14ac:dyDescent="0.2">
      <c r="A312" s="5"/>
      <c r="B312" s="5"/>
      <c r="C312" s="9"/>
      <c r="D312" s="9"/>
      <c r="E312" s="9"/>
      <c r="F312" s="9"/>
      <c r="G312" s="9"/>
      <c r="H312" s="9"/>
      <c r="I312" s="9"/>
      <c r="J312" s="9"/>
      <c r="K312" s="9"/>
      <c r="L312" s="9"/>
      <c r="M312" s="9"/>
      <c r="N312" s="9"/>
      <c r="O312" s="3"/>
      <c r="P312" s="3"/>
      <c r="Q312" s="3"/>
      <c r="R312" s="3"/>
      <c r="S312" s="5"/>
      <c r="T312" s="5"/>
    </row>
    <row r="313" spans="1:20" s="7" customFormat="1" ht="15" customHeight="1" x14ac:dyDescent="0.2">
      <c r="A313" s="5"/>
      <c r="B313" s="5"/>
      <c r="C313" s="9"/>
      <c r="D313" s="9"/>
      <c r="E313" s="9"/>
      <c r="F313" s="9"/>
      <c r="G313" s="9"/>
      <c r="H313" s="9"/>
      <c r="I313" s="9"/>
      <c r="J313" s="9"/>
      <c r="K313" s="9"/>
      <c r="L313" s="9"/>
      <c r="M313" s="9"/>
      <c r="N313" s="9"/>
      <c r="O313" s="3"/>
      <c r="P313" s="3"/>
      <c r="Q313" s="3"/>
      <c r="R313" s="3"/>
      <c r="S313" s="5"/>
      <c r="T313" s="5"/>
    </row>
    <row r="314" spans="1:20" s="7" customFormat="1" ht="15" customHeight="1" x14ac:dyDescent="0.2">
      <c r="A314" s="5"/>
      <c r="B314" s="5"/>
      <c r="C314" s="9"/>
      <c r="D314" s="9"/>
      <c r="E314" s="9"/>
      <c r="F314" s="9"/>
      <c r="G314" s="9"/>
      <c r="H314" s="9"/>
      <c r="I314" s="9"/>
      <c r="J314" s="9"/>
      <c r="K314" s="9"/>
      <c r="L314" s="9"/>
      <c r="M314" s="9"/>
      <c r="N314" s="9"/>
      <c r="O314" s="3"/>
      <c r="P314" s="3"/>
      <c r="Q314" s="3"/>
      <c r="R314" s="3"/>
      <c r="S314" s="5"/>
      <c r="T314" s="5"/>
    </row>
    <row r="315" spans="1:20" s="7" customFormat="1" ht="15" customHeight="1" x14ac:dyDescent="0.2">
      <c r="A315" s="5"/>
      <c r="B315" s="5"/>
      <c r="C315" s="9"/>
      <c r="D315" s="9"/>
      <c r="E315" s="9"/>
      <c r="F315" s="9"/>
      <c r="G315" s="9"/>
      <c r="H315" s="9"/>
      <c r="I315" s="9"/>
      <c r="J315" s="9"/>
      <c r="K315" s="9"/>
      <c r="L315" s="9"/>
      <c r="M315" s="9"/>
      <c r="N315" s="9"/>
      <c r="O315" s="3"/>
      <c r="P315" s="3"/>
      <c r="Q315" s="3"/>
      <c r="R315" s="3"/>
      <c r="S315" s="5"/>
      <c r="T315" s="5"/>
    </row>
    <row r="316" spans="1:20" s="7" customFormat="1" ht="15" customHeight="1" x14ac:dyDescent="0.2">
      <c r="A316" s="5"/>
      <c r="B316" s="5"/>
      <c r="C316" s="9"/>
      <c r="D316" s="9"/>
      <c r="E316" s="9"/>
      <c r="F316" s="9"/>
      <c r="G316" s="9"/>
      <c r="H316" s="9"/>
      <c r="I316" s="9"/>
      <c r="J316" s="9"/>
      <c r="K316" s="9"/>
      <c r="L316" s="9"/>
      <c r="M316" s="9"/>
      <c r="N316" s="9"/>
      <c r="O316" s="3"/>
      <c r="P316" s="3"/>
      <c r="Q316" s="3"/>
      <c r="R316" s="3"/>
      <c r="S316" s="5"/>
      <c r="T316" s="5"/>
    </row>
    <row r="317" spans="1:20" s="7" customFormat="1" ht="15" customHeight="1" x14ac:dyDescent="0.2">
      <c r="A317" s="5"/>
      <c r="B317" s="5"/>
      <c r="C317" s="9"/>
      <c r="D317" s="9"/>
      <c r="E317" s="9"/>
      <c r="F317" s="9"/>
      <c r="G317" s="9"/>
      <c r="H317" s="9"/>
      <c r="I317" s="9"/>
      <c r="J317" s="9"/>
      <c r="K317" s="9"/>
      <c r="L317" s="9"/>
      <c r="M317" s="9"/>
      <c r="N317" s="9"/>
      <c r="O317" s="3"/>
      <c r="P317" s="3"/>
      <c r="Q317" s="3"/>
      <c r="R317" s="3"/>
      <c r="S317" s="5"/>
      <c r="T317" s="5"/>
    </row>
    <row r="318" spans="1:20" s="7" customFormat="1" ht="15" customHeight="1" x14ac:dyDescent="0.2">
      <c r="A318" s="5"/>
      <c r="B318" s="5"/>
      <c r="C318" s="9"/>
      <c r="D318" s="9"/>
      <c r="E318" s="9"/>
      <c r="F318" s="9"/>
      <c r="G318" s="9"/>
      <c r="H318" s="9"/>
      <c r="I318" s="9"/>
      <c r="J318" s="9"/>
      <c r="K318" s="9"/>
      <c r="L318" s="9"/>
      <c r="M318" s="9"/>
      <c r="N318" s="9"/>
      <c r="O318" s="3"/>
      <c r="P318" s="3"/>
      <c r="Q318" s="3"/>
      <c r="R318" s="3"/>
      <c r="S318" s="5"/>
      <c r="T318" s="5"/>
    </row>
    <row r="319" spans="1:20" s="7" customFormat="1" ht="15" customHeight="1" x14ac:dyDescent="0.2">
      <c r="A319" s="5"/>
      <c r="B319" s="5"/>
      <c r="C319" s="9"/>
      <c r="D319" s="9"/>
      <c r="E319" s="9"/>
      <c r="F319" s="9"/>
      <c r="G319" s="9"/>
      <c r="H319" s="9"/>
      <c r="I319" s="9"/>
      <c r="J319" s="9"/>
      <c r="K319" s="9"/>
      <c r="L319" s="9"/>
      <c r="M319" s="9"/>
      <c r="N319" s="9"/>
      <c r="O319" s="3"/>
      <c r="P319" s="3"/>
      <c r="Q319" s="3"/>
      <c r="R319" s="3"/>
      <c r="S319" s="5"/>
      <c r="T319" s="5"/>
    </row>
    <row r="320" spans="1:20" s="7" customFormat="1" ht="15" customHeight="1" x14ac:dyDescent="0.2">
      <c r="A320" s="5"/>
      <c r="B320" s="5"/>
      <c r="C320" s="9"/>
      <c r="D320" s="9"/>
      <c r="E320" s="9"/>
      <c r="F320" s="9"/>
      <c r="G320" s="9"/>
      <c r="H320" s="9"/>
      <c r="I320" s="9"/>
      <c r="J320" s="9"/>
      <c r="K320" s="9"/>
      <c r="L320" s="9"/>
      <c r="M320" s="9"/>
      <c r="N320" s="9"/>
      <c r="O320" s="3"/>
      <c r="P320" s="3"/>
      <c r="Q320" s="3"/>
      <c r="R320" s="3"/>
      <c r="S320" s="5"/>
      <c r="T320" s="5"/>
    </row>
    <row r="321" spans="1:20" s="7" customFormat="1" ht="15" customHeight="1" x14ac:dyDescent="0.2">
      <c r="A321" s="5"/>
      <c r="B321" s="5"/>
      <c r="C321" s="9"/>
      <c r="D321" s="9"/>
      <c r="E321" s="9"/>
      <c r="F321" s="9"/>
      <c r="G321" s="9"/>
      <c r="H321" s="9"/>
      <c r="I321" s="9"/>
      <c r="J321" s="9"/>
      <c r="K321" s="9"/>
      <c r="L321" s="9"/>
      <c r="M321" s="9"/>
      <c r="N321" s="9"/>
      <c r="O321" s="3"/>
      <c r="P321" s="3"/>
      <c r="Q321" s="3"/>
      <c r="R321" s="3"/>
      <c r="S321" s="5"/>
      <c r="T321" s="5"/>
    </row>
    <row r="322" spans="1:20" s="7" customFormat="1" ht="15" customHeight="1" x14ac:dyDescent="0.2">
      <c r="A322" s="5"/>
      <c r="B322" s="5"/>
      <c r="C322" s="9"/>
      <c r="D322" s="9"/>
      <c r="E322" s="9"/>
      <c r="F322" s="9"/>
      <c r="G322" s="9"/>
      <c r="H322" s="9"/>
      <c r="I322" s="9"/>
      <c r="J322" s="9"/>
      <c r="K322" s="9"/>
      <c r="L322" s="9"/>
      <c r="M322" s="9"/>
      <c r="N322" s="9"/>
      <c r="O322" s="3"/>
      <c r="P322" s="3"/>
      <c r="Q322" s="3"/>
      <c r="R322" s="3"/>
      <c r="S322" s="5"/>
      <c r="T322" s="5"/>
    </row>
    <row r="323" spans="1:20" s="7" customFormat="1" ht="15" customHeight="1" x14ac:dyDescent="0.2">
      <c r="A323" s="5"/>
      <c r="B323" s="5"/>
      <c r="C323" s="9"/>
      <c r="D323" s="9"/>
      <c r="E323" s="9"/>
      <c r="F323" s="9"/>
      <c r="G323" s="9"/>
      <c r="H323" s="9"/>
      <c r="I323" s="9"/>
      <c r="J323" s="9"/>
      <c r="K323" s="9"/>
      <c r="L323" s="9"/>
      <c r="M323" s="9"/>
      <c r="N323" s="9"/>
      <c r="O323" s="3"/>
      <c r="P323" s="3"/>
      <c r="Q323" s="3"/>
      <c r="R323" s="3"/>
      <c r="S323" s="5"/>
      <c r="T323" s="5"/>
    </row>
    <row r="324" spans="1:20" s="7" customFormat="1" ht="15" customHeight="1" x14ac:dyDescent="0.2">
      <c r="A324" s="5"/>
      <c r="B324" s="5"/>
      <c r="C324" s="9"/>
      <c r="D324" s="9"/>
      <c r="E324" s="9"/>
      <c r="F324" s="9"/>
      <c r="G324" s="9"/>
      <c r="H324" s="9"/>
      <c r="I324" s="9"/>
      <c r="J324" s="9"/>
      <c r="K324" s="9"/>
      <c r="L324" s="9"/>
      <c r="M324" s="9"/>
      <c r="N324" s="9"/>
      <c r="O324" s="3"/>
      <c r="P324" s="3"/>
      <c r="Q324" s="3"/>
      <c r="R324" s="3"/>
      <c r="S324" s="5"/>
      <c r="T324" s="5"/>
    </row>
    <row r="325" spans="1:20" s="7" customFormat="1" ht="15" customHeight="1" x14ac:dyDescent="0.2">
      <c r="A325" s="5"/>
      <c r="B325" s="5"/>
      <c r="C325" s="9"/>
      <c r="D325" s="9"/>
      <c r="E325" s="9"/>
      <c r="F325" s="9"/>
      <c r="G325" s="9"/>
      <c r="H325" s="9"/>
      <c r="I325" s="9"/>
      <c r="J325" s="9"/>
      <c r="K325" s="9"/>
      <c r="L325" s="9"/>
      <c r="M325" s="9"/>
      <c r="N325" s="9"/>
      <c r="O325" s="3"/>
      <c r="P325" s="3"/>
      <c r="Q325" s="3"/>
      <c r="R325" s="3"/>
      <c r="S325" s="5"/>
      <c r="T325" s="5"/>
    </row>
    <row r="326" spans="1:20" s="7" customFormat="1" ht="15" customHeight="1" x14ac:dyDescent="0.2">
      <c r="A326" s="5"/>
      <c r="B326" s="5"/>
      <c r="C326" s="9"/>
      <c r="D326" s="9"/>
      <c r="E326" s="9"/>
      <c r="F326" s="9"/>
      <c r="G326" s="9"/>
      <c r="H326" s="9"/>
      <c r="I326" s="9"/>
      <c r="J326" s="9"/>
      <c r="K326" s="9"/>
      <c r="L326" s="9"/>
      <c r="M326" s="9"/>
      <c r="N326" s="9"/>
      <c r="O326" s="3"/>
      <c r="P326" s="3"/>
      <c r="Q326" s="3"/>
      <c r="R326" s="3"/>
      <c r="S326" s="5"/>
      <c r="T326" s="5"/>
    </row>
    <row r="327" spans="1:20" s="7" customFormat="1" ht="15" customHeight="1" x14ac:dyDescent="0.2">
      <c r="A327" s="5"/>
      <c r="B327" s="5"/>
      <c r="C327" s="9"/>
      <c r="D327" s="9"/>
      <c r="E327" s="9"/>
      <c r="F327" s="9"/>
      <c r="G327" s="9"/>
      <c r="H327" s="9"/>
      <c r="I327" s="9"/>
      <c r="J327" s="9"/>
      <c r="K327" s="9"/>
      <c r="L327" s="9"/>
      <c r="M327" s="9"/>
      <c r="N327" s="9"/>
      <c r="O327" s="3"/>
      <c r="P327" s="3"/>
      <c r="Q327" s="3"/>
      <c r="R327" s="3"/>
      <c r="S327" s="5"/>
      <c r="T327" s="5"/>
    </row>
    <row r="328" spans="1:20" s="7" customFormat="1" ht="15" customHeight="1" x14ac:dyDescent="0.2">
      <c r="A328" s="5"/>
      <c r="B328" s="5"/>
      <c r="C328" s="9"/>
      <c r="D328" s="9"/>
      <c r="E328" s="9"/>
      <c r="F328" s="9"/>
      <c r="G328" s="9"/>
      <c r="H328" s="9"/>
      <c r="I328" s="9"/>
      <c r="J328" s="9"/>
      <c r="K328" s="9"/>
      <c r="L328" s="9"/>
      <c r="M328" s="9"/>
      <c r="N328" s="9"/>
      <c r="O328" s="3"/>
      <c r="P328" s="3"/>
      <c r="Q328" s="3"/>
      <c r="R328" s="3"/>
      <c r="S328" s="5"/>
      <c r="T328" s="5"/>
    </row>
    <row r="329" spans="1:20" s="7" customFormat="1" ht="15" customHeight="1" x14ac:dyDescent="0.2">
      <c r="A329" s="5"/>
      <c r="B329" s="5"/>
      <c r="C329" s="9"/>
      <c r="D329" s="9"/>
      <c r="E329" s="9"/>
      <c r="F329" s="9"/>
      <c r="G329" s="9"/>
      <c r="H329" s="9"/>
      <c r="I329" s="9"/>
      <c r="J329" s="9"/>
      <c r="K329" s="9"/>
      <c r="L329" s="9"/>
      <c r="M329" s="9"/>
      <c r="N329" s="9"/>
      <c r="O329" s="3"/>
      <c r="P329" s="3"/>
      <c r="Q329" s="3"/>
      <c r="R329" s="3"/>
      <c r="S329" s="5"/>
      <c r="T329" s="5"/>
    </row>
    <row r="330" spans="1:20" s="7" customFormat="1" ht="15" customHeight="1" x14ac:dyDescent="0.2">
      <c r="A330" s="5"/>
      <c r="B330" s="5"/>
      <c r="C330" s="9"/>
      <c r="D330" s="9"/>
      <c r="E330" s="9"/>
      <c r="F330" s="9"/>
      <c r="G330" s="9"/>
      <c r="H330" s="9"/>
      <c r="I330" s="9"/>
      <c r="J330" s="9"/>
      <c r="K330" s="9"/>
      <c r="L330" s="9"/>
      <c r="M330" s="9"/>
      <c r="N330" s="9"/>
      <c r="O330" s="3"/>
      <c r="P330" s="3"/>
      <c r="Q330" s="3"/>
      <c r="R330" s="3"/>
      <c r="S330" s="5"/>
      <c r="T330" s="5"/>
    </row>
    <row r="331" spans="1:20" s="7" customFormat="1" ht="15" customHeight="1" x14ac:dyDescent="0.2">
      <c r="A331" s="5"/>
      <c r="B331" s="5"/>
      <c r="C331" s="9"/>
      <c r="D331" s="9"/>
      <c r="E331" s="9"/>
      <c r="F331" s="9"/>
      <c r="G331" s="9"/>
      <c r="H331" s="9"/>
      <c r="I331" s="9"/>
      <c r="J331" s="9"/>
      <c r="K331" s="9"/>
      <c r="L331" s="9"/>
      <c r="M331" s="9"/>
      <c r="N331" s="9"/>
      <c r="O331" s="3"/>
      <c r="P331" s="3"/>
      <c r="Q331" s="3"/>
      <c r="R331" s="3"/>
      <c r="S331" s="5"/>
      <c r="T331" s="5"/>
    </row>
    <row r="332" spans="1:20" s="7" customFormat="1" ht="15" customHeight="1" x14ac:dyDescent="0.2">
      <c r="A332" s="5"/>
      <c r="B332" s="5"/>
      <c r="C332" s="9"/>
      <c r="D332" s="9"/>
      <c r="E332" s="9"/>
      <c r="F332" s="9"/>
      <c r="G332" s="9"/>
      <c r="H332" s="9"/>
      <c r="I332" s="9"/>
      <c r="J332" s="9"/>
      <c r="K332" s="9"/>
      <c r="L332" s="9"/>
      <c r="M332" s="9"/>
      <c r="N332" s="9"/>
      <c r="O332" s="3"/>
      <c r="P332" s="3"/>
      <c r="Q332" s="3"/>
      <c r="R332" s="3"/>
      <c r="S332" s="5"/>
      <c r="T332" s="5"/>
    </row>
    <row r="333" spans="1:20" s="7" customFormat="1" ht="15" customHeight="1" x14ac:dyDescent="0.2">
      <c r="A333" s="5"/>
      <c r="B333" s="5"/>
      <c r="C333" s="9"/>
      <c r="D333" s="9"/>
      <c r="E333" s="9"/>
      <c r="F333" s="9"/>
      <c r="G333" s="9"/>
      <c r="H333" s="9"/>
      <c r="I333" s="9"/>
      <c r="J333" s="9"/>
      <c r="K333" s="9"/>
      <c r="L333" s="9"/>
      <c r="M333" s="9"/>
      <c r="N333" s="9"/>
      <c r="O333" s="3"/>
      <c r="P333" s="3"/>
      <c r="Q333" s="3"/>
      <c r="R333" s="3"/>
      <c r="S333" s="5"/>
      <c r="T333" s="5"/>
    </row>
    <row r="334" spans="1:20" ht="15" x14ac:dyDescent="0.2">
      <c r="C334" s="9"/>
      <c r="D334" s="9"/>
      <c r="E334" s="9"/>
      <c r="F334" s="9"/>
      <c r="G334" s="9"/>
      <c r="H334" s="9"/>
      <c r="I334" s="9"/>
      <c r="J334" s="9"/>
      <c r="K334" s="9"/>
      <c r="L334" s="9"/>
      <c r="M334" s="9"/>
      <c r="N334" s="9"/>
      <c r="O334" s="3"/>
      <c r="P334" s="3"/>
      <c r="Q334" s="3"/>
      <c r="R334" s="3"/>
    </row>
    <row r="335" spans="1:20" ht="15" x14ac:dyDescent="0.2">
      <c r="C335" s="9"/>
      <c r="D335" s="9"/>
      <c r="E335" s="9"/>
      <c r="F335" s="9"/>
      <c r="G335" s="9"/>
      <c r="H335" s="9"/>
      <c r="I335" s="9"/>
      <c r="J335" s="9"/>
      <c r="K335" s="9"/>
      <c r="L335" s="9"/>
      <c r="M335" s="9"/>
      <c r="N335" s="9"/>
      <c r="O335" s="3"/>
      <c r="P335" s="3"/>
      <c r="Q335" s="3"/>
      <c r="R335" s="3"/>
    </row>
    <row r="336" spans="1:20" ht="15" customHeight="1" x14ac:dyDescent="0.2">
      <c r="C336" s="9"/>
      <c r="D336" s="9"/>
      <c r="E336" s="9"/>
      <c r="F336" s="9"/>
      <c r="G336" s="9"/>
      <c r="H336" s="9"/>
      <c r="I336" s="9"/>
      <c r="J336" s="9"/>
      <c r="K336" s="9"/>
      <c r="L336" s="9"/>
      <c r="M336" s="9"/>
      <c r="N336" s="9"/>
      <c r="O336" s="3"/>
      <c r="P336" s="3"/>
      <c r="Q336" s="3"/>
      <c r="R336" s="3"/>
    </row>
    <row r="337" spans="3:18" ht="15" customHeight="1" x14ac:dyDescent="0.2">
      <c r="C337" s="9"/>
      <c r="D337" s="9"/>
      <c r="E337" s="9"/>
      <c r="F337" s="9"/>
      <c r="G337" s="9"/>
      <c r="H337" s="9"/>
      <c r="I337" s="9"/>
      <c r="J337" s="9"/>
      <c r="K337" s="9"/>
      <c r="L337" s="9"/>
      <c r="M337" s="9"/>
      <c r="N337" s="9"/>
      <c r="O337" s="3"/>
      <c r="P337" s="3"/>
      <c r="Q337" s="3"/>
      <c r="R337" s="3"/>
    </row>
    <row r="338" spans="3:18" ht="14" customHeight="1" x14ac:dyDescent="0.2">
      <c r="C338" s="9"/>
      <c r="D338" s="9"/>
      <c r="E338" s="9"/>
      <c r="F338" s="9"/>
      <c r="G338" s="9"/>
      <c r="H338" s="9"/>
      <c r="I338" s="9"/>
      <c r="J338" s="9"/>
      <c r="K338" s="9"/>
      <c r="L338" s="9"/>
      <c r="M338" s="9"/>
      <c r="N338" s="9"/>
      <c r="O338" s="3"/>
      <c r="P338" s="3"/>
      <c r="Q338" s="3"/>
      <c r="R338" s="3"/>
    </row>
    <row r="339" spans="3:18" ht="14.5" customHeight="1" x14ac:dyDescent="0.2">
      <c r="C339" s="9"/>
      <c r="D339" s="9"/>
      <c r="E339" s="9"/>
      <c r="F339" s="9"/>
      <c r="G339" s="9"/>
      <c r="H339" s="9"/>
      <c r="I339" s="9"/>
      <c r="J339" s="9"/>
      <c r="K339" s="9"/>
      <c r="L339" s="9"/>
      <c r="M339" s="9"/>
      <c r="N339" s="9"/>
      <c r="O339" s="3"/>
      <c r="P339" s="3"/>
      <c r="Q339" s="3"/>
      <c r="R339" s="3"/>
    </row>
    <row r="340" spans="3:18" ht="14.5" customHeight="1" x14ac:dyDescent="0.2">
      <c r="C340" s="9"/>
      <c r="D340" s="9"/>
      <c r="E340" s="9"/>
      <c r="F340" s="9"/>
      <c r="G340" s="9"/>
      <c r="H340" s="9"/>
      <c r="I340" s="9"/>
      <c r="J340" s="9"/>
      <c r="K340" s="9"/>
      <c r="L340" s="9"/>
      <c r="M340" s="9"/>
      <c r="N340" s="9"/>
      <c r="O340" s="3"/>
      <c r="P340" s="3"/>
      <c r="Q340" s="3"/>
      <c r="R340" s="3"/>
    </row>
    <row r="341" spans="3:18" ht="14.5" customHeight="1" x14ac:dyDescent="0.2">
      <c r="C341" s="9"/>
      <c r="D341" s="9"/>
      <c r="E341" s="9"/>
      <c r="F341" s="9"/>
      <c r="G341" s="9"/>
      <c r="H341" s="9"/>
      <c r="I341" s="9"/>
      <c r="J341" s="9"/>
      <c r="K341" s="9"/>
      <c r="L341" s="9"/>
      <c r="M341" s="9"/>
      <c r="N341" s="9"/>
      <c r="O341" s="3"/>
      <c r="P341" s="3"/>
      <c r="Q341" s="3"/>
      <c r="R341" s="3"/>
    </row>
    <row r="342" spans="3:18" ht="14.5" customHeight="1" x14ac:dyDescent="0.2">
      <c r="C342" s="9"/>
      <c r="D342" s="9"/>
      <c r="E342" s="9"/>
      <c r="F342" s="9"/>
      <c r="G342" s="9"/>
      <c r="H342" s="9"/>
      <c r="I342" s="9"/>
      <c r="J342" s="9"/>
      <c r="K342" s="9"/>
      <c r="L342" s="9"/>
      <c r="M342" s="9"/>
      <c r="N342" s="9"/>
      <c r="O342" s="3"/>
      <c r="P342" s="3"/>
      <c r="Q342" s="3"/>
      <c r="R342" s="3"/>
    </row>
    <row r="343" spans="3:18" ht="14.5" customHeight="1" x14ac:dyDescent="0.2">
      <c r="C343" s="9"/>
      <c r="D343" s="9"/>
      <c r="E343" s="9"/>
      <c r="F343" s="9"/>
      <c r="G343" s="9"/>
      <c r="H343" s="9"/>
      <c r="I343" s="9"/>
      <c r="J343" s="9"/>
      <c r="K343" s="9"/>
      <c r="L343" s="9"/>
      <c r="M343" s="9"/>
      <c r="N343" s="9"/>
      <c r="O343" s="3"/>
      <c r="P343" s="3"/>
      <c r="Q343" s="3"/>
      <c r="R343" s="3"/>
    </row>
    <row r="344" spans="3:18" ht="14.5" customHeight="1" x14ac:dyDescent="0.15">
      <c r="C344" s="3"/>
      <c r="D344" s="3"/>
      <c r="F344" s="3"/>
      <c r="G344" s="3"/>
      <c r="H344" s="3"/>
      <c r="I344" s="3"/>
      <c r="J344" s="3"/>
      <c r="K344" s="3"/>
      <c r="L344" s="3"/>
      <c r="M344" s="3"/>
      <c r="N344" s="3"/>
      <c r="O344" s="3"/>
      <c r="P344" s="3"/>
      <c r="Q344" s="3"/>
      <c r="R344" s="3"/>
    </row>
    <row r="345" spans="3:18" ht="14.5" customHeight="1" x14ac:dyDescent="0.15">
      <c r="C345" s="3"/>
      <c r="D345" s="3"/>
      <c r="F345" s="3"/>
      <c r="G345" s="3"/>
      <c r="H345" s="3"/>
      <c r="I345" s="3"/>
      <c r="J345" s="3"/>
      <c r="K345" s="3"/>
      <c r="L345" s="3"/>
      <c r="M345" s="3"/>
      <c r="N345" s="3"/>
      <c r="O345" s="3"/>
      <c r="P345" s="3"/>
      <c r="Q345" s="3"/>
      <c r="R345" s="3"/>
    </row>
    <row r="346" spans="3:18" ht="14.5" customHeight="1" x14ac:dyDescent="0.15">
      <c r="C346" s="3"/>
      <c r="D346" s="3"/>
      <c r="F346" s="3"/>
      <c r="G346" s="3"/>
      <c r="H346" s="3"/>
      <c r="I346" s="3"/>
      <c r="J346" s="3"/>
      <c r="K346" s="3"/>
      <c r="L346" s="3"/>
      <c r="M346" s="3"/>
      <c r="N346" s="3"/>
      <c r="O346" s="3"/>
      <c r="P346" s="3"/>
      <c r="Q346" s="3"/>
      <c r="R346" s="3"/>
    </row>
    <row r="347" spans="3:18" ht="14.5" customHeight="1" x14ac:dyDescent="0.15">
      <c r="C347" s="3"/>
      <c r="D347" s="3"/>
      <c r="F347" s="3"/>
      <c r="G347" s="3"/>
      <c r="H347" s="3"/>
      <c r="I347" s="3"/>
      <c r="J347" s="3"/>
      <c r="K347" s="3"/>
      <c r="L347" s="3"/>
      <c r="M347" s="3"/>
      <c r="N347" s="3"/>
      <c r="O347" s="3"/>
      <c r="P347" s="3"/>
      <c r="Q347" s="3"/>
      <c r="R347" s="3"/>
    </row>
    <row r="348" spans="3:18" ht="14.5" customHeight="1" x14ac:dyDescent="0.15">
      <c r="C348" s="3"/>
      <c r="D348" s="3"/>
      <c r="F348" s="3"/>
      <c r="G348" s="3"/>
      <c r="H348" s="3"/>
      <c r="I348" s="3"/>
      <c r="J348" s="3"/>
      <c r="K348" s="3"/>
      <c r="L348" s="3"/>
      <c r="M348" s="3"/>
      <c r="N348" s="3"/>
      <c r="O348" s="3"/>
      <c r="P348" s="3"/>
      <c r="Q348" s="3"/>
      <c r="R348" s="3"/>
    </row>
    <row r="349" spans="3:18" ht="14.5" customHeight="1" x14ac:dyDescent="0.15">
      <c r="C349" s="3"/>
      <c r="D349" s="3"/>
      <c r="F349" s="3"/>
      <c r="G349" s="3"/>
      <c r="H349" s="3"/>
      <c r="I349" s="3"/>
      <c r="J349" s="3"/>
      <c r="K349" s="3"/>
      <c r="L349" s="3"/>
      <c r="M349" s="3"/>
      <c r="N349" s="3"/>
      <c r="O349" s="3"/>
      <c r="P349" s="3"/>
      <c r="Q349" s="3"/>
      <c r="R349" s="3"/>
    </row>
    <row r="350" spans="3:18" ht="14.5" customHeight="1" x14ac:dyDescent="0.15">
      <c r="C350" s="3"/>
      <c r="D350" s="3"/>
      <c r="F350" s="3"/>
      <c r="G350" s="3"/>
      <c r="H350" s="3"/>
      <c r="I350" s="3"/>
      <c r="J350" s="3"/>
      <c r="K350" s="3"/>
      <c r="L350" s="3"/>
      <c r="M350" s="3"/>
      <c r="N350" s="3"/>
      <c r="O350" s="3"/>
      <c r="P350" s="3"/>
      <c r="Q350" s="3"/>
      <c r="R350" s="3"/>
    </row>
    <row r="351" spans="3:18" ht="14.5" customHeight="1" x14ac:dyDescent="0.15">
      <c r="C351" s="3"/>
      <c r="D351" s="3"/>
      <c r="F351" s="3"/>
      <c r="G351" s="3"/>
      <c r="H351" s="3"/>
      <c r="I351" s="3"/>
      <c r="J351" s="3"/>
      <c r="K351" s="3"/>
      <c r="L351" s="3"/>
      <c r="M351" s="3"/>
      <c r="N351" s="3"/>
      <c r="O351" s="3"/>
      <c r="P351" s="3"/>
      <c r="Q351" s="3"/>
      <c r="R351" s="3"/>
    </row>
    <row r="352" spans="3:18" ht="14.5" customHeight="1" x14ac:dyDescent="0.15">
      <c r="C352" s="3"/>
      <c r="D352" s="3"/>
      <c r="F352" s="3"/>
      <c r="G352" s="3"/>
      <c r="H352" s="3"/>
      <c r="I352" s="3"/>
      <c r="J352" s="3"/>
      <c r="K352" s="3"/>
      <c r="L352" s="3"/>
      <c r="M352" s="3"/>
      <c r="N352" s="3"/>
      <c r="O352" s="3"/>
      <c r="P352" s="3"/>
      <c r="Q352" s="3"/>
      <c r="R352" s="3"/>
    </row>
    <row r="353" spans="3:18" ht="14.5" customHeight="1" x14ac:dyDescent="0.15">
      <c r="C353" s="3"/>
      <c r="D353" s="3"/>
      <c r="F353" s="3"/>
      <c r="G353" s="3"/>
      <c r="H353" s="3"/>
      <c r="I353" s="3"/>
      <c r="J353" s="3"/>
      <c r="K353" s="3"/>
      <c r="L353" s="3"/>
      <c r="M353" s="3"/>
      <c r="N353" s="3"/>
      <c r="O353" s="3"/>
      <c r="P353" s="3"/>
      <c r="Q353" s="3"/>
      <c r="R353" s="3"/>
    </row>
    <row r="354" spans="3:18" ht="14.5" customHeight="1" x14ac:dyDescent="0.15">
      <c r="C354" s="3"/>
      <c r="D354" s="3"/>
      <c r="F354" s="3"/>
      <c r="G354" s="3"/>
      <c r="H354" s="3"/>
      <c r="I354" s="3"/>
      <c r="J354" s="3"/>
      <c r="K354" s="3"/>
      <c r="L354" s="3"/>
      <c r="M354" s="3"/>
      <c r="N354" s="3"/>
      <c r="O354" s="3"/>
      <c r="P354" s="3"/>
      <c r="Q354" s="3"/>
      <c r="R354" s="3"/>
    </row>
    <row r="355" spans="3:18" ht="14.5" customHeight="1" x14ac:dyDescent="0.15">
      <c r="C355" s="3"/>
      <c r="D355" s="3"/>
      <c r="F355" s="3"/>
      <c r="G355" s="3"/>
      <c r="H355" s="3"/>
      <c r="I355" s="3"/>
      <c r="J355" s="3"/>
      <c r="K355" s="3"/>
      <c r="L355" s="3"/>
      <c r="M355" s="3"/>
      <c r="N355" s="3"/>
      <c r="O355" s="3"/>
      <c r="P355" s="3"/>
      <c r="Q355" s="3"/>
      <c r="R355" s="3"/>
    </row>
    <row r="356" spans="3:18" ht="14.5" customHeight="1" x14ac:dyDescent="0.15">
      <c r="C356" s="3"/>
      <c r="D356" s="3"/>
      <c r="F356" s="3"/>
      <c r="G356" s="3"/>
      <c r="H356" s="3"/>
      <c r="I356" s="3"/>
      <c r="J356" s="3"/>
      <c r="K356" s="3"/>
      <c r="L356" s="3"/>
      <c r="M356" s="3"/>
      <c r="N356" s="3"/>
      <c r="O356" s="3"/>
      <c r="P356" s="3"/>
      <c r="Q356" s="3"/>
      <c r="R356" s="3"/>
    </row>
    <row r="357" spans="3:18" ht="14.5" customHeight="1" x14ac:dyDescent="0.15">
      <c r="C357" s="3"/>
      <c r="D357" s="3"/>
      <c r="F357" s="3"/>
      <c r="G357" s="3"/>
      <c r="H357" s="3"/>
      <c r="I357" s="3"/>
      <c r="J357" s="3"/>
      <c r="K357" s="3"/>
      <c r="L357" s="3"/>
      <c r="M357" s="3"/>
      <c r="N357" s="3"/>
      <c r="O357" s="3"/>
      <c r="P357" s="3"/>
      <c r="Q357" s="3"/>
      <c r="R357" s="3"/>
    </row>
    <row r="358" spans="3:18" ht="14.5" customHeight="1" x14ac:dyDescent="0.15">
      <c r="C358" s="3"/>
      <c r="D358" s="3"/>
      <c r="F358" s="3"/>
      <c r="G358" s="3"/>
      <c r="H358" s="3"/>
      <c r="I358" s="3"/>
      <c r="J358" s="3"/>
      <c r="K358" s="3"/>
      <c r="L358" s="3"/>
      <c r="M358" s="3"/>
      <c r="N358" s="3"/>
      <c r="O358" s="3"/>
      <c r="P358" s="3"/>
      <c r="Q358" s="3"/>
      <c r="R358" s="3"/>
    </row>
    <row r="359" spans="3:18" ht="14.5" customHeight="1" x14ac:dyDescent="0.15">
      <c r="C359" s="3"/>
      <c r="D359" s="3"/>
      <c r="F359" s="3"/>
      <c r="G359" s="3"/>
      <c r="H359" s="3"/>
      <c r="I359" s="3"/>
      <c r="J359" s="3"/>
      <c r="K359" s="3"/>
      <c r="L359" s="3"/>
      <c r="M359" s="3"/>
      <c r="N359" s="3"/>
      <c r="O359" s="3"/>
      <c r="P359" s="3"/>
      <c r="Q359" s="3"/>
      <c r="R359" s="3"/>
    </row>
    <row r="360" spans="3:18" ht="14.5" customHeight="1" x14ac:dyDescent="0.15">
      <c r="C360" s="3"/>
      <c r="D360" s="3"/>
      <c r="F360" s="3"/>
      <c r="G360" s="3"/>
      <c r="H360" s="3"/>
      <c r="I360" s="3"/>
      <c r="J360" s="3"/>
      <c r="K360" s="3"/>
      <c r="L360" s="3"/>
      <c r="M360" s="3"/>
      <c r="N360" s="3"/>
      <c r="O360" s="3"/>
      <c r="P360" s="3"/>
      <c r="Q360" s="3"/>
      <c r="R360" s="3"/>
    </row>
    <row r="361" spans="3:18" ht="14.5" customHeight="1" x14ac:dyDescent="0.15">
      <c r="C361" s="3"/>
      <c r="D361" s="3"/>
      <c r="F361" s="3"/>
      <c r="G361" s="3"/>
      <c r="H361" s="3"/>
      <c r="I361" s="3"/>
      <c r="J361" s="3"/>
      <c r="K361" s="3"/>
      <c r="L361" s="3"/>
      <c r="M361" s="3"/>
      <c r="N361" s="3"/>
      <c r="O361" s="3"/>
      <c r="P361" s="3"/>
      <c r="Q361" s="3"/>
      <c r="R361" s="3"/>
    </row>
    <row r="362" spans="3:18" ht="14.5" customHeight="1" x14ac:dyDescent="0.15">
      <c r="C362" s="3"/>
      <c r="D362" s="3"/>
      <c r="F362" s="3"/>
      <c r="G362" s="3"/>
      <c r="H362" s="3"/>
      <c r="I362" s="3"/>
      <c r="J362" s="3"/>
      <c r="K362" s="3"/>
      <c r="L362" s="3"/>
      <c r="M362" s="3"/>
      <c r="N362" s="3"/>
      <c r="O362" s="3"/>
      <c r="P362" s="3"/>
      <c r="Q362" s="3"/>
      <c r="R362" s="3"/>
    </row>
    <row r="363" spans="3:18" ht="14.5" customHeight="1" x14ac:dyDescent="0.15">
      <c r="C363" s="3"/>
      <c r="D363" s="3"/>
      <c r="F363" s="3"/>
      <c r="G363" s="3"/>
      <c r="H363" s="3"/>
      <c r="I363" s="3"/>
      <c r="J363" s="3"/>
      <c r="K363" s="3"/>
      <c r="L363" s="3"/>
      <c r="M363" s="3"/>
      <c r="N363" s="3"/>
      <c r="O363" s="3"/>
      <c r="P363" s="3"/>
      <c r="Q363" s="3"/>
      <c r="R363" s="3"/>
    </row>
    <row r="364" spans="3:18" ht="14.5" customHeight="1" x14ac:dyDescent="0.15">
      <c r="C364" s="3"/>
      <c r="D364" s="3"/>
      <c r="F364" s="3"/>
      <c r="G364" s="3"/>
      <c r="H364" s="3"/>
      <c r="I364" s="3"/>
      <c r="J364" s="3"/>
      <c r="K364" s="3"/>
      <c r="L364" s="3"/>
      <c r="M364" s="3"/>
      <c r="N364" s="3"/>
      <c r="O364" s="3"/>
      <c r="P364" s="3"/>
      <c r="Q364" s="3"/>
      <c r="R364" s="3"/>
    </row>
    <row r="365" spans="3:18" ht="14.5" customHeight="1" x14ac:dyDescent="0.15">
      <c r="C365" s="3"/>
      <c r="D365" s="3"/>
      <c r="F365" s="3"/>
      <c r="G365" s="3"/>
      <c r="H365" s="3"/>
      <c r="I365" s="3"/>
      <c r="J365" s="3"/>
      <c r="K365" s="3"/>
      <c r="L365" s="3"/>
      <c r="M365" s="3"/>
      <c r="N365" s="3"/>
      <c r="O365" s="3"/>
      <c r="P365" s="3"/>
      <c r="Q365" s="3"/>
      <c r="R365" s="3"/>
    </row>
    <row r="366" spans="3:18" ht="14.5" customHeight="1" x14ac:dyDescent="0.15">
      <c r="C366" s="3"/>
      <c r="D366" s="3"/>
      <c r="F366" s="3"/>
      <c r="G366" s="3"/>
      <c r="H366" s="3"/>
      <c r="I366" s="3"/>
      <c r="J366" s="3"/>
      <c r="K366" s="3"/>
      <c r="L366" s="3"/>
      <c r="M366" s="3"/>
      <c r="N366" s="3"/>
      <c r="O366" s="3"/>
      <c r="P366" s="3"/>
      <c r="Q366" s="3"/>
      <c r="R366" s="3"/>
    </row>
    <row r="367" spans="3:18" ht="14.5" customHeight="1" x14ac:dyDescent="0.15">
      <c r="C367" s="3"/>
      <c r="D367" s="3"/>
      <c r="F367" s="3"/>
      <c r="G367" s="3"/>
      <c r="H367" s="3"/>
      <c r="I367" s="3"/>
      <c r="J367" s="3"/>
      <c r="K367" s="3"/>
      <c r="L367" s="3"/>
      <c r="M367" s="3"/>
      <c r="N367" s="3"/>
      <c r="O367" s="3"/>
      <c r="P367" s="3"/>
      <c r="Q367" s="3"/>
      <c r="R367" s="3"/>
    </row>
    <row r="368" spans="3:18" ht="14.5" customHeight="1" x14ac:dyDescent="0.15">
      <c r="C368" s="3"/>
      <c r="D368" s="3"/>
      <c r="F368" s="3"/>
      <c r="G368" s="3"/>
      <c r="H368" s="3"/>
      <c r="I368" s="3"/>
      <c r="J368" s="3"/>
      <c r="K368" s="3"/>
      <c r="L368" s="3"/>
      <c r="M368" s="3"/>
      <c r="N368" s="3"/>
      <c r="O368" s="3"/>
      <c r="P368" s="3"/>
      <c r="Q368" s="3"/>
      <c r="R368" s="3"/>
    </row>
    <row r="369" spans="3:18" ht="14.5" customHeight="1" x14ac:dyDescent="0.15">
      <c r="C369" s="3"/>
      <c r="D369" s="3"/>
      <c r="F369" s="3"/>
      <c r="G369" s="3"/>
      <c r="H369" s="3"/>
      <c r="I369" s="3"/>
      <c r="J369" s="3"/>
      <c r="K369" s="3"/>
      <c r="L369" s="3"/>
      <c r="M369" s="3"/>
      <c r="N369" s="3"/>
      <c r="O369" s="3"/>
      <c r="P369" s="3"/>
      <c r="Q369" s="3"/>
      <c r="R369" s="3"/>
    </row>
    <row r="370" spans="3:18" ht="14.5" customHeight="1" x14ac:dyDescent="0.15">
      <c r="C370" s="3"/>
      <c r="D370" s="3"/>
      <c r="F370" s="3"/>
      <c r="G370" s="3"/>
      <c r="H370" s="3"/>
      <c r="I370" s="3"/>
      <c r="J370" s="3"/>
      <c r="K370" s="3"/>
      <c r="L370" s="3"/>
      <c r="M370" s="3"/>
      <c r="N370" s="3"/>
      <c r="O370" s="3"/>
      <c r="P370" s="3"/>
      <c r="Q370" s="3"/>
      <c r="R370" s="3"/>
    </row>
    <row r="371" spans="3:18" ht="14.5" customHeight="1" x14ac:dyDescent="0.15">
      <c r="C371" s="3"/>
      <c r="D371" s="3"/>
      <c r="F371" s="3"/>
      <c r="G371" s="3"/>
      <c r="H371" s="3"/>
      <c r="I371" s="3"/>
      <c r="J371" s="3"/>
      <c r="K371" s="3"/>
      <c r="L371" s="3"/>
      <c r="M371" s="3"/>
      <c r="N371" s="3"/>
      <c r="O371" s="3"/>
      <c r="P371" s="3"/>
      <c r="Q371" s="3"/>
      <c r="R371" s="3"/>
    </row>
    <row r="372" spans="3:18" ht="14.5" customHeight="1" x14ac:dyDescent="0.15">
      <c r="C372" s="3"/>
      <c r="D372" s="3"/>
      <c r="F372" s="3"/>
      <c r="G372" s="3"/>
      <c r="H372" s="3"/>
      <c r="I372" s="3"/>
      <c r="J372" s="3"/>
      <c r="K372" s="3"/>
      <c r="L372" s="3"/>
      <c r="M372" s="3"/>
      <c r="N372" s="3"/>
      <c r="O372" s="3"/>
      <c r="P372" s="3"/>
      <c r="Q372" s="3"/>
      <c r="R372" s="3"/>
    </row>
    <row r="373" spans="3:18" ht="14.5" customHeight="1" x14ac:dyDescent="0.15">
      <c r="C373" s="3"/>
      <c r="D373" s="3"/>
      <c r="F373" s="3"/>
      <c r="G373" s="3"/>
      <c r="H373" s="3"/>
      <c r="I373" s="3"/>
      <c r="J373" s="3"/>
      <c r="K373" s="3"/>
      <c r="L373" s="3"/>
      <c r="M373" s="3"/>
      <c r="N373" s="3"/>
      <c r="O373" s="3"/>
      <c r="P373" s="3"/>
      <c r="Q373" s="3"/>
      <c r="R373" s="3"/>
    </row>
    <row r="374" spans="3:18" ht="14.5" customHeight="1" x14ac:dyDescent="0.15">
      <c r="C374" s="3"/>
      <c r="D374" s="3"/>
      <c r="F374" s="3"/>
      <c r="G374" s="3"/>
      <c r="H374" s="3"/>
      <c r="I374" s="3"/>
      <c r="J374" s="3"/>
      <c r="K374" s="3"/>
      <c r="L374" s="3"/>
      <c r="M374" s="3"/>
      <c r="N374" s="3"/>
      <c r="O374" s="3"/>
      <c r="P374" s="3"/>
      <c r="Q374" s="3"/>
      <c r="R374" s="3"/>
    </row>
    <row r="375" spans="3:18" ht="14.5" customHeight="1" x14ac:dyDescent="0.15">
      <c r="C375" s="3"/>
      <c r="D375" s="3"/>
      <c r="F375" s="3"/>
      <c r="G375" s="3"/>
      <c r="H375" s="3"/>
      <c r="I375" s="3"/>
      <c r="J375" s="3"/>
      <c r="K375" s="3"/>
      <c r="L375" s="3"/>
      <c r="M375" s="3"/>
      <c r="N375" s="3"/>
      <c r="O375" s="3"/>
      <c r="P375" s="3"/>
      <c r="Q375" s="3"/>
      <c r="R375" s="3"/>
    </row>
    <row r="376" spans="3:18" ht="14.5" customHeight="1" x14ac:dyDescent="0.15">
      <c r="C376" s="3"/>
      <c r="D376" s="3"/>
      <c r="F376" s="3"/>
      <c r="G376" s="3"/>
      <c r="H376" s="3"/>
      <c r="I376" s="3"/>
      <c r="J376" s="3"/>
      <c r="K376" s="3"/>
      <c r="L376" s="3"/>
      <c r="M376" s="3"/>
      <c r="N376" s="3"/>
      <c r="O376" s="3"/>
      <c r="P376" s="3"/>
      <c r="Q376" s="3"/>
      <c r="R376" s="3"/>
    </row>
    <row r="377" spans="3:18" ht="14.5" customHeight="1" x14ac:dyDescent="0.15">
      <c r="C377" s="3"/>
      <c r="D377" s="3"/>
      <c r="F377" s="3"/>
      <c r="G377" s="3"/>
      <c r="H377" s="3"/>
      <c r="I377" s="3"/>
      <c r="J377" s="3"/>
      <c r="K377" s="3"/>
      <c r="L377" s="3"/>
      <c r="M377" s="3"/>
      <c r="N377" s="3"/>
      <c r="O377" s="3"/>
      <c r="P377" s="3"/>
      <c r="Q377" s="3"/>
      <c r="R377" s="3"/>
    </row>
    <row r="378" spans="3:18" ht="14.5" customHeight="1" x14ac:dyDescent="0.15">
      <c r="C378" s="3"/>
      <c r="D378" s="3"/>
      <c r="F378" s="3"/>
      <c r="G378" s="3"/>
      <c r="H378" s="3"/>
      <c r="I378" s="3"/>
      <c r="J378" s="3"/>
      <c r="K378" s="3"/>
      <c r="L378" s="3"/>
      <c r="M378" s="3"/>
      <c r="N378" s="3"/>
      <c r="O378" s="3"/>
      <c r="P378" s="3"/>
      <c r="Q378" s="3"/>
      <c r="R378" s="3"/>
    </row>
    <row r="379" spans="3:18" ht="14.5" customHeight="1" x14ac:dyDescent="0.15">
      <c r="C379" s="3"/>
      <c r="D379" s="3"/>
      <c r="F379" s="3"/>
      <c r="G379" s="3"/>
      <c r="H379" s="3"/>
      <c r="I379" s="3"/>
      <c r="J379" s="3"/>
      <c r="K379" s="3"/>
      <c r="L379" s="3"/>
      <c r="M379" s="3"/>
      <c r="N379" s="3"/>
      <c r="O379" s="3"/>
      <c r="P379" s="3"/>
      <c r="Q379" s="3"/>
      <c r="R379" s="3"/>
    </row>
    <row r="380" spans="3:18" ht="14.5" customHeight="1" x14ac:dyDescent="0.15">
      <c r="C380" s="3"/>
      <c r="D380" s="3"/>
      <c r="F380" s="3"/>
      <c r="G380" s="3"/>
      <c r="H380" s="3"/>
      <c r="I380" s="3"/>
      <c r="J380" s="3"/>
      <c r="K380" s="3"/>
      <c r="L380" s="3"/>
      <c r="M380" s="3"/>
      <c r="N380" s="3"/>
      <c r="O380" s="3"/>
      <c r="P380" s="3"/>
      <c r="Q380" s="3"/>
      <c r="R380" s="3"/>
    </row>
    <row r="381" spans="3:18" ht="14.5" customHeight="1" x14ac:dyDescent="0.15">
      <c r="C381" s="3"/>
      <c r="D381" s="3"/>
      <c r="F381" s="3"/>
      <c r="G381" s="3"/>
      <c r="H381" s="3"/>
      <c r="I381" s="3"/>
      <c r="J381" s="3"/>
      <c r="K381" s="3"/>
      <c r="L381" s="3"/>
      <c r="M381" s="3"/>
      <c r="N381" s="3"/>
      <c r="O381" s="3"/>
      <c r="P381" s="3"/>
      <c r="Q381" s="3"/>
      <c r="R381" s="3"/>
    </row>
    <row r="382" spans="3:18" ht="14.5" customHeight="1" x14ac:dyDescent="0.15">
      <c r="C382" s="3"/>
      <c r="D382" s="3"/>
      <c r="F382" s="3"/>
      <c r="G382" s="3"/>
      <c r="H382" s="3"/>
      <c r="I382" s="3"/>
      <c r="J382" s="3"/>
      <c r="K382" s="3"/>
      <c r="L382" s="3"/>
      <c r="M382" s="3"/>
      <c r="N382" s="3"/>
      <c r="O382" s="3"/>
      <c r="P382" s="3"/>
      <c r="Q382" s="3"/>
      <c r="R382" s="3"/>
    </row>
    <row r="383" spans="3:18" ht="14.5" customHeight="1" x14ac:dyDescent="0.15">
      <c r="C383" s="3"/>
      <c r="D383" s="3"/>
      <c r="F383" s="3"/>
      <c r="G383" s="3"/>
      <c r="H383" s="3"/>
      <c r="I383" s="3"/>
      <c r="J383" s="3"/>
      <c r="K383" s="3"/>
      <c r="L383" s="3"/>
      <c r="M383" s="3"/>
      <c r="N383" s="3"/>
      <c r="O383" s="3"/>
      <c r="P383" s="3"/>
      <c r="Q383" s="3"/>
      <c r="R383" s="3"/>
    </row>
    <row r="384" spans="3:18" ht="14.5" customHeight="1" x14ac:dyDescent="0.15">
      <c r="C384" s="3"/>
      <c r="D384" s="3"/>
      <c r="F384" s="3"/>
      <c r="G384" s="3"/>
      <c r="H384" s="3"/>
      <c r="I384" s="3"/>
      <c r="J384" s="3"/>
      <c r="K384" s="3"/>
      <c r="L384" s="3"/>
      <c r="M384" s="3"/>
      <c r="N384" s="3"/>
      <c r="O384" s="3"/>
      <c r="P384" s="3"/>
      <c r="Q384" s="3"/>
      <c r="R384" s="3"/>
    </row>
    <row r="385" spans="3:18" ht="14.5" customHeight="1" x14ac:dyDescent="0.15">
      <c r="C385" s="3"/>
      <c r="D385" s="3"/>
      <c r="F385" s="3"/>
      <c r="G385" s="3"/>
      <c r="H385" s="3"/>
      <c r="I385" s="3"/>
      <c r="J385" s="3"/>
      <c r="K385" s="3"/>
      <c r="L385" s="3"/>
      <c r="M385" s="3"/>
      <c r="N385" s="3"/>
      <c r="O385" s="3"/>
      <c r="P385" s="3"/>
      <c r="Q385" s="3"/>
      <c r="R385" s="3"/>
    </row>
    <row r="386" spans="3:18" ht="14.5" customHeight="1" x14ac:dyDescent="0.15">
      <c r="C386" s="3"/>
      <c r="D386" s="3"/>
      <c r="F386" s="3"/>
      <c r="G386" s="3"/>
      <c r="H386" s="3"/>
      <c r="I386" s="3"/>
      <c r="J386" s="3"/>
      <c r="K386" s="3"/>
      <c r="L386" s="3"/>
      <c r="M386" s="3"/>
      <c r="N386" s="3"/>
      <c r="O386" s="3"/>
      <c r="P386" s="3"/>
      <c r="Q386" s="3"/>
      <c r="R386" s="3"/>
    </row>
    <row r="387" spans="3:18" ht="14.5" customHeight="1" x14ac:dyDescent="0.15">
      <c r="C387" s="3"/>
      <c r="D387" s="3"/>
      <c r="F387" s="3"/>
      <c r="G387" s="3"/>
      <c r="H387" s="3"/>
      <c r="I387" s="3"/>
      <c r="J387" s="3"/>
      <c r="K387" s="3"/>
      <c r="L387" s="3"/>
      <c r="M387" s="3"/>
      <c r="N387" s="3"/>
      <c r="O387" s="3"/>
      <c r="P387" s="3"/>
      <c r="Q387" s="3"/>
      <c r="R387" s="3"/>
    </row>
    <row r="388" spans="3:18" ht="14.5" customHeight="1" x14ac:dyDescent="0.15">
      <c r="C388" s="3"/>
      <c r="D388" s="3"/>
      <c r="F388" s="3"/>
      <c r="G388" s="3"/>
      <c r="H388" s="3"/>
      <c r="I388" s="3"/>
      <c r="J388" s="3"/>
      <c r="K388" s="3"/>
      <c r="L388" s="3"/>
      <c r="M388" s="3"/>
      <c r="N388" s="3"/>
      <c r="O388" s="3"/>
      <c r="P388" s="3"/>
      <c r="Q388" s="3"/>
      <c r="R388" s="3"/>
    </row>
    <row r="389" spans="3:18" ht="14.5" customHeight="1" x14ac:dyDescent="0.15">
      <c r="C389" s="3"/>
      <c r="D389" s="3"/>
      <c r="F389" s="3"/>
      <c r="G389" s="3"/>
      <c r="H389" s="3"/>
      <c r="I389" s="3"/>
      <c r="J389" s="3"/>
      <c r="K389" s="3"/>
      <c r="L389" s="3"/>
      <c r="M389" s="3"/>
      <c r="N389" s="3"/>
      <c r="O389" s="3"/>
      <c r="P389" s="3"/>
      <c r="Q389" s="3"/>
      <c r="R389" s="3"/>
    </row>
    <row r="390" spans="3:18" ht="14.5" customHeight="1" x14ac:dyDescent="0.15">
      <c r="C390" s="3"/>
      <c r="D390" s="3"/>
      <c r="F390" s="3"/>
      <c r="G390" s="3"/>
      <c r="H390" s="3"/>
      <c r="I390" s="3"/>
      <c r="J390" s="3"/>
      <c r="K390" s="3"/>
      <c r="L390" s="3"/>
      <c r="M390" s="3"/>
      <c r="N390" s="3"/>
      <c r="O390" s="3"/>
      <c r="P390" s="3"/>
      <c r="Q390" s="3"/>
      <c r="R390" s="3"/>
    </row>
    <row r="391" spans="3:18" ht="14.5" customHeight="1" x14ac:dyDescent="0.15">
      <c r="C391" s="3"/>
      <c r="D391" s="3"/>
      <c r="F391" s="3"/>
      <c r="G391" s="3"/>
      <c r="H391" s="3"/>
      <c r="I391" s="3"/>
      <c r="J391" s="3"/>
      <c r="K391" s="3"/>
      <c r="L391" s="3"/>
      <c r="M391" s="3"/>
      <c r="N391" s="3"/>
      <c r="O391" s="3"/>
      <c r="P391" s="3"/>
      <c r="Q391" s="3"/>
      <c r="R391" s="3"/>
    </row>
    <row r="392" spans="3:18" ht="14.5" customHeight="1" x14ac:dyDescent="0.15">
      <c r="C392" s="3"/>
      <c r="D392" s="3"/>
      <c r="F392" s="3"/>
      <c r="G392" s="3"/>
      <c r="H392" s="3"/>
      <c r="I392" s="3"/>
      <c r="J392" s="3"/>
      <c r="K392" s="3"/>
      <c r="L392" s="3"/>
      <c r="M392" s="3"/>
      <c r="N392" s="3"/>
      <c r="O392" s="3"/>
      <c r="P392" s="3"/>
      <c r="Q392" s="3"/>
      <c r="R392" s="3"/>
    </row>
    <row r="393" spans="3:18" ht="14.5" customHeight="1" x14ac:dyDescent="0.15">
      <c r="C393" s="3"/>
      <c r="D393" s="3"/>
      <c r="F393" s="3"/>
      <c r="G393" s="3"/>
      <c r="H393" s="3"/>
      <c r="I393" s="3"/>
      <c r="J393" s="3"/>
      <c r="K393" s="3"/>
      <c r="L393" s="3"/>
      <c r="M393" s="3"/>
      <c r="N393" s="3"/>
      <c r="O393" s="3"/>
      <c r="P393" s="3"/>
      <c r="Q393" s="3"/>
      <c r="R393" s="3"/>
    </row>
    <row r="394" spans="3:18" ht="14.5" customHeight="1" x14ac:dyDescent="0.15">
      <c r="C394" s="3"/>
      <c r="D394" s="3"/>
      <c r="F394" s="3"/>
      <c r="G394" s="3"/>
      <c r="H394" s="3"/>
      <c r="I394" s="3"/>
      <c r="J394" s="3"/>
      <c r="K394" s="3"/>
      <c r="L394" s="3"/>
      <c r="M394" s="3"/>
      <c r="N394" s="3"/>
      <c r="O394" s="3"/>
      <c r="P394" s="3"/>
      <c r="Q394" s="3"/>
      <c r="R394" s="3"/>
    </row>
    <row r="395" spans="3:18" ht="14.5" customHeight="1" x14ac:dyDescent="0.15">
      <c r="C395" s="3"/>
      <c r="D395" s="3"/>
      <c r="F395" s="3"/>
      <c r="G395" s="3"/>
      <c r="H395" s="3"/>
      <c r="I395" s="3"/>
      <c r="J395" s="3"/>
      <c r="K395" s="3"/>
      <c r="L395" s="3"/>
      <c r="M395" s="3"/>
      <c r="N395" s="3"/>
      <c r="O395" s="3"/>
      <c r="P395" s="3"/>
      <c r="Q395" s="3"/>
      <c r="R395" s="3"/>
    </row>
    <row r="396" spans="3:18" ht="14.5" customHeight="1" x14ac:dyDescent="0.15">
      <c r="C396" s="3"/>
      <c r="D396" s="3"/>
      <c r="F396" s="3"/>
      <c r="G396" s="3"/>
      <c r="H396" s="3"/>
      <c r="I396" s="3"/>
      <c r="J396" s="3"/>
      <c r="K396" s="3"/>
      <c r="L396" s="3"/>
      <c r="M396" s="3"/>
      <c r="N396" s="3"/>
      <c r="O396" s="3"/>
      <c r="P396" s="3"/>
      <c r="Q396" s="3"/>
      <c r="R396" s="3"/>
    </row>
    <row r="397" spans="3:18" x14ac:dyDescent="0.15">
      <c r="C397" s="3"/>
      <c r="D397" s="3"/>
      <c r="F397" s="3"/>
      <c r="G397" s="3"/>
      <c r="H397" s="3"/>
      <c r="I397" s="3"/>
      <c r="J397" s="3"/>
      <c r="K397" s="3"/>
      <c r="L397" s="3"/>
      <c r="M397" s="3"/>
      <c r="N397" s="3"/>
      <c r="O397" s="3"/>
      <c r="P397" s="3"/>
      <c r="Q397" s="3"/>
      <c r="R397" s="3"/>
    </row>
    <row r="398" spans="3:18" x14ac:dyDescent="0.15">
      <c r="C398" s="3"/>
      <c r="D398" s="3"/>
      <c r="F398" s="3"/>
      <c r="G398" s="3"/>
      <c r="H398" s="3"/>
      <c r="I398" s="3"/>
      <c r="J398" s="3"/>
      <c r="K398" s="3"/>
      <c r="L398" s="3"/>
      <c r="M398" s="3"/>
      <c r="N398" s="3"/>
      <c r="O398" s="3"/>
      <c r="P398" s="3"/>
      <c r="Q398" s="3"/>
      <c r="R398" s="3"/>
    </row>
    <row r="399" spans="3:18" x14ac:dyDescent="0.15">
      <c r="C399" s="3"/>
      <c r="D399" s="3"/>
      <c r="F399" s="3"/>
      <c r="G399" s="3"/>
      <c r="H399" s="3"/>
      <c r="I399" s="3"/>
      <c r="J399" s="3"/>
      <c r="K399" s="3"/>
      <c r="L399" s="3"/>
      <c r="M399" s="3"/>
      <c r="N399" s="3"/>
      <c r="O399" s="3"/>
      <c r="P399" s="3"/>
      <c r="Q399" s="3"/>
      <c r="R399" s="3"/>
    </row>
    <row r="400" spans="3:18" x14ac:dyDescent="0.15">
      <c r="C400" s="3"/>
      <c r="D400" s="3"/>
      <c r="F400" s="3"/>
      <c r="G400" s="3"/>
      <c r="H400" s="3"/>
      <c r="I400" s="3"/>
      <c r="J400" s="3"/>
      <c r="K400" s="3"/>
      <c r="L400" s="3"/>
      <c r="M400" s="3"/>
      <c r="N400" s="3"/>
      <c r="O400" s="3"/>
      <c r="P400" s="3"/>
      <c r="Q400" s="3"/>
      <c r="R400" s="3"/>
    </row>
    <row r="401" spans="1:148" x14ac:dyDescent="0.15">
      <c r="C401" s="3"/>
      <c r="D401" s="3"/>
      <c r="F401" s="3"/>
      <c r="G401" s="3"/>
      <c r="H401" s="3"/>
      <c r="I401" s="3"/>
      <c r="J401" s="3"/>
      <c r="K401" s="3"/>
      <c r="L401" s="3"/>
      <c r="M401" s="3"/>
      <c r="N401" s="3"/>
      <c r="O401" s="3"/>
      <c r="P401" s="3"/>
      <c r="Q401" s="3"/>
      <c r="R401" s="3"/>
    </row>
    <row r="402" spans="1:148" x14ac:dyDescent="0.15">
      <c r="C402" s="3"/>
      <c r="D402" s="3"/>
      <c r="F402" s="3"/>
      <c r="G402" s="3"/>
      <c r="H402" s="3"/>
      <c r="I402" s="3"/>
      <c r="J402" s="3"/>
      <c r="K402" s="3"/>
      <c r="L402" s="3"/>
      <c r="M402" s="3"/>
      <c r="N402" s="3"/>
      <c r="O402" s="3"/>
      <c r="P402" s="3"/>
      <c r="Q402" s="3"/>
      <c r="R402" s="3"/>
    </row>
    <row r="403" spans="1:148" x14ac:dyDescent="0.15">
      <c r="C403" s="3"/>
      <c r="D403" s="3"/>
      <c r="F403" s="3"/>
      <c r="G403" s="3"/>
      <c r="H403" s="3"/>
      <c r="I403" s="3"/>
      <c r="J403" s="3"/>
      <c r="K403" s="3"/>
      <c r="L403" s="3"/>
      <c r="M403" s="3"/>
      <c r="N403" s="3"/>
      <c r="O403" s="3"/>
      <c r="P403" s="3"/>
      <c r="Q403" s="3"/>
      <c r="R403" s="3"/>
    </row>
    <row r="404" spans="1:148" x14ac:dyDescent="0.15">
      <c r="C404" s="3"/>
      <c r="D404" s="3"/>
      <c r="F404" s="3"/>
      <c r="G404" s="3"/>
      <c r="H404" s="3"/>
      <c r="I404" s="3"/>
      <c r="J404" s="3"/>
      <c r="K404" s="3"/>
      <c r="L404" s="3"/>
      <c r="M404" s="3"/>
      <c r="N404" s="3"/>
      <c r="O404" s="3"/>
      <c r="P404" s="3"/>
      <c r="Q404" s="3"/>
      <c r="R404" s="3"/>
    </row>
    <row r="405" spans="1:148" x14ac:dyDescent="0.15">
      <c r="C405" s="3"/>
      <c r="D405" s="3"/>
      <c r="F405" s="3"/>
      <c r="G405" s="3"/>
      <c r="H405" s="3"/>
      <c r="I405" s="3"/>
      <c r="J405" s="3"/>
      <c r="K405" s="3"/>
      <c r="L405" s="3"/>
      <c r="M405" s="3"/>
      <c r="N405" s="3"/>
      <c r="O405" s="3"/>
      <c r="P405" s="3"/>
      <c r="Q405" s="3"/>
      <c r="R405" s="3"/>
    </row>
    <row r="406" spans="1:148" s="8" customFormat="1" x14ac:dyDescent="0.15">
      <c r="A406" s="5"/>
      <c r="B406" s="5"/>
      <c r="C406" s="3"/>
      <c r="D406" s="3"/>
      <c r="E406" s="3"/>
      <c r="F406" s="3"/>
      <c r="G406" s="3"/>
      <c r="H406" s="3"/>
      <c r="I406" s="3"/>
      <c r="J406" s="3"/>
      <c r="K406" s="3"/>
      <c r="L406" s="3"/>
      <c r="M406" s="3"/>
      <c r="N406" s="3"/>
      <c r="O406" s="3"/>
      <c r="P406" s="3"/>
      <c r="Q406" s="3"/>
      <c r="R406" s="3"/>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5"/>
      <c r="CE406" s="5"/>
      <c r="CF406" s="5"/>
      <c r="CG406" s="5"/>
      <c r="CH406" s="5"/>
      <c r="CI406" s="5"/>
      <c r="CJ406" s="5"/>
      <c r="CK406" s="5"/>
      <c r="CL406" s="5"/>
      <c r="CM406" s="5"/>
      <c r="CN406" s="5"/>
      <c r="CO406" s="5"/>
      <c r="CP406" s="5"/>
      <c r="CQ406" s="5"/>
      <c r="CR406" s="5"/>
      <c r="CS406" s="5"/>
      <c r="CT406" s="5"/>
      <c r="CU406" s="5"/>
      <c r="CV406" s="5"/>
      <c r="CW406" s="5"/>
      <c r="CX406" s="5"/>
      <c r="CY406" s="5"/>
      <c r="CZ406" s="5"/>
      <c r="DA406" s="5"/>
      <c r="DB406" s="5"/>
      <c r="DC406" s="5"/>
      <c r="DD406" s="5"/>
      <c r="DE406" s="5"/>
      <c r="DF406" s="5"/>
      <c r="DG406" s="5"/>
      <c r="DH406" s="5"/>
      <c r="DI406" s="5"/>
      <c r="DJ406" s="5"/>
      <c r="DK406" s="5"/>
      <c r="DL406" s="5"/>
      <c r="DM406" s="5"/>
      <c r="DN406" s="5"/>
      <c r="DO406" s="5"/>
      <c r="DP406" s="5"/>
      <c r="DQ406" s="5"/>
      <c r="DR406" s="5"/>
      <c r="DS406" s="5"/>
      <c r="DT406" s="5"/>
      <c r="DU406" s="5"/>
      <c r="DV406" s="5"/>
      <c r="DW406" s="5"/>
      <c r="DX406" s="5"/>
      <c r="DY406" s="5"/>
      <c r="DZ406" s="5"/>
      <c r="EA406" s="5"/>
      <c r="EB406" s="5"/>
      <c r="EC406" s="5"/>
      <c r="ED406" s="5"/>
      <c r="EE406" s="5"/>
      <c r="EF406" s="5"/>
      <c r="EG406" s="5"/>
      <c r="EH406" s="5"/>
      <c r="EI406" s="5"/>
      <c r="EJ406" s="5"/>
      <c r="EK406" s="5"/>
      <c r="EL406" s="5"/>
      <c r="EM406" s="5"/>
      <c r="EN406" s="5"/>
      <c r="EO406" s="5"/>
      <c r="EP406" s="5"/>
      <c r="EQ406" s="5"/>
      <c r="ER406" s="5"/>
    </row>
    <row r="407" spans="1:148" x14ac:dyDescent="0.15">
      <c r="C407" s="3"/>
      <c r="D407" s="3"/>
      <c r="F407" s="3"/>
      <c r="G407" s="3"/>
      <c r="H407" s="3"/>
      <c r="I407" s="3"/>
      <c r="J407" s="3"/>
      <c r="K407" s="3"/>
      <c r="L407" s="3"/>
      <c r="M407" s="3"/>
      <c r="N407" s="3"/>
      <c r="O407" s="3"/>
      <c r="P407" s="3"/>
      <c r="Q407" s="3"/>
      <c r="R407" s="3"/>
    </row>
    <row r="408" spans="1:148" x14ac:dyDescent="0.15">
      <c r="C408" s="3"/>
      <c r="D408" s="3"/>
      <c r="F408" s="3"/>
      <c r="G408" s="3"/>
      <c r="H408" s="3"/>
      <c r="I408" s="3"/>
      <c r="J408" s="3"/>
      <c r="K408" s="3"/>
      <c r="L408" s="3"/>
      <c r="M408" s="3"/>
      <c r="N408" s="3"/>
      <c r="O408" s="3"/>
      <c r="P408" s="3"/>
      <c r="Q408" s="3"/>
      <c r="R408" s="3"/>
    </row>
    <row r="409" spans="1:148" x14ac:dyDescent="0.15">
      <c r="C409" s="3"/>
      <c r="D409" s="3"/>
      <c r="F409" s="3"/>
      <c r="G409" s="3"/>
      <c r="H409" s="3"/>
      <c r="I409" s="3"/>
      <c r="J409" s="3"/>
      <c r="K409" s="3"/>
      <c r="L409" s="3"/>
      <c r="M409" s="3"/>
      <c r="N409" s="3"/>
      <c r="O409" s="3"/>
      <c r="P409" s="3"/>
      <c r="Q409" s="3"/>
      <c r="R409" s="3"/>
    </row>
    <row r="410" spans="1:148" x14ac:dyDescent="0.15">
      <c r="C410" s="3"/>
      <c r="D410" s="3"/>
      <c r="F410" s="3"/>
      <c r="G410" s="3"/>
      <c r="H410" s="3"/>
      <c r="I410" s="3"/>
      <c r="J410" s="3"/>
      <c r="K410" s="3"/>
      <c r="L410" s="3"/>
      <c r="M410" s="3"/>
      <c r="N410" s="3"/>
      <c r="O410" s="3"/>
      <c r="P410" s="3"/>
      <c r="Q410" s="3"/>
      <c r="R410" s="3"/>
    </row>
    <row r="411" spans="1:148" x14ac:dyDescent="0.15">
      <c r="C411" s="3"/>
      <c r="D411" s="3"/>
      <c r="F411" s="3"/>
      <c r="G411" s="3"/>
      <c r="H411" s="3"/>
      <c r="I411" s="3"/>
      <c r="J411" s="3"/>
      <c r="K411" s="3"/>
      <c r="L411" s="3"/>
      <c r="M411" s="3"/>
      <c r="N411" s="3"/>
      <c r="O411" s="3"/>
      <c r="P411" s="3"/>
      <c r="Q411" s="3"/>
      <c r="R411" s="3"/>
    </row>
    <row r="412" spans="1:148" x14ac:dyDescent="0.15">
      <c r="C412" s="3"/>
      <c r="D412" s="3"/>
      <c r="F412" s="3"/>
      <c r="G412" s="3"/>
      <c r="H412" s="3"/>
      <c r="I412" s="3"/>
      <c r="J412" s="3"/>
      <c r="K412" s="3"/>
      <c r="L412" s="3"/>
      <c r="M412" s="3"/>
      <c r="N412" s="3"/>
      <c r="O412" s="3"/>
      <c r="P412" s="3"/>
      <c r="Q412" s="3"/>
      <c r="R412" s="3"/>
    </row>
    <row r="413" spans="1:148" x14ac:dyDescent="0.15">
      <c r="C413" s="3"/>
      <c r="D413" s="3"/>
      <c r="F413" s="3"/>
      <c r="G413" s="3"/>
      <c r="H413" s="3"/>
      <c r="I413" s="3"/>
      <c r="J413" s="3"/>
      <c r="K413" s="3"/>
      <c r="L413" s="3"/>
      <c r="M413" s="3"/>
      <c r="N413" s="3"/>
      <c r="O413" s="3"/>
      <c r="P413" s="3"/>
      <c r="Q413" s="3"/>
      <c r="R413" s="3"/>
    </row>
    <row r="414" spans="1:148" x14ac:dyDescent="0.15">
      <c r="C414" s="3"/>
      <c r="D414" s="3"/>
      <c r="F414" s="3"/>
      <c r="G414" s="3"/>
      <c r="H414" s="3"/>
      <c r="I414" s="3"/>
      <c r="J414" s="3"/>
      <c r="K414" s="3"/>
      <c r="L414" s="3"/>
      <c r="M414" s="3"/>
      <c r="N414" s="3"/>
      <c r="O414" s="3"/>
      <c r="P414" s="3"/>
      <c r="Q414" s="3"/>
      <c r="R414" s="3"/>
    </row>
    <row r="415" spans="1:148" x14ac:dyDescent="0.15">
      <c r="C415" s="3"/>
      <c r="D415" s="3"/>
      <c r="F415" s="3"/>
      <c r="G415" s="3"/>
      <c r="H415" s="3"/>
      <c r="I415" s="3"/>
      <c r="J415" s="3"/>
      <c r="K415" s="3"/>
      <c r="L415" s="3"/>
      <c r="M415" s="3"/>
      <c r="N415" s="3"/>
      <c r="O415" s="3"/>
      <c r="P415" s="3"/>
      <c r="Q415" s="3"/>
      <c r="R415" s="3"/>
    </row>
    <row r="416" spans="1:148" x14ac:dyDescent="0.15">
      <c r="C416" s="3"/>
      <c r="D416" s="3"/>
      <c r="F416" s="3"/>
      <c r="G416" s="3"/>
      <c r="H416" s="3"/>
      <c r="I416" s="3"/>
      <c r="J416" s="3"/>
      <c r="K416" s="3"/>
      <c r="L416" s="3"/>
      <c r="M416" s="3"/>
      <c r="N416" s="3"/>
      <c r="O416" s="3"/>
      <c r="P416" s="3"/>
      <c r="Q416" s="3"/>
      <c r="R416" s="3"/>
    </row>
    <row r="417" spans="3:20" x14ac:dyDescent="0.15">
      <c r="C417" s="3"/>
      <c r="D417" s="3"/>
      <c r="F417" s="3"/>
      <c r="G417" s="3"/>
      <c r="H417" s="3"/>
      <c r="I417" s="3"/>
      <c r="J417" s="3"/>
      <c r="K417" s="3"/>
      <c r="L417" s="3"/>
      <c r="M417" s="3"/>
      <c r="N417" s="3"/>
      <c r="O417" s="3"/>
      <c r="P417" s="3"/>
      <c r="Q417" s="3"/>
      <c r="R417" s="3"/>
    </row>
    <row r="418" spans="3:20" x14ac:dyDescent="0.15">
      <c r="C418" s="3"/>
      <c r="D418" s="3"/>
      <c r="F418" s="3"/>
      <c r="G418" s="3"/>
      <c r="H418" s="3"/>
      <c r="I418" s="3"/>
      <c r="J418" s="3"/>
      <c r="K418" s="3"/>
      <c r="L418" s="3"/>
      <c r="M418" s="3"/>
      <c r="N418" s="3"/>
      <c r="O418" s="3"/>
      <c r="P418" s="3"/>
      <c r="Q418" s="3"/>
      <c r="R418" s="3"/>
    </row>
    <row r="419" spans="3:20" x14ac:dyDescent="0.15">
      <c r="C419" s="3"/>
      <c r="D419" s="3"/>
      <c r="F419" s="3"/>
      <c r="G419" s="3"/>
      <c r="H419" s="3"/>
      <c r="I419" s="3"/>
      <c r="J419" s="3"/>
      <c r="K419" s="3"/>
      <c r="L419" s="3"/>
      <c r="M419" s="3"/>
      <c r="N419" s="3"/>
      <c r="O419" s="3"/>
      <c r="P419" s="3"/>
      <c r="Q419" s="3"/>
      <c r="R419" s="3"/>
    </row>
    <row r="420" spans="3:20" x14ac:dyDescent="0.15">
      <c r="C420" s="3"/>
      <c r="D420" s="3"/>
      <c r="F420" s="3"/>
      <c r="G420" s="3"/>
      <c r="H420" s="3"/>
      <c r="I420" s="3"/>
      <c r="J420" s="3"/>
      <c r="K420" s="3"/>
      <c r="L420" s="3"/>
      <c r="M420" s="3"/>
      <c r="N420" s="3"/>
      <c r="O420" s="3"/>
      <c r="P420" s="3"/>
      <c r="Q420" s="3"/>
      <c r="R420" s="3"/>
    </row>
    <row r="421" spans="3:20" x14ac:dyDescent="0.15">
      <c r="C421" s="3"/>
      <c r="D421" s="3"/>
      <c r="F421" s="3"/>
      <c r="G421" s="3"/>
      <c r="H421" s="3"/>
      <c r="I421" s="3"/>
      <c r="J421" s="3"/>
      <c r="K421" s="3"/>
      <c r="L421" s="3"/>
      <c r="M421" s="3"/>
      <c r="N421" s="3"/>
      <c r="O421" s="3"/>
      <c r="P421" s="3"/>
      <c r="Q421" s="3"/>
      <c r="R421" s="3"/>
    </row>
    <row r="422" spans="3:20" x14ac:dyDescent="0.15">
      <c r="C422" s="3"/>
      <c r="D422" s="3"/>
      <c r="F422" s="3"/>
      <c r="G422" s="3"/>
      <c r="H422" s="3"/>
      <c r="I422" s="3"/>
      <c r="J422" s="3"/>
      <c r="K422" s="3"/>
      <c r="L422" s="3"/>
      <c r="M422" s="3"/>
      <c r="N422" s="3"/>
      <c r="O422" s="3"/>
      <c r="P422" s="3"/>
      <c r="Q422" s="3"/>
      <c r="R422" s="3"/>
    </row>
    <row r="423" spans="3:20" x14ac:dyDescent="0.15">
      <c r="C423" s="3"/>
      <c r="D423" s="3"/>
      <c r="F423" s="3"/>
      <c r="G423" s="3"/>
      <c r="H423" s="3"/>
      <c r="I423" s="3"/>
      <c r="J423" s="3"/>
      <c r="K423" s="3"/>
      <c r="L423" s="3"/>
      <c r="M423" s="3"/>
      <c r="N423" s="3"/>
      <c r="O423" s="3"/>
      <c r="P423" s="3"/>
      <c r="Q423" s="3"/>
      <c r="R423" s="3"/>
    </row>
    <row r="424" spans="3:20" x14ac:dyDescent="0.15">
      <c r="C424" s="3"/>
      <c r="D424" s="3"/>
      <c r="F424" s="3"/>
      <c r="G424" s="3"/>
      <c r="H424" s="3"/>
      <c r="I424" s="3"/>
      <c r="J424" s="3"/>
      <c r="K424" s="3"/>
      <c r="L424" s="3"/>
      <c r="M424" s="3"/>
      <c r="N424" s="3"/>
      <c r="O424" s="3"/>
      <c r="P424" s="3"/>
      <c r="Q424" s="3"/>
      <c r="R424" s="3"/>
    </row>
    <row r="425" spans="3:20" x14ac:dyDescent="0.15">
      <c r="C425" s="3"/>
      <c r="D425" s="3"/>
      <c r="F425" s="3"/>
      <c r="G425" s="3"/>
      <c r="H425" s="3"/>
      <c r="I425" s="3"/>
      <c r="J425" s="3"/>
      <c r="K425" s="3"/>
      <c r="L425" s="3"/>
      <c r="M425" s="3"/>
      <c r="N425" s="3"/>
      <c r="O425" s="3"/>
      <c r="P425" s="3"/>
      <c r="Q425" s="3"/>
      <c r="R425" s="3"/>
    </row>
    <row r="426" spans="3:20" x14ac:dyDescent="0.15">
      <c r="C426" s="3"/>
      <c r="D426" s="3"/>
      <c r="F426" s="3"/>
      <c r="G426" s="3"/>
      <c r="H426" s="3"/>
      <c r="I426" s="3"/>
      <c r="J426" s="3"/>
      <c r="K426" s="3"/>
      <c r="L426" s="3"/>
      <c r="M426" s="3"/>
      <c r="N426" s="3"/>
      <c r="O426" s="3"/>
      <c r="P426" s="3"/>
      <c r="Q426" s="3"/>
      <c r="R426" s="3"/>
    </row>
    <row r="427" spans="3:20" x14ac:dyDescent="0.15">
      <c r="C427" s="3"/>
      <c r="D427" s="3"/>
      <c r="F427" s="3"/>
      <c r="G427" s="3"/>
      <c r="H427" s="3"/>
      <c r="I427" s="3"/>
      <c r="J427" s="3"/>
      <c r="K427" s="3"/>
      <c r="L427" s="3"/>
      <c r="M427" s="3"/>
      <c r="N427" s="3"/>
      <c r="O427" s="3"/>
      <c r="P427" s="3"/>
      <c r="Q427" s="3"/>
      <c r="R427" s="3"/>
      <c r="S427" s="3"/>
      <c r="T427" s="3"/>
    </row>
    <row r="428" spans="3:20" x14ac:dyDescent="0.15">
      <c r="C428" s="3"/>
      <c r="D428" s="3"/>
      <c r="F428" s="3"/>
      <c r="G428" s="3"/>
      <c r="H428" s="3"/>
      <c r="I428" s="3"/>
      <c r="J428" s="3"/>
      <c r="K428" s="3"/>
      <c r="L428" s="3"/>
      <c r="M428" s="3"/>
      <c r="N428" s="3"/>
      <c r="O428" s="3"/>
      <c r="P428" s="3"/>
      <c r="Q428" s="3"/>
      <c r="R428" s="3"/>
      <c r="S428" s="3"/>
      <c r="T428" s="3"/>
    </row>
    <row r="429" spans="3:20" x14ac:dyDescent="0.15">
      <c r="C429" s="3"/>
      <c r="D429" s="3"/>
      <c r="F429" s="3"/>
      <c r="G429" s="3"/>
      <c r="H429" s="3"/>
      <c r="I429" s="3"/>
      <c r="J429" s="3"/>
      <c r="K429" s="3"/>
      <c r="L429" s="3"/>
      <c r="M429" s="3"/>
      <c r="N429" s="3"/>
      <c r="O429" s="3"/>
      <c r="P429" s="3"/>
      <c r="Q429" s="3"/>
      <c r="R429" s="3"/>
      <c r="S429" s="3"/>
      <c r="T429" s="3"/>
    </row>
    <row r="430" spans="3:20" x14ac:dyDescent="0.15">
      <c r="C430" s="3"/>
      <c r="D430" s="3"/>
      <c r="F430" s="3"/>
      <c r="G430" s="3"/>
      <c r="H430" s="3"/>
      <c r="I430" s="3"/>
      <c r="J430" s="3"/>
      <c r="K430" s="3"/>
      <c r="L430" s="3"/>
      <c r="M430" s="3"/>
      <c r="N430" s="3"/>
      <c r="O430" s="3"/>
      <c r="P430" s="3"/>
      <c r="Q430" s="3"/>
      <c r="R430" s="3"/>
      <c r="S430" s="3"/>
      <c r="T430" s="3"/>
    </row>
    <row r="431" spans="3:20" x14ac:dyDescent="0.15">
      <c r="C431" s="3"/>
      <c r="D431" s="3"/>
      <c r="F431" s="3"/>
      <c r="G431" s="3"/>
      <c r="H431" s="3"/>
      <c r="I431" s="3"/>
      <c r="J431" s="3"/>
      <c r="K431" s="3"/>
      <c r="L431" s="3"/>
      <c r="M431" s="3"/>
      <c r="N431" s="3"/>
      <c r="O431" s="3"/>
      <c r="P431" s="3"/>
      <c r="Q431" s="3"/>
      <c r="R431" s="3"/>
      <c r="S431" s="3"/>
      <c r="T431" s="3"/>
    </row>
    <row r="432" spans="3:20" x14ac:dyDescent="0.15">
      <c r="C432" s="3"/>
      <c r="D432" s="3"/>
      <c r="F432" s="3"/>
      <c r="G432" s="3"/>
      <c r="H432" s="3"/>
      <c r="I432" s="3"/>
      <c r="J432" s="3"/>
      <c r="K432" s="3"/>
      <c r="L432" s="3"/>
      <c r="M432" s="3"/>
      <c r="N432" s="3"/>
      <c r="O432" s="3"/>
      <c r="P432" s="3"/>
      <c r="Q432" s="3"/>
      <c r="R432" s="3"/>
      <c r="S432" s="3"/>
      <c r="T432" s="3"/>
    </row>
    <row r="433" spans="3:20" x14ac:dyDescent="0.15">
      <c r="C433" s="3"/>
      <c r="D433" s="3"/>
      <c r="F433" s="3"/>
      <c r="G433" s="3"/>
      <c r="H433" s="3"/>
      <c r="I433" s="3"/>
      <c r="J433" s="3"/>
      <c r="K433" s="3"/>
      <c r="L433" s="3"/>
      <c r="M433" s="3"/>
      <c r="N433" s="3"/>
      <c r="O433" s="3"/>
      <c r="P433" s="3"/>
      <c r="Q433" s="3"/>
      <c r="R433" s="3"/>
      <c r="S433" s="3"/>
      <c r="T433" s="3"/>
    </row>
    <row r="434" spans="3:20" x14ac:dyDescent="0.15">
      <c r="C434" s="3"/>
      <c r="D434" s="3"/>
      <c r="F434" s="3"/>
      <c r="G434" s="3"/>
      <c r="H434" s="3"/>
      <c r="I434" s="3"/>
      <c r="J434" s="3"/>
      <c r="K434" s="3"/>
      <c r="L434" s="3"/>
      <c r="M434" s="3"/>
      <c r="N434" s="3"/>
      <c r="O434" s="3"/>
      <c r="P434" s="3"/>
      <c r="Q434" s="3"/>
      <c r="R434" s="3"/>
      <c r="S434" s="3"/>
      <c r="T434" s="3"/>
    </row>
    <row r="435" spans="3:20" x14ac:dyDescent="0.15">
      <c r="C435" s="3"/>
      <c r="D435" s="3"/>
      <c r="F435" s="3"/>
      <c r="G435" s="3"/>
      <c r="H435" s="3"/>
      <c r="I435" s="3"/>
      <c r="J435" s="3"/>
      <c r="K435" s="3"/>
      <c r="L435" s="3"/>
      <c r="M435" s="3"/>
      <c r="N435" s="3"/>
      <c r="O435" s="3"/>
      <c r="P435" s="3"/>
      <c r="Q435" s="3"/>
      <c r="R435" s="3"/>
      <c r="S435" s="3"/>
      <c r="T435" s="3"/>
    </row>
    <row r="436" spans="3:20" x14ac:dyDescent="0.15">
      <c r="C436" s="3"/>
      <c r="D436" s="3"/>
      <c r="F436" s="3"/>
      <c r="G436" s="3"/>
      <c r="H436" s="3"/>
      <c r="I436" s="3"/>
      <c r="J436" s="3"/>
      <c r="K436" s="3"/>
      <c r="L436" s="3"/>
      <c r="M436" s="3"/>
      <c r="N436" s="3"/>
      <c r="O436" s="3"/>
      <c r="P436" s="3"/>
      <c r="Q436" s="3"/>
      <c r="R436" s="3"/>
      <c r="S436" s="3"/>
      <c r="T436" s="3"/>
    </row>
    <row r="437" spans="3:20" x14ac:dyDescent="0.15">
      <c r="C437" s="3"/>
      <c r="D437" s="3"/>
      <c r="F437" s="3"/>
      <c r="G437" s="3"/>
      <c r="H437" s="3"/>
      <c r="I437" s="3"/>
      <c r="J437" s="3"/>
      <c r="K437" s="3"/>
      <c r="L437" s="3"/>
      <c r="M437" s="3"/>
      <c r="N437" s="3"/>
      <c r="O437" s="3"/>
      <c r="P437" s="3"/>
      <c r="Q437" s="3"/>
      <c r="R437" s="3"/>
      <c r="S437" s="3"/>
      <c r="T437" s="3"/>
    </row>
    <row r="438" spans="3:20" x14ac:dyDescent="0.15">
      <c r="C438" s="3"/>
      <c r="D438" s="3"/>
      <c r="F438" s="3"/>
      <c r="G438" s="3"/>
      <c r="H438" s="3"/>
      <c r="I438" s="3"/>
      <c r="J438" s="3"/>
      <c r="K438" s="3"/>
      <c r="L438" s="3"/>
      <c r="M438" s="3"/>
      <c r="N438" s="3"/>
      <c r="O438" s="3"/>
      <c r="P438" s="3"/>
      <c r="Q438" s="3"/>
      <c r="R438" s="3"/>
      <c r="S438" s="3"/>
      <c r="T438" s="3"/>
    </row>
    <row r="439" spans="3:20" x14ac:dyDescent="0.15">
      <c r="C439" s="3"/>
      <c r="D439" s="3"/>
      <c r="F439" s="3"/>
      <c r="G439" s="3"/>
      <c r="H439" s="3"/>
      <c r="I439" s="3"/>
      <c r="J439" s="3"/>
      <c r="K439" s="3"/>
      <c r="L439" s="3"/>
      <c r="M439" s="3"/>
      <c r="N439" s="3"/>
      <c r="O439" s="3"/>
      <c r="P439" s="3"/>
      <c r="Q439" s="3"/>
      <c r="R439" s="3"/>
      <c r="S439" s="3"/>
      <c r="T439" s="3"/>
    </row>
    <row r="440" spans="3:20" x14ac:dyDescent="0.15">
      <c r="C440" s="3"/>
      <c r="D440" s="3"/>
      <c r="F440" s="3"/>
      <c r="G440" s="3"/>
      <c r="H440" s="3"/>
      <c r="I440" s="3"/>
      <c r="J440" s="3"/>
      <c r="K440" s="3"/>
      <c r="L440" s="3"/>
      <c r="M440" s="3"/>
      <c r="N440" s="3"/>
      <c r="O440" s="3"/>
      <c r="P440" s="3"/>
      <c r="Q440" s="3"/>
      <c r="R440" s="3"/>
      <c r="S440" s="3"/>
      <c r="T440" s="3"/>
    </row>
    <row r="441" spans="3:20" x14ac:dyDescent="0.15">
      <c r="C441" s="3"/>
      <c r="D441" s="3"/>
      <c r="F441" s="3"/>
      <c r="G441" s="3"/>
      <c r="H441" s="3"/>
      <c r="I441" s="3"/>
      <c r="J441" s="3"/>
      <c r="K441" s="3"/>
      <c r="L441" s="3"/>
      <c r="M441" s="3"/>
      <c r="N441" s="3"/>
      <c r="O441" s="3"/>
      <c r="P441" s="3"/>
      <c r="Q441" s="3"/>
      <c r="R441" s="3"/>
      <c r="S441" s="3"/>
      <c r="T441" s="3"/>
    </row>
    <row r="442" spans="3:20" x14ac:dyDescent="0.15">
      <c r="C442" s="3"/>
      <c r="D442" s="3"/>
      <c r="F442" s="3"/>
      <c r="G442" s="3"/>
      <c r="H442" s="3"/>
      <c r="I442" s="3"/>
      <c r="J442" s="3"/>
      <c r="K442" s="3"/>
      <c r="L442" s="3"/>
      <c r="M442" s="3"/>
      <c r="N442" s="3"/>
      <c r="O442" s="3"/>
      <c r="P442" s="3"/>
      <c r="Q442" s="3"/>
      <c r="R442" s="3"/>
      <c r="S442" s="3"/>
      <c r="T442" s="3"/>
    </row>
    <row r="443" spans="3:20" x14ac:dyDescent="0.15">
      <c r="C443" s="3"/>
      <c r="D443" s="3"/>
      <c r="F443" s="3"/>
      <c r="G443" s="3"/>
      <c r="H443" s="3"/>
      <c r="I443" s="3"/>
      <c r="J443" s="3"/>
      <c r="K443" s="3"/>
      <c r="L443" s="3"/>
      <c r="M443" s="3"/>
      <c r="N443" s="3"/>
      <c r="O443" s="3"/>
      <c r="P443" s="3"/>
      <c r="Q443" s="3"/>
      <c r="R443" s="3"/>
      <c r="S443" s="3"/>
      <c r="T443" s="3"/>
    </row>
    <row r="444" spans="3:20" x14ac:dyDescent="0.15">
      <c r="C444" s="3"/>
      <c r="D444" s="3"/>
      <c r="F444" s="3"/>
      <c r="G444" s="3"/>
      <c r="H444" s="3"/>
      <c r="I444" s="3"/>
      <c r="J444" s="3"/>
      <c r="K444" s="3"/>
      <c r="L444" s="3"/>
      <c r="M444" s="3"/>
      <c r="N444" s="3"/>
      <c r="O444" s="3"/>
      <c r="P444" s="3"/>
      <c r="Q444" s="3"/>
      <c r="R444" s="3"/>
      <c r="S444" s="3"/>
      <c r="T444" s="3"/>
    </row>
    <row r="445" spans="3:20" x14ac:dyDescent="0.15">
      <c r="C445" s="3"/>
      <c r="D445" s="3"/>
      <c r="F445" s="3"/>
      <c r="G445" s="3"/>
      <c r="H445" s="3"/>
      <c r="I445" s="3"/>
      <c r="J445" s="3"/>
      <c r="K445" s="3"/>
      <c r="L445" s="3"/>
      <c r="M445" s="3"/>
      <c r="N445" s="3"/>
      <c r="O445" s="3"/>
      <c r="P445" s="3"/>
      <c r="Q445" s="3"/>
      <c r="R445" s="3"/>
      <c r="S445" s="3"/>
      <c r="T445" s="3"/>
    </row>
    <row r="446" spans="3:20" x14ac:dyDescent="0.15">
      <c r="C446" s="3"/>
      <c r="D446" s="3"/>
      <c r="F446" s="3"/>
      <c r="G446" s="3"/>
      <c r="H446" s="3"/>
      <c r="I446" s="3"/>
      <c r="J446" s="3"/>
      <c r="K446" s="3"/>
      <c r="L446" s="3"/>
      <c r="M446" s="3"/>
      <c r="N446" s="3"/>
      <c r="O446" s="3"/>
      <c r="P446" s="3"/>
      <c r="Q446" s="3"/>
      <c r="R446" s="3"/>
      <c r="S446" s="3"/>
      <c r="T446" s="3"/>
    </row>
    <row r="447" spans="3:20" x14ac:dyDescent="0.15">
      <c r="C447" s="3"/>
      <c r="D447" s="3"/>
      <c r="F447" s="3"/>
      <c r="G447" s="3"/>
      <c r="H447" s="3"/>
      <c r="I447" s="3"/>
      <c r="J447" s="3"/>
      <c r="K447" s="3"/>
      <c r="L447" s="3"/>
      <c r="M447" s="3"/>
      <c r="N447" s="3"/>
      <c r="O447" s="3"/>
      <c r="P447" s="3"/>
      <c r="Q447" s="3"/>
      <c r="R447" s="3"/>
      <c r="S447" s="3"/>
      <c r="T447" s="3"/>
    </row>
    <row r="448" spans="3:20" x14ac:dyDescent="0.15">
      <c r="C448" s="3"/>
      <c r="D448" s="3"/>
      <c r="F448" s="3"/>
      <c r="G448" s="3"/>
      <c r="H448" s="3"/>
      <c r="I448" s="3"/>
      <c r="J448" s="3"/>
      <c r="K448" s="3"/>
      <c r="L448" s="3"/>
      <c r="M448" s="3"/>
      <c r="N448" s="3"/>
      <c r="O448" s="3"/>
      <c r="P448" s="3"/>
      <c r="Q448" s="3"/>
      <c r="R448" s="3"/>
      <c r="S448" s="3"/>
      <c r="T448" s="3"/>
    </row>
    <row r="449" spans="2:20" x14ac:dyDescent="0.15">
      <c r="C449" s="3"/>
      <c r="D449" s="3"/>
      <c r="F449" s="3"/>
      <c r="G449" s="3"/>
      <c r="H449" s="3"/>
      <c r="I449" s="3"/>
      <c r="J449" s="3"/>
      <c r="K449" s="3"/>
      <c r="L449" s="3"/>
      <c r="M449" s="3"/>
      <c r="N449" s="3"/>
      <c r="O449" s="3"/>
      <c r="P449" s="3"/>
      <c r="Q449" s="3"/>
      <c r="R449" s="3"/>
      <c r="S449" s="3"/>
      <c r="T449" s="3"/>
    </row>
    <row r="450" spans="2:20" x14ac:dyDescent="0.15">
      <c r="C450" s="3"/>
      <c r="D450" s="3"/>
      <c r="F450" s="3"/>
      <c r="G450" s="3"/>
      <c r="H450" s="3"/>
      <c r="I450" s="3"/>
      <c r="J450" s="3"/>
      <c r="K450" s="3"/>
      <c r="L450" s="3"/>
      <c r="M450" s="3"/>
      <c r="N450" s="3"/>
      <c r="O450" s="3"/>
      <c r="P450" s="3"/>
      <c r="Q450" s="3"/>
      <c r="R450" s="3"/>
      <c r="S450" s="3"/>
      <c r="T450" s="3"/>
    </row>
    <row r="451" spans="2:20" x14ac:dyDescent="0.15">
      <c r="C451" s="3"/>
      <c r="D451" s="3"/>
      <c r="F451" s="3"/>
      <c r="G451" s="3"/>
      <c r="H451" s="3"/>
      <c r="I451" s="3"/>
      <c r="J451" s="3"/>
      <c r="K451" s="3"/>
      <c r="L451" s="3"/>
      <c r="M451" s="3"/>
      <c r="N451" s="3"/>
      <c r="O451" s="3"/>
      <c r="P451" s="3"/>
      <c r="Q451" s="3"/>
      <c r="R451" s="3"/>
      <c r="S451" s="3"/>
      <c r="T451" s="3"/>
    </row>
    <row r="452" spans="2:20" x14ac:dyDescent="0.15">
      <c r="C452" s="3"/>
      <c r="D452" s="3"/>
      <c r="F452" s="3"/>
      <c r="G452" s="3"/>
      <c r="H452" s="3"/>
      <c r="I452" s="3"/>
      <c r="J452" s="3"/>
      <c r="K452" s="3"/>
      <c r="L452" s="3"/>
      <c r="M452" s="3"/>
      <c r="N452" s="3"/>
      <c r="O452" s="3"/>
      <c r="P452" s="3"/>
      <c r="Q452" s="3"/>
      <c r="R452" s="3"/>
      <c r="S452" s="3"/>
      <c r="T452" s="3"/>
    </row>
    <row r="453" spans="2:20" x14ac:dyDescent="0.15">
      <c r="C453" s="3"/>
      <c r="D453" s="3"/>
      <c r="F453" s="3"/>
      <c r="G453" s="3"/>
      <c r="H453" s="3"/>
      <c r="I453" s="3"/>
      <c r="J453" s="3"/>
      <c r="K453" s="3"/>
      <c r="L453" s="3"/>
      <c r="M453" s="3"/>
      <c r="N453" s="3"/>
      <c r="O453" s="3"/>
      <c r="P453" s="3"/>
      <c r="Q453" s="3"/>
      <c r="R453" s="3"/>
      <c r="S453" s="3"/>
      <c r="T453" s="3"/>
    </row>
    <row r="454" spans="2:20" x14ac:dyDescent="0.15">
      <c r="B454" s="3"/>
      <c r="C454" s="3"/>
      <c r="D454" s="3"/>
      <c r="F454" s="3"/>
      <c r="G454" s="3"/>
      <c r="H454" s="3"/>
      <c r="I454" s="3"/>
      <c r="J454" s="3"/>
      <c r="K454" s="3"/>
      <c r="L454" s="3"/>
      <c r="M454" s="3"/>
      <c r="N454" s="3"/>
      <c r="O454" s="3"/>
      <c r="P454" s="3"/>
      <c r="Q454" s="3"/>
      <c r="R454" s="3"/>
      <c r="S454" s="3"/>
      <c r="T454" s="3"/>
    </row>
    <row r="455" spans="2:20" x14ac:dyDescent="0.15">
      <c r="B455" s="3"/>
      <c r="C455" s="3"/>
      <c r="D455" s="3"/>
      <c r="F455" s="3"/>
      <c r="G455" s="3"/>
      <c r="H455" s="3"/>
      <c r="I455" s="3"/>
      <c r="J455" s="3"/>
      <c r="K455" s="3"/>
      <c r="L455" s="3"/>
      <c r="M455" s="3"/>
      <c r="N455" s="3"/>
      <c r="O455" s="3"/>
      <c r="P455" s="3"/>
      <c r="Q455" s="3"/>
      <c r="R455" s="3"/>
      <c r="S455" s="3"/>
      <c r="T455" s="3"/>
    </row>
    <row r="456" spans="2:20" x14ac:dyDescent="0.15">
      <c r="B456" s="3"/>
      <c r="C456" s="3"/>
      <c r="D456" s="3"/>
      <c r="F456" s="3"/>
      <c r="G456" s="3"/>
      <c r="H456" s="3"/>
      <c r="I456" s="3"/>
      <c r="J456" s="3"/>
      <c r="K456" s="3"/>
      <c r="L456" s="3"/>
      <c r="M456" s="3"/>
      <c r="N456" s="3"/>
      <c r="O456" s="3"/>
      <c r="P456" s="3"/>
      <c r="Q456" s="3"/>
      <c r="R456" s="3"/>
      <c r="S456" s="3"/>
      <c r="T456" s="3"/>
    </row>
    <row r="457" spans="2:20" x14ac:dyDescent="0.15">
      <c r="B457" s="3"/>
      <c r="C457" s="3"/>
      <c r="D457" s="3"/>
      <c r="F457" s="3"/>
      <c r="G457" s="3"/>
      <c r="H457" s="3"/>
      <c r="I457" s="3"/>
      <c r="J457" s="3"/>
      <c r="K457" s="3"/>
      <c r="L457" s="3"/>
      <c r="M457" s="3"/>
      <c r="N457" s="3"/>
      <c r="O457" s="3"/>
      <c r="P457" s="3"/>
      <c r="Q457" s="3"/>
      <c r="R457" s="3"/>
      <c r="S457" s="3"/>
      <c r="T457" s="3"/>
    </row>
    <row r="458" spans="2:20" x14ac:dyDescent="0.15">
      <c r="B458" s="3"/>
      <c r="C458" s="3"/>
      <c r="D458" s="3"/>
      <c r="F458" s="3"/>
      <c r="G458" s="3"/>
      <c r="H458" s="3"/>
      <c r="I458" s="3"/>
      <c r="J458" s="3"/>
      <c r="K458" s="3"/>
      <c r="L458" s="3"/>
      <c r="M458" s="3"/>
      <c r="N458" s="3"/>
      <c r="O458" s="3"/>
      <c r="P458" s="3"/>
      <c r="Q458" s="3"/>
      <c r="R458" s="3"/>
      <c r="S458" s="3"/>
      <c r="T458" s="3"/>
    </row>
    <row r="459" spans="2:20" x14ac:dyDescent="0.15">
      <c r="B459" s="3"/>
      <c r="C459" s="3"/>
      <c r="D459" s="3"/>
      <c r="F459" s="3"/>
      <c r="G459" s="3"/>
      <c r="H459" s="3"/>
      <c r="I459" s="3"/>
      <c r="J459" s="3"/>
      <c r="K459" s="3"/>
      <c r="L459" s="3"/>
      <c r="M459" s="3"/>
      <c r="N459" s="3"/>
      <c r="O459" s="3"/>
      <c r="P459" s="3"/>
      <c r="Q459" s="3"/>
      <c r="R459" s="3"/>
      <c r="S459" s="3"/>
      <c r="T459" s="3"/>
    </row>
    <row r="460" spans="2:20" x14ac:dyDescent="0.15">
      <c r="B460" s="3"/>
      <c r="C460" s="3"/>
      <c r="D460" s="3"/>
      <c r="F460" s="3"/>
      <c r="G460" s="3"/>
      <c r="H460" s="3"/>
      <c r="I460" s="3"/>
      <c r="J460" s="3"/>
      <c r="K460" s="3"/>
      <c r="L460" s="3"/>
      <c r="M460" s="3"/>
      <c r="N460" s="3"/>
      <c r="O460" s="3"/>
      <c r="P460" s="3"/>
      <c r="Q460" s="3"/>
      <c r="R460" s="3"/>
      <c r="S460" s="3"/>
      <c r="T460" s="3"/>
    </row>
    <row r="461" spans="2:20" x14ac:dyDescent="0.15">
      <c r="B461" s="3"/>
      <c r="C461" s="3"/>
      <c r="D461" s="3"/>
      <c r="F461" s="3"/>
      <c r="G461" s="3"/>
      <c r="H461" s="3"/>
      <c r="I461" s="3"/>
      <c r="J461" s="3"/>
      <c r="K461" s="3"/>
      <c r="L461" s="3"/>
      <c r="M461" s="3"/>
      <c r="N461" s="3"/>
      <c r="O461" s="3"/>
      <c r="P461" s="3"/>
      <c r="Q461" s="3"/>
      <c r="R461" s="3"/>
      <c r="S461" s="3"/>
      <c r="T461" s="3"/>
    </row>
    <row r="462" spans="2:20" x14ac:dyDescent="0.15">
      <c r="B462" s="3"/>
      <c r="C462" s="3"/>
      <c r="D462" s="3"/>
      <c r="F462" s="3"/>
      <c r="G462" s="3"/>
      <c r="H462" s="3"/>
      <c r="I462" s="3"/>
      <c r="J462" s="3"/>
      <c r="K462" s="3"/>
      <c r="L462" s="3"/>
      <c r="M462" s="3"/>
      <c r="N462" s="3"/>
      <c r="O462" s="3"/>
      <c r="P462" s="3"/>
      <c r="Q462" s="3"/>
      <c r="R462" s="3"/>
      <c r="S462" s="3"/>
      <c r="T462" s="3"/>
    </row>
    <row r="463" spans="2:20" x14ac:dyDescent="0.15">
      <c r="B463" s="3"/>
      <c r="C463" s="3"/>
      <c r="D463" s="3"/>
      <c r="F463" s="3"/>
      <c r="G463" s="3"/>
      <c r="H463" s="3"/>
      <c r="I463" s="3"/>
      <c r="J463" s="3"/>
      <c r="K463" s="3"/>
      <c r="L463" s="3"/>
      <c r="M463" s="3"/>
      <c r="N463" s="3"/>
      <c r="O463" s="3"/>
      <c r="P463" s="3"/>
      <c r="Q463" s="3"/>
      <c r="R463" s="3"/>
      <c r="S463" s="3"/>
      <c r="T463" s="3"/>
    </row>
    <row r="464" spans="2:20" x14ac:dyDescent="0.15">
      <c r="B464" s="3"/>
      <c r="C464" s="3"/>
      <c r="D464" s="3"/>
      <c r="F464" s="3"/>
      <c r="G464" s="3"/>
      <c r="H464" s="3"/>
      <c r="I464" s="3"/>
      <c r="J464" s="3"/>
      <c r="K464" s="3"/>
      <c r="L464" s="3"/>
      <c r="M464" s="3"/>
      <c r="N464" s="3"/>
      <c r="O464" s="3"/>
      <c r="P464" s="3"/>
      <c r="Q464" s="3"/>
      <c r="R464" s="3"/>
      <c r="S464" s="3"/>
      <c r="T464" s="3"/>
    </row>
    <row r="465" spans="2:20" x14ac:dyDescent="0.15">
      <c r="B465" s="3"/>
      <c r="C465" s="3"/>
      <c r="D465" s="3"/>
      <c r="F465" s="3"/>
      <c r="G465" s="3"/>
      <c r="H465" s="3"/>
      <c r="I465" s="3"/>
      <c r="J465" s="3"/>
      <c r="K465" s="3"/>
      <c r="L465" s="3"/>
      <c r="M465" s="3"/>
      <c r="N465" s="3"/>
      <c r="O465" s="3"/>
      <c r="P465" s="3"/>
      <c r="Q465" s="3"/>
      <c r="R465" s="3"/>
      <c r="S465" s="3"/>
      <c r="T465" s="3"/>
    </row>
    <row r="466" spans="2:20" x14ac:dyDescent="0.15">
      <c r="B466" s="3"/>
      <c r="C466" s="3"/>
      <c r="D466" s="3"/>
      <c r="F466" s="3"/>
      <c r="G466" s="3"/>
      <c r="H466" s="3"/>
      <c r="I466" s="3"/>
      <c r="J466" s="3"/>
      <c r="K466" s="3"/>
      <c r="L466" s="3"/>
      <c r="M466" s="3"/>
      <c r="N466" s="3"/>
      <c r="O466" s="3"/>
      <c r="P466" s="3"/>
      <c r="Q466" s="3"/>
      <c r="R466" s="3"/>
      <c r="S466" s="3"/>
      <c r="T466" s="3"/>
    </row>
    <row r="467" spans="2:20" x14ac:dyDescent="0.15">
      <c r="B467" s="3"/>
      <c r="C467" s="3"/>
      <c r="D467" s="3"/>
      <c r="F467" s="3"/>
      <c r="G467" s="3"/>
      <c r="H467" s="3"/>
      <c r="I467" s="3"/>
      <c r="J467" s="3"/>
      <c r="K467" s="3"/>
      <c r="L467" s="3"/>
      <c r="M467" s="3"/>
      <c r="N467" s="3"/>
      <c r="O467" s="3"/>
      <c r="P467" s="3"/>
      <c r="Q467" s="3"/>
      <c r="R467" s="3"/>
      <c r="S467" s="3"/>
      <c r="T467" s="3"/>
    </row>
    <row r="468" spans="2:20" x14ac:dyDescent="0.15">
      <c r="B468" s="3"/>
      <c r="C468" s="3"/>
      <c r="D468" s="3"/>
      <c r="F468" s="3"/>
      <c r="G468" s="3"/>
      <c r="H468" s="3"/>
      <c r="I468" s="3"/>
      <c r="J468" s="3"/>
      <c r="K468" s="3"/>
      <c r="L468" s="3"/>
      <c r="M468" s="3"/>
      <c r="N468" s="3"/>
      <c r="O468" s="3"/>
      <c r="P468" s="3"/>
      <c r="Q468" s="3"/>
      <c r="R468" s="3"/>
      <c r="S468" s="3"/>
      <c r="T468" s="3"/>
    </row>
    <row r="469" spans="2:20" x14ac:dyDescent="0.15">
      <c r="B469" s="3"/>
      <c r="C469" s="3"/>
      <c r="D469" s="3"/>
      <c r="F469" s="3"/>
      <c r="G469" s="3"/>
      <c r="H469" s="3"/>
      <c r="I469" s="3"/>
      <c r="J469" s="3"/>
      <c r="K469" s="3"/>
      <c r="L469" s="3"/>
      <c r="M469" s="3"/>
      <c r="N469" s="3"/>
      <c r="O469" s="3"/>
      <c r="P469" s="3"/>
      <c r="Q469" s="3"/>
      <c r="R469" s="3"/>
      <c r="S469" s="3"/>
      <c r="T469" s="3"/>
    </row>
    <row r="470" spans="2:20" x14ac:dyDescent="0.15">
      <c r="B470" s="3"/>
      <c r="C470" s="3"/>
      <c r="D470" s="3"/>
      <c r="F470" s="3"/>
      <c r="G470" s="3"/>
      <c r="H470" s="3"/>
      <c r="I470" s="3"/>
      <c r="J470" s="3"/>
      <c r="K470" s="3"/>
      <c r="L470" s="3"/>
      <c r="M470" s="3"/>
      <c r="N470" s="3"/>
      <c r="O470" s="3"/>
      <c r="P470" s="3"/>
      <c r="Q470" s="3"/>
      <c r="R470" s="3"/>
      <c r="S470" s="3"/>
      <c r="T470" s="3"/>
    </row>
    <row r="471" spans="2:20" x14ac:dyDescent="0.15">
      <c r="B471" s="3"/>
      <c r="C471" s="3"/>
      <c r="D471" s="3"/>
      <c r="F471" s="3"/>
      <c r="G471" s="3"/>
      <c r="H471" s="3"/>
      <c r="I471" s="3"/>
      <c r="J471" s="3"/>
      <c r="K471" s="3"/>
      <c r="L471" s="3"/>
      <c r="M471" s="3"/>
      <c r="N471" s="3"/>
      <c r="O471" s="3"/>
      <c r="P471" s="3"/>
      <c r="Q471" s="3"/>
      <c r="R471" s="3"/>
      <c r="S471" s="3"/>
      <c r="T471" s="3"/>
    </row>
    <row r="472" spans="2:20" x14ac:dyDescent="0.15">
      <c r="B472" s="3"/>
      <c r="C472" s="3"/>
      <c r="D472" s="3"/>
      <c r="F472" s="3"/>
      <c r="G472" s="3"/>
      <c r="H472" s="3"/>
      <c r="I472" s="3"/>
      <c r="J472" s="3"/>
      <c r="K472" s="3"/>
      <c r="L472" s="3"/>
      <c r="M472" s="3"/>
      <c r="N472" s="3"/>
      <c r="O472" s="3"/>
      <c r="P472" s="3"/>
      <c r="Q472" s="3"/>
      <c r="R472" s="3"/>
      <c r="S472" s="3"/>
      <c r="T472" s="3"/>
    </row>
    <row r="473" spans="2:20" x14ac:dyDescent="0.15">
      <c r="B473" s="3"/>
      <c r="C473" s="3"/>
      <c r="D473" s="3"/>
      <c r="F473" s="3"/>
      <c r="G473" s="3"/>
      <c r="H473" s="3"/>
      <c r="I473" s="3"/>
      <c r="J473" s="3"/>
      <c r="K473" s="3"/>
      <c r="L473" s="3"/>
      <c r="M473" s="3"/>
      <c r="N473" s="3"/>
      <c r="O473" s="3"/>
      <c r="P473" s="3"/>
      <c r="Q473" s="3"/>
      <c r="R473" s="3"/>
      <c r="S473" s="3"/>
      <c r="T473" s="3"/>
    </row>
    <row r="474" spans="2:20" x14ac:dyDescent="0.15">
      <c r="B474" s="3"/>
      <c r="C474" s="3"/>
      <c r="D474" s="3"/>
      <c r="F474" s="3"/>
      <c r="G474" s="3"/>
      <c r="H474" s="3"/>
      <c r="I474" s="3"/>
      <c r="J474" s="3"/>
      <c r="K474" s="3"/>
      <c r="L474" s="3"/>
      <c r="M474" s="3"/>
      <c r="N474" s="3"/>
      <c r="O474" s="3"/>
      <c r="P474" s="3"/>
      <c r="Q474" s="3"/>
      <c r="R474" s="3"/>
      <c r="S474" s="3"/>
      <c r="T474" s="3"/>
    </row>
    <row r="475" spans="2:20" x14ac:dyDescent="0.15">
      <c r="B475" s="3"/>
      <c r="C475" s="3"/>
      <c r="D475" s="3"/>
      <c r="F475" s="3"/>
      <c r="G475" s="3"/>
      <c r="H475" s="3"/>
      <c r="I475" s="3"/>
      <c r="J475" s="3"/>
      <c r="K475" s="3"/>
      <c r="L475" s="3"/>
      <c r="M475" s="3"/>
      <c r="N475" s="3"/>
      <c r="O475" s="3"/>
      <c r="P475" s="3"/>
      <c r="Q475" s="3"/>
      <c r="R475" s="3"/>
      <c r="S475" s="3"/>
      <c r="T475" s="3"/>
    </row>
    <row r="476" spans="2:20" x14ac:dyDescent="0.15">
      <c r="B476" s="3"/>
      <c r="C476" s="3"/>
      <c r="D476" s="3"/>
      <c r="F476" s="3"/>
      <c r="G476" s="3"/>
      <c r="H476" s="3"/>
      <c r="I476" s="3"/>
      <c r="J476" s="3"/>
      <c r="K476" s="3"/>
      <c r="L476" s="3"/>
      <c r="M476" s="3"/>
      <c r="N476" s="3"/>
      <c r="O476" s="3"/>
      <c r="P476" s="3"/>
      <c r="Q476" s="3"/>
      <c r="R476" s="3"/>
      <c r="S476" s="3"/>
      <c r="T476" s="3"/>
    </row>
    <row r="477" spans="2:20" x14ac:dyDescent="0.15">
      <c r="B477" s="3"/>
      <c r="C477" s="3"/>
      <c r="D477" s="3"/>
      <c r="F477" s="3"/>
      <c r="G477" s="3"/>
      <c r="H477" s="3"/>
      <c r="I477" s="3"/>
      <c r="J477" s="3"/>
      <c r="K477" s="3"/>
      <c r="L477" s="3"/>
      <c r="M477" s="3"/>
      <c r="N477" s="3"/>
      <c r="O477" s="3"/>
      <c r="P477" s="3"/>
      <c r="Q477" s="3"/>
      <c r="R477" s="3"/>
      <c r="S477" s="3"/>
      <c r="T477" s="3"/>
    </row>
    <row r="478" spans="2:20" x14ac:dyDescent="0.15">
      <c r="B478" s="3"/>
      <c r="C478" s="3"/>
      <c r="D478" s="3"/>
      <c r="F478" s="3"/>
      <c r="G478" s="3"/>
      <c r="H478" s="3"/>
      <c r="I478" s="3"/>
      <c r="J478" s="3"/>
      <c r="K478" s="3"/>
      <c r="L478" s="3"/>
      <c r="M478" s="3"/>
      <c r="N478" s="3"/>
      <c r="O478" s="3"/>
      <c r="P478" s="3"/>
      <c r="Q478" s="3"/>
      <c r="R478" s="3"/>
      <c r="S478" s="3"/>
      <c r="T478" s="3"/>
    </row>
    <row r="479" spans="2:20" x14ac:dyDescent="0.15">
      <c r="B479" s="3"/>
      <c r="C479" s="3"/>
      <c r="D479" s="3"/>
      <c r="F479" s="3"/>
      <c r="G479" s="3"/>
      <c r="H479" s="3"/>
      <c r="I479" s="3"/>
      <c r="J479" s="3"/>
      <c r="K479" s="3"/>
      <c r="L479" s="3"/>
      <c r="M479" s="3"/>
      <c r="N479" s="3"/>
      <c r="O479" s="3"/>
      <c r="P479" s="3"/>
      <c r="Q479" s="3"/>
      <c r="R479" s="3"/>
      <c r="S479" s="3"/>
      <c r="T479" s="3"/>
    </row>
    <row r="480" spans="2:20" x14ac:dyDescent="0.15">
      <c r="B480" s="3"/>
      <c r="C480" s="3"/>
      <c r="D480" s="3"/>
      <c r="F480" s="3"/>
      <c r="G480" s="3"/>
      <c r="H480" s="3"/>
      <c r="I480" s="3"/>
      <c r="J480" s="3"/>
      <c r="K480" s="3"/>
      <c r="L480" s="3"/>
      <c r="M480" s="3"/>
      <c r="N480" s="3"/>
      <c r="O480" s="3"/>
      <c r="P480" s="3"/>
      <c r="Q480" s="3"/>
      <c r="R480" s="3"/>
      <c r="S480" s="3"/>
      <c r="T480" s="3"/>
    </row>
    <row r="481" spans="2:20" x14ac:dyDescent="0.15">
      <c r="B481" s="3"/>
      <c r="C481" s="3"/>
      <c r="D481" s="3"/>
      <c r="F481" s="3"/>
      <c r="G481" s="3"/>
      <c r="H481" s="3"/>
      <c r="I481" s="3"/>
      <c r="J481" s="3"/>
      <c r="K481" s="3"/>
      <c r="L481" s="3"/>
      <c r="M481" s="3"/>
      <c r="N481" s="3"/>
      <c r="O481" s="3"/>
      <c r="P481" s="3"/>
      <c r="Q481" s="3"/>
      <c r="R481" s="3"/>
      <c r="S481" s="3"/>
      <c r="T481" s="3"/>
    </row>
    <row r="482" spans="2:20" x14ac:dyDescent="0.15">
      <c r="B482" s="3"/>
      <c r="C482" s="3"/>
      <c r="D482" s="3"/>
      <c r="F482" s="3"/>
      <c r="G482" s="3"/>
      <c r="H482" s="3"/>
      <c r="I482" s="3"/>
      <c r="J482" s="3"/>
      <c r="K482" s="3"/>
      <c r="L482" s="3"/>
      <c r="M482" s="3"/>
      <c r="N482" s="3"/>
      <c r="O482" s="3"/>
      <c r="P482" s="3"/>
      <c r="Q482" s="3"/>
      <c r="R482" s="3"/>
      <c r="S482" s="3"/>
      <c r="T482" s="3"/>
    </row>
    <row r="483" spans="2:20" x14ac:dyDescent="0.15">
      <c r="B483" s="3"/>
      <c r="C483" s="3"/>
      <c r="D483" s="3"/>
      <c r="F483" s="3"/>
      <c r="G483" s="3"/>
      <c r="H483" s="3"/>
      <c r="I483" s="3"/>
      <c r="J483" s="3"/>
      <c r="K483" s="3"/>
      <c r="L483" s="3"/>
      <c r="M483" s="3"/>
      <c r="N483" s="3"/>
      <c r="O483" s="3"/>
      <c r="P483" s="3"/>
      <c r="Q483" s="3"/>
      <c r="R483" s="3"/>
      <c r="S483" s="3"/>
      <c r="T483" s="3"/>
    </row>
    <row r="484" spans="2:20" x14ac:dyDescent="0.15">
      <c r="B484" s="3"/>
      <c r="C484" s="3"/>
      <c r="D484" s="3"/>
      <c r="F484" s="3"/>
      <c r="G484" s="3"/>
      <c r="H484" s="3"/>
      <c r="I484" s="3"/>
      <c r="J484" s="3"/>
      <c r="K484" s="3"/>
      <c r="L484" s="3"/>
      <c r="M484" s="3"/>
      <c r="N484" s="3"/>
      <c r="O484" s="3"/>
      <c r="P484" s="3"/>
      <c r="Q484" s="3"/>
      <c r="R484" s="3"/>
      <c r="S484" s="3"/>
      <c r="T484" s="3"/>
    </row>
    <row r="485" spans="2:20" x14ac:dyDescent="0.15">
      <c r="B485" s="3"/>
      <c r="C485" s="3"/>
      <c r="D485" s="3"/>
      <c r="F485" s="3"/>
      <c r="G485" s="3"/>
      <c r="H485" s="3"/>
      <c r="I485" s="3"/>
      <c r="J485" s="3"/>
      <c r="K485" s="3"/>
      <c r="L485" s="3"/>
      <c r="M485" s="3"/>
      <c r="N485" s="3"/>
      <c r="O485" s="3"/>
      <c r="P485" s="3"/>
      <c r="Q485" s="3"/>
      <c r="R485" s="3"/>
      <c r="S485" s="3"/>
      <c r="T485" s="3"/>
    </row>
    <row r="486" spans="2:20" x14ac:dyDescent="0.15">
      <c r="B486" s="3"/>
      <c r="C486" s="3"/>
      <c r="D486" s="3"/>
      <c r="F486" s="3"/>
      <c r="G486" s="3"/>
      <c r="H486" s="3"/>
      <c r="I486" s="3"/>
      <c r="J486" s="3"/>
      <c r="K486" s="3"/>
      <c r="L486" s="3"/>
      <c r="M486" s="3"/>
      <c r="N486" s="3"/>
      <c r="O486" s="3"/>
      <c r="P486" s="3"/>
      <c r="Q486" s="3"/>
      <c r="R486" s="3"/>
      <c r="S486" s="3"/>
      <c r="T486" s="3"/>
    </row>
    <row r="487" spans="2:20" x14ac:dyDescent="0.15">
      <c r="B487" s="3"/>
      <c r="C487" s="3"/>
      <c r="D487" s="3"/>
      <c r="F487" s="3"/>
      <c r="G487" s="3"/>
      <c r="H487" s="3"/>
      <c r="I487" s="3"/>
      <c r="J487" s="3"/>
      <c r="K487" s="3"/>
      <c r="L487" s="3"/>
      <c r="M487" s="3"/>
      <c r="N487" s="3"/>
      <c r="O487" s="3"/>
      <c r="P487" s="3"/>
      <c r="Q487" s="3"/>
      <c r="R487" s="3"/>
      <c r="S487" s="3"/>
      <c r="T487" s="3"/>
    </row>
    <row r="488" spans="2:20" x14ac:dyDescent="0.15">
      <c r="B488" s="3"/>
      <c r="C488" s="3"/>
      <c r="D488" s="3"/>
      <c r="F488" s="3"/>
      <c r="G488" s="3"/>
      <c r="H488" s="3"/>
      <c r="I488" s="3"/>
      <c r="J488" s="3"/>
      <c r="K488" s="3"/>
      <c r="L488" s="3"/>
      <c r="M488" s="3"/>
      <c r="N488" s="3"/>
      <c r="O488" s="3"/>
      <c r="P488" s="3"/>
      <c r="Q488" s="3"/>
      <c r="R488" s="3"/>
      <c r="S488" s="3"/>
      <c r="T488" s="3"/>
    </row>
    <row r="489" spans="2:20" x14ac:dyDescent="0.15">
      <c r="B489" s="3"/>
      <c r="C489" s="3"/>
      <c r="D489" s="3"/>
      <c r="F489" s="3"/>
      <c r="G489" s="3"/>
      <c r="H489" s="3"/>
      <c r="I489" s="3"/>
      <c r="J489" s="3"/>
      <c r="K489" s="3"/>
      <c r="L489" s="3"/>
      <c r="M489" s="3"/>
      <c r="N489" s="3"/>
      <c r="O489" s="3"/>
      <c r="P489" s="3"/>
      <c r="Q489" s="3"/>
      <c r="R489" s="3"/>
      <c r="S489" s="3"/>
      <c r="T489" s="3"/>
    </row>
    <row r="490" spans="2:20" x14ac:dyDescent="0.15">
      <c r="B490" s="3"/>
      <c r="C490" s="3"/>
      <c r="D490" s="3"/>
      <c r="F490" s="3"/>
      <c r="G490" s="3"/>
      <c r="H490" s="3"/>
      <c r="I490" s="3"/>
      <c r="J490" s="3"/>
      <c r="K490" s="3"/>
      <c r="L490" s="3"/>
      <c r="M490" s="3"/>
      <c r="N490" s="3"/>
      <c r="O490" s="3"/>
      <c r="P490" s="3"/>
      <c r="Q490" s="3"/>
      <c r="R490" s="3"/>
      <c r="S490" s="3"/>
      <c r="T490" s="3"/>
    </row>
    <row r="491" spans="2:20" x14ac:dyDescent="0.15">
      <c r="B491" s="3"/>
      <c r="C491" s="3"/>
      <c r="D491" s="3"/>
      <c r="F491" s="3"/>
      <c r="G491" s="3"/>
      <c r="H491" s="3"/>
      <c r="I491" s="3"/>
      <c r="J491" s="3"/>
      <c r="K491" s="3"/>
      <c r="L491" s="3"/>
      <c r="M491" s="3"/>
      <c r="N491" s="3"/>
      <c r="O491" s="3"/>
      <c r="P491" s="3"/>
      <c r="Q491" s="3"/>
      <c r="R491" s="3"/>
      <c r="S491" s="3"/>
      <c r="T491" s="3"/>
    </row>
    <row r="492" spans="2:20" x14ac:dyDescent="0.15">
      <c r="B492" s="3"/>
      <c r="C492" s="3"/>
      <c r="D492" s="3"/>
      <c r="F492" s="3"/>
      <c r="G492" s="3"/>
      <c r="H492" s="3"/>
      <c r="I492" s="3"/>
      <c r="J492" s="3"/>
      <c r="K492" s="3"/>
      <c r="L492" s="3"/>
      <c r="M492" s="3"/>
      <c r="N492" s="3"/>
      <c r="O492" s="3"/>
      <c r="P492" s="3"/>
      <c r="Q492" s="3"/>
      <c r="R492" s="3"/>
      <c r="S492" s="3"/>
      <c r="T492" s="3"/>
    </row>
    <row r="493" spans="2:20" x14ac:dyDescent="0.15">
      <c r="B493" s="3"/>
      <c r="C493" s="3"/>
      <c r="D493" s="3"/>
      <c r="F493" s="3"/>
      <c r="G493" s="3"/>
      <c r="H493" s="3"/>
      <c r="I493" s="3"/>
      <c r="J493" s="3"/>
      <c r="K493" s="3"/>
      <c r="L493" s="3"/>
      <c r="M493" s="3"/>
      <c r="N493" s="3"/>
      <c r="O493" s="3"/>
      <c r="P493" s="3"/>
      <c r="Q493" s="3"/>
      <c r="R493" s="3"/>
      <c r="S493" s="3"/>
      <c r="T493" s="3"/>
    </row>
    <row r="494" spans="2:20" x14ac:dyDescent="0.15">
      <c r="B494" s="3"/>
      <c r="C494" s="3"/>
      <c r="D494" s="3"/>
      <c r="F494" s="3"/>
      <c r="G494" s="3"/>
      <c r="H494" s="3"/>
      <c r="I494" s="3"/>
      <c r="J494" s="3"/>
      <c r="K494" s="3"/>
      <c r="L494" s="3"/>
      <c r="M494" s="3"/>
      <c r="N494" s="3"/>
      <c r="O494" s="3"/>
      <c r="P494" s="3"/>
      <c r="Q494" s="3"/>
      <c r="R494" s="3"/>
      <c r="S494" s="3"/>
      <c r="T494" s="3"/>
    </row>
    <row r="495" spans="2:20" x14ac:dyDescent="0.15">
      <c r="B495" s="3"/>
      <c r="C495" s="3"/>
      <c r="D495" s="3"/>
      <c r="F495" s="3"/>
      <c r="G495" s="3"/>
      <c r="H495" s="3"/>
      <c r="I495" s="3"/>
      <c r="J495" s="3"/>
      <c r="K495" s="3"/>
      <c r="L495" s="3"/>
      <c r="M495" s="3"/>
      <c r="N495" s="3"/>
      <c r="O495" s="3"/>
      <c r="P495" s="3"/>
      <c r="Q495" s="3"/>
      <c r="R495" s="3"/>
      <c r="S495" s="3"/>
      <c r="T495" s="3"/>
    </row>
    <row r="496" spans="2:20" x14ac:dyDescent="0.15">
      <c r="B496" s="3"/>
      <c r="C496" s="3"/>
      <c r="D496" s="3"/>
      <c r="F496" s="3"/>
      <c r="G496" s="3"/>
      <c r="H496" s="3"/>
      <c r="I496" s="3"/>
      <c r="J496" s="3"/>
      <c r="K496" s="3"/>
      <c r="L496" s="3"/>
      <c r="M496" s="3"/>
      <c r="N496" s="3"/>
      <c r="O496" s="3"/>
      <c r="P496" s="3"/>
      <c r="Q496" s="3"/>
      <c r="R496" s="3"/>
      <c r="S496" s="3"/>
      <c r="T496" s="3"/>
    </row>
    <row r="497" spans="2:20" x14ac:dyDescent="0.15">
      <c r="B497" s="3"/>
      <c r="C497" s="3"/>
      <c r="D497" s="3"/>
      <c r="F497" s="3"/>
      <c r="G497" s="3"/>
      <c r="H497" s="3"/>
      <c r="I497" s="3"/>
      <c r="J497" s="3"/>
      <c r="K497" s="3"/>
      <c r="L497" s="3"/>
      <c r="M497" s="3"/>
      <c r="N497" s="3"/>
      <c r="O497" s="3"/>
      <c r="P497" s="3"/>
      <c r="Q497" s="3"/>
      <c r="R497" s="3"/>
      <c r="S497" s="3"/>
      <c r="T497" s="3"/>
    </row>
    <row r="498" spans="2:20" x14ac:dyDescent="0.15">
      <c r="B498" s="3"/>
      <c r="C498" s="3"/>
      <c r="D498" s="3"/>
      <c r="F498" s="3"/>
      <c r="G498" s="3"/>
      <c r="H498" s="3"/>
      <c r="I498" s="3"/>
      <c r="J498" s="3"/>
      <c r="K498" s="3"/>
      <c r="L498" s="3"/>
      <c r="M498" s="3"/>
      <c r="N498" s="3"/>
      <c r="O498" s="3"/>
      <c r="P498" s="3"/>
      <c r="Q498" s="3"/>
      <c r="R498" s="3"/>
      <c r="S498" s="3"/>
      <c r="T498" s="3"/>
    </row>
    <row r="499" spans="2:20" x14ac:dyDescent="0.15">
      <c r="B499" s="3"/>
      <c r="C499" s="3"/>
      <c r="D499" s="3"/>
      <c r="F499" s="3"/>
      <c r="G499" s="3"/>
      <c r="H499" s="3"/>
      <c r="I499" s="3"/>
      <c r="J499" s="3"/>
      <c r="K499" s="3"/>
      <c r="L499" s="3"/>
      <c r="M499" s="3"/>
      <c r="N499" s="3"/>
      <c r="O499" s="3"/>
      <c r="P499" s="3"/>
      <c r="Q499" s="3"/>
      <c r="R499" s="3"/>
      <c r="S499" s="3"/>
      <c r="T499" s="3"/>
    </row>
    <row r="500" spans="2:20" x14ac:dyDescent="0.15">
      <c r="B500" s="3"/>
      <c r="C500" s="3"/>
      <c r="D500" s="3"/>
      <c r="F500" s="3"/>
      <c r="G500" s="3"/>
      <c r="H500" s="3"/>
      <c r="I500" s="3"/>
      <c r="J500" s="3"/>
      <c r="K500" s="3"/>
      <c r="L500" s="3"/>
      <c r="M500" s="3"/>
      <c r="N500" s="3"/>
      <c r="O500" s="3"/>
      <c r="P500" s="3"/>
      <c r="Q500" s="3"/>
      <c r="R500" s="3"/>
      <c r="S500" s="3"/>
      <c r="T500" s="3"/>
    </row>
    <row r="501" spans="2:20" x14ac:dyDescent="0.15">
      <c r="B501" s="3"/>
      <c r="C501" s="3"/>
      <c r="D501" s="3"/>
      <c r="F501" s="3"/>
      <c r="G501" s="3"/>
      <c r="H501" s="3"/>
      <c r="I501" s="3"/>
      <c r="J501" s="3"/>
      <c r="K501" s="3"/>
      <c r="L501" s="3"/>
      <c r="M501" s="3"/>
      <c r="N501" s="3"/>
      <c r="O501" s="3"/>
      <c r="P501" s="3"/>
      <c r="Q501" s="3"/>
      <c r="R501" s="3"/>
      <c r="S501" s="3"/>
      <c r="T501" s="3"/>
    </row>
    <row r="502" spans="2:20" x14ac:dyDescent="0.15">
      <c r="B502" s="3"/>
      <c r="C502" s="3"/>
      <c r="D502" s="3"/>
      <c r="F502" s="3"/>
      <c r="G502" s="3"/>
      <c r="H502" s="3"/>
      <c r="I502" s="3"/>
      <c r="J502" s="3"/>
      <c r="K502" s="3"/>
      <c r="L502" s="3"/>
      <c r="M502" s="3"/>
      <c r="N502" s="3"/>
      <c r="O502" s="3"/>
      <c r="P502" s="3"/>
      <c r="Q502" s="3"/>
      <c r="R502" s="3"/>
      <c r="S502" s="3"/>
      <c r="T502" s="3"/>
    </row>
    <row r="503" spans="2:20" x14ac:dyDescent="0.15">
      <c r="B503" s="3"/>
      <c r="C503" s="3"/>
      <c r="D503" s="3"/>
      <c r="F503" s="3"/>
      <c r="G503" s="3"/>
      <c r="H503" s="3"/>
      <c r="I503" s="3"/>
      <c r="J503" s="3"/>
      <c r="K503" s="3"/>
      <c r="L503" s="3"/>
      <c r="M503" s="3"/>
      <c r="N503" s="3"/>
      <c r="O503" s="3"/>
      <c r="P503" s="3"/>
      <c r="Q503" s="3"/>
      <c r="R503" s="3"/>
      <c r="S503" s="3"/>
      <c r="T503" s="3"/>
    </row>
    <row r="504" spans="2:20" x14ac:dyDescent="0.15">
      <c r="B504" s="3"/>
      <c r="C504" s="3"/>
      <c r="D504" s="3"/>
      <c r="F504" s="3"/>
      <c r="G504" s="3"/>
      <c r="H504" s="3"/>
      <c r="I504" s="3"/>
      <c r="J504" s="3"/>
      <c r="K504" s="3"/>
      <c r="L504" s="3"/>
      <c r="M504" s="3"/>
      <c r="N504" s="3"/>
      <c r="O504" s="3"/>
      <c r="P504" s="3"/>
      <c r="Q504" s="3"/>
      <c r="R504" s="3"/>
      <c r="S504" s="3"/>
      <c r="T504" s="3"/>
    </row>
    <row r="505" spans="2:20" x14ac:dyDescent="0.15">
      <c r="B505" s="3"/>
      <c r="C505" s="3"/>
      <c r="D505" s="3"/>
      <c r="F505" s="3"/>
      <c r="G505" s="3"/>
      <c r="H505" s="3"/>
      <c r="I505" s="3"/>
      <c r="J505" s="3"/>
      <c r="K505" s="3"/>
      <c r="L505" s="3"/>
      <c r="M505" s="3"/>
      <c r="N505" s="3"/>
      <c r="O505" s="3"/>
      <c r="P505" s="3"/>
      <c r="Q505" s="3"/>
      <c r="R505" s="3"/>
      <c r="S505" s="3"/>
      <c r="T505" s="3"/>
    </row>
    <row r="506" spans="2:20" x14ac:dyDescent="0.15">
      <c r="B506" s="3"/>
      <c r="C506" s="3"/>
      <c r="D506" s="3"/>
      <c r="F506" s="3"/>
      <c r="G506" s="3"/>
      <c r="H506" s="3"/>
      <c r="I506" s="3"/>
      <c r="J506" s="3"/>
      <c r="K506" s="3"/>
      <c r="L506" s="3"/>
      <c r="M506" s="3"/>
      <c r="N506" s="3"/>
      <c r="O506" s="3"/>
      <c r="P506" s="3"/>
      <c r="Q506" s="3"/>
      <c r="R506" s="3"/>
      <c r="S506" s="3"/>
      <c r="T506" s="3"/>
    </row>
    <row r="507" spans="2:20" x14ac:dyDescent="0.15">
      <c r="B507" s="3"/>
      <c r="C507" s="3"/>
      <c r="D507" s="3"/>
      <c r="F507" s="3"/>
      <c r="G507" s="3"/>
      <c r="H507" s="3"/>
      <c r="I507" s="3"/>
      <c r="J507" s="3"/>
      <c r="K507" s="3"/>
      <c r="L507" s="3"/>
      <c r="M507" s="3"/>
      <c r="N507" s="3"/>
      <c r="O507" s="3"/>
      <c r="P507" s="3"/>
      <c r="Q507" s="3"/>
      <c r="R507" s="3"/>
      <c r="S507" s="3"/>
      <c r="T507" s="3"/>
    </row>
    <row r="508" spans="2:20" x14ac:dyDescent="0.15">
      <c r="B508" s="3"/>
      <c r="C508" s="3"/>
      <c r="D508" s="3"/>
      <c r="F508" s="3"/>
      <c r="G508" s="3"/>
      <c r="H508" s="3"/>
      <c r="I508" s="3"/>
      <c r="J508" s="3"/>
      <c r="K508" s="3"/>
      <c r="L508" s="3"/>
      <c r="M508" s="3"/>
      <c r="N508" s="3"/>
      <c r="O508" s="3"/>
      <c r="P508" s="3"/>
      <c r="Q508" s="3"/>
      <c r="R508" s="3"/>
      <c r="S508" s="3"/>
      <c r="T508" s="3"/>
    </row>
    <row r="509" spans="2:20" x14ac:dyDescent="0.15">
      <c r="B509" s="3"/>
      <c r="C509" s="3"/>
      <c r="D509" s="3"/>
      <c r="F509" s="3"/>
      <c r="G509" s="3"/>
      <c r="H509" s="3"/>
      <c r="I509" s="3"/>
      <c r="J509" s="3"/>
      <c r="K509" s="3"/>
      <c r="L509" s="3"/>
      <c r="M509" s="3"/>
      <c r="N509" s="3"/>
      <c r="O509" s="3"/>
      <c r="P509" s="3"/>
      <c r="Q509" s="3"/>
      <c r="R509" s="3"/>
      <c r="S509" s="3"/>
      <c r="T509" s="3"/>
    </row>
    <row r="510" spans="2:20" x14ac:dyDescent="0.15">
      <c r="B510" s="3"/>
      <c r="C510" s="3"/>
      <c r="D510" s="3"/>
      <c r="F510" s="3"/>
      <c r="G510" s="3"/>
      <c r="H510" s="3"/>
      <c r="I510" s="3"/>
      <c r="J510" s="3"/>
      <c r="K510" s="3"/>
      <c r="L510" s="3"/>
      <c r="M510" s="3"/>
      <c r="N510" s="3"/>
      <c r="O510" s="3"/>
      <c r="P510" s="3"/>
      <c r="Q510" s="3"/>
      <c r="R510" s="3"/>
      <c r="S510" s="3"/>
      <c r="T510" s="3"/>
    </row>
    <row r="511" spans="2:20" x14ac:dyDescent="0.15">
      <c r="B511" s="3"/>
      <c r="C511" s="3"/>
      <c r="D511" s="3"/>
      <c r="F511" s="3"/>
      <c r="G511" s="3"/>
      <c r="H511" s="3"/>
      <c r="I511" s="3"/>
      <c r="J511" s="3"/>
      <c r="K511" s="3"/>
      <c r="L511" s="3"/>
      <c r="M511" s="3"/>
      <c r="N511" s="3"/>
      <c r="O511" s="3"/>
      <c r="P511" s="3"/>
      <c r="Q511" s="3"/>
      <c r="R511" s="3"/>
      <c r="S511" s="3"/>
      <c r="T511" s="3"/>
    </row>
    <row r="512" spans="2:20" x14ac:dyDescent="0.15">
      <c r="B512" s="3"/>
      <c r="C512" s="3"/>
      <c r="D512" s="3"/>
      <c r="F512" s="3"/>
      <c r="G512" s="3"/>
      <c r="H512" s="3"/>
      <c r="I512" s="3"/>
      <c r="J512" s="3"/>
      <c r="K512" s="3"/>
      <c r="L512" s="3"/>
      <c r="M512" s="3"/>
      <c r="N512" s="3"/>
      <c r="O512" s="3"/>
      <c r="P512" s="3"/>
      <c r="Q512" s="3"/>
      <c r="R512" s="3"/>
      <c r="S512" s="3"/>
      <c r="T512" s="3"/>
    </row>
    <row r="513" spans="2:20" x14ac:dyDescent="0.15">
      <c r="B513" s="3"/>
      <c r="C513" s="3"/>
      <c r="D513" s="3"/>
      <c r="F513" s="3"/>
      <c r="G513" s="3"/>
      <c r="H513" s="3"/>
      <c r="I513" s="3"/>
      <c r="J513" s="3"/>
      <c r="K513" s="3"/>
      <c r="L513" s="3"/>
      <c r="M513" s="3"/>
      <c r="N513" s="3"/>
      <c r="O513" s="3"/>
      <c r="P513" s="3"/>
      <c r="Q513" s="3"/>
      <c r="R513" s="3"/>
      <c r="S513" s="3"/>
      <c r="T513" s="3"/>
    </row>
    <row r="514" spans="2:20" x14ac:dyDescent="0.15">
      <c r="B514" s="3"/>
      <c r="C514" s="3"/>
      <c r="D514" s="3"/>
      <c r="F514" s="3"/>
      <c r="G514" s="3"/>
      <c r="H514" s="3"/>
      <c r="I514" s="3"/>
      <c r="J514" s="3"/>
      <c r="K514" s="3"/>
      <c r="L514" s="3"/>
      <c r="M514" s="3"/>
      <c r="N514" s="3"/>
      <c r="O514" s="3"/>
      <c r="P514" s="3"/>
      <c r="Q514" s="3"/>
      <c r="R514" s="3"/>
      <c r="S514" s="3"/>
      <c r="T514" s="3"/>
    </row>
    <row r="515" spans="2:20" x14ac:dyDescent="0.15">
      <c r="B515" s="3"/>
      <c r="C515" s="3"/>
      <c r="D515" s="3"/>
      <c r="F515" s="3"/>
      <c r="G515" s="3"/>
      <c r="H515" s="3"/>
      <c r="I515" s="3"/>
      <c r="J515" s="3"/>
      <c r="K515" s="3"/>
      <c r="L515" s="3"/>
      <c r="M515" s="3"/>
      <c r="N515" s="3"/>
      <c r="O515" s="3"/>
      <c r="P515" s="3"/>
      <c r="Q515" s="3"/>
      <c r="R515" s="3"/>
      <c r="S515" s="3"/>
      <c r="T515" s="3"/>
    </row>
    <row r="516" spans="2:20" x14ac:dyDescent="0.15">
      <c r="B516" s="3"/>
      <c r="C516" s="3"/>
      <c r="D516" s="3"/>
      <c r="F516" s="3"/>
      <c r="G516" s="3"/>
      <c r="H516" s="3"/>
      <c r="I516" s="3"/>
      <c r="J516" s="3"/>
      <c r="K516" s="3"/>
      <c r="L516" s="3"/>
      <c r="M516" s="3"/>
      <c r="N516" s="3"/>
      <c r="O516" s="3"/>
      <c r="P516" s="3"/>
      <c r="Q516" s="3"/>
      <c r="R516" s="3"/>
      <c r="S516" s="3"/>
      <c r="T516" s="3"/>
    </row>
    <row r="517" spans="2:20" x14ac:dyDescent="0.15">
      <c r="B517" s="3"/>
      <c r="C517" s="3"/>
      <c r="D517" s="3"/>
      <c r="F517" s="3"/>
      <c r="G517" s="3"/>
      <c r="H517" s="3"/>
      <c r="I517" s="3"/>
      <c r="J517" s="3"/>
      <c r="K517" s="3"/>
      <c r="L517" s="3"/>
      <c r="M517" s="3"/>
      <c r="N517" s="3"/>
      <c r="O517" s="3"/>
      <c r="P517" s="3"/>
      <c r="Q517" s="3"/>
      <c r="R517" s="3"/>
      <c r="S517" s="3"/>
      <c r="T517" s="3"/>
    </row>
    <row r="518" spans="2:20" x14ac:dyDescent="0.15">
      <c r="B518" s="3"/>
      <c r="C518" s="3"/>
      <c r="D518" s="3"/>
      <c r="F518" s="3"/>
      <c r="G518" s="3"/>
      <c r="H518" s="3"/>
      <c r="I518" s="3"/>
      <c r="J518" s="3"/>
      <c r="K518" s="3"/>
      <c r="L518" s="3"/>
      <c r="M518" s="3"/>
      <c r="N518" s="3"/>
      <c r="O518" s="3"/>
      <c r="P518" s="3"/>
      <c r="Q518" s="3"/>
      <c r="R518" s="3"/>
      <c r="S518" s="3"/>
      <c r="T518" s="3"/>
    </row>
    <row r="519" spans="2:20" x14ac:dyDescent="0.15">
      <c r="B519" s="3"/>
      <c r="C519" s="3"/>
      <c r="D519" s="3"/>
      <c r="F519" s="3"/>
      <c r="G519" s="3"/>
      <c r="H519" s="3"/>
      <c r="I519" s="3"/>
      <c r="J519" s="3"/>
      <c r="K519" s="3"/>
      <c r="L519" s="3"/>
      <c r="M519" s="3"/>
      <c r="N519" s="3"/>
      <c r="O519" s="3"/>
      <c r="P519" s="3"/>
      <c r="Q519" s="3"/>
      <c r="R519" s="3"/>
      <c r="S519" s="3"/>
      <c r="T519" s="3"/>
    </row>
    <row r="520" spans="2:20" x14ac:dyDescent="0.15">
      <c r="B520" s="3"/>
      <c r="C520" s="3"/>
      <c r="D520" s="3"/>
      <c r="F520" s="3"/>
      <c r="G520" s="3"/>
      <c r="H520" s="3"/>
      <c r="I520" s="3"/>
      <c r="J520" s="3"/>
      <c r="K520" s="3"/>
      <c r="L520" s="3"/>
      <c r="M520" s="3"/>
      <c r="N520" s="3"/>
      <c r="O520" s="3"/>
      <c r="P520" s="3"/>
      <c r="Q520" s="3"/>
      <c r="R520" s="3"/>
      <c r="S520" s="3"/>
      <c r="T520" s="3"/>
    </row>
    <row r="521" spans="2:20" x14ac:dyDescent="0.15">
      <c r="B521" s="3"/>
      <c r="C521" s="3"/>
      <c r="D521" s="3"/>
      <c r="F521" s="3"/>
      <c r="G521" s="3"/>
      <c r="H521" s="3"/>
      <c r="I521" s="3"/>
      <c r="J521" s="3"/>
      <c r="K521" s="3"/>
      <c r="L521" s="3"/>
      <c r="M521" s="3"/>
      <c r="N521" s="3"/>
      <c r="O521" s="3"/>
      <c r="P521" s="3"/>
      <c r="Q521" s="3"/>
      <c r="R521" s="3"/>
      <c r="S521" s="3"/>
      <c r="T521" s="3"/>
    </row>
    <row r="522" spans="2:20" x14ac:dyDescent="0.15">
      <c r="B522" s="3"/>
      <c r="C522" s="3"/>
      <c r="D522" s="3"/>
      <c r="F522" s="3"/>
      <c r="G522" s="3"/>
      <c r="H522" s="3"/>
      <c r="I522" s="3"/>
      <c r="J522" s="3"/>
      <c r="K522" s="3"/>
      <c r="L522" s="3"/>
      <c r="M522" s="3"/>
      <c r="N522" s="3"/>
      <c r="O522" s="3"/>
      <c r="P522" s="3"/>
      <c r="Q522" s="3"/>
      <c r="R522" s="3"/>
      <c r="S522" s="3"/>
      <c r="T522" s="3"/>
    </row>
    <row r="523" spans="2:20" x14ac:dyDescent="0.15">
      <c r="B523" s="3"/>
      <c r="C523" s="3"/>
      <c r="D523" s="3"/>
      <c r="F523" s="3"/>
      <c r="G523" s="3"/>
      <c r="H523" s="3"/>
      <c r="I523" s="3"/>
      <c r="J523" s="3"/>
      <c r="K523" s="3"/>
      <c r="L523" s="3"/>
      <c r="M523" s="3"/>
      <c r="N523" s="3"/>
      <c r="O523" s="3"/>
      <c r="P523" s="3"/>
      <c r="Q523" s="3"/>
      <c r="R523" s="3"/>
      <c r="S523" s="3"/>
      <c r="T523" s="3"/>
    </row>
    <row r="524" spans="2:20" x14ac:dyDescent="0.15">
      <c r="B524" s="3"/>
      <c r="C524" s="3"/>
      <c r="D524" s="3"/>
      <c r="F524" s="3"/>
      <c r="G524" s="3"/>
      <c r="H524" s="3"/>
      <c r="I524" s="3"/>
      <c r="J524" s="3"/>
      <c r="K524" s="3"/>
      <c r="L524" s="3"/>
      <c r="M524" s="3"/>
      <c r="N524" s="3"/>
      <c r="O524" s="3"/>
      <c r="P524" s="3"/>
      <c r="Q524" s="3"/>
      <c r="R524" s="3"/>
      <c r="S524" s="3"/>
      <c r="T524" s="3"/>
    </row>
    <row r="525" spans="2:20" x14ac:dyDescent="0.15">
      <c r="B525" s="3"/>
      <c r="C525" s="3"/>
      <c r="D525" s="3"/>
      <c r="F525" s="3"/>
      <c r="G525" s="3"/>
      <c r="H525" s="3"/>
      <c r="I525" s="3"/>
      <c r="J525" s="3"/>
      <c r="K525" s="3"/>
      <c r="L525" s="3"/>
      <c r="M525" s="3"/>
      <c r="N525" s="3"/>
      <c r="O525" s="3"/>
      <c r="P525" s="3"/>
      <c r="Q525" s="3"/>
      <c r="R525" s="3"/>
      <c r="S525" s="3"/>
      <c r="T525" s="3"/>
    </row>
    <row r="526" spans="2:20" x14ac:dyDescent="0.15">
      <c r="B526" s="3"/>
      <c r="C526" s="3"/>
      <c r="D526" s="3"/>
      <c r="F526" s="3"/>
      <c r="G526" s="3"/>
      <c r="H526" s="3"/>
      <c r="I526" s="3"/>
      <c r="J526" s="3"/>
      <c r="K526" s="3"/>
      <c r="L526" s="3"/>
      <c r="M526" s="3"/>
      <c r="N526" s="3"/>
      <c r="O526" s="3"/>
      <c r="P526" s="3"/>
      <c r="Q526" s="3"/>
      <c r="R526" s="3"/>
      <c r="S526" s="3"/>
      <c r="T526" s="3"/>
    </row>
    <row r="527" spans="2:20" x14ac:dyDescent="0.15">
      <c r="B527" s="3"/>
      <c r="C527" s="3"/>
      <c r="D527" s="3"/>
      <c r="F527" s="3"/>
      <c r="G527" s="3"/>
      <c r="H527" s="3"/>
      <c r="I527" s="3"/>
      <c r="J527" s="3"/>
      <c r="K527" s="3"/>
      <c r="L527" s="3"/>
      <c r="M527" s="3"/>
      <c r="N527" s="3"/>
      <c r="O527" s="3"/>
      <c r="P527" s="3"/>
      <c r="Q527" s="3"/>
      <c r="R527" s="3"/>
      <c r="S527" s="3"/>
      <c r="T527" s="3"/>
    </row>
    <row r="528" spans="2:20" x14ac:dyDescent="0.15">
      <c r="B528" s="3"/>
      <c r="C528" s="3"/>
      <c r="D528" s="3"/>
      <c r="F528" s="3"/>
      <c r="G528" s="3"/>
      <c r="H528" s="3"/>
      <c r="I528" s="3"/>
      <c r="J528" s="3"/>
      <c r="K528" s="3"/>
      <c r="L528" s="3"/>
      <c r="M528" s="3"/>
      <c r="N528" s="3"/>
      <c r="O528" s="3"/>
      <c r="P528" s="3"/>
      <c r="Q528" s="3"/>
      <c r="R528" s="3"/>
      <c r="S528" s="3"/>
      <c r="T528" s="3"/>
    </row>
  </sheetData>
  <mergeCells count="8">
    <mergeCell ref="C279:C282"/>
    <mergeCell ref="C284:C285"/>
    <mergeCell ref="C271:C274"/>
    <mergeCell ref="C15:C78"/>
    <mergeCell ref="C79:C142"/>
    <mergeCell ref="C143:C206"/>
    <mergeCell ref="C207:C270"/>
    <mergeCell ref="C275:C278"/>
  </mergeCells>
  <phoneticPr fontId="2" type="noConversion"/>
  <conditionalFormatting sqref="P312:Q363 P385:Q400 P289:Q308">
    <cfRule type="cellIs" dxfId="5" priority="14" operator="equal">
      <formula>"No"</formula>
    </cfRule>
  </conditionalFormatting>
  <conditionalFormatting sqref="P309:Q309">
    <cfRule type="cellIs" dxfId="4" priority="12" operator="equal">
      <formula>"No"</formula>
    </cfRule>
  </conditionalFormatting>
  <conditionalFormatting sqref="P310:Q311">
    <cfRule type="cellIs" dxfId="3" priority="11" operator="equal">
      <formula>"No"</formula>
    </cfRule>
  </conditionalFormatting>
  <conditionalFormatting sqref="P378:Q384">
    <cfRule type="cellIs" dxfId="2" priority="8" operator="equal">
      <formula>"No"</formula>
    </cfRule>
  </conditionalFormatting>
  <conditionalFormatting sqref="P364:Q370">
    <cfRule type="cellIs" dxfId="1" priority="10" operator="equal">
      <formula>"No"</formula>
    </cfRule>
  </conditionalFormatting>
  <conditionalFormatting sqref="P371:Q377">
    <cfRule type="cellIs" dxfId="0" priority="9" operator="equal">
      <formula>"No"</formula>
    </cfRule>
  </conditionalFormatting>
  <dataValidations count="1">
    <dataValidation type="list" allowBlank="1" showInputMessage="1" showErrorMessage="1" sqref="L14:L286 I14:I286" xr:uid="{2F2C6547-038D-431B-A5AD-E8DE8B9AE4AB}">
      <formula1>lists_binomial</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FF2-934B-48F6-A994-950AE5487BEA}">
  <sheetPr codeName="Sheet9">
    <tabColor theme="2" tint="-0.499984740745262"/>
  </sheetPr>
  <dimension ref="A3:Z113"/>
  <sheetViews>
    <sheetView showGridLines="0" zoomScaleNormal="100" workbookViewId="0">
      <selection activeCell="C2" sqref="C2"/>
    </sheetView>
  </sheetViews>
  <sheetFormatPr baseColWidth="10" defaultColWidth="8.83203125" defaultRowHeight="15" x14ac:dyDescent="0.2"/>
  <cols>
    <col min="1" max="1" width="11.5" customWidth="1"/>
    <col min="2" max="2" width="8.33203125" customWidth="1"/>
    <col min="3" max="3" width="8.6640625" customWidth="1"/>
    <col min="7" max="7" width="21.83203125" bestFit="1" customWidth="1"/>
    <col min="8" max="8" width="19.33203125" bestFit="1" customWidth="1"/>
    <col min="9" max="9" width="19.5" bestFit="1" customWidth="1"/>
    <col min="10" max="10" width="17.1640625" bestFit="1" customWidth="1"/>
    <col min="11" max="11" width="19.5" bestFit="1" customWidth="1"/>
    <col min="12" max="12" width="12.6640625" customWidth="1"/>
    <col min="13" max="13" width="10.83203125" customWidth="1"/>
    <col min="14" max="14" width="12.1640625" bestFit="1" customWidth="1"/>
    <col min="15" max="15" width="7.5" customWidth="1"/>
    <col min="16" max="16" width="19.5" bestFit="1" customWidth="1"/>
    <col min="17" max="17" width="17" bestFit="1" customWidth="1"/>
    <col min="18" max="18" width="17.83203125" bestFit="1" customWidth="1"/>
    <col min="19" max="19" width="21.83203125" bestFit="1" customWidth="1"/>
    <col min="20" max="20" width="19.1640625" bestFit="1" customWidth="1"/>
    <col min="21" max="21" width="20.5" bestFit="1" customWidth="1"/>
    <col min="22" max="22" width="18.6640625" bestFit="1" customWidth="1"/>
    <col min="23" max="23" width="19.33203125" bestFit="1" customWidth="1"/>
    <col min="24" max="24" width="9.83203125" bestFit="1" customWidth="1"/>
  </cols>
  <sheetData>
    <row r="3" spans="2:26" ht="26" x14ac:dyDescent="0.3">
      <c r="I3" s="96" t="s">
        <v>276</v>
      </c>
    </row>
    <row r="4" spans="2:26" ht="16" thickBot="1" x14ac:dyDescent="0.25"/>
    <row r="5" spans="2:26" ht="16" thickBot="1" x14ac:dyDescent="0.25">
      <c r="B5" s="90"/>
      <c r="C5" s="91"/>
      <c r="D5" s="91"/>
      <c r="E5" s="91"/>
      <c r="F5" s="91"/>
      <c r="G5" s="91"/>
      <c r="H5" s="91"/>
      <c r="I5" s="91"/>
      <c r="J5" s="91"/>
      <c r="K5" s="91"/>
      <c r="L5" s="91"/>
      <c r="M5" s="91"/>
      <c r="N5" s="91"/>
      <c r="O5" s="91"/>
      <c r="P5" s="91"/>
      <c r="Q5" s="91"/>
      <c r="R5" s="91"/>
      <c r="S5" s="91"/>
      <c r="T5" s="91"/>
      <c r="U5" s="91"/>
      <c r="V5" s="91"/>
      <c r="W5" s="91"/>
      <c r="X5" s="91"/>
      <c r="Y5" s="92"/>
    </row>
    <row r="6" spans="2:26" x14ac:dyDescent="0.2">
      <c r="B6" s="119"/>
      <c r="Z6" s="119"/>
    </row>
    <row r="7" spans="2:26" ht="14" customHeight="1" x14ac:dyDescent="0.2">
      <c r="B7" s="119"/>
      <c r="R7">
        <f>AVERAGE(R11:R111)</f>
        <v>6.1174678535031168E-3</v>
      </c>
      <c r="Z7" s="119"/>
    </row>
    <row r="8" spans="2:26" x14ac:dyDescent="0.2">
      <c r="B8" s="119"/>
      <c r="C8" s="1"/>
      <c r="D8" s="1"/>
      <c r="E8" s="1"/>
      <c r="F8" s="1"/>
      <c r="G8" s="212" t="s">
        <v>115</v>
      </c>
      <c r="H8" s="214"/>
      <c r="I8" s="214"/>
      <c r="J8" s="214"/>
      <c r="K8" s="214"/>
      <c r="L8" s="214"/>
      <c r="M8" s="214"/>
      <c r="N8" s="213"/>
      <c r="O8" s="1"/>
      <c r="P8" s="212" t="s">
        <v>97</v>
      </c>
      <c r="Q8" s="213"/>
      <c r="R8" s="12"/>
      <c r="S8" s="212" t="s">
        <v>98</v>
      </c>
      <c r="T8" s="214"/>
      <c r="U8" s="214"/>
      <c r="V8" s="214"/>
      <c r="W8" s="213"/>
      <c r="X8" s="1"/>
      <c r="Z8" s="119"/>
    </row>
    <row r="9" spans="2:26" ht="30" customHeight="1" x14ac:dyDescent="0.2">
      <c r="B9" s="119"/>
      <c r="C9" s="101" t="s">
        <v>99</v>
      </c>
      <c r="D9" s="101" t="s">
        <v>100</v>
      </c>
      <c r="E9" s="101" t="s">
        <v>101</v>
      </c>
      <c r="F9" s="101" t="s">
        <v>31</v>
      </c>
      <c r="G9" s="101" t="s">
        <v>102</v>
      </c>
      <c r="H9" s="101" t="s">
        <v>103</v>
      </c>
      <c r="I9" s="101" t="s">
        <v>104</v>
      </c>
      <c r="J9" s="101" t="s">
        <v>105</v>
      </c>
      <c r="K9" s="101" t="s">
        <v>106</v>
      </c>
      <c r="L9" s="101" t="s">
        <v>107</v>
      </c>
      <c r="M9" s="101" t="s">
        <v>108</v>
      </c>
      <c r="N9" s="101" t="s">
        <v>109</v>
      </c>
      <c r="O9" s="101" t="s">
        <v>110</v>
      </c>
      <c r="P9" s="101" t="s">
        <v>60</v>
      </c>
      <c r="Q9" s="101" t="s">
        <v>61</v>
      </c>
      <c r="R9" s="101" t="s">
        <v>111</v>
      </c>
      <c r="S9" s="101" t="str">
        <f>"Drug Acquisition" &amp; "("&amp;c_currency&amp;")"</f>
        <v>Drug Acquisition(€)</v>
      </c>
      <c r="T9" s="101" t="str">
        <f>"Treatment Cost" &amp; "("&amp;c_currency&amp;")"</f>
        <v>Treatment Cost(€)</v>
      </c>
      <c r="U9" s="101" t="str">
        <f>"ICU Cost" &amp; "("&amp;c_currency&amp;")"</f>
        <v>ICU Cost(€)</v>
      </c>
      <c r="V9" s="101" t="str">
        <f>"Resource Use Cost" &amp; "("&amp;c_currency&amp;")"</f>
        <v>Resource Use Cost(€)</v>
      </c>
      <c r="W9" s="101" t="str">
        <f>"Adverse Event Cost" &amp; "("&amp;c_currency&amp;")"</f>
        <v>Adverse Event Cost(€)</v>
      </c>
      <c r="X9" s="101" t="s">
        <v>46</v>
      </c>
      <c r="Z9" s="119"/>
    </row>
    <row r="10" spans="2:26" x14ac:dyDescent="0.2">
      <c r="B10" s="119"/>
      <c r="C10" s="2"/>
      <c r="D10" s="2"/>
      <c r="E10" s="2"/>
      <c r="F10" s="2"/>
      <c r="G10" s="2"/>
      <c r="H10" s="2"/>
      <c r="I10" s="2"/>
      <c r="J10" s="2"/>
      <c r="K10" s="2"/>
      <c r="L10" s="2"/>
      <c r="M10" s="2"/>
      <c r="N10" s="2"/>
      <c r="O10" s="2"/>
      <c r="P10" s="10">
        <f t="shared" ref="P10:X10" si="0">SUM(P11:P111)</f>
        <v>0.28809159324037092</v>
      </c>
      <c r="Q10" s="10">
        <f t="shared" si="0"/>
        <v>0.32977265996344324</v>
      </c>
      <c r="R10" s="10">
        <f t="shared" si="0"/>
        <v>0.61786425320381477</v>
      </c>
      <c r="S10" s="61">
        <f t="shared" si="0"/>
        <v>10.101939358828153</v>
      </c>
      <c r="T10" s="61">
        <f t="shared" si="0"/>
        <v>441.77911968325901</v>
      </c>
      <c r="U10" s="61">
        <f t="shared" si="0"/>
        <v>9548.0604795002182</v>
      </c>
      <c r="V10" s="61">
        <f t="shared" si="0"/>
        <v>77.725714472026368</v>
      </c>
      <c r="W10" s="61">
        <f t="shared" si="0"/>
        <v>37.950356014520537</v>
      </c>
      <c r="X10" s="61">
        <f t="shared" si="0"/>
        <v>10115.617609028857</v>
      </c>
      <c r="Z10" s="119"/>
    </row>
    <row r="11" spans="2:26" x14ac:dyDescent="0.2">
      <c r="B11" s="119"/>
      <c r="C11" s="2">
        <v>0</v>
      </c>
      <c r="D11" s="2">
        <v>0</v>
      </c>
      <c r="E11" s="2">
        <f>D11*(1/365.25)</f>
        <v>0</v>
      </c>
      <c r="F11" s="11">
        <f>con_age</f>
        <v>62.03</v>
      </c>
      <c r="G11" s="2">
        <v>1</v>
      </c>
      <c r="H11" s="2"/>
      <c r="I11" s="2"/>
      <c r="J11" s="2"/>
      <c r="K11" s="2"/>
      <c r="L11" s="2"/>
      <c r="M11" s="2"/>
      <c r="N11" s="2"/>
      <c r="O11" s="2" t="str">
        <f>IF(ROUND(SUM(G11:N11),6)=$G$11,"OK","ERROR")</f>
        <v>OK</v>
      </c>
      <c r="P11" s="2">
        <f>I11</f>
        <v>0</v>
      </c>
      <c r="Q11" s="2">
        <f>J11</f>
        <v>0</v>
      </c>
      <c r="R11" s="2">
        <f t="shared" ref="R11:R42" si="1">SUM(P11:Q11)</f>
        <v>0</v>
      </c>
      <c r="S11" s="56">
        <f t="shared" ref="S11:S42" si="2">CHG1_cost_perpatient*(G11+H11+J11+I11+K11+L11)</f>
        <v>3.5700000000000003</v>
      </c>
      <c r="T11" s="56">
        <f t="shared" ref="T11:T42" si="3">treatment_cost*(I11+J11)</f>
        <v>0</v>
      </c>
      <c r="U11" s="56">
        <f t="shared" ref="U11:U42" si="4">ICU_Cost_without*(G12+H12+K12+L12)+ICU_cost_with*(I11+J11)</f>
        <v>470.12854369225329</v>
      </c>
      <c r="V11" s="56">
        <f t="shared" ref="V11:V42" si="5">Resource_cost*(H11+J11)</f>
        <v>0</v>
      </c>
      <c r="W11" s="56">
        <f t="shared" ref="W11:W42" si="6">IF(Incl_AE="Yes",Adverse_Event_Cost*K11,0)</f>
        <v>0</v>
      </c>
      <c r="X11" s="56">
        <f t="shared" ref="X11:X74" si="7">SUM(S11:W11)</f>
        <v>473.69854369225328</v>
      </c>
      <c r="Z11" s="119"/>
    </row>
    <row r="12" spans="2:26" x14ac:dyDescent="0.2">
      <c r="B12" s="119"/>
      <c r="C12" s="2">
        <f>C11+1</f>
        <v>1</v>
      </c>
      <c r="D12" s="2">
        <f>D11+1</f>
        <v>1</v>
      </c>
      <c r="E12" s="2">
        <f t="shared" ref="E12:E75" si="8">D12*(1/365.25)</f>
        <v>2.7378507871321013E-3</v>
      </c>
      <c r="F12" s="2">
        <f>F11+1/365.25</f>
        <v>62.032737850787136</v>
      </c>
      <c r="G12" s="2">
        <f t="shared" ref="G12:G43" si="9">G11*tp1_1+H11*tp2_1+I11*tp3_1+J11*tp4_1+L11*tp6_1</f>
        <v>0.14585766735849745</v>
      </c>
      <c r="H12" s="2">
        <f t="shared" ref="H12:H43" si="10">G11*tp1_2+J11*tp4_2+H11*tp2_2+I11*tp3_2+L11*tp6_2</f>
        <v>0.14619520240036341</v>
      </c>
      <c r="I12" s="2">
        <f t="shared" ref="I12:I43" si="11">G11*tp1_3+H11*tp2_3+I11*tp3_3+J11*tp4_3+L11*tp6_3</f>
        <v>0.12600001412211553</v>
      </c>
      <c r="J12" s="2">
        <f t="shared" ref="J12:J43" si="12">G11*tp1_4+H11*tp2_4+I11*tp3_4+J11*tp4_4+L11*tp6_4</f>
        <v>0.14357621899069178</v>
      </c>
      <c r="K12" s="2">
        <f t="shared" ref="K12:K43" si="13">G11*tp1_5+H11*tp2_5+I11*tp3_5+J11*tp4_5</f>
        <v>0.12568692613086224</v>
      </c>
      <c r="L12" s="79">
        <f t="shared" ref="L12:L43" si="14">K11*tp5_6+L11*tp6_6</f>
        <v>0</v>
      </c>
      <c r="M12" s="2">
        <f t="shared" ref="M12:M43" si="15">G11*tp1_7+H11*tp2_7+I11*tp3_7+J11*tp4_7+L11*tp6_7+M11</f>
        <v>0.15723576639415657</v>
      </c>
      <c r="N12" s="2">
        <f t="shared" ref="N12:N43" si="16">G11*tp1_8+H11*tp2_8+J11*tp4_8+L11*tp6_8+I11*tp3_8+N11*tp8_8</f>
        <v>0.1554482046033131</v>
      </c>
      <c r="O12" s="2" t="str">
        <f t="shared" ref="O12:O75" si="17">IF(ROUND(SUM(G12:N12),6)=$G$11,"OK","ERROR")</f>
        <v>OK</v>
      </c>
      <c r="P12" s="2">
        <f>I12</f>
        <v>0.12600001412211553</v>
      </c>
      <c r="Q12" s="2">
        <f t="shared" ref="Q12:Q75" si="18">J12</f>
        <v>0.14357621899069178</v>
      </c>
      <c r="R12" s="2">
        <f t="shared" si="1"/>
        <v>0.26957623311280732</v>
      </c>
      <c r="S12" s="56">
        <f t="shared" si="2"/>
        <v>2.4537182235390338</v>
      </c>
      <c r="T12" s="56">
        <f t="shared" si="3"/>
        <v>192.74970243798836</v>
      </c>
      <c r="U12" s="56">
        <f t="shared" si="4"/>
        <v>3917.506339096481</v>
      </c>
      <c r="V12" s="56">
        <f t="shared" si="5"/>
        <v>33.909051731181272</v>
      </c>
      <c r="W12" s="56">
        <f t="shared" si="6"/>
        <v>18.976212107237583</v>
      </c>
      <c r="X12" s="56">
        <f t="shared" si="7"/>
        <v>4165.5950235964274</v>
      </c>
      <c r="Z12" s="119"/>
    </row>
    <row r="13" spans="2:26" x14ac:dyDescent="0.2">
      <c r="B13" s="119"/>
      <c r="C13" s="2">
        <f t="shared" ref="C13:D76" si="19">C12+1</f>
        <v>2</v>
      </c>
      <c r="D13" s="2">
        <f t="shared" si="19"/>
        <v>2</v>
      </c>
      <c r="E13" s="2">
        <f t="shared" si="8"/>
        <v>5.4757015742642025E-3</v>
      </c>
      <c r="F13" s="2">
        <f t="shared" ref="F13:F76" si="20">F12+1/365.25</f>
        <v>62.035475701574271</v>
      </c>
      <c r="G13" s="2">
        <f t="shared" si="9"/>
        <v>6.3625152106742883E-2</v>
      </c>
      <c r="H13" s="2">
        <f t="shared" si="10"/>
        <v>6.3860595588482283E-2</v>
      </c>
      <c r="I13" s="2">
        <f t="shared" si="11"/>
        <v>5.4975234696148026E-2</v>
      </c>
      <c r="J13" s="2">
        <f t="shared" si="12"/>
        <v>6.3301287993129424E-2</v>
      </c>
      <c r="K13" s="2">
        <f t="shared" si="13"/>
        <v>5.4874303154202657E-2</v>
      </c>
      <c r="L13" s="79">
        <f t="shared" si="14"/>
        <v>0.12568692613086224</v>
      </c>
      <c r="M13" s="2">
        <f t="shared" si="15"/>
        <v>0.35102894734977724</v>
      </c>
      <c r="N13" s="2">
        <f t="shared" si="16"/>
        <v>0.22264755298065533</v>
      </c>
      <c r="O13" s="2" t="str">
        <f t="shared" si="17"/>
        <v>OK</v>
      </c>
      <c r="P13" s="2">
        <f t="shared" ref="P13:P75" si="21">I13</f>
        <v>5.4975234696148026E-2</v>
      </c>
      <c r="Q13" s="2">
        <f t="shared" si="18"/>
        <v>6.3301287993129424E-2</v>
      </c>
      <c r="R13" s="2">
        <f t="shared" si="1"/>
        <v>0.11827652268927745</v>
      </c>
      <c r="S13" s="56">
        <f t="shared" si="2"/>
        <v>1.5219748938203561</v>
      </c>
      <c r="T13" s="56">
        <f t="shared" si="3"/>
        <v>84.568896488060261</v>
      </c>
      <c r="U13" s="56">
        <f t="shared" si="4"/>
        <v>1778.8105616528139</v>
      </c>
      <c r="V13" s="56">
        <f t="shared" si="5"/>
        <v>14.880483616720202</v>
      </c>
      <c r="W13" s="56">
        <f t="shared" si="6"/>
        <v>8.2849222902215178</v>
      </c>
      <c r="X13" s="56">
        <f t="shared" si="7"/>
        <v>1888.0668389416364</v>
      </c>
      <c r="Z13" s="119"/>
    </row>
    <row r="14" spans="2:26" x14ac:dyDescent="0.2">
      <c r="B14" s="119"/>
      <c r="C14" s="2">
        <f t="shared" si="19"/>
        <v>3</v>
      </c>
      <c r="D14" s="2">
        <f t="shared" si="19"/>
        <v>3</v>
      </c>
      <c r="E14" s="2">
        <f t="shared" si="8"/>
        <v>8.2135523613963042E-3</v>
      </c>
      <c r="F14" s="2">
        <f t="shared" si="20"/>
        <v>62.038213552361405</v>
      </c>
      <c r="G14" s="2">
        <f t="shared" si="9"/>
        <v>4.5862590481882223E-2</v>
      </c>
      <c r="H14" s="2">
        <f t="shared" si="10"/>
        <v>4.6007392565401414E-2</v>
      </c>
      <c r="I14" s="2">
        <f t="shared" si="11"/>
        <v>3.9624059816350157E-2</v>
      </c>
      <c r="J14" s="2">
        <f t="shared" si="12"/>
        <v>4.5434419147334357E-2</v>
      </c>
      <c r="K14" s="2">
        <f t="shared" si="13"/>
        <v>2.4033020369377836E-2</v>
      </c>
      <c r="L14" s="79">
        <f t="shared" si="14"/>
        <v>7.2571231375882811E-2</v>
      </c>
      <c r="M14" s="2">
        <f t="shared" si="15"/>
        <v>0.45515176530216117</v>
      </c>
      <c r="N14" s="2">
        <f t="shared" si="16"/>
        <v>0.2713155209416101</v>
      </c>
      <c r="O14" s="2" t="str">
        <f t="shared" si="17"/>
        <v>OK</v>
      </c>
      <c r="P14" s="2">
        <f t="shared" si="21"/>
        <v>3.9624059816350157E-2</v>
      </c>
      <c r="Q14" s="2">
        <f t="shared" si="18"/>
        <v>4.5434419147334357E-2</v>
      </c>
      <c r="R14" s="2">
        <f t="shared" si="1"/>
        <v>8.5058478963684514E-2</v>
      </c>
      <c r="S14" s="56">
        <f t="shared" si="2"/>
        <v>0.97651178810973682</v>
      </c>
      <c r="T14" s="56">
        <f t="shared" si="3"/>
        <v>60.817663043824062</v>
      </c>
      <c r="U14" s="56">
        <f t="shared" si="4"/>
        <v>1253.3402829084823</v>
      </c>
      <c r="V14" s="56">
        <f t="shared" si="5"/>
        <v>10.70052080662434</v>
      </c>
      <c r="W14" s="56">
        <f t="shared" si="6"/>
        <v>3.6285054153686662</v>
      </c>
      <c r="X14" s="56">
        <f t="shared" si="7"/>
        <v>1329.4634839624091</v>
      </c>
      <c r="Z14" s="119"/>
    </row>
    <row r="15" spans="2:26" x14ac:dyDescent="0.2">
      <c r="B15" s="119"/>
      <c r="C15" s="2">
        <f t="shared" si="19"/>
        <v>4</v>
      </c>
      <c r="D15" s="2">
        <f t="shared" si="19"/>
        <v>4</v>
      </c>
      <c r="E15" s="2">
        <f t="shared" si="8"/>
        <v>1.0951403148528405E-2</v>
      </c>
      <c r="F15" s="2">
        <f t="shared" si="20"/>
        <v>62.04095140314854</v>
      </c>
      <c r="G15" s="2">
        <f t="shared" si="9"/>
        <v>3.0445427318159277E-2</v>
      </c>
      <c r="H15" s="2">
        <f t="shared" si="10"/>
        <v>3.0543670119720888E-2</v>
      </c>
      <c r="I15" s="2">
        <f t="shared" si="11"/>
        <v>2.6304334038809121E-2</v>
      </c>
      <c r="J15" s="2">
        <f t="shared" si="12"/>
        <v>3.0177782562790349E-2</v>
      </c>
      <c r="K15" s="2">
        <f t="shared" si="13"/>
        <v>1.7295813757397863E-2</v>
      </c>
      <c r="L15" s="79">
        <f t="shared" si="14"/>
        <v>3.4251170436002676E-2</v>
      </c>
      <c r="M15" s="2">
        <f t="shared" si="15"/>
        <v>0.52737803058063082</v>
      </c>
      <c r="N15" s="2">
        <f t="shared" si="16"/>
        <v>0.30360377118648907</v>
      </c>
      <c r="O15" s="2" t="str">
        <f t="shared" si="17"/>
        <v>OK</v>
      </c>
      <c r="P15" s="2">
        <f t="shared" si="21"/>
        <v>2.6304334038809121E-2</v>
      </c>
      <c r="Q15" s="2">
        <f t="shared" si="18"/>
        <v>3.0177782562790349E-2</v>
      </c>
      <c r="R15" s="2">
        <f t="shared" si="1"/>
        <v>5.6482116601599471E-2</v>
      </c>
      <c r="S15" s="56">
        <f t="shared" si="2"/>
        <v>0.60339496769138234</v>
      </c>
      <c r="T15" s="56">
        <f t="shared" si="3"/>
        <v>40.385278191309638</v>
      </c>
      <c r="U15" s="56">
        <f t="shared" si="4"/>
        <v>827.06062307861328</v>
      </c>
      <c r="V15" s="56">
        <f t="shared" si="5"/>
        <v>7.1056243929074645</v>
      </c>
      <c r="W15" s="56">
        <f t="shared" si="6"/>
        <v>2.6113219610919298</v>
      </c>
      <c r="X15" s="56">
        <f t="shared" si="7"/>
        <v>877.7662425916136</v>
      </c>
      <c r="Z15" s="119"/>
    </row>
    <row r="16" spans="2:26" x14ac:dyDescent="0.2">
      <c r="B16" s="119"/>
      <c r="C16" s="2">
        <f t="shared" si="19"/>
        <v>5</v>
      </c>
      <c r="D16" s="2">
        <f t="shared" si="19"/>
        <v>5</v>
      </c>
      <c r="E16" s="2">
        <f t="shared" si="8"/>
        <v>1.3689253935660506E-2</v>
      </c>
      <c r="F16" s="2">
        <f t="shared" si="20"/>
        <v>62.043689253935675</v>
      </c>
      <c r="G16" s="2">
        <f t="shared" si="9"/>
        <v>1.8219778400604816E-2</v>
      </c>
      <c r="H16" s="2">
        <f t="shared" si="10"/>
        <v>1.8280420918718274E-2</v>
      </c>
      <c r="I16" s="2">
        <f t="shared" si="11"/>
        <v>1.5741836893235925E-2</v>
      </c>
      <c r="J16" s="2">
        <f t="shared" si="12"/>
        <v>1.8074034107878043E-2</v>
      </c>
      <c r="K16" s="2">
        <f t="shared" si="13"/>
        <v>1.1484021865562372E-2</v>
      </c>
      <c r="L16" s="79">
        <f t="shared" si="14"/>
        <v>2.2118435515872358E-2</v>
      </c>
      <c r="M16" s="2">
        <f t="shared" si="15"/>
        <v>0.57317208031933442</v>
      </c>
      <c r="N16" s="2">
        <f t="shared" si="16"/>
        <v>0.32290939197879387</v>
      </c>
      <c r="O16" s="2" t="str">
        <f t="shared" si="17"/>
        <v>OK</v>
      </c>
      <c r="P16" s="2">
        <f t="shared" si="21"/>
        <v>1.5741836893235925E-2</v>
      </c>
      <c r="Q16" s="2">
        <f t="shared" si="18"/>
        <v>1.8074034107878043E-2</v>
      </c>
      <c r="R16" s="2">
        <f t="shared" si="1"/>
        <v>3.3815871001113967E-2</v>
      </c>
      <c r="S16" s="56">
        <f t="shared" si="2"/>
        <v>0.37098914389568233</v>
      </c>
      <c r="T16" s="56">
        <f t="shared" si="3"/>
        <v>24.178685924506496</v>
      </c>
      <c r="U16" s="56">
        <f t="shared" si="4"/>
        <v>497.20442770822524</v>
      </c>
      <c r="V16" s="56">
        <f t="shared" si="5"/>
        <v>4.2541983272123005</v>
      </c>
      <c r="W16" s="56">
        <f t="shared" si="6"/>
        <v>1.7338576212626071</v>
      </c>
      <c r="X16" s="56">
        <f t="shared" si="7"/>
        <v>527.74215872510229</v>
      </c>
      <c r="Z16" s="119"/>
    </row>
    <row r="17" spans="2:26" x14ac:dyDescent="0.2">
      <c r="B17" s="119"/>
      <c r="C17" s="2">
        <f t="shared" si="19"/>
        <v>6</v>
      </c>
      <c r="D17" s="2">
        <f t="shared" si="19"/>
        <v>6</v>
      </c>
      <c r="E17" s="2">
        <f t="shared" si="8"/>
        <v>1.6427104722792608E-2</v>
      </c>
      <c r="F17" s="2">
        <f t="shared" si="20"/>
        <v>62.04642710472281</v>
      </c>
      <c r="G17" s="2">
        <f t="shared" si="9"/>
        <v>1.1137970697162389E-2</v>
      </c>
      <c r="H17" s="2">
        <f t="shared" si="10"/>
        <v>1.1174810260569875E-2</v>
      </c>
      <c r="I17" s="2">
        <f t="shared" si="11"/>
        <v>9.6231429433426639E-3</v>
      </c>
      <c r="J17" s="2">
        <f t="shared" si="12"/>
        <v>1.1047060144458621E-2</v>
      </c>
      <c r="K17" s="2">
        <f t="shared" si="13"/>
        <v>6.8745632835968146E-3</v>
      </c>
      <c r="L17" s="79">
        <f t="shared" si="14"/>
        <v>1.4598334370052365E-2</v>
      </c>
      <c r="M17" s="2">
        <f t="shared" si="15"/>
        <v>0.60083083294480144</v>
      </c>
      <c r="N17" s="2">
        <f t="shared" si="16"/>
        <v>0.33471328535601597</v>
      </c>
      <c r="O17" s="2" t="str">
        <f t="shared" si="17"/>
        <v>OK</v>
      </c>
      <c r="P17" s="2">
        <f t="shared" si="21"/>
        <v>9.6231429433426639E-3</v>
      </c>
      <c r="Q17" s="2">
        <f t="shared" si="18"/>
        <v>1.1047060144458621E-2</v>
      </c>
      <c r="R17" s="2">
        <f t="shared" si="1"/>
        <v>2.0670203087801285E-2</v>
      </c>
      <c r="S17" s="56">
        <f t="shared" si="2"/>
        <v>0.23010749766608238</v>
      </c>
      <c r="T17" s="56">
        <f t="shared" si="3"/>
        <v>14.779401909808797</v>
      </c>
      <c r="U17" s="56">
        <f t="shared" si="4"/>
        <v>304.27580260941136</v>
      </c>
      <c r="V17" s="56">
        <f t="shared" si="5"/>
        <v>2.6004032747964345</v>
      </c>
      <c r="W17" s="56">
        <f t="shared" si="6"/>
        <v>1.0379215645574471</v>
      </c>
      <c r="X17" s="56">
        <f t="shared" si="7"/>
        <v>322.92363685624014</v>
      </c>
      <c r="Z17" s="119"/>
    </row>
    <row r="18" spans="2:26" x14ac:dyDescent="0.2">
      <c r="B18" s="119"/>
      <c r="C18" s="2">
        <f t="shared" si="19"/>
        <v>7</v>
      </c>
      <c r="D18" s="2">
        <f t="shared" si="19"/>
        <v>7</v>
      </c>
      <c r="E18" s="2">
        <f t="shared" si="8"/>
        <v>1.9164955509924708E-2</v>
      </c>
      <c r="F18" s="2">
        <f t="shared" si="20"/>
        <v>62.049164955509944</v>
      </c>
      <c r="G18" s="2">
        <f t="shared" si="9"/>
        <v>6.9627019205167071E-3</v>
      </c>
      <c r="H18" s="2">
        <f t="shared" si="10"/>
        <v>6.9855757487250671E-3</v>
      </c>
      <c r="I18" s="2">
        <f t="shared" si="11"/>
        <v>6.0157130053134032E-3</v>
      </c>
      <c r="J18" s="2">
        <f t="shared" si="12"/>
        <v>6.9046566309865984E-3</v>
      </c>
      <c r="K18" s="2">
        <f t="shared" si="13"/>
        <v>4.2022446203128505E-3</v>
      </c>
      <c r="L18" s="79">
        <f t="shared" si="14"/>
        <v>8.9300330405222075E-3</v>
      </c>
      <c r="M18" s="2">
        <f t="shared" si="15"/>
        <v>0.61790536903387827</v>
      </c>
      <c r="N18" s="2">
        <f t="shared" si="16"/>
        <v>0.34209370599974498</v>
      </c>
      <c r="O18" s="2" t="str">
        <f t="shared" si="17"/>
        <v>OK</v>
      </c>
      <c r="P18" s="2">
        <f t="shared" si="21"/>
        <v>6.0157130053134032E-3</v>
      </c>
      <c r="Q18" s="2">
        <f t="shared" si="18"/>
        <v>6.9046566309865984E-3</v>
      </c>
      <c r="R18" s="2">
        <f t="shared" si="1"/>
        <v>1.2920369636300002E-2</v>
      </c>
      <c r="S18" s="56">
        <f t="shared" si="2"/>
        <v>0.14280330212996531</v>
      </c>
      <c r="T18" s="56">
        <f t="shared" si="3"/>
        <v>9.2381934936508632</v>
      </c>
      <c r="U18" s="56">
        <f t="shared" si="4"/>
        <v>189.99408200333841</v>
      </c>
      <c r="V18" s="56">
        <f t="shared" si="5"/>
        <v>1.625434993073859</v>
      </c>
      <c r="W18" s="56">
        <f t="shared" si="6"/>
        <v>0.63445489277483424</v>
      </c>
      <c r="X18" s="56">
        <f t="shared" si="7"/>
        <v>201.63496868496793</v>
      </c>
      <c r="Z18" s="119"/>
    </row>
    <row r="19" spans="2:26" x14ac:dyDescent="0.2">
      <c r="B19" s="119"/>
      <c r="C19" s="2">
        <f t="shared" si="19"/>
        <v>8</v>
      </c>
      <c r="D19" s="2">
        <f t="shared" si="19"/>
        <v>8</v>
      </c>
      <c r="E19" s="2">
        <f t="shared" si="8"/>
        <v>2.190280629705681E-2</v>
      </c>
      <c r="F19" s="2">
        <f t="shared" si="20"/>
        <v>62.051902806297079</v>
      </c>
      <c r="G19" s="2">
        <f t="shared" si="9"/>
        <v>4.324362870157931E-3</v>
      </c>
      <c r="H19" s="2">
        <f t="shared" si="10"/>
        <v>4.3385962689200443E-3</v>
      </c>
      <c r="I19" s="2">
        <f t="shared" si="11"/>
        <v>3.736215100845867E-3</v>
      </c>
      <c r="J19" s="2">
        <f t="shared" si="12"/>
        <v>4.2885236896096322E-3</v>
      </c>
      <c r="K19" s="2">
        <f t="shared" si="13"/>
        <v>2.6267842884221239E-3</v>
      </c>
      <c r="L19" s="79">
        <f t="shared" si="14"/>
        <v>5.459608123425436E-3</v>
      </c>
      <c r="M19" s="2">
        <f t="shared" si="15"/>
        <v>0.62854865447132413</v>
      </c>
      <c r="N19" s="2">
        <f t="shared" si="16"/>
        <v>0.34667725518729497</v>
      </c>
      <c r="O19" s="2" t="str">
        <f t="shared" si="17"/>
        <v>OK</v>
      </c>
      <c r="P19" s="2">
        <f t="shared" si="21"/>
        <v>3.736215100845867E-3</v>
      </c>
      <c r="Q19" s="2">
        <f t="shared" si="18"/>
        <v>4.2885236896096322E-3</v>
      </c>
      <c r="R19" s="2">
        <f t="shared" si="1"/>
        <v>8.0247387904554997E-3</v>
      </c>
      <c r="S19" s="56">
        <f t="shared" si="2"/>
        <v>8.8443502518730302E-2</v>
      </c>
      <c r="T19" s="56">
        <f t="shared" si="3"/>
        <v>5.7377684825635864</v>
      </c>
      <c r="U19" s="56">
        <f t="shared" si="4"/>
        <v>117.98092830711596</v>
      </c>
      <c r="V19" s="56">
        <f t="shared" si="5"/>
        <v>1.0095455775471427</v>
      </c>
      <c r="W19" s="56">
        <f t="shared" si="6"/>
        <v>0.39659189186597232</v>
      </c>
      <c r="X19" s="56">
        <f t="shared" si="7"/>
        <v>125.21327776161139</v>
      </c>
      <c r="Z19" s="119"/>
    </row>
    <row r="20" spans="2:26" x14ac:dyDescent="0.2">
      <c r="B20" s="119"/>
      <c r="C20" s="2">
        <f t="shared" si="19"/>
        <v>9</v>
      </c>
      <c r="D20" s="2">
        <f t="shared" si="19"/>
        <v>9</v>
      </c>
      <c r="E20" s="2">
        <f t="shared" si="8"/>
        <v>2.4640657084188913E-2</v>
      </c>
      <c r="F20" s="2">
        <f t="shared" si="20"/>
        <v>62.054640657084214</v>
      </c>
      <c r="G20" s="2">
        <f t="shared" si="9"/>
        <v>2.6733877675375363E-3</v>
      </c>
      <c r="H20" s="2">
        <f t="shared" si="10"/>
        <v>2.6821994288197685E-3</v>
      </c>
      <c r="I20" s="2">
        <f t="shared" si="11"/>
        <v>2.3097874668212086E-3</v>
      </c>
      <c r="J20" s="2">
        <f t="shared" si="12"/>
        <v>2.6513277167455758E-3</v>
      </c>
      <c r="K20" s="2">
        <f t="shared" si="13"/>
        <v>1.6314612506606345E-3</v>
      </c>
      <c r="L20" s="79">
        <f t="shared" si="14"/>
        <v>3.3955061917501214E-3</v>
      </c>
      <c r="M20" s="2">
        <f t="shared" si="15"/>
        <v>0.63514556758421958</v>
      </c>
      <c r="N20" s="2">
        <f t="shared" si="16"/>
        <v>0.34951076259344566</v>
      </c>
      <c r="O20" s="2" t="str">
        <f t="shared" si="17"/>
        <v>OK</v>
      </c>
      <c r="P20" s="2">
        <f t="shared" si="21"/>
        <v>2.3097874668212086E-3</v>
      </c>
      <c r="Q20" s="2">
        <f t="shared" si="18"/>
        <v>2.6513277167455758E-3</v>
      </c>
      <c r="R20" s="2">
        <f t="shared" si="1"/>
        <v>4.9611151835667845E-3</v>
      </c>
      <c r="S20" s="56">
        <f t="shared" si="2"/>
        <v>5.4776901265735409E-2</v>
      </c>
      <c r="T20" s="56">
        <f t="shared" si="3"/>
        <v>3.5472469674020863</v>
      </c>
      <c r="U20" s="56">
        <f t="shared" si="4"/>
        <v>72.957229329740116</v>
      </c>
      <c r="V20" s="56">
        <f t="shared" si="5"/>
        <v>0.6241293465740565</v>
      </c>
      <c r="W20" s="56">
        <f t="shared" si="6"/>
        <v>0.24631801962474262</v>
      </c>
      <c r="X20" s="56">
        <f t="shared" si="7"/>
        <v>77.429700564606733</v>
      </c>
      <c r="Z20" s="119"/>
    </row>
    <row r="21" spans="2:26" x14ac:dyDescent="0.2">
      <c r="B21" s="119"/>
      <c r="C21" s="2">
        <f t="shared" si="19"/>
        <v>10</v>
      </c>
      <c r="D21" s="2">
        <f t="shared" si="19"/>
        <v>10</v>
      </c>
      <c r="E21" s="2">
        <f t="shared" si="8"/>
        <v>2.7378507871321012E-2</v>
      </c>
      <c r="F21" s="2">
        <f t="shared" si="20"/>
        <v>62.057378507871348</v>
      </c>
      <c r="G21" s="2">
        <f t="shared" si="9"/>
        <v>1.6556510932648856E-3</v>
      </c>
      <c r="H21" s="2">
        <f t="shared" si="10"/>
        <v>1.6611053829460865E-3</v>
      </c>
      <c r="I21" s="2">
        <f t="shared" si="11"/>
        <v>1.4304700336369273E-3</v>
      </c>
      <c r="J21" s="2">
        <f t="shared" si="12"/>
        <v>1.6419668912776514E-3</v>
      </c>
      <c r="K21" s="2">
        <f t="shared" si="13"/>
        <v>1.0086082300709066E-3</v>
      </c>
      <c r="L21" s="79">
        <f t="shared" si="14"/>
        <v>2.1095541693235361E-3</v>
      </c>
      <c r="M21" s="2">
        <f t="shared" si="15"/>
        <v>0.63922704095312555</v>
      </c>
      <c r="N21" s="2">
        <f t="shared" si="16"/>
        <v>0.35126560324635447</v>
      </c>
      <c r="O21" s="2" t="str">
        <f t="shared" si="17"/>
        <v>OK</v>
      </c>
      <c r="P21" s="2">
        <f t="shared" si="21"/>
        <v>1.4304700336369273E-3</v>
      </c>
      <c r="Q21" s="2">
        <f t="shared" si="18"/>
        <v>1.6419668912776514E-3</v>
      </c>
      <c r="R21" s="2">
        <f t="shared" si="1"/>
        <v>3.0724369249145785E-3</v>
      </c>
      <c r="S21" s="56">
        <f t="shared" si="2"/>
        <v>3.3941260207856379E-2</v>
      </c>
      <c r="T21" s="56">
        <f t="shared" si="3"/>
        <v>2.196823125683173</v>
      </c>
      <c r="U21" s="56">
        <f t="shared" si="4"/>
        <v>45.183929575226301</v>
      </c>
      <c r="V21" s="56">
        <f t="shared" si="5"/>
        <v>0.3865255175296618</v>
      </c>
      <c r="W21" s="56">
        <f t="shared" si="6"/>
        <v>0.1522796705761055</v>
      </c>
      <c r="X21" s="56">
        <f t="shared" si="7"/>
        <v>47.953499149223099</v>
      </c>
      <c r="Z21" s="119"/>
    </row>
    <row r="22" spans="2:26" x14ac:dyDescent="0.2">
      <c r="B22" s="119"/>
      <c r="C22" s="2">
        <f t="shared" si="19"/>
        <v>11</v>
      </c>
      <c r="D22" s="2">
        <f t="shared" si="19"/>
        <v>11</v>
      </c>
      <c r="E22" s="2">
        <f t="shared" si="8"/>
        <v>3.0116358658453114E-2</v>
      </c>
      <c r="F22" s="2">
        <f t="shared" si="20"/>
        <v>62.060116358658483</v>
      </c>
      <c r="G22" s="2">
        <f t="shared" si="9"/>
        <v>1.026312530558111E-3</v>
      </c>
      <c r="H22" s="2">
        <f t="shared" si="10"/>
        <v>1.0296926009828234E-3</v>
      </c>
      <c r="I22" s="2">
        <f t="shared" si="11"/>
        <v>8.8672613794895847E-4</v>
      </c>
      <c r="J22" s="2">
        <f t="shared" si="12"/>
        <v>1.0178224303657782E-3</v>
      </c>
      <c r="K22" s="2">
        <f t="shared" si="13"/>
        <v>6.2463622326997871E-4</v>
      </c>
      <c r="L22" s="79">
        <f t="shared" si="14"/>
        <v>1.3056369653857865E-3</v>
      </c>
      <c r="M22" s="2">
        <f t="shared" si="15"/>
        <v>0.64175576245949817</v>
      </c>
      <c r="N22" s="2">
        <f t="shared" si="16"/>
        <v>0.35235341065199044</v>
      </c>
      <c r="O22" s="2" t="str">
        <f t="shared" si="17"/>
        <v>OK</v>
      </c>
      <c r="P22" s="2">
        <f t="shared" si="21"/>
        <v>8.8672613794895847E-4</v>
      </c>
      <c r="Q22" s="2">
        <f t="shared" si="18"/>
        <v>1.0178224303657782E-3</v>
      </c>
      <c r="R22" s="2">
        <f t="shared" si="1"/>
        <v>1.9045485683147367E-3</v>
      </c>
      <c r="S22" s="56">
        <f t="shared" si="2"/>
        <v>2.103025199198583E-2</v>
      </c>
      <c r="T22" s="56">
        <f t="shared" si="3"/>
        <v>1.3617712718307198</v>
      </c>
      <c r="U22" s="56">
        <f t="shared" si="4"/>
        <v>28.00707432064457</v>
      </c>
      <c r="V22" s="56">
        <f t="shared" si="5"/>
        <v>0.23960020896841333</v>
      </c>
      <c r="W22" s="56">
        <f t="shared" si="6"/>
        <v>9.4307576989301395E-2</v>
      </c>
      <c r="X22" s="56">
        <f t="shared" si="7"/>
        <v>29.72378363042499</v>
      </c>
      <c r="Z22" s="119"/>
    </row>
    <row r="23" spans="2:26" x14ac:dyDescent="0.2">
      <c r="B23" s="119"/>
      <c r="C23" s="2">
        <f t="shared" si="19"/>
        <v>12</v>
      </c>
      <c r="D23" s="2">
        <f t="shared" si="19"/>
        <v>12</v>
      </c>
      <c r="E23" s="2">
        <f t="shared" si="8"/>
        <v>3.2854209445585217E-2</v>
      </c>
      <c r="F23" s="2">
        <f t="shared" si="20"/>
        <v>62.062854209445618</v>
      </c>
      <c r="G23" s="2">
        <f t="shared" si="9"/>
        <v>6.3590149653224872E-4</v>
      </c>
      <c r="H23" s="2">
        <f t="shared" si="10"/>
        <v>6.3799606901515215E-4</v>
      </c>
      <c r="I23" s="2">
        <f t="shared" si="11"/>
        <v>5.4941404508612648E-4</v>
      </c>
      <c r="J23" s="2">
        <f t="shared" si="12"/>
        <v>6.3064328360102717E-4</v>
      </c>
      <c r="K23" s="2">
        <f t="shared" si="13"/>
        <v>3.8720127632308805E-4</v>
      </c>
      <c r="L23" s="79">
        <f t="shared" si="14"/>
        <v>8.0847207932351441E-4</v>
      </c>
      <c r="M23" s="2">
        <f t="shared" si="15"/>
        <v>0.64332296011510148</v>
      </c>
      <c r="N23" s="2">
        <f t="shared" si="16"/>
        <v>0.35302741163501739</v>
      </c>
      <c r="O23" s="2" t="str">
        <f t="shared" si="17"/>
        <v>OK</v>
      </c>
      <c r="P23" s="2">
        <f t="shared" si="21"/>
        <v>5.4941404508612648E-4</v>
      </c>
      <c r="Q23" s="2">
        <f t="shared" si="18"/>
        <v>6.3064328360102717E-4</v>
      </c>
      <c r="R23" s="2">
        <f t="shared" si="1"/>
        <v>1.1800573286871536E-3</v>
      </c>
      <c r="S23" s="56">
        <f t="shared" si="2"/>
        <v>1.3029172852075733E-2</v>
      </c>
      <c r="T23" s="56">
        <f t="shared" si="3"/>
        <v>0.84375279058460173</v>
      </c>
      <c r="U23" s="56">
        <f t="shared" si="4"/>
        <v>17.353127190057865</v>
      </c>
      <c r="V23" s="56">
        <f t="shared" si="5"/>
        <v>0.14845617704314529</v>
      </c>
      <c r="W23" s="56">
        <f t="shared" si="6"/>
        <v>5.845964869925984E-2</v>
      </c>
      <c r="X23" s="56">
        <f t="shared" si="7"/>
        <v>18.416824979236946</v>
      </c>
      <c r="Z23" s="119"/>
    </row>
    <row r="24" spans="2:26" x14ac:dyDescent="0.2">
      <c r="B24" s="119"/>
      <c r="C24" s="2">
        <f t="shared" si="19"/>
        <v>13</v>
      </c>
      <c r="D24" s="2">
        <f t="shared" si="19"/>
        <v>13</v>
      </c>
      <c r="E24" s="2">
        <f t="shared" si="8"/>
        <v>3.5592060232717319E-2</v>
      </c>
      <c r="F24" s="2">
        <f t="shared" si="20"/>
        <v>62.065592060232753</v>
      </c>
      <c r="G24" s="2">
        <f t="shared" si="9"/>
        <v>3.9393249387968481E-4</v>
      </c>
      <c r="H24" s="2">
        <f t="shared" si="10"/>
        <v>3.9523012529115061E-4</v>
      </c>
      <c r="I24" s="2">
        <f t="shared" si="11"/>
        <v>3.403546814394086E-4</v>
      </c>
      <c r="J24" s="2">
        <f t="shared" si="12"/>
        <v>3.9067565946525616E-4</v>
      </c>
      <c r="K24" s="2">
        <f t="shared" si="13"/>
        <v>2.3990957101932033E-4</v>
      </c>
      <c r="L24" s="79">
        <f t="shared" si="14"/>
        <v>5.0103548961369035E-4</v>
      </c>
      <c r="M24" s="2">
        <f t="shared" si="15"/>
        <v>0.6442939163841731</v>
      </c>
      <c r="N24" s="2">
        <f t="shared" si="16"/>
        <v>0.35344494559511841</v>
      </c>
      <c r="O24" s="2" t="str">
        <f t="shared" si="17"/>
        <v>OK</v>
      </c>
      <c r="P24" s="2">
        <f t="shared" si="21"/>
        <v>3.403546814394086E-4</v>
      </c>
      <c r="Q24" s="2">
        <f t="shared" si="18"/>
        <v>3.9067565946525616E-4</v>
      </c>
      <c r="R24" s="2">
        <f t="shared" si="1"/>
        <v>7.3103034090466477E-4</v>
      </c>
      <c r="S24" s="56">
        <f t="shared" si="2"/>
        <v>8.0722627339293845E-3</v>
      </c>
      <c r="T24" s="56">
        <f t="shared" si="3"/>
        <v>0.52269400405024435</v>
      </c>
      <c r="U24" s="56">
        <f t="shared" si="4"/>
        <v>10.750182805376269</v>
      </c>
      <c r="V24" s="56">
        <f t="shared" si="5"/>
        <v>9.1966694932194712E-2</v>
      </c>
      <c r="W24" s="56">
        <f t="shared" si="6"/>
        <v>3.6221547032496984E-2</v>
      </c>
      <c r="X24" s="56">
        <f t="shared" si="7"/>
        <v>11.409137314125134</v>
      </c>
      <c r="Z24" s="119"/>
    </row>
    <row r="25" spans="2:26" x14ac:dyDescent="0.2">
      <c r="B25" s="119"/>
      <c r="C25" s="2">
        <f t="shared" si="19"/>
        <v>14</v>
      </c>
      <c r="D25" s="2">
        <f t="shared" si="19"/>
        <v>14</v>
      </c>
      <c r="E25" s="2">
        <f t="shared" si="8"/>
        <v>3.8329911019849415E-2</v>
      </c>
      <c r="F25" s="2">
        <f t="shared" si="20"/>
        <v>62.068329911019887</v>
      </c>
      <c r="G25" s="2">
        <f t="shared" si="9"/>
        <v>2.440643431908142E-4</v>
      </c>
      <c r="H25" s="2">
        <f t="shared" si="10"/>
        <v>2.4486827431081368E-4</v>
      </c>
      <c r="I25" s="2">
        <f t="shared" si="11"/>
        <v>2.1086973414668477E-4</v>
      </c>
      <c r="J25" s="2">
        <f t="shared" si="12"/>
        <v>2.4204632537607726E-4</v>
      </c>
      <c r="K25" s="2">
        <f t="shared" si="13"/>
        <v>1.4862085844456792E-4</v>
      </c>
      <c r="L25" s="79">
        <f t="shared" si="14"/>
        <v>3.1045620119926414E-4</v>
      </c>
      <c r="M25" s="2">
        <f t="shared" si="15"/>
        <v>0.64489544157318524</v>
      </c>
      <c r="N25" s="2">
        <f t="shared" si="16"/>
        <v>0.35370363269014654</v>
      </c>
      <c r="O25" s="2" t="str">
        <f t="shared" si="17"/>
        <v>OK</v>
      </c>
      <c r="P25" s="2">
        <f t="shared" si="21"/>
        <v>2.1086973414668477E-4</v>
      </c>
      <c r="Q25" s="2">
        <f t="shared" si="18"/>
        <v>2.4204632537607726E-4</v>
      </c>
      <c r="R25" s="2">
        <f t="shared" si="1"/>
        <v>4.5291605952276203E-4</v>
      </c>
      <c r="S25" s="56">
        <f t="shared" si="2"/>
        <v>5.0013048799055528E-3</v>
      </c>
      <c r="T25" s="56">
        <f t="shared" si="3"/>
        <v>0.32383951171937009</v>
      </c>
      <c r="U25" s="56">
        <f t="shared" si="4"/>
        <v>6.6603648858510631</v>
      </c>
      <c r="V25" s="56">
        <f t="shared" si="5"/>
        <v>5.6978746455359976E-2</v>
      </c>
      <c r="W25" s="56">
        <f t="shared" si="6"/>
        <v>2.2438777207960867E-2</v>
      </c>
      <c r="X25" s="56">
        <f t="shared" si="7"/>
        <v>7.0686232261136599</v>
      </c>
      <c r="Z25" s="119"/>
    </row>
    <row r="26" spans="2:26" x14ac:dyDescent="0.2">
      <c r="B26" s="119"/>
      <c r="C26" s="2">
        <f t="shared" si="19"/>
        <v>15</v>
      </c>
      <c r="D26" s="2">
        <f t="shared" si="19"/>
        <v>15</v>
      </c>
      <c r="E26" s="2">
        <f t="shared" si="8"/>
        <v>4.1067761806981518E-2</v>
      </c>
      <c r="F26" s="2">
        <f t="shared" si="20"/>
        <v>62.071067761807022</v>
      </c>
      <c r="G26" s="2">
        <f t="shared" si="9"/>
        <v>1.5121722377611272E-4</v>
      </c>
      <c r="H26" s="2">
        <f t="shared" si="10"/>
        <v>1.5171531778782957E-4</v>
      </c>
      <c r="I26" s="2">
        <f t="shared" si="11"/>
        <v>1.30650529227467E-4</v>
      </c>
      <c r="J26" s="2">
        <f t="shared" si="12"/>
        <v>1.4996686196239008E-4</v>
      </c>
      <c r="K26" s="2">
        <f t="shared" si="13"/>
        <v>9.2079329690633E-5</v>
      </c>
      <c r="L26" s="79">
        <f t="shared" si="14"/>
        <v>1.9233360787467591E-4</v>
      </c>
      <c r="M26" s="2">
        <f t="shared" si="15"/>
        <v>0.64526812721415738</v>
      </c>
      <c r="N26" s="2">
        <f t="shared" si="16"/>
        <v>0.35386390991552347</v>
      </c>
      <c r="O26" s="2" t="str">
        <f t="shared" si="17"/>
        <v>OK</v>
      </c>
      <c r="P26" s="2">
        <f t="shared" si="21"/>
        <v>1.30650529227467E-4</v>
      </c>
      <c r="Q26" s="2">
        <f t="shared" si="18"/>
        <v>1.4996686196239008E-4</v>
      </c>
      <c r="R26" s="2">
        <f t="shared" si="1"/>
        <v>2.8061739118985708E-4</v>
      </c>
      <c r="S26" s="56">
        <f t="shared" si="2"/>
        <v>3.0986274470392165E-3</v>
      </c>
      <c r="T26" s="56">
        <f t="shared" si="3"/>
        <v>0.20064424087465971</v>
      </c>
      <c r="U26" s="56">
        <f t="shared" si="4"/>
        <v>4.1266114619725016</v>
      </c>
      <c r="V26" s="56">
        <f t="shared" si="5"/>
        <v>3.5302848674370703E-2</v>
      </c>
      <c r="W26" s="56">
        <f t="shared" si="6"/>
        <v>1.3902137196691772E-2</v>
      </c>
      <c r="X26" s="56">
        <f t="shared" si="7"/>
        <v>4.3795593161652633</v>
      </c>
      <c r="Z26" s="119"/>
    </row>
    <row r="27" spans="2:26" x14ac:dyDescent="0.2">
      <c r="B27" s="119"/>
      <c r="C27" s="2">
        <f t="shared" si="19"/>
        <v>16</v>
      </c>
      <c r="D27" s="2">
        <f t="shared" si="19"/>
        <v>16</v>
      </c>
      <c r="E27" s="2">
        <f t="shared" si="8"/>
        <v>4.380561259411362E-2</v>
      </c>
      <c r="F27" s="2">
        <f t="shared" si="20"/>
        <v>62.073805612594157</v>
      </c>
      <c r="G27" s="2">
        <f t="shared" si="9"/>
        <v>9.3688391633113392E-5</v>
      </c>
      <c r="H27" s="2">
        <f t="shared" si="10"/>
        <v>9.3996994205811644E-5</v>
      </c>
      <c r="I27" s="2">
        <f t="shared" si="11"/>
        <v>8.0946056929282557E-5</v>
      </c>
      <c r="J27" s="2">
        <f t="shared" si="12"/>
        <v>9.291373593173757E-5</v>
      </c>
      <c r="K27" s="2">
        <f t="shared" si="13"/>
        <v>5.7050444315496455E-5</v>
      </c>
      <c r="L27" s="79">
        <f t="shared" si="14"/>
        <v>1.1916022153797639E-4</v>
      </c>
      <c r="M27" s="2">
        <f t="shared" si="15"/>
        <v>0.64549903264295172</v>
      </c>
      <c r="N27" s="2">
        <f t="shared" si="16"/>
        <v>0.35396321151249482</v>
      </c>
      <c r="O27" s="2" t="str">
        <f t="shared" si="17"/>
        <v>OK</v>
      </c>
      <c r="P27" s="2">
        <f t="shared" si="21"/>
        <v>8.0946056929282557E-5</v>
      </c>
      <c r="Q27" s="2">
        <f t="shared" si="18"/>
        <v>9.291373593173757E-5</v>
      </c>
      <c r="R27" s="2">
        <f t="shared" si="1"/>
        <v>1.7385979286102011E-4</v>
      </c>
      <c r="S27" s="56">
        <f t="shared" si="2"/>
        <v>1.9197883650557024E-3</v>
      </c>
      <c r="T27" s="56">
        <f t="shared" si="3"/>
        <v>0.124311490493558</v>
      </c>
      <c r="U27" s="56">
        <f t="shared" si="4"/>
        <v>2.5566911838493436</v>
      </c>
      <c r="V27" s="56">
        <f t="shared" si="5"/>
        <v>2.1872293640696008E-2</v>
      </c>
      <c r="W27" s="56">
        <f t="shared" si="6"/>
        <v>8.6134760827536565E-3</v>
      </c>
      <c r="X27" s="56">
        <f t="shared" si="7"/>
        <v>2.7134082324314068</v>
      </c>
      <c r="Z27" s="119"/>
    </row>
    <row r="28" spans="2:26" x14ac:dyDescent="0.2">
      <c r="B28" s="119"/>
      <c r="C28" s="2">
        <f t="shared" si="19"/>
        <v>17</v>
      </c>
      <c r="D28" s="2">
        <f t="shared" si="19"/>
        <v>17</v>
      </c>
      <c r="E28" s="2">
        <f t="shared" si="8"/>
        <v>4.6543463381245723E-2</v>
      </c>
      <c r="F28" s="2">
        <f t="shared" si="20"/>
        <v>62.076543463381292</v>
      </c>
      <c r="G28" s="2">
        <f t="shared" si="9"/>
        <v>5.8045407258581829E-5</v>
      </c>
      <c r="H28" s="2">
        <f t="shared" si="10"/>
        <v>5.8236604835777216E-5</v>
      </c>
      <c r="I28" s="2">
        <f t="shared" si="11"/>
        <v>5.0150789899392984E-5</v>
      </c>
      <c r="J28" s="2">
        <f t="shared" si="12"/>
        <v>5.7565465612103068E-5</v>
      </c>
      <c r="K28" s="2">
        <f t="shared" si="13"/>
        <v>3.5346269949873053E-5</v>
      </c>
      <c r="L28" s="79">
        <f t="shared" si="14"/>
        <v>7.3828401676323888E-5</v>
      </c>
      <c r="M28" s="2">
        <f t="shared" si="15"/>
        <v>0.64564209243693704</v>
      </c>
      <c r="N28" s="2">
        <f t="shared" si="16"/>
        <v>0.35402473462383088</v>
      </c>
      <c r="O28" s="2" t="str">
        <f t="shared" si="17"/>
        <v>OK</v>
      </c>
      <c r="P28" s="2">
        <f t="shared" si="21"/>
        <v>5.0150789899392984E-5</v>
      </c>
      <c r="Q28" s="2">
        <f t="shared" si="18"/>
        <v>5.7565465612103068E-5</v>
      </c>
      <c r="R28" s="2">
        <f t="shared" si="1"/>
        <v>1.0771625551149605E-4</v>
      </c>
      <c r="S28" s="56">
        <f t="shared" si="2"/>
        <v>1.1894273930584257E-3</v>
      </c>
      <c r="T28" s="56">
        <f t="shared" si="3"/>
        <v>7.701819985327478E-2</v>
      </c>
      <c r="U28" s="56">
        <f t="shared" si="4"/>
        <v>1.5840199666376829</v>
      </c>
      <c r="V28" s="56">
        <f t="shared" si="5"/>
        <v>1.3551158283810949E-2</v>
      </c>
      <c r="W28" s="56">
        <f t="shared" si="6"/>
        <v>5.3365798370318338E-3</v>
      </c>
      <c r="X28" s="56">
        <f t="shared" si="7"/>
        <v>1.6811153320048589</v>
      </c>
      <c r="Z28" s="119"/>
    </row>
    <row r="29" spans="2:26" x14ac:dyDescent="0.2">
      <c r="B29" s="119"/>
      <c r="C29" s="2">
        <f t="shared" si="19"/>
        <v>18</v>
      </c>
      <c r="D29" s="2">
        <f t="shared" si="19"/>
        <v>18</v>
      </c>
      <c r="E29" s="2">
        <f t="shared" si="8"/>
        <v>4.9281314168377825E-2</v>
      </c>
      <c r="F29" s="2">
        <f t="shared" si="20"/>
        <v>62.079281314168426</v>
      </c>
      <c r="G29" s="2">
        <f t="shared" si="9"/>
        <v>3.5962751468196025E-5</v>
      </c>
      <c r="H29" s="2">
        <f t="shared" si="10"/>
        <v>3.6081210054592795E-5</v>
      </c>
      <c r="I29" s="2">
        <f t="shared" si="11"/>
        <v>3.1071543405678549E-5</v>
      </c>
      <c r="J29" s="2">
        <f t="shared" si="12"/>
        <v>3.5665395782428232E-5</v>
      </c>
      <c r="K29" s="2">
        <f t="shared" si="13"/>
        <v>2.1899070242218632E-5</v>
      </c>
      <c r="L29" s="79">
        <f t="shared" si="14"/>
        <v>4.5741431685525184E-5</v>
      </c>
      <c r="M29" s="2">
        <f t="shared" si="15"/>
        <v>0.64573072656517494</v>
      </c>
      <c r="N29" s="2">
        <f t="shared" si="16"/>
        <v>0.3540628520321864</v>
      </c>
      <c r="O29" s="2" t="str">
        <f t="shared" si="17"/>
        <v>OK</v>
      </c>
      <c r="P29" s="2">
        <f t="shared" si="21"/>
        <v>3.1071543405678549E-5</v>
      </c>
      <c r="Q29" s="2">
        <f t="shared" si="18"/>
        <v>3.5665395782428232E-5</v>
      </c>
      <c r="R29" s="2">
        <f t="shared" si="1"/>
        <v>6.6736939188106781E-5</v>
      </c>
      <c r="S29" s="56">
        <f t="shared" si="2"/>
        <v>7.3692440741994286E-4</v>
      </c>
      <c r="T29" s="56">
        <f t="shared" si="3"/>
        <v>4.771757888888823E-2</v>
      </c>
      <c r="U29" s="56">
        <f t="shared" si="4"/>
        <v>0.98139907044139363</v>
      </c>
      <c r="V29" s="56">
        <f t="shared" si="5"/>
        <v>8.3957878150482008E-3</v>
      </c>
      <c r="W29" s="56">
        <f t="shared" si="6"/>
        <v>3.3063216251701696E-3</v>
      </c>
      <c r="X29" s="56">
        <f t="shared" si="7"/>
        <v>1.04155568317792</v>
      </c>
      <c r="Z29" s="119"/>
    </row>
    <row r="30" spans="2:26" x14ac:dyDescent="0.2">
      <c r="B30" s="119"/>
      <c r="C30" s="2">
        <f t="shared" si="19"/>
        <v>19</v>
      </c>
      <c r="D30" s="2">
        <f t="shared" si="19"/>
        <v>19</v>
      </c>
      <c r="E30" s="2">
        <f t="shared" si="8"/>
        <v>5.2019164955509921E-2</v>
      </c>
      <c r="F30" s="2">
        <f t="shared" si="20"/>
        <v>62.082019164955561</v>
      </c>
      <c r="G30" s="2">
        <f t="shared" si="9"/>
        <v>2.2281186747832353E-5</v>
      </c>
      <c r="H30" s="2">
        <f t="shared" si="10"/>
        <v>2.2354579274335771E-5</v>
      </c>
      <c r="I30" s="2">
        <f t="shared" si="11"/>
        <v>1.9250775672186499E-5</v>
      </c>
      <c r="J30" s="2">
        <f t="shared" si="12"/>
        <v>2.2096956045553346E-5</v>
      </c>
      <c r="K30" s="2">
        <f t="shared" si="13"/>
        <v>1.3567840110714533E-5</v>
      </c>
      <c r="L30" s="79">
        <f t="shared" si="14"/>
        <v>2.8339539893396287E-5</v>
      </c>
      <c r="M30" s="2">
        <f t="shared" si="15"/>
        <v>0.645785640957666</v>
      </c>
      <c r="N30" s="2">
        <f t="shared" si="16"/>
        <v>0.35408646816459</v>
      </c>
      <c r="O30" s="2" t="str">
        <f t="shared" si="17"/>
        <v>OK</v>
      </c>
      <c r="P30" s="2">
        <f t="shared" si="21"/>
        <v>1.9250775672186499E-5</v>
      </c>
      <c r="Q30" s="2">
        <f t="shared" si="18"/>
        <v>2.2096956045553346E-5</v>
      </c>
      <c r="R30" s="2">
        <f t="shared" si="1"/>
        <v>4.1347731717739848E-5</v>
      </c>
      <c r="S30" s="56">
        <f t="shared" si="2"/>
        <v>4.5657043354614706E-4</v>
      </c>
      <c r="T30" s="56">
        <f t="shared" si="3"/>
        <v>2.956404165550117E-2</v>
      </c>
      <c r="U30" s="56">
        <f t="shared" si="4"/>
        <v>0.60803836914195708</v>
      </c>
      <c r="V30" s="56">
        <f t="shared" si="5"/>
        <v>5.2017186631334242E-3</v>
      </c>
      <c r="W30" s="56">
        <f t="shared" si="6"/>
        <v>2.0484724999156804E-3</v>
      </c>
      <c r="X30" s="56">
        <f t="shared" si="7"/>
        <v>0.6453091723940535</v>
      </c>
      <c r="Z30" s="119"/>
    </row>
    <row r="31" spans="2:26" x14ac:dyDescent="0.2">
      <c r="B31" s="119"/>
      <c r="C31" s="2">
        <f t="shared" si="19"/>
        <v>20</v>
      </c>
      <c r="D31" s="2">
        <f t="shared" si="19"/>
        <v>20</v>
      </c>
      <c r="E31" s="2">
        <f t="shared" si="8"/>
        <v>5.4757015742642023E-2</v>
      </c>
      <c r="F31" s="2">
        <f t="shared" si="20"/>
        <v>62.084757015742696</v>
      </c>
      <c r="G31" s="2">
        <f t="shared" si="9"/>
        <v>1.3804574644538795E-5</v>
      </c>
      <c r="H31" s="2">
        <f t="shared" si="10"/>
        <v>1.385004588037063E-5</v>
      </c>
      <c r="I31" s="2">
        <f t="shared" si="11"/>
        <v>1.1927047369922795E-5</v>
      </c>
      <c r="J31" s="2">
        <f t="shared" si="12"/>
        <v>1.3690432489006575E-5</v>
      </c>
      <c r="K31" s="2">
        <f t="shared" si="13"/>
        <v>8.4061304032492752E-6</v>
      </c>
      <c r="L31" s="79">
        <f t="shared" si="14"/>
        <v>1.755809445750874E-5</v>
      </c>
      <c r="M31" s="2">
        <f t="shared" si="15"/>
        <v>0.64581966385423972</v>
      </c>
      <c r="N31" s="2">
        <f t="shared" si="16"/>
        <v>0.35410109982051574</v>
      </c>
      <c r="O31" s="2" t="str">
        <f t="shared" si="17"/>
        <v>OK</v>
      </c>
      <c r="P31" s="2">
        <f t="shared" si="21"/>
        <v>1.1927047369922795E-5</v>
      </c>
      <c r="Q31" s="2">
        <f t="shared" si="18"/>
        <v>1.3690432489006575E-5</v>
      </c>
      <c r="R31" s="2">
        <f t="shared" si="1"/>
        <v>2.5617479858929368E-5</v>
      </c>
      <c r="S31" s="56">
        <f t="shared" si="2"/>
        <v>2.8287368112321068E-4</v>
      </c>
      <c r="T31" s="56">
        <f t="shared" si="3"/>
        <v>1.8316754273933089E-2</v>
      </c>
      <c r="U31" s="56">
        <f t="shared" si="4"/>
        <v>0.37671742915315265</v>
      </c>
      <c r="V31" s="56">
        <f t="shared" si="5"/>
        <v>3.2227867787845204E-3</v>
      </c>
      <c r="W31" s="56">
        <f t="shared" si="6"/>
        <v>1.2691575682825757E-3</v>
      </c>
      <c r="X31" s="56">
        <f t="shared" si="7"/>
        <v>0.39980900145527604</v>
      </c>
      <c r="Z31" s="119"/>
    </row>
    <row r="32" spans="2:26" x14ac:dyDescent="0.2">
      <c r="B32" s="119"/>
      <c r="C32" s="2">
        <f t="shared" si="19"/>
        <v>21</v>
      </c>
      <c r="D32" s="2">
        <f t="shared" si="19"/>
        <v>21</v>
      </c>
      <c r="E32" s="2">
        <f t="shared" si="8"/>
        <v>5.7494866529774126E-2</v>
      </c>
      <c r="F32" s="2">
        <f t="shared" si="20"/>
        <v>62.087494866529831</v>
      </c>
      <c r="G32" s="2">
        <f t="shared" si="9"/>
        <v>8.5527879560368972E-6</v>
      </c>
      <c r="H32" s="2">
        <f t="shared" si="10"/>
        <v>8.5809602003165973E-6</v>
      </c>
      <c r="I32" s="2">
        <f t="shared" si="11"/>
        <v>7.3895436639495153E-6</v>
      </c>
      <c r="J32" s="2">
        <f t="shared" si="12"/>
        <v>8.4820698358302706E-6</v>
      </c>
      <c r="K32" s="2">
        <f t="shared" si="13"/>
        <v>5.2081182424780324E-6</v>
      </c>
      <c r="L32" s="79">
        <f t="shared" si="14"/>
        <v>1.0878339302689569E-5</v>
      </c>
      <c r="M32" s="2">
        <f t="shared" si="15"/>
        <v>0.6458407431443165</v>
      </c>
      <c r="N32" s="2">
        <f t="shared" si="16"/>
        <v>0.35411016503648229</v>
      </c>
      <c r="O32" s="2" t="str">
        <f t="shared" si="17"/>
        <v>OK</v>
      </c>
      <c r="P32" s="2">
        <f t="shared" si="21"/>
        <v>7.3895436639495153E-6</v>
      </c>
      <c r="Q32" s="2">
        <f t="shared" si="18"/>
        <v>8.4820698358302706E-6</v>
      </c>
      <c r="R32" s="2">
        <f t="shared" si="1"/>
        <v>1.5871613499779784E-5</v>
      </c>
      <c r="S32" s="56">
        <f t="shared" si="2"/>
        <v>1.7525779454864414E-4</v>
      </c>
      <c r="T32" s="56">
        <f t="shared" si="3"/>
        <v>1.1348362368477543E-2</v>
      </c>
      <c r="U32" s="56">
        <f t="shared" si="4"/>
        <v>0.2333997585926611</v>
      </c>
      <c r="V32" s="56">
        <f t="shared" si="5"/>
        <v>1.9967157748299064E-3</v>
      </c>
      <c r="W32" s="56">
        <f t="shared" si="6"/>
        <v>7.8632169224933347E-4</v>
      </c>
      <c r="X32" s="56">
        <f t="shared" si="7"/>
        <v>0.24770641622276651</v>
      </c>
      <c r="Z32" s="119"/>
    </row>
    <row r="33" spans="2:26" x14ac:dyDescent="0.2">
      <c r="B33" s="119"/>
      <c r="C33" s="2">
        <f t="shared" si="19"/>
        <v>22</v>
      </c>
      <c r="D33" s="2">
        <f t="shared" si="19"/>
        <v>22</v>
      </c>
      <c r="E33" s="2">
        <f t="shared" si="8"/>
        <v>6.0232717316906229E-2</v>
      </c>
      <c r="F33" s="2">
        <f t="shared" si="20"/>
        <v>62.090232717316965</v>
      </c>
      <c r="G33" s="2">
        <f t="shared" si="9"/>
        <v>5.2989831742959175E-6</v>
      </c>
      <c r="H33" s="2">
        <f t="shared" si="10"/>
        <v>5.316437626887087E-6</v>
      </c>
      <c r="I33" s="2">
        <f t="shared" si="11"/>
        <v>4.5782811102037548E-6</v>
      </c>
      <c r="J33" s="2">
        <f t="shared" si="12"/>
        <v>5.2551688929299485E-6</v>
      </c>
      <c r="K33" s="2">
        <f t="shared" si="13"/>
        <v>3.2267514310923218E-6</v>
      </c>
      <c r="L33" s="79">
        <f t="shared" si="14"/>
        <v>6.7398065074161009E-6</v>
      </c>
      <c r="M33" s="2">
        <f t="shared" si="15"/>
        <v>0.64585380307061424</v>
      </c>
      <c r="N33" s="2">
        <f t="shared" si="16"/>
        <v>0.3541157815006431</v>
      </c>
      <c r="O33" s="2" t="str">
        <f t="shared" si="17"/>
        <v>OK</v>
      </c>
      <c r="P33" s="2">
        <f t="shared" si="21"/>
        <v>4.5782811102037548E-6</v>
      </c>
      <c r="Q33" s="2">
        <f t="shared" si="18"/>
        <v>5.2551688929299485E-6</v>
      </c>
      <c r="R33" s="2">
        <f t="shared" si="1"/>
        <v>9.8334500031337033E-6</v>
      </c>
      <c r="S33" s="56">
        <f t="shared" si="2"/>
        <v>1.0858308061188572E-4</v>
      </c>
      <c r="T33" s="56">
        <f t="shared" si="3"/>
        <v>7.0310150867406293E-3</v>
      </c>
      <c r="U33" s="56">
        <f t="shared" si="4"/>
        <v>0.14460564044148319</v>
      </c>
      <c r="V33" s="56">
        <f t="shared" si="5"/>
        <v>1.2370893949489893E-3</v>
      </c>
      <c r="W33" s="56">
        <f t="shared" si="6"/>
        <v>4.8717493106631882E-4</v>
      </c>
      <c r="X33" s="56">
        <f t="shared" si="7"/>
        <v>0.15346950293485101</v>
      </c>
      <c r="Z33" s="119"/>
    </row>
    <row r="34" spans="2:26" x14ac:dyDescent="0.2">
      <c r="B34" s="119"/>
      <c r="C34" s="2">
        <f t="shared" si="19"/>
        <v>23</v>
      </c>
      <c r="D34" s="2">
        <f t="shared" si="19"/>
        <v>23</v>
      </c>
      <c r="E34" s="2">
        <f t="shared" si="8"/>
        <v>6.2970568104038324E-2</v>
      </c>
      <c r="F34" s="2">
        <f t="shared" si="20"/>
        <v>62.0929705681041</v>
      </c>
      <c r="G34" s="2">
        <f t="shared" si="9"/>
        <v>3.2830490666171415E-6</v>
      </c>
      <c r="H34" s="2">
        <f t="shared" si="10"/>
        <v>3.2938631836763684E-6</v>
      </c>
      <c r="I34" s="2">
        <f t="shared" si="11"/>
        <v>2.8365293927490005E-6</v>
      </c>
      <c r="J34" s="2">
        <f t="shared" si="12"/>
        <v>3.2559033991640802E-6</v>
      </c>
      <c r="K34" s="2">
        <f t="shared" si="13"/>
        <v>1.9991728557389987E-6</v>
      </c>
      <c r="L34" s="79">
        <f t="shared" si="14"/>
        <v>4.1757273959080295E-6</v>
      </c>
      <c r="M34" s="2">
        <f t="shared" si="15"/>
        <v>0.64586189450581455</v>
      </c>
      <c r="N34" s="2">
        <f t="shared" si="16"/>
        <v>0.3541192612488917</v>
      </c>
      <c r="O34" s="2" t="str">
        <f t="shared" si="17"/>
        <v>OK</v>
      </c>
      <c r="P34" s="2">
        <f t="shared" si="21"/>
        <v>2.8365293927490005E-6</v>
      </c>
      <c r="Q34" s="2">
        <f t="shared" si="18"/>
        <v>3.2559033991640802E-6</v>
      </c>
      <c r="R34" s="2">
        <f t="shared" si="1"/>
        <v>6.0924327919130807E-6</v>
      </c>
      <c r="S34" s="56">
        <f t="shared" si="2"/>
        <v>6.7273955699057427E-5</v>
      </c>
      <c r="T34" s="56">
        <f t="shared" si="3"/>
        <v>4.3561503705457716E-3</v>
      </c>
      <c r="U34" s="56">
        <f t="shared" si="4"/>
        <v>8.9592171614668106E-2</v>
      </c>
      <c r="V34" s="56">
        <f t="shared" si="5"/>
        <v>7.664536855239893E-4</v>
      </c>
      <c r="W34" s="56">
        <f t="shared" si="6"/>
        <v>3.0183511775947407E-4</v>
      </c>
      <c r="X34" s="56">
        <f t="shared" si="7"/>
        <v>9.5083884744196392E-2</v>
      </c>
      <c r="Z34" s="119"/>
    </row>
    <row r="35" spans="2:26" x14ac:dyDescent="0.2">
      <c r="B35" s="119"/>
      <c r="C35" s="2">
        <f t="shared" si="19"/>
        <v>24</v>
      </c>
      <c r="D35" s="2">
        <f t="shared" si="19"/>
        <v>24</v>
      </c>
      <c r="E35" s="2">
        <f t="shared" si="8"/>
        <v>6.5708418891170434E-2</v>
      </c>
      <c r="F35" s="2">
        <f t="shared" si="20"/>
        <v>62.095708418891235</v>
      </c>
      <c r="G35" s="2">
        <f t="shared" si="9"/>
        <v>2.0340525576583774E-6</v>
      </c>
      <c r="H35" s="2">
        <f t="shared" si="10"/>
        <v>2.0407525741877433E-6</v>
      </c>
      <c r="I35" s="2">
        <f t="shared" si="11"/>
        <v>1.7574059202884865E-6</v>
      </c>
      <c r="J35" s="2">
        <f t="shared" si="12"/>
        <v>2.017234134021545E-6</v>
      </c>
      <c r="K35" s="2">
        <f t="shared" si="13"/>
        <v>1.2386117038344101E-6</v>
      </c>
      <c r="L35" s="79">
        <f t="shared" si="14"/>
        <v>2.5871222174868345E-6</v>
      </c>
      <c r="M35" s="2">
        <f t="shared" si="15"/>
        <v>0.64586690765209953</v>
      </c>
      <c r="N35" s="2">
        <f t="shared" si="16"/>
        <v>0.35412141716879314</v>
      </c>
      <c r="O35" s="2" t="str">
        <f t="shared" si="17"/>
        <v>OK</v>
      </c>
      <c r="P35" s="2">
        <f t="shared" si="21"/>
        <v>1.7574059202884865E-6</v>
      </c>
      <c r="Q35" s="2">
        <f t="shared" si="18"/>
        <v>2.017234134021545E-6</v>
      </c>
      <c r="R35" s="2">
        <f t="shared" si="1"/>
        <v>3.7746400543100315E-6</v>
      </c>
      <c r="S35" s="56">
        <f t="shared" si="2"/>
        <v>4.1680389413694312E-5</v>
      </c>
      <c r="T35" s="56">
        <f t="shared" si="3"/>
        <v>2.6989053852322156E-3</v>
      </c>
      <c r="U35" s="56">
        <f t="shared" si="4"/>
        <v>5.5507908244326783E-2</v>
      </c>
      <c r="V35" s="56">
        <f t="shared" si="5"/>
        <v>4.7486560459465086E-4</v>
      </c>
      <c r="W35" s="56">
        <f t="shared" si="6"/>
        <v>1.8700559504491925E-4</v>
      </c>
      <c r="X35" s="56">
        <f t="shared" si="7"/>
        <v>5.8910365218612259E-2</v>
      </c>
      <c r="Z35" s="119"/>
    </row>
    <row r="36" spans="2:26" x14ac:dyDescent="0.2">
      <c r="B36" s="119"/>
      <c r="C36" s="2">
        <f t="shared" si="19"/>
        <v>25</v>
      </c>
      <c r="D36" s="2">
        <f t="shared" si="19"/>
        <v>25</v>
      </c>
      <c r="E36" s="2">
        <f t="shared" si="8"/>
        <v>6.8446269678302529E-2</v>
      </c>
      <c r="F36" s="2">
        <f t="shared" si="20"/>
        <v>62.098446269678369</v>
      </c>
      <c r="G36" s="2">
        <f t="shared" si="9"/>
        <v>1.260221748597198E-6</v>
      </c>
      <c r="H36" s="2">
        <f t="shared" si="10"/>
        <v>1.2643728244869421E-6</v>
      </c>
      <c r="I36" s="2">
        <f t="shared" si="11"/>
        <v>1.0888219940631518E-6</v>
      </c>
      <c r="J36" s="2">
        <f t="shared" si="12"/>
        <v>1.2498016917073055E-6</v>
      </c>
      <c r="K36" s="2">
        <f t="shared" si="13"/>
        <v>7.6739678683455196E-7</v>
      </c>
      <c r="L36" s="79">
        <f t="shared" si="14"/>
        <v>1.6028828145457118E-6</v>
      </c>
      <c r="M36" s="2">
        <f t="shared" si="15"/>
        <v>0.64587001360721819</v>
      </c>
      <c r="N36" s="2">
        <f t="shared" si="16"/>
        <v>0.35412275289492173</v>
      </c>
      <c r="O36" s="2" t="str">
        <f t="shared" si="17"/>
        <v>OK</v>
      </c>
      <c r="P36" s="2">
        <f t="shared" si="21"/>
        <v>1.0888219940631518E-6</v>
      </c>
      <c r="Q36" s="2">
        <f t="shared" si="18"/>
        <v>1.2498016917073055E-6</v>
      </c>
      <c r="R36" s="2">
        <f t="shared" si="1"/>
        <v>2.3386236857704571E-6</v>
      </c>
      <c r="S36" s="56">
        <f t="shared" si="2"/>
        <v>2.5823587361038458E-5</v>
      </c>
      <c r="T36" s="56">
        <f t="shared" si="3"/>
        <v>1.6721393215627346E-3</v>
      </c>
      <c r="U36" s="56">
        <f t="shared" si="4"/>
        <v>3.4390592814359341E-2</v>
      </c>
      <c r="V36" s="56">
        <f t="shared" si="5"/>
        <v>2.942087018850508E-4</v>
      </c>
      <c r="W36" s="56">
        <f t="shared" si="6"/>
        <v>1.1586156687628067E-4</v>
      </c>
      <c r="X36" s="56">
        <f t="shared" si="7"/>
        <v>3.6498625992044453E-2</v>
      </c>
      <c r="Z36" s="119"/>
    </row>
    <row r="37" spans="2:26" x14ac:dyDescent="0.2">
      <c r="B37" s="119"/>
      <c r="C37" s="2">
        <f t="shared" si="19"/>
        <v>26</v>
      </c>
      <c r="D37" s="2">
        <f t="shared" si="19"/>
        <v>26</v>
      </c>
      <c r="E37" s="2">
        <f t="shared" si="8"/>
        <v>7.1184120465434639E-2</v>
      </c>
      <c r="F37" s="2">
        <f t="shared" si="20"/>
        <v>62.101184120465504</v>
      </c>
      <c r="G37" s="2">
        <f t="shared" si="9"/>
        <v>7.8078556958583251E-7</v>
      </c>
      <c r="H37" s="2">
        <f t="shared" si="10"/>
        <v>7.8335741865812512E-7</v>
      </c>
      <c r="I37" s="2">
        <f t="shared" si="11"/>
        <v>6.7459278635367866E-7</v>
      </c>
      <c r="J37" s="2">
        <f t="shared" si="12"/>
        <v>7.7432969767045833E-7</v>
      </c>
      <c r="K37" s="2">
        <f t="shared" si="13"/>
        <v>4.7544991741423622E-7</v>
      </c>
      <c r="L37" s="79">
        <f t="shared" si="14"/>
        <v>9.9308535278170562E-7</v>
      </c>
      <c r="M37" s="2">
        <f t="shared" si="15"/>
        <v>0.64587193793911779</v>
      </c>
      <c r="N37" s="2">
        <f t="shared" si="16"/>
        <v>0.35412358046013986</v>
      </c>
      <c r="O37" s="2" t="str">
        <f t="shared" si="17"/>
        <v>OK</v>
      </c>
      <c r="P37" s="2">
        <f t="shared" si="21"/>
        <v>6.7459278635367866E-7</v>
      </c>
      <c r="Q37" s="2">
        <f t="shared" si="18"/>
        <v>7.7432969767045833E-7</v>
      </c>
      <c r="R37" s="2">
        <f t="shared" si="1"/>
        <v>1.4489224840241371E-6</v>
      </c>
      <c r="S37" s="56">
        <f t="shared" si="2"/>
        <v>1.5999314650596611E-5</v>
      </c>
      <c r="T37" s="56">
        <f t="shared" si="3"/>
        <v>1.0359940653020983E-3</v>
      </c>
      <c r="U37" s="56">
        <f t="shared" si="4"/>
        <v>2.1307106157255579E-2</v>
      </c>
      <c r="V37" s="56">
        <f t="shared" si="5"/>
        <v>1.8228054635277083E-4</v>
      </c>
      <c r="W37" s="56">
        <f t="shared" si="6"/>
        <v>7.1783428531201396E-5</v>
      </c>
      <c r="X37" s="56">
        <f t="shared" si="7"/>
        <v>2.2613163512092249E-2</v>
      </c>
      <c r="Z37" s="119"/>
    </row>
    <row r="38" spans="2:26" x14ac:dyDescent="0.2">
      <c r="B38" s="119"/>
      <c r="C38" s="2">
        <f t="shared" si="19"/>
        <v>27</v>
      </c>
      <c r="D38" s="2">
        <f t="shared" si="19"/>
        <v>27</v>
      </c>
      <c r="E38" s="2">
        <f t="shared" si="8"/>
        <v>7.3921971252566734E-2</v>
      </c>
      <c r="F38" s="2">
        <f t="shared" si="20"/>
        <v>62.103921971252639</v>
      </c>
      <c r="G38" s="2">
        <f t="shared" si="9"/>
        <v>4.8374510650662455E-7</v>
      </c>
      <c r="H38" s="2">
        <f t="shared" si="10"/>
        <v>4.8533852658613868E-7</v>
      </c>
      <c r="I38" s="2">
        <f t="shared" si="11"/>
        <v>4.1795208824940082E-7</v>
      </c>
      <c r="J38" s="2">
        <f t="shared" si="12"/>
        <v>4.7974529329121206E-7</v>
      </c>
      <c r="K38" s="2">
        <f t="shared" si="13"/>
        <v>2.9457072532754759E-7</v>
      </c>
      <c r="L38" s="79">
        <f t="shared" si="14"/>
        <v>6.1527798662711168E-7</v>
      </c>
      <c r="M38" s="2">
        <f t="shared" si="15"/>
        <v>0.64587313018213233</v>
      </c>
      <c r="N38" s="2">
        <f t="shared" si="16"/>
        <v>0.3541240931881412</v>
      </c>
      <c r="O38" s="2" t="str">
        <f t="shared" si="17"/>
        <v>OK</v>
      </c>
      <c r="P38" s="2">
        <f t="shared" si="21"/>
        <v>4.1795208824940082E-7</v>
      </c>
      <c r="Q38" s="2">
        <f t="shared" si="18"/>
        <v>4.7974529329121206E-7</v>
      </c>
      <c r="R38" s="2">
        <f t="shared" si="1"/>
        <v>8.9769738154061288E-7</v>
      </c>
      <c r="S38" s="56">
        <f t="shared" si="2"/>
        <v>9.9125681239192868E-6</v>
      </c>
      <c r="T38" s="56">
        <f t="shared" si="3"/>
        <v>6.4186260477535359E-4</v>
      </c>
      <c r="U38" s="56">
        <f t="shared" si="4"/>
        <v>1.3201074323812673E-2</v>
      </c>
      <c r="V38" s="56">
        <f t="shared" si="5"/>
        <v>1.1293410860204758E-4</v>
      </c>
      <c r="W38" s="56">
        <f t="shared" si="6"/>
        <v>4.4474288109953139E-5</v>
      </c>
      <c r="X38" s="56">
        <f t="shared" si="7"/>
        <v>1.4010257893423948E-2</v>
      </c>
      <c r="Z38" s="119"/>
    </row>
    <row r="39" spans="2:26" x14ac:dyDescent="0.2">
      <c r="B39" s="119"/>
      <c r="C39" s="2">
        <f t="shared" si="19"/>
        <v>28</v>
      </c>
      <c r="D39" s="2">
        <f t="shared" si="19"/>
        <v>28</v>
      </c>
      <c r="E39" s="2">
        <f t="shared" si="8"/>
        <v>7.665982203969883E-2</v>
      </c>
      <c r="F39" s="2">
        <f t="shared" si="20"/>
        <v>62.106659822039774</v>
      </c>
      <c r="G39" s="2">
        <f t="shared" si="9"/>
        <v>2.9971010768351524E-7</v>
      </c>
      <c r="H39" s="2">
        <f t="shared" si="10"/>
        <v>3.0069733028849306E-7</v>
      </c>
      <c r="I39" s="2">
        <f t="shared" si="11"/>
        <v>2.5894725071320651E-7</v>
      </c>
      <c r="J39" s="2">
        <f t="shared" si="12"/>
        <v>2.9723197523545143E-7</v>
      </c>
      <c r="K39" s="2">
        <f t="shared" si="13"/>
        <v>1.8250484185304401E-7</v>
      </c>
      <c r="L39" s="79">
        <f t="shared" si="14"/>
        <v>3.8120288907688618E-7</v>
      </c>
      <c r="M39" s="2">
        <f t="shared" si="15"/>
        <v>0.64587386885065479</v>
      </c>
      <c r="N39" s="2">
        <f t="shared" si="16"/>
        <v>0.3541244108549505</v>
      </c>
      <c r="O39" s="2" t="str">
        <f t="shared" si="17"/>
        <v>OK</v>
      </c>
      <c r="P39" s="2">
        <f t="shared" si="21"/>
        <v>2.5894725071320651E-7</v>
      </c>
      <c r="Q39" s="2">
        <f t="shared" si="18"/>
        <v>2.9723197523545143E-7</v>
      </c>
      <c r="R39" s="2">
        <f t="shared" si="1"/>
        <v>5.5617922594865794E-7</v>
      </c>
      <c r="S39" s="56">
        <f t="shared" si="2"/>
        <v>6.1414509896166302E-6</v>
      </c>
      <c r="T39" s="56">
        <f t="shared" si="3"/>
        <v>3.9767370834554989E-4</v>
      </c>
      <c r="U39" s="56">
        <f t="shared" si="4"/>
        <v>8.1788846122355218E-3</v>
      </c>
      <c r="V39" s="56">
        <f t="shared" si="5"/>
        <v>6.9969687332411981E-5</v>
      </c>
      <c r="W39" s="56">
        <f t="shared" si="6"/>
        <v>2.7554581022972587E-5</v>
      </c>
      <c r="X39" s="56">
        <f t="shared" si="7"/>
        <v>8.6802240399260731E-3</v>
      </c>
      <c r="Z39" s="119"/>
    </row>
    <row r="40" spans="2:26" x14ac:dyDescent="0.2">
      <c r="B40" s="119"/>
      <c r="C40" s="2">
        <f t="shared" si="19"/>
        <v>29</v>
      </c>
      <c r="D40" s="2">
        <f t="shared" si="19"/>
        <v>29</v>
      </c>
      <c r="E40" s="2">
        <f t="shared" si="8"/>
        <v>7.939767282683094E-2</v>
      </c>
      <c r="F40" s="2">
        <f t="shared" si="20"/>
        <v>62.109397672826908</v>
      </c>
      <c r="G40" s="2">
        <f t="shared" si="9"/>
        <v>1.8568900753501223E-7</v>
      </c>
      <c r="H40" s="2">
        <f t="shared" si="10"/>
        <v>1.8630065319189109E-7</v>
      </c>
      <c r="I40" s="2">
        <f t="shared" si="11"/>
        <v>1.6043388846806473E-7</v>
      </c>
      <c r="J40" s="2">
        <f t="shared" si="12"/>
        <v>1.8415365072390283E-7</v>
      </c>
      <c r="K40" s="2">
        <f t="shared" si="13"/>
        <v>1.1307307313180846E-7</v>
      </c>
      <c r="L40" s="79">
        <f t="shared" si="14"/>
        <v>2.3617884259093187E-7</v>
      </c>
      <c r="M40" s="2">
        <f t="shared" si="15"/>
        <v>0.64587432650163568</v>
      </c>
      <c r="N40" s="2">
        <f t="shared" si="16"/>
        <v>0.3541246076692488</v>
      </c>
      <c r="O40" s="2" t="str">
        <f t="shared" si="17"/>
        <v>OK</v>
      </c>
      <c r="P40" s="2">
        <f t="shared" si="21"/>
        <v>1.6043388846806473E-7</v>
      </c>
      <c r="Q40" s="2">
        <f t="shared" si="18"/>
        <v>1.8415365072390283E-7</v>
      </c>
      <c r="R40" s="2">
        <f t="shared" si="1"/>
        <v>3.4458753919196759E-7</v>
      </c>
      <c r="S40" s="56">
        <f t="shared" si="2"/>
        <v>3.8050099428405526E-6</v>
      </c>
      <c r="T40" s="56">
        <f t="shared" si="3"/>
        <v>2.4638353639764877E-4</v>
      </c>
      <c r="U40" s="56">
        <f t="shared" si="4"/>
        <v>5.0673264848728082E-3</v>
      </c>
      <c r="V40" s="56">
        <f t="shared" si="5"/>
        <v>4.335056264422621E-5</v>
      </c>
      <c r="W40" s="56">
        <f t="shared" si="6"/>
        <v>1.7071772581440442E-5</v>
      </c>
      <c r="X40" s="56">
        <f t="shared" si="7"/>
        <v>5.3779373664389644E-3</v>
      </c>
      <c r="Z40" s="119"/>
    </row>
    <row r="41" spans="2:26" x14ac:dyDescent="0.2">
      <c r="B41" s="119"/>
      <c r="C41" s="2">
        <f t="shared" si="19"/>
        <v>30</v>
      </c>
      <c r="D41" s="2">
        <f t="shared" si="19"/>
        <v>30</v>
      </c>
      <c r="E41" s="2">
        <f t="shared" si="8"/>
        <v>8.2135523613963035E-2</v>
      </c>
      <c r="F41" s="2">
        <f t="shared" si="20"/>
        <v>62.112135523614043</v>
      </c>
      <c r="G41" s="2">
        <f t="shared" si="9"/>
        <v>1.1504586153231118E-7</v>
      </c>
      <c r="H41" s="2">
        <f t="shared" si="10"/>
        <v>1.1542481396716046E-7</v>
      </c>
      <c r="I41" s="2">
        <f t="shared" si="11"/>
        <v>9.939874827703286E-8</v>
      </c>
      <c r="J41" s="2">
        <f t="shared" si="12"/>
        <v>1.1409461272346378E-7</v>
      </c>
      <c r="K41" s="2">
        <f t="shared" si="13"/>
        <v>7.0055784541301897E-8</v>
      </c>
      <c r="L41" s="79">
        <f t="shared" si="14"/>
        <v>1.4632744694360393E-7</v>
      </c>
      <c r="M41" s="2">
        <f t="shared" si="15"/>
        <v>0.64587461004481383</v>
      </c>
      <c r="N41" s="2">
        <f t="shared" si="16"/>
        <v>0.35412472960791824</v>
      </c>
      <c r="O41" s="2" t="str">
        <f t="shared" si="17"/>
        <v>OK</v>
      </c>
      <c r="P41" s="2">
        <f t="shared" si="21"/>
        <v>9.939874827703286E-8</v>
      </c>
      <c r="Q41" s="2">
        <f t="shared" si="18"/>
        <v>1.1409461272346378E-7</v>
      </c>
      <c r="R41" s="2">
        <f t="shared" si="1"/>
        <v>2.1349336100049663E-7</v>
      </c>
      <c r="S41" s="56">
        <f t="shared" si="2"/>
        <v>2.3574397467060007E-6</v>
      </c>
      <c r="T41" s="56">
        <f t="shared" si="3"/>
        <v>1.526498880489651E-4</v>
      </c>
      <c r="U41" s="56">
        <f t="shared" si="4"/>
        <v>3.1395231674235255E-3</v>
      </c>
      <c r="V41" s="56">
        <f t="shared" si="5"/>
        <v>2.6858363311336845E-5</v>
      </c>
      <c r="W41" s="56">
        <f t="shared" si="6"/>
        <v>1.0577022350045761E-5</v>
      </c>
      <c r="X41" s="56">
        <f t="shared" si="7"/>
        <v>3.3319658808805795E-3</v>
      </c>
      <c r="Z41" s="119"/>
    </row>
    <row r="42" spans="2:26" x14ac:dyDescent="0.2">
      <c r="B42" s="119"/>
      <c r="C42" s="2">
        <f t="shared" si="19"/>
        <v>31</v>
      </c>
      <c r="D42" s="2">
        <f t="shared" si="19"/>
        <v>31</v>
      </c>
      <c r="E42" s="2">
        <f t="shared" si="8"/>
        <v>8.4873374401095145E-2</v>
      </c>
      <c r="F42" s="2">
        <f t="shared" si="20"/>
        <v>62.114873374401178</v>
      </c>
      <c r="G42" s="2">
        <f t="shared" si="9"/>
        <v>7.1278049401118756E-8</v>
      </c>
      <c r="H42" s="2">
        <f t="shared" si="10"/>
        <v>7.1512833947160887E-8</v>
      </c>
      <c r="I42" s="2">
        <f t="shared" si="11"/>
        <v>6.1583691892386368E-8</v>
      </c>
      <c r="J42" s="2">
        <f t="shared" si="12"/>
        <v>7.0688691742608961E-8</v>
      </c>
      <c r="K42" s="2">
        <f t="shared" si="13"/>
        <v>4.3403905243752096E-8</v>
      </c>
      <c r="L42" s="79">
        <f t="shared" si="14"/>
        <v>9.0658932419439171E-8</v>
      </c>
      <c r="M42" s="2">
        <f t="shared" si="15"/>
        <v>0.64587478571740564</v>
      </c>
      <c r="N42" s="2">
        <f t="shared" si="16"/>
        <v>0.35412480515648981</v>
      </c>
      <c r="O42" s="2" t="str">
        <f t="shared" si="17"/>
        <v>OK</v>
      </c>
      <c r="P42" s="2">
        <f t="shared" si="21"/>
        <v>6.1583691892386368E-8</v>
      </c>
      <c r="Q42" s="2">
        <f t="shared" si="18"/>
        <v>7.0688691742608961E-8</v>
      </c>
      <c r="R42" s="2">
        <f t="shared" si="1"/>
        <v>1.3227238363499532E-7</v>
      </c>
      <c r="S42" s="56">
        <f t="shared" si="2"/>
        <v>1.4605801935878846E-6</v>
      </c>
      <c r="T42" s="56">
        <f t="shared" si="3"/>
        <v>9.4576077022858005E-5</v>
      </c>
      <c r="U42" s="56">
        <f t="shared" si="4"/>
        <v>1.9451293983259754E-3</v>
      </c>
      <c r="V42" s="56">
        <f t="shared" si="5"/>
        <v>1.6640422536216868E-5</v>
      </c>
      <c r="W42" s="56">
        <f t="shared" si="6"/>
        <v>6.5531216137016926E-6</v>
      </c>
      <c r="X42" s="56">
        <f t="shared" si="7"/>
        <v>2.06435959969234E-3</v>
      </c>
      <c r="Z42" s="119"/>
    </row>
    <row r="43" spans="2:26" x14ac:dyDescent="0.2">
      <c r="B43" s="119"/>
      <c r="C43" s="2">
        <f t="shared" si="19"/>
        <v>32</v>
      </c>
      <c r="D43" s="2">
        <f t="shared" si="19"/>
        <v>32</v>
      </c>
      <c r="E43" s="2">
        <f t="shared" si="8"/>
        <v>8.761122518822724E-2</v>
      </c>
      <c r="F43" s="2">
        <f t="shared" si="20"/>
        <v>62.117611225188313</v>
      </c>
      <c r="G43" s="2">
        <f t="shared" si="9"/>
        <v>4.416117414286506E-8</v>
      </c>
      <c r="H43" s="2">
        <f t="shared" si="10"/>
        <v>4.4306637736657038E-8</v>
      </c>
      <c r="I43" s="2">
        <f t="shared" si="11"/>
        <v>3.8154918167241699E-8</v>
      </c>
      <c r="J43" s="2">
        <f t="shared" si="12"/>
        <v>4.3796030506019164E-8</v>
      </c>
      <c r="K43" s="2">
        <f t="shared" si="13"/>
        <v>2.6891412354706979E-8</v>
      </c>
      <c r="L43" s="79">
        <f t="shared" si="14"/>
        <v>5.6168833697889961E-8</v>
      </c>
      <c r="M43" s="2">
        <f t="shared" si="15"/>
        <v>0.64587489455747604</v>
      </c>
      <c r="N43" s="2">
        <f t="shared" si="16"/>
        <v>0.3541248519635174</v>
      </c>
      <c r="O43" s="2" t="str">
        <f t="shared" si="17"/>
        <v>OK</v>
      </c>
      <c r="P43" s="2">
        <f t="shared" si="21"/>
        <v>3.8154918167241699E-8</v>
      </c>
      <c r="Q43" s="2">
        <f t="shared" si="18"/>
        <v>4.3796030506019164E-8</v>
      </c>
      <c r="R43" s="2">
        <f t="shared" ref="R43:R74" si="22">SUM(P43:Q43)</f>
        <v>8.1950948673260869E-8</v>
      </c>
      <c r="S43" s="56">
        <f t="shared" ref="S43:S74" si="23">CHG1_cost_perpatient*(G43+H43+J43+I43+K43+L43)</f>
        <v>9.0492005358120639E-7</v>
      </c>
      <c r="T43" s="56">
        <f t="shared" ref="T43:T74" si="24">treatment_cost*(I43+J43)</f>
        <v>5.8595747810868253E-5</v>
      </c>
      <c r="U43" s="56">
        <f t="shared" ref="U43:U74" si="25">ICU_Cost_without*(G44+H44+K44+L44)+ICU_cost_with*(I43+J43)</f>
        <v>1.2051283503476565E-3</v>
      </c>
      <c r="V43" s="56">
        <f t="shared" ref="V43:V74" si="26">Resource_cost*(H43+J43)</f>
        <v>1.0309774237757969E-5</v>
      </c>
      <c r="W43" s="56">
        <f t="shared" ref="W43:W74" si="27">IF(Incl_AE="Yes",Adverse_Event_Cost*K43,0)</f>
        <v>4.0600654373136599E-6</v>
      </c>
      <c r="X43" s="56">
        <f t="shared" si="7"/>
        <v>1.2789988578871775E-3</v>
      </c>
      <c r="Z43" s="119"/>
    </row>
    <row r="44" spans="2:26" x14ac:dyDescent="0.2">
      <c r="B44" s="119"/>
      <c r="C44" s="2">
        <f t="shared" si="19"/>
        <v>33</v>
      </c>
      <c r="D44" s="2">
        <f t="shared" si="19"/>
        <v>33</v>
      </c>
      <c r="E44" s="2">
        <f t="shared" si="8"/>
        <v>9.0349075975359336E-2</v>
      </c>
      <c r="F44" s="2">
        <f t="shared" si="20"/>
        <v>62.120349075975447</v>
      </c>
      <c r="G44" s="2">
        <f t="shared" ref="G44:G75" si="28">G43*tp1_1+H43*tp2_1+I43*tp3_1+J43*tp4_1+L43*tp6_1</f>
        <v>2.736058742063721E-8</v>
      </c>
      <c r="H44" s="2">
        <f t="shared" ref="H44:H75" si="29">G43*tp1_2+J43*tp4_2+H43*tp2_2+I43*tp3_2+L43*tp6_2</f>
        <v>2.7450711142472784E-8</v>
      </c>
      <c r="I44" s="2">
        <f t="shared" ref="I44:I75" si="30">G43*tp1_3+H43*tp2_3+I43*tp3_3+J43*tp4_3+L43*tp6_3</f>
        <v>2.3639339177550593E-8</v>
      </c>
      <c r="J44" s="2">
        <f t="shared" ref="J44:J75" si="31">G43*tp1_4+H43*tp2_4+I43*tp3_4+J43*tp4_4+L43*tp6_4</f>
        <v>2.7134358281771282E-8</v>
      </c>
      <c r="K44" s="2">
        <f t="shared" ref="K44:K75" si="32">G43*tp1_5+H43*tp2_5+I43*tp3_5+J43*tp4_5</f>
        <v>1.6660898466250381E-8</v>
      </c>
      <c r="L44" s="79">
        <f t="shared" ref="L44:L75" si="33">K43*tp5_6+L43*tp6_6</f>
        <v>3.4800077550417972E-8</v>
      </c>
      <c r="M44" s="2">
        <f t="shared" ref="M44:M75" si="34">G43*tp1_7+H43*tp2_7+I43*tp3_7+J43*tp4_7+L43*tp6_7+M43</f>
        <v>0.64587496199065275</v>
      </c>
      <c r="N44" s="2">
        <f t="shared" ref="N44:N75" si="35">G43*tp1_8+H43*tp2_8+J43*tp4_8+L43*tp6_8+I43*tp3_8+N43*tp8_8</f>
        <v>0.35412488096337519</v>
      </c>
      <c r="O44" s="2" t="str">
        <f t="shared" si="17"/>
        <v>OK</v>
      </c>
      <c r="P44" s="2">
        <f t="shared" si="21"/>
        <v>2.3639339177550593E-8</v>
      </c>
      <c r="Q44" s="2">
        <f t="shared" si="18"/>
        <v>2.7134358281771282E-8</v>
      </c>
      <c r="R44" s="2">
        <f t="shared" si="22"/>
        <v>5.0773697459321874E-8</v>
      </c>
      <c r="S44" s="56">
        <f t="shared" si="23"/>
        <v>5.6065412017958782E-7</v>
      </c>
      <c r="T44" s="56">
        <f t="shared" si="24"/>
        <v>3.6303701420389735E-5</v>
      </c>
      <c r="U44" s="56">
        <f t="shared" si="25"/>
        <v>7.4665178684169302E-4</v>
      </c>
      <c r="V44" s="56">
        <f t="shared" si="26"/>
        <v>6.3875448240250411E-6</v>
      </c>
      <c r="W44" s="56">
        <f t="shared" si="27"/>
        <v>2.5154624504344828E-6</v>
      </c>
      <c r="X44" s="56">
        <f t="shared" si="7"/>
        <v>7.9241914965672196E-4</v>
      </c>
      <c r="Z44" s="119"/>
    </row>
    <row r="45" spans="2:26" x14ac:dyDescent="0.2">
      <c r="B45" s="119"/>
      <c r="C45" s="2">
        <f t="shared" si="19"/>
        <v>34</v>
      </c>
      <c r="D45" s="2">
        <f t="shared" si="19"/>
        <v>34</v>
      </c>
      <c r="E45" s="2">
        <f t="shared" si="8"/>
        <v>9.3086926762491445E-2</v>
      </c>
      <c r="F45" s="2">
        <f t="shared" si="20"/>
        <v>62.123086926762582</v>
      </c>
      <c r="G45" s="2">
        <f t="shared" si="28"/>
        <v>1.6951581531927156E-8</v>
      </c>
      <c r="H45" s="2">
        <f t="shared" si="29"/>
        <v>1.7007418769452543E-8</v>
      </c>
      <c r="I45" s="2">
        <f t="shared" si="30"/>
        <v>1.4646037355428749E-8</v>
      </c>
      <c r="J45" s="2">
        <f t="shared" si="31"/>
        <v>1.6811418543700614E-8</v>
      </c>
      <c r="K45" s="2">
        <f t="shared" si="32"/>
        <v>1.0322460347575772E-8</v>
      </c>
      <c r="L45" s="79">
        <f t="shared" si="33"/>
        <v>2.156080725928934E-8</v>
      </c>
      <c r="M45" s="2">
        <f t="shared" si="34"/>
        <v>0.64587500376968976</v>
      </c>
      <c r="N45" s="2">
        <f t="shared" si="35"/>
        <v>0.35412489893058646</v>
      </c>
      <c r="O45" s="2" t="str">
        <f t="shared" si="17"/>
        <v>OK</v>
      </c>
      <c r="P45" s="2">
        <f t="shared" si="21"/>
        <v>1.4646037355428749E-8</v>
      </c>
      <c r="Q45" s="2">
        <f t="shared" si="18"/>
        <v>1.6811418543700614E-8</v>
      </c>
      <c r="R45" s="2">
        <f t="shared" si="22"/>
        <v>3.1457455899129362E-8</v>
      </c>
      <c r="S45" s="56">
        <f t="shared" si="23"/>
        <v>3.4736001399232583E-7</v>
      </c>
      <c r="T45" s="56">
        <f t="shared" si="24"/>
        <v>2.2492395542436486E-5</v>
      </c>
      <c r="U45" s="56">
        <f t="shared" si="25"/>
        <v>4.6259710897248905E-4</v>
      </c>
      <c r="V45" s="56">
        <f t="shared" si="26"/>
        <v>3.957480342385183E-6</v>
      </c>
      <c r="W45" s="56">
        <f t="shared" si="27"/>
        <v>1.5584850632769903E-6</v>
      </c>
      <c r="X45" s="56">
        <f t="shared" si="7"/>
        <v>4.9095282993458006E-4</v>
      </c>
      <c r="Z45" s="119"/>
    </row>
    <row r="46" spans="2:26" x14ac:dyDescent="0.2">
      <c r="B46" s="119"/>
      <c r="C46" s="2">
        <f t="shared" si="19"/>
        <v>35</v>
      </c>
      <c r="D46" s="2">
        <f t="shared" si="19"/>
        <v>35</v>
      </c>
      <c r="E46" s="2">
        <f t="shared" si="8"/>
        <v>9.5824777549623541E-2</v>
      </c>
      <c r="F46" s="2">
        <f t="shared" si="20"/>
        <v>62.125824777549717</v>
      </c>
      <c r="G46" s="2">
        <f t="shared" si="28"/>
        <v>1.0502556542761E-8</v>
      </c>
      <c r="H46" s="2">
        <f t="shared" si="29"/>
        <v>1.0537151175904851E-8</v>
      </c>
      <c r="I46" s="2">
        <f t="shared" si="30"/>
        <v>9.0741288748232448E-9</v>
      </c>
      <c r="J46" s="2">
        <f t="shared" si="31"/>
        <v>1.0415716874954512E-8</v>
      </c>
      <c r="K46" s="2">
        <f t="shared" si="32"/>
        <v>6.3954046564078682E-9</v>
      </c>
      <c r="L46" s="79">
        <f t="shared" si="33"/>
        <v>1.3358257866180473E-8</v>
      </c>
      <c r="M46" s="2">
        <f t="shared" si="34"/>
        <v>0.64587502965439536</v>
      </c>
      <c r="N46" s="2">
        <f t="shared" si="35"/>
        <v>0.35412491006238861</v>
      </c>
      <c r="O46" s="2" t="str">
        <f t="shared" si="17"/>
        <v>OK</v>
      </c>
      <c r="P46" s="2">
        <f t="shared" si="21"/>
        <v>9.0741288748232448E-9</v>
      </c>
      <c r="Q46" s="2">
        <f t="shared" si="18"/>
        <v>1.0415716874954512E-8</v>
      </c>
      <c r="R46" s="2">
        <f t="shared" si="22"/>
        <v>1.9489845749777757E-8</v>
      </c>
      <c r="S46" s="56">
        <f t="shared" si="23"/>
        <v>2.1521108108798407E-7</v>
      </c>
      <c r="T46" s="56">
        <f t="shared" si="24"/>
        <v>1.3935434609548594E-5</v>
      </c>
      <c r="U46" s="56">
        <f t="shared" si="25"/>
        <v>2.8660761146980895E-4</v>
      </c>
      <c r="V46" s="56">
        <f t="shared" si="26"/>
        <v>2.451904619311563E-6</v>
      </c>
      <c r="W46" s="56">
        <f t="shared" si="27"/>
        <v>9.655781950244601E-7</v>
      </c>
      <c r="X46" s="56">
        <f t="shared" si="7"/>
        <v>3.041757399747816E-4</v>
      </c>
      <c r="Z46" s="119"/>
    </row>
    <row r="47" spans="2:26" x14ac:dyDescent="0.2">
      <c r="B47" s="119"/>
      <c r="C47" s="2">
        <f t="shared" si="19"/>
        <v>36</v>
      </c>
      <c r="D47" s="2">
        <f t="shared" si="19"/>
        <v>36</v>
      </c>
      <c r="E47" s="2">
        <f t="shared" si="8"/>
        <v>9.856262833675565E-2</v>
      </c>
      <c r="F47" s="2">
        <f t="shared" si="20"/>
        <v>62.128562628336852</v>
      </c>
      <c r="G47" s="2">
        <f t="shared" si="28"/>
        <v>6.5069854234782084E-9</v>
      </c>
      <c r="H47" s="2">
        <f t="shared" si="29"/>
        <v>6.5284189451813828E-9</v>
      </c>
      <c r="I47" s="2">
        <f t="shared" si="30"/>
        <v>5.6219858544760888E-9</v>
      </c>
      <c r="J47" s="2">
        <f t="shared" si="31"/>
        <v>6.4531828611885189E-9</v>
      </c>
      <c r="K47" s="2">
        <f t="shared" si="32"/>
        <v>3.9623499961497721E-9</v>
      </c>
      <c r="L47" s="79">
        <f t="shared" si="33"/>
        <v>8.2762695792905878E-9</v>
      </c>
      <c r="M47" s="2">
        <f t="shared" si="34"/>
        <v>0.64587504569157661</v>
      </c>
      <c r="N47" s="2">
        <f t="shared" si="35"/>
        <v>0.35412491695923076</v>
      </c>
      <c r="O47" s="2" t="str">
        <f t="shared" si="17"/>
        <v>OK</v>
      </c>
      <c r="P47" s="2">
        <f t="shared" si="21"/>
        <v>5.6219858544760888E-9</v>
      </c>
      <c r="Q47" s="2">
        <f t="shared" si="18"/>
        <v>6.4531828611885189E-9</v>
      </c>
      <c r="R47" s="2">
        <f t="shared" si="22"/>
        <v>1.2075168715664607E-8</v>
      </c>
      <c r="S47" s="56">
        <f t="shared" si="23"/>
        <v>1.3333661779535948E-7</v>
      </c>
      <c r="T47" s="56">
        <f t="shared" si="24"/>
        <v>8.63386638338735E-6</v>
      </c>
      <c r="U47" s="56">
        <f t="shared" si="25"/>
        <v>1.7757119826014161E-4</v>
      </c>
      <c r="V47" s="56">
        <f t="shared" si="26"/>
        <v>1.5191070433814058E-6</v>
      </c>
      <c r="W47" s="56">
        <f t="shared" si="27"/>
        <v>5.9823560241869264E-7</v>
      </c>
      <c r="X47" s="56">
        <f t="shared" si="7"/>
        <v>1.8845574390712443E-4</v>
      </c>
      <c r="Z47" s="119"/>
    </row>
    <row r="48" spans="2:26" x14ac:dyDescent="0.2">
      <c r="B48" s="119"/>
      <c r="C48" s="2">
        <f t="shared" si="19"/>
        <v>37</v>
      </c>
      <c r="D48" s="2">
        <f t="shared" si="19"/>
        <v>37</v>
      </c>
      <c r="E48" s="2">
        <f t="shared" si="8"/>
        <v>0.10130047912388775</v>
      </c>
      <c r="F48" s="2">
        <f t="shared" si="20"/>
        <v>62.131300479123986</v>
      </c>
      <c r="G48" s="2">
        <f t="shared" si="28"/>
        <v>4.0314812045199806E-9</v>
      </c>
      <c r="H48" s="2">
        <f t="shared" si="29"/>
        <v>4.0447606010868026E-9</v>
      </c>
      <c r="I48" s="2">
        <f t="shared" si="30"/>
        <v>3.4831690605328487E-9</v>
      </c>
      <c r="J48" s="2">
        <f t="shared" si="31"/>
        <v>3.9981471789289299E-9</v>
      </c>
      <c r="K48" s="2">
        <f t="shared" si="32"/>
        <v>2.4549216719463604E-9</v>
      </c>
      <c r="L48" s="79">
        <f t="shared" si="33"/>
        <v>5.1276625166857992E-9</v>
      </c>
      <c r="M48" s="2">
        <f t="shared" si="34"/>
        <v>0.64587505562760539</v>
      </c>
      <c r="N48" s="2">
        <f t="shared" si="35"/>
        <v>0.35412492123225237</v>
      </c>
      <c r="O48" s="2" t="str">
        <f t="shared" si="17"/>
        <v>OK</v>
      </c>
      <c r="P48" s="2">
        <f t="shared" si="21"/>
        <v>3.4831690605328487E-9</v>
      </c>
      <c r="Q48" s="2">
        <f t="shared" si="18"/>
        <v>3.9981471789289299E-9</v>
      </c>
      <c r="R48" s="2">
        <f t="shared" si="22"/>
        <v>7.4813162394617786E-9</v>
      </c>
      <c r="S48" s="56">
        <f t="shared" si="23"/>
        <v>8.2610307774311581E-8</v>
      </c>
      <c r="T48" s="56">
        <f t="shared" si="24"/>
        <v>5.3492159243775659E-6</v>
      </c>
      <c r="U48" s="56">
        <f t="shared" si="25"/>
        <v>1.100163749663305E-4</v>
      </c>
      <c r="V48" s="56">
        <f t="shared" si="26"/>
        <v>9.4118106841744084E-7</v>
      </c>
      <c r="W48" s="56">
        <f t="shared" si="27"/>
        <v>3.7064407403046153E-7</v>
      </c>
      <c r="X48" s="56">
        <f t="shared" si="7"/>
        <v>1.1676002634093028E-4</v>
      </c>
      <c r="Z48" s="119"/>
    </row>
    <row r="49" spans="2:26" x14ac:dyDescent="0.2">
      <c r="B49" s="119"/>
      <c r="C49" s="2">
        <f t="shared" si="19"/>
        <v>38</v>
      </c>
      <c r="D49" s="2">
        <f t="shared" si="19"/>
        <v>38</v>
      </c>
      <c r="E49" s="2">
        <f t="shared" si="8"/>
        <v>0.10403832991101984</v>
      </c>
      <c r="F49" s="2">
        <f t="shared" si="20"/>
        <v>62.134038329911121</v>
      </c>
      <c r="G49" s="2">
        <f t="shared" si="28"/>
        <v>2.4977527448847432E-9</v>
      </c>
      <c r="H49" s="2">
        <f t="shared" si="29"/>
        <v>2.5059801549959431E-9</v>
      </c>
      <c r="I49" s="2">
        <f t="shared" si="30"/>
        <v>2.1580393509187738E-9</v>
      </c>
      <c r="J49" s="2">
        <f t="shared" si="31"/>
        <v>2.4771002477765213E-9</v>
      </c>
      <c r="K49" s="2">
        <f t="shared" si="32"/>
        <v>1.5209762946925601E-9</v>
      </c>
      <c r="L49" s="79">
        <f t="shared" si="33"/>
        <v>3.1769050818064127E-9</v>
      </c>
      <c r="M49" s="2">
        <f t="shared" si="34"/>
        <v>0.64587506178359178</v>
      </c>
      <c r="N49" s="2">
        <f t="shared" si="35"/>
        <v>0.35412492387965439</v>
      </c>
      <c r="O49" s="2" t="str">
        <f t="shared" si="17"/>
        <v>OK</v>
      </c>
      <c r="P49" s="2">
        <f t="shared" si="21"/>
        <v>2.1580393509187738E-9</v>
      </c>
      <c r="Q49" s="2">
        <f t="shared" si="18"/>
        <v>2.4771002477765213E-9</v>
      </c>
      <c r="R49" s="2">
        <f t="shared" si="22"/>
        <v>4.6351395986952951E-9</v>
      </c>
      <c r="S49" s="56">
        <f t="shared" si="23"/>
        <v>5.1182211334017582E-8</v>
      </c>
      <c r="T49" s="56">
        <f t="shared" si="24"/>
        <v>3.3141711644631229E-6</v>
      </c>
      <c r="U49" s="56">
        <f t="shared" si="25"/>
        <v>6.8161970405888878E-5</v>
      </c>
      <c r="V49" s="56">
        <f t="shared" si="26"/>
        <v>5.8312006873243376E-7</v>
      </c>
      <c r="W49" s="56">
        <f t="shared" si="27"/>
        <v>2.2963700097268275E-7</v>
      </c>
      <c r="X49" s="56">
        <f t="shared" si="7"/>
        <v>7.2340080851391136E-5</v>
      </c>
      <c r="Z49" s="119"/>
    </row>
    <row r="50" spans="2:26" x14ac:dyDescent="0.2">
      <c r="B50" s="119"/>
      <c r="C50" s="2">
        <f t="shared" si="19"/>
        <v>39</v>
      </c>
      <c r="D50" s="2">
        <f t="shared" si="19"/>
        <v>39</v>
      </c>
      <c r="E50" s="2">
        <f t="shared" si="8"/>
        <v>0.10677618069815195</v>
      </c>
      <c r="F50" s="2">
        <f t="shared" si="20"/>
        <v>62.136776180698256</v>
      </c>
      <c r="G50" s="2">
        <f t="shared" si="28"/>
        <v>1.5475128018897005E-9</v>
      </c>
      <c r="H50" s="2">
        <f t="shared" si="29"/>
        <v>1.5526101929343336E-9</v>
      </c>
      <c r="I50" s="2">
        <f t="shared" si="30"/>
        <v>1.3370392763526501E-9</v>
      </c>
      <c r="J50" s="2">
        <f t="shared" si="31"/>
        <v>1.5347172985191674E-9</v>
      </c>
      <c r="K50" s="2">
        <f t="shared" si="32"/>
        <v>9.4233918558608193E-10</v>
      </c>
      <c r="L50" s="79">
        <f t="shared" si="33"/>
        <v>1.9682898135328775E-9</v>
      </c>
      <c r="M50" s="2">
        <f t="shared" si="34"/>
        <v>0.64587506559760732</v>
      </c>
      <c r="N50" s="2">
        <f t="shared" si="35"/>
        <v>0.35412492551988423</v>
      </c>
      <c r="O50" s="2" t="str">
        <f t="shared" si="17"/>
        <v>OK</v>
      </c>
      <c r="P50" s="2">
        <f t="shared" si="21"/>
        <v>1.3370392763526501E-9</v>
      </c>
      <c r="Q50" s="2">
        <f t="shared" si="18"/>
        <v>1.5347172985191674E-9</v>
      </c>
      <c r="R50" s="2">
        <f t="shared" si="22"/>
        <v>2.8717565748718174E-9</v>
      </c>
      <c r="S50" s="56">
        <f t="shared" si="23"/>
        <v>3.1710555590668876E-8</v>
      </c>
      <c r="T50" s="56">
        <f t="shared" si="24"/>
        <v>2.0533346685990982E-6</v>
      </c>
      <c r="U50" s="56">
        <f t="shared" si="25"/>
        <v>4.2230569867718837E-5</v>
      </c>
      <c r="V50" s="56">
        <f t="shared" si="26"/>
        <v>3.6127906304988871E-7</v>
      </c>
      <c r="W50" s="56">
        <f t="shared" si="27"/>
        <v>1.4227437023978668E-7</v>
      </c>
      <c r="X50" s="56">
        <f t="shared" si="7"/>
        <v>4.4819168525198278E-5</v>
      </c>
      <c r="Z50" s="119"/>
    </row>
    <row r="51" spans="2:26" x14ac:dyDescent="0.2">
      <c r="B51" s="119"/>
      <c r="C51" s="2">
        <f t="shared" si="19"/>
        <v>40</v>
      </c>
      <c r="D51" s="2">
        <f t="shared" si="19"/>
        <v>40</v>
      </c>
      <c r="E51" s="2">
        <f t="shared" si="8"/>
        <v>0.10951403148528405</v>
      </c>
      <c r="F51" s="2">
        <f t="shared" si="20"/>
        <v>62.13951403148539</v>
      </c>
      <c r="G51" s="2">
        <f t="shared" si="28"/>
        <v>9.5878019828681231E-10</v>
      </c>
      <c r="H51" s="2">
        <f t="shared" si="29"/>
        <v>9.6193834831345564E-10</v>
      </c>
      <c r="I51" s="2">
        <f t="shared" si="30"/>
        <v>8.2837879010323025E-10</v>
      </c>
      <c r="J51" s="2">
        <f t="shared" si="31"/>
        <v>9.5085259003452759E-10</v>
      </c>
      <c r="K51" s="2">
        <f t="shared" si="32"/>
        <v>5.8383759417470759E-10</v>
      </c>
      <c r="L51" s="79">
        <f t="shared" si="33"/>
        <v>1.219477664677285E-9</v>
      </c>
      <c r="M51" s="2">
        <f t="shared" si="34"/>
        <v>0.64587506796062655</v>
      </c>
      <c r="N51" s="2">
        <f t="shared" si="35"/>
        <v>0.35412492653610839</v>
      </c>
      <c r="O51" s="2" t="str">
        <f t="shared" si="17"/>
        <v>OK</v>
      </c>
      <c r="P51" s="2">
        <f t="shared" si="21"/>
        <v>8.2837879010323025E-10</v>
      </c>
      <c r="Q51" s="2">
        <f t="shared" si="18"/>
        <v>9.5085259003452759E-10</v>
      </c>
      <c r="R51" s="2">
        <f t="shared" si="22"/>
        <v>1.7792313801377578E-9</v>
      </c>
      <c r="S51" s="56">
        <f t="shared" si="23"/>
        <v>1.9646656712556365E-8</v>
      </c>
      <c r="T51" s="56">
        <f t="shared" si="24"/>
        <v>1.2721682291122983E-6</v>
      </c>
      <c r="U51" s="56">
        <f t="shared" si="25"/>
        <v>2.616445828564043E-5</v>
      </c>
      <c r="V51" s="56">
        <f t="shared" si="26"/>
        <v>2.2383479560548098E-7</v>
      </c>
      <c r="W51" s="56">
        <f t="shared" si="27"/>
        <v>8.8147799968497368E-8</v>
      </c>
      <c r="X51" s="56">
        <f t="shared" si="7"/>
        <v>2.7768255767039264E-5</v>
      </c>
      <c r="Z51" s="119"/>
    </row>
    <row r="52" spans="2:26" x14ac:dyDescent="0.2">
      <c r="B52" s="119"/>
      <c r="C52" s="2">
        <f t="shared" si="19"/>
        <v>41</v>
      </c>
      <c r="D52" s="2">
        <f t="shared" si="19"/>
        <v>41</v>
      </c>
      <c r="E52" s="2">
        <f t="shared" si="8"/>
        <v>0.11225188227241616</v>
      </c>
      <c r="F52" s="2">
        <f t="shared" si="20"/>
        <v>62.142251882272525</v>
      </c>
      <c r="G52" s="2">
        <f t="shared" si="28"/>
        <v>5.9402382164762326E-10</v>
      </c>
      <c r="H52" s="2">
        <f t="shared" si="29"/>
        <v>5.9598049154080138E-10</v>
      </c>
      <c r="I52" s="2">
        <f t="shared" si="30"/>
        <v>5.1323205834686411E-10</v>
      </c>
      <c r="J52" s="2">
        <f t="shared" si="31"/>
        <v>5.8911217645619865E-10</v>
      </c>
      <c r="K52" s="2">
        <f t="shared" si="32"/>
        <v>3.6172361458113476E-10</v>
      </c>
      <c r="L52" s="79">
        <f t="shared" si="33"/>
        <v>7.5554207740207553E-10</v>
      </c>
      <c r="M52" s="2">
        <f t="shared" si="34"/>
        <v>0.64587506942466355</v>
      </c>
      <c r="N52" s="2">
        <f t="shared" si="35"/>
        <v>0.3541249271657223</v>
      </c>
      <c r="O52" s="2" t="str">
        <f t="shared" si="17"/>
        <v>OK</v>
      </c>
      <c r="P52" s="2">
        <f t="shared" si="21"/>
        <v>5.1323205834686411E-10</v>
      </c>
      <c r="Q52" s="2">
        <f t="shared" si="18"/>
        <v>5.8911217645619865E-10</v>
      </c>
      <c r="R52" s="2">
        <f t="shared" si="22"/>
        <v>1.1023442348030629E-9</v>
      </c>
      <c r="S52" s="56">
        <f t="shared" si="23"/>
        <v>1.217232283670967E-8</v>
      </c>
      <c r="T52" s="56">
        <f t="shared" si="24"/>
        <v>7.8818715132653798E-7</v>
      </c>
      <c r="U52" s="56">
        <f t="shared" si="25"/>
        <v>1.6210505317013746E-5</v>
      </c>
      <c r="V52" s="56">
        <f t="shared" si="26"/>
        <v>1.3867954400900895E-7</v>
      </c>
      <c r="W52" s="56">
        <f t="shared" si="27"/>
        <v>5.4613031329459732E-8</v>
      </c>
      <c r="X52" s="56">
        <f t="shared" si="7"/>
        <v>1.7204157366515462E-5</v>
      </c>
      <c r="Z52" s="119"/>
    </row>
    <row r="53" spans="2:26" x14ac:dyDescent="0.2">
      <c r="B53" s="119"/>
      <c r="C53" s="2">
        <f t="shared" si="19"/>
        <v>42</v>
      </c>
      <c r="D53" s="2">
        <f t="shared" si="19"/>
        <v>42</v>
      </c>
      <c r="E53" s="2">
        <f t="shared" si="8"/>
        <v>0.11498973305954825</v>
      </c>
      <c r="F53" s="2">
        <f t="shared" si="20"/>
        <v>62.14498973305966</v>
      </c>
      <c r="G53" s="2">
        <f t="shared" si="28"/>
        <v>3.6803461451891672E-10</v>
      </c>
      <c r="H53" s="2">
        <f t="shared" si="29"/>
        <v>3.6924689292195983E-10</v>
      </c>
      <c r="I53" s="2">
        <f t="shared" si="30"/>
        <v>3.1797910432030912E-10</v>
      </c>
      <c r="J53" s="2">
        <f t="shared" si="31"/>
        <v>3.6499154557318685E-10</v>
      </c>
      <c r="K53" s="2">
        <f t="shared" si="32"/>
        <v>2.2411022286194513E-10</v>
      </c>
      <c r="L53" s="79">
        <f t="shared" si="33"/>
        <v>4.6810519557645891E-10</v>
      </c>
      <c r="M53" s="2">
        <f t="shared" si="34"/>
        <v>0.64587507033172531</v>
      </c>
      <c r="N53" s="2">
        <f t="shared" si="35"/>
        <v>0.35412492755580716</v>
      </c>
      <c r="O53" s="2" t="str">
        <f t="shared" si="17"/>
        <v>OK</v>
      </c>
      <c r="P53" s="2">
        <f t="shared" si="21"/>
        <v>3.1797910432030912E-10</v>
      </c>
      <c r="Q53" s="2">
        <f t="shared" si="18"/>
        <v>3.6499154557318685E-10</v>
      </c>
      <c r="R53" s="2">
        <f t="shared" si="22"/>
        <v>6.8297064989349592E-10</v>
      </c>
      <c r="S53" s="56">
        <f t="shared" si="23"/>
        <v>7.5415092455088118E-9</v>
      </c>
      <c r="T53" s="56">
        <f t="shared" si="24"/>
        <v>4.8833084438034852E-7</v>
      </c>
      <c r="U53" s="56">
        <f t="shared" si="25"/>
        <v>1.0043413846529266E-5</v>
      </c>
      <c r="V53" s="56">
        <f t="shared" si="26"/>
        <v>8.5920582072702067E-8</v>
      </c>
      <c r="W53" s="56">
        <f t="shared" si="27"/>
        <v>3.3836161447696479E-8</v>
      </c>
      <c r="X53" s="56">
        <f t="shared" si="7"/>
        <v>1.0659042943675521E-5</v>
      </c>
      <c r="Z53" s="119"/>
    </row>
    <row r="54" spans="2:26" x14ac:dyDescent="0.2">
      <c r="B54" s="119"/>
      <c r="C54" s="2">
        <f t="shared" si="19"/>
        <v>43</v>
      </c>
      <c r="D54" s="2">
        <f t="shared" si="19"/>
        <v>43</v>
      </c>
      <c r="E54" s="2">
        <f t="shared" si="8"/>
        <v>0.11772758384668035</v>
      </c>
      <c r="F54" s="2">
        <f t="shared" si="20"/>
        <v>62.147727583846795</v>
      </c>
      <c r="G54" s="2">
        <f t="shared" si="28"/>
        <v>2.2802027889788622E-10</v>
      </c>
      <c r="H54" s="2">
        <f t="shared" si="29"/>
        <v>2.28771360586018E-10</v>
      </c>
      <c r="I54" s="2">
        <f t="shared" si="30"/>
        <v>1.970077845682915E-10</v>
      </c>
      <c r="J54" s="2">
        <f t="shared" si="31"/>
        <v>2.2613490887469481E-10</v>
      </c>
      <c r="K54" s="2">
        <f t="shared" si="32"/>
        <v>1.3885018828364775E-10</v>
      </c>
      <c r="L54" s="79">
        <f t="shared" si="33"/>
        <v>2.9002021287703245E-10</v>
      </c>
      <c r="M54" s="2">
        <f t="shared" si="34"/>
        <v>0.64587507089370633</v>
      </c>
      <c r="N54" s="2">
        <f t="shared" si="35"/>
        <v>0.35412492779748894</v>
      </c>
      <c r="O54" s="2" t="str">
        <f t="shared" si="17"/>
        <v>OK</v>
      </c>
      <c r="P54" s="2">
        <f t="shared" si="21"/>
        <v>1.970077845682915E-10</v>
      </c>
      <c r="Q54" s="2">
        <f t="shared" si="18"/>
        <v>2.2613490887469481E-10</v>
      </c>
      <c r="R54" s="2">
        <f t="shared" si="22"/>
        <v>4.2314269344298631E-10</v>
      </c>
      <c r="S54" s="56">
        <f t="shared" si="23"/>
        <v>4.6724329006926275E-9</v>
      </c>
      <c r="T54" s="56">
        <f t="shared" si="24"/>
        <v>3.0255125723866966E-7</v>
      </c>
      <c r="U54" s="56">
        <f t="shared" si="25"/>
        <v>6.2225180350659377E-6</v>
      </c>
      <c r="V54" s="56">
        <f t="shared" si="26"/>
        <v>5.3233131652292618E-8</v>
      </c>
      <c r="W54" s="56">
        <f t="shared" si="27"/>
        <v>2.0963601427065142E-8</v>
      </c>
      <c r="X54" s="56">
        <f t="shared" si="7"/>
        <v>6.6039384582846572E-6</v>
      </c>
      <c r="Z54" s="119"/>
    </row>
    <row r="55" spans="2:26" x14ac:dyDescent="0.2">
      <c r="B55" s="119"/>
      <c r="C55" s="2">
        <f t="shared" si="19"/>
        <v>44</v>
      </c>
      <c r="D55" s="2">
        <f t="shared" si="19"/>
        <v>44</v>
      </c>
      <c r="E55" s="2">
        <f t="shared" si="8"/>
        <v>0.12046543463381246</v>
      </c>
      <c r="F55" s="2">
        <f t="shared" si="20"/>
        <v>62.150465434633929</v>
      </c>
      <c r="G55" s="2">
        <f t="shared" si="28"/>
        <v>1.4127271060259818E-10</v>
      </c>
      <c r="H55" s="2">
        <f t="shared" si="29"/>
        <v>1.4173805231027085E-10</v>
      </c>
      <c r="I55" s="2">
        <f t="shared" si="30"/>
        <v>1.2205854615342835E-10</v>
      </c>
      <c r="J55" s="2">
        <f t="shared" si="31"/>
        <v>1.401046068929083E-10</v>
      </c>
      <c r="K55" s="2">
        <f t="shared" si="32"/>
        <v>8.6026306788689429E-11</v>
      </c>
      <c r="L55" s="79">
        <f t="shared" si="33"/>
        <v>1.7968551657210825E-10</v>
      </c>
      <c r="M55" s="2">
        <f t="shared" si="34"/>
        <v>0.64587507124188848</v>
      </c>
      <c r="N55" s="2">
        <f t="shared" si="35"/>
        <v>0.35412492794722583</v>
      </c>
      <c r="O55" s="2" t="str">
        <f t="shared" si="17"/>
        <v>OK</v>
      </c>
      <c r="P55" s="2">
        <f t="shared" si="21"/>
        <v>1.2205854615342835E-10</v>
      </c>
      <c r="Q55" s="2">
        <f t="shared" si="18"/>
        <v>1.401046068929083E-10</v>
      </c>
      <c r="R55" s="2">
        <f t="shared" si="22"/>
        <v>2.6216315304633665E-10</v>
      </c>
      <c r="S55" s="56">
        <f t="shared" si="23"/>
        <v>2.8948620893724119E-9</v>
      </c>
      <c r="T55" s="56">
        <f t="shared" si="24"/>
        <v>1.8744927605966116E-7</v>
      </c>
      <c r="U55" s="56">
        <f t="shared" si="25"/>
        <v>3.8552360072368463E-6</v>
      </c>
      <c r="V55" s="56">
        <f t="shared" si="26"/>
        <v>3.2981227979956027E-8</v>
      </c>
      <c r="W55" s="56">
        <f t="shared" si="27"/>
        <v>1.2988251798956332E-8</v>
      </c>
      <c r="X55" s="56">
        <f t="shared" si="7"/>
        <v>4.0915496251647924E-6</v>
      </c>
      <c r="Z55" s="119"/>
    </row>
    <row r="56" spans="2:26" x14ac:dyDescent="0.2">
      <c r="B56" s="119"/>
      <c r="C56" s="2">
        <f t="shared" si="19"/>
        <v>45</v>
      </c>
      <c r="D56" s="2">
        <f t="shared" si="19"/>
        <v>45</v>
      </c>
      <c r="E56" s="2">
        <f t="shared" si="8"/>
        <v>0.12320328542094455</v>
      </c>
      <c r="F56" s="2">
        <f t="shared" si="20"/>
        <v>62.153203285421064</v>
      </c>
      <c r="G56" s="2">
        <f t="shared" si="28"/>
        <v>8.7527209673940743E-11</v>
      </c>
      <c r="H56" s="2">
        <f t="shared" si="29"/>
        <v>8.7815517734597082E-11</v>
      </c>
      <c r="I56" s="2">
        <f t="shared" si="30"/>
        <v>7.5622842628964284E-11</v>
      </c>
      <c r="J56" s="2">
        <f t="shared" si="31"/>
        <v>8.6803496949219701E-11</v>
      </c>
      <c r="K56" s="2">
        <f t="shared" si="32"/>
        <v>5.3298634673679058E-11</v>
      </c>
      <c r="L56" s="79">
        <f t="shared" si="33"/>
        <v>1.1132632634634257E-10</v>
      </c>
      <c r="M56" s="2">
        <f t="shared" si="34"/>
        <v>0.64587507145760892</v>
      </c>
      <c r="N56" s="2">
        <f t="shared" si="35"/>
        <v>0.35412492803999712</v>
      </c>
      <c r="O56" s="2" t="str">
        <f t="shared" si="17"/>
        <v>OK</v>
      </c>
      <c r="P56" s="2">
        <f t="shared" si="21"/>
        <v>7.5622842628964284E-11</v>
      </c>
      <c r="Q56" s="2">
        <f t="shared" si="18"/>
        <v>8.6803496949219701E-11</v>
      </c>
      <c r="R56" s="2">
        <f t="shared" si="22"/>
        <v>1.6242633957818399E-10</v>
      </c>
      <c r="S56" s="56">
        <f t="shared" si="23"/>
        <v>1.7935466799840741E-9</v>
      </c>
      <c r="T56" s="56">
        <f t="shared" si="24"/>
        <v>1.1613645706179733E-7</v>
      </c>
      <c r="U56" s="56">
        <f t="shared" si="25"/>
        <v>2.3885579097945016E-6</v>
      </c>
      <c r="V56" s="56">
        <f t="shared" si="26"/>
        <v>2.0433917098300241E-8</v>
      </c>
      <c r="W56" s="56">
        <f t="shared" si="27"/>
        <v>8.0470278630320657E-9</v>
      </c>
      <c r="X56" s="56">
        <f t="shared" si="7"/>
        <v>2.5349688584976151E-6</v>
      </c>
      <c r="Z56" s="119"/>
    </row>
    <row r="57" spans="2:26" x14ac:dyDescent="0.2">
      <c r="B57" s="119"/>
      <c r="C57" s="2">
        <f t="shared" si="19"/>
        <v>46</v>
      </c>
      <c r="D57" s="2">
        <f t="shared" si="19"/>
        <v>46</v>
      </c>
      <c r="E57" s="2">
        <f t="shared" si="8"/>
        <v>0.12594113620807665</v>
      </c>
      <c r="F57" s="2">
        <f t="shared" si="20"/>
        <v>62.155941136208199</v>
      </c>
      <c r="G57" s="2">
        <f t="shared" si="28"/>
        <v>5.4228537136634287E-11</v>
      </c>
      <c r="H57" s="2">
        <f t="shared" si="29"/>
        <v>5.4407161868672876E-11</v>
      </c>
      <c r="I57" s="2">
        <f t="shared" si="30"/>
        <v>4.6853043129782257E-11</v>
      </c>
      <c r="J57" s="2">
        <f t="shared" si="31"/>
        <v>5.3780152199938716E-11</v>
      </c>
      <c r="K57" s="2">
        <f t="shared" si="32"/>
        <v>3.3021811165928597E-11</v>
      </c>
      <c r="L57" s="79">
        <f t="shared" si="33"/>
        <v>6.8973566563439088E-11</v>
      </c>
      <c r="M57" s="2">
        <f t="shared" si="34"/>
        <v>0.64587507159126112</v>
      </c>
      <c r="N57" s="2">
        <f t="shared" si="35"/>
        <v>0.3541249280974747</v>
      </c>
      <c r="O57" s="2" t="str">
        <f t="shared" si="17"/>
        <v>OK</v>
      </c>
      <c r="P57" s="2">
        <f t="shared" si="21"/>
        <v>4.6853043129782257E-11</v>
      </c>
      <c r="Q57" s="2">
        <f t="shared" si="18"/>
        <v>5.3780152199938716E-11</v>
      </c>
      <c r="R57" s="2">
        <f t="shared" si="22"/>
        <v>1.0063319532972097E-10</v>
      </c>
      <c r="S57" s="56">
        <f t="shared" si="23"/>
        <v>1.111213451269893E-9</v>
      </c>
      <c r="T57" s="56">
        <f t="shared" si="24"/>
        <v>7.1953740992703788E-8</v>
      </c>
      <c r="U57" s="56">
        <f t="shared" si="25"/>
        <v>1.4798598264107205E-6</v>
      </c>
      <c r="V57" s="56">
        <f t="shared" si="26"/>
        <v>1.2660079492308927E-8</v>
      </c>
      <c r="W57" s="56">
        <f t="shared" si="27"/>
        <v>4.9856330498319E-9</v>
      </c>
      <c r="X57" s="56">
        <f t="shared" si="7"/>
        <v>1.570570493396835E-6</v>
      </c>
      <c r="Z57" s="119"/>
    </row>
    <row r="58" spans="2:26" x14ac:dyDescent="0.2">
      <c r="B58" s="119"/>
      <c r="C58" s="2">
        <f t="shared" si="19"/>
        <v>47</v>
      </c>
      <c r="D58" s="2">
        <f t="shared" si="19"/>
        <v>47</v>
      </c>
      <c r="E58" s="2">
        <f t="shared" si="8"/>
        <v>0.12867898699520877</v>
      </c>
      <c r="F58" s="2">
        <f t="shared" si="20"/>
        <v>62.158678986995334</v>
      </c>
      <c r="G58" s="2">
        <f t="shared" si="28"/>
        <v>3.3597943438780186E-11</v>
      </c>
      <c r="H58" s="2">
        <f t="shared" si="29"/>
        <v>3.3708612543290203E-11</v>
      </c>
      <c r="I58" s="2">
        <f t="shared" si="30"/>
        <v>2.9028367279074531E-11</v>
      </c>
      <c r="J58" s="2">
        <f t="shared" si="31"/>
        <v>3.3320141149849886E-11</v>
      </c>
      <c r="K58" s="2">
        <f t="shared" si="32"/>
        <v>2.0459060900048678E-11</v>
      </c>
      <c r="L58" s="79">
        <f t="shared" si="33"/>
        <v>4.2733404043898893E-11</v>
      </c>
      <c r="M58" s="2">
        <f t="shared" si="34"/>
        <v>0.64587507167406699</v>
      </c>
      <c r="N58" s="2">
        <f t="shared" si="35"/>
        <v>0.3541249281330856</v>
      </c>
      <c r="O58" s="2" t="str">
        <f t="shared" si="17"/>
        <v>OK</v>
      </c>
      <c r="P58" s="2">
        <f t="shared" si="21"/>
        <v>2.9028367279074531E-11</v>
      </c>
      <c r="Q58" s="2">
        <f t="shared" si="18"/>
        <v>3.3320141149849886E-11</v>
      </c>
      <c r="R58" s="2">
        <f t="shared" si="22"/>
        <v>6.2348508428924414E-11</v>
      </c>
      <c r="S58" s="56">
        <f t="shared" si="23"/>
        <v>6.8846567979714439E-10</v>
      </c>
      <c r="T58" s="56">
        <f t="shared" si="24"/>
        <v>4.4579807011765242E-8</v>
      </c>
      <c r="U58" s="56">
        <f t="shared" si="25"/>
        <v>9.1686498235781762E-7</v>
      </c>
      <c r="V58" s="56">
        <f t="shared" si="26"/>
        <v>7.8437047571712522E-9</v>
      </c>
      <c r="W58" s="56">
        <f t="shared" si="27"/>
        <v>3.0889090146893499E-9</v>
      </c>
      <c r="X58" s="56">
        <f t="shared" si="7"/>
        <v>9.730658688212407E-7</v>
      </c>
      <c r="Z58" s="119"/>
    </row>
    <row r="59" spans="2:26" x14ac:dyDescent="0.2">
      <c r="B59" s="119"/>
      <c r="C59" s="2">
        <f t="shared" si="19"/>
        <v>48</v>
      </c>
      <c r="D59" s="2">
        <f t="shared" si="19"/>
        <v>48</v>
      </c>
      <c r="E59" s="2">
        <f t="shared" si="8"/>
        <v>0.13141683778234087</v>
      </c>
      <c r="F59" s="2">
        <f t="shared" si="20"/>
        <v>62.161416837782468</v>
      </c>
      <c r="G59" s="2">
        <f t="shared" si="28"/>
        <v>2.081601058998313E-11</v>
      </c>
      <c r="H59" s="2">
        <f t="shared" si="29"/>
        <v>2.0884576966840755E-11</v>
      </c>
      <c r="I59" s="2">
        <f t="shared" si="30"/>
        <v>1.7984874633537193E-11</v>
      </c>
      <c r="J59" s="2">
        <f t="shared" si="31"/>
        <v>2.0643894835373576E-11</v>
      </c>
      <c r="K59" s="2">
        <f t="shared" si="32"/>
        <v>1.2675657637573097E-11</v>
      </c>
      <c r="L59" s="79">
        <f t="shared" si="33"/>
        <v>2.6475995256813405E-11</v>
      </c>
      <c r="M59" s="2">
        <f t="shared" si="34"/>
        <v>0.64587507172537029</v>
      </c>
      <c r="N59" s="2">
        <f t="shared" si="35"/>
        <v>0.35412492815514879</v>
      </c>
      <c r="O59" s="2" t="str">
        <f t="shared" si="17"/>
        <v>OK</v>
      </c>
      <c r="P59" s="2">
        <f t="shared" si="21"/>
        <v>1.7984874633537193E-11</v>
      </c>
      <c r="Q59" s="2">
        <f t="shared" si="18"/>
        <v>2.0643894835373576E-11</v>
      </c>
      <c r="R59" s="2">
        <f t="shared" si="22"/>
        <v>3.8628769468910769E-11</v>
      </c>
      <c r="S59" s="56">
        <f t="shared" si="23"/>
        <v>4.2654720541483252E-10</v>
      </c>
      <c r="T59" s="56">
        <f t="shared" si="24"/>
        <v>2.761995645796589E-8</v>
      </c>
      <c r="U59" s="56">
        <f t="shared" si="25"/>
        <v>5.6805474469356229E-7</v>
      </c>
      <c r="V59" s="56">
        <f t="shared" si="26"/>
        <v>4.8596617702951211E-9</v>
      </c>
      <c r="W59" s="56">
        <f t="shared" si="27"/>
        <v>1.9137707901207863E-9</v>
      </c>
      <c r="X59" s="56">
        <f t="shared" si="7"/>
        <v>6.0287468091735895E-7</v>
      </c>
      <c r="Z59" s="119"/>
    </row>
    <row r="60" spans="2:26" x14ac:dyDescent="0.2">
      <c r="B60" s="119"/>
      <c r="C60" s="2">
        <f t="shared" si="19"/>
        <v>49</v>
      </c>
      <c r="D60" s="2">
        <f t="shared" si="19"/>
        <v>49</v>
      </c>
      <c r="E60" s="2">
        <f t="shared" si="8"/>
        <v>0.13415468856947296</v>
      </c>
      <c r="F60" s="2">
        <f t="shared" si="20"/>
        <v>62.164154688569603</v>
      </c>
      <c r="G60" s="2">
        <f t="shared" si="28"/>
        <v>1.2896810117911842E-11</v>
      </c>
      <c r="H60" s="2">
        <f t="shared" si="29"/>
        <v>1.2939291242668355E-11</v>
      </c>
      <c r="I60" s="2">
        <f t="shared" si="30"/>
        <v>1.1142745731249483E-11</v>
      </c>
      <c r="J60" s="2">
        <f t="shared" si="31"/>
        <v>1.2790173728777381E-11</v>
      </c>
      <c r="K60" s="2">
        <f t="shared" si="32"/>
        <v>7.853356384729415E-12</v>
      </c>
      <c r="L60" s="79">
        <f t="shared" si="33"/>
        <v>1.6403521800386138E-11</v>
      </c>
      <c r="M60" s="2">
        <f t="shared" si="34"/>
        <v>0.64587507175715586</v>
      </c>
      <c r="N60" s="2">
        <f t="shared" si="35"/>
        <v>0.3541249281688183</v>
      </c>
      <c r="O60" s="2" t="str">
        <f t="shared" si="17"/>
        <v>OK</v>
      </c>
      <c r="P60" s="2">
        <f t="shared" si="21"/>
        <v>1.1142745731249483E-11</v>
      </c>
      <c r="Q60" s="2">
        <f t="shared" si="18"/>
        <v>1.2790173728777381E-11</v>
      </c>
      <c r="R60" s="2">
        <f t="shared" si="22"/>
        <v>2.3932919460026862E-11</v>
      </c>
      <c r="S60" s="56">
        <f t="shared" si="23"/>
        <v>2.6427245945042974E-10</v>
      </c>
      <c r="T60" s="56">
        <f t="shared" si="24"/>
        <v>1.7112276743113807E-8</v>
      </c>
      <c r="U60" s="56">
        <f t="shared" si="25"/>
        <v>3.5194516005949537E-7</v>
      </c>
      <c r="V60" s="56">
        <f t="shared" si="26"/>
        <v>3.01086199095858E-9</v>
      </c>
      <c r="W60" s="56">
        <f t="shared" si="27"/>
        <v>1.1856997469664473E-9</v>
      </c>
      <c r="X60" s="56">
        <f t="shared" si="7"/>
        <v>3.7351827099998459E-7</v>
      </c>
      <c r="Z60" s="119"/>
    </row>
    <row r="61" spans="2:26" x14ac:dyDescent="0.2">
      <c r="B61" s="119"/>
      <c r="C61" s="2">
        <f t="shared" si="19"/>
        <v>50</v>
      </c>
      <c r="D61" s="2">
        <f t="shared" si="19"/>
        <v>50</v>
      </c>
      <c r="E61" s="2">
        <f t="shared" si="8"/>
        <v>0.13689253935660506</v>
      </c>
      <c r="F61" s="2">
        <f t="shared" si="20"/>
        <v>62.166892539356738</v>
      </c>
      <c r="G61" s="2">
        <f t="shared" si="28"/>
        <v>7.9903740680028194E-12</v>
      </c>
      <c r="H61" s="2">
        <f t="shared" si="29"/>
        <v>8.0166937605880875E-12</v>
      </c>
      <c r="I61" s="2">
        <f t="shared" si="30"/>
        <v>6.9036223471778017E-12</v>
      </c>
      <c r="J61" s="2">
        <f t="shared" si="31"/>
        <v>7.9243062085356133E-12</v>
      </c>
      <c r="K61" s="2">
        <f t="shared" si="32"/>
        <v>4.8656415524156383E-12</v>
      </c>
      <c r="L61" s="79">
        <f t="shared" si="33"/>
        <v>1.0162999533945699E-11</v>
      </c>
      <c r="M61" s="2">
        <f t="shared" si="34"/>
        <v>0.645875071776849</v>
      </c>
      <c r="N61" s="2">
        <f t="shared" si="35"/>
        <v>0.35412492817728741</v>
      </c>
      <c r="O61" s="2" t="str">
        <f t="shared" si="17"/>
        <v>OK</v>
      </c>
      <c r="P61" s="2">
        <f t="shared" si="21"/>
        <v>6.9036223471778017E-12</v>
      </c>
      <c r="Q61" s="2">
        <f t="shared" si="18"/>
        <v>7.9243062085356133E-12</v>
      </c>
      <c r="R61" s="2">
        <f t="shared" si="22"/>
        <v>1.4827928555713414E-11</v>
      </c>
      <c r="S61" s="56">
        <f t="shared" si="23"/>
        <v>1.6373318577027644E-10</v>
      </c>
      <c r="T61" s="56">
        <f t="shared" si="24"/>
        <v>1.0602117196620648E-8</v>
      </c>
      <c r="U61" s="56">
        <f t="shared" si="25"/>
        <v>2.1805186356840154E-7</v>
      </c>
      <c r="V61" s="56">
        <f t="shared" si="26"/>
        <v>1.8654158163868556E-9</v>
      </c>
      <c r="W61" s="56">
        <f t="shared" si="27"/>
        <v>7.3461456158371313E-10</v>
      </c>
      <c r="X61" s="56">
        <f t="shared" si="7"/>
        <v>2.3141774432876304E-7</v>
      </c>
      <c r="Z61" s="119"/>
    </row>
    <row r="62" spans="2:26" x14ac:dyDescent="0.2">
      <c r="B62" s="119"/>
      <c r="C62" s="2">
        <f t="shared" si="19"/>
        <v>51</v>
      </c>
      <c r="D62" s="2">
        <f t="shared" si="19"/>
        <v>51</v>
      </c>
      <c r="E62" s="2">
        <f t="shared" si="8"/>
        <v>0.13963039014373715</v>
      </c>
      <c r="F62" s="2">
        <f t="shared" si="20"/>
        <v>62.169630390143872</v>
      </c>
      <c r="G62" s="2">
        <f t="shared" si="28"/>
        <v>4.9505325086502398E-12</v>
      </c>
      <c r="H62" s="2">
        <f t="shared" si="29"/>
        <v>4.9668391912475949E-12</v>
      </c>
      <c r="I62" s="2">
        <f t="shared" si="30"/>
        <v>4.277222388624712E-12</v>
      </c>
      <c r="J62" s="2">
        <f t="shared" si="31"/>
        <v>4.9095993704409678E-12</v>
      </c>
      <c r="K62" s="2">
        <f t="shared" si="32"/>
        <v>3.0145668370058771E-12</v>
      </c>
      <c r="L62" s="79">
        <f t="shared" si="33"/>
        <v>6.2966087882755273E-12</v>
      </c>
      <c r="M62" s="2">
        <f t="shared" si="34"/>
        <v>0.64587507178905013</v>
      </c>
      <c r="N62" s="2">
        <f t="shared" si="35"/>
        <v>0.35412492818253455</v>
      </c>
      <c r="O62" s="2" t="str">
        <f t="shared" si="17"/>
        <v>OK</v>
      </c>
      <c r="P62" s="2">
        <f t="shared" si="21"/>
        <v>4.277222388624712E-12</v>
      </c>
      <c r="Q62" s="2">
        <f t="shared" si="18"/>
        <v>4.9095993704409678E-12</v>
      </c>
      <c r="R62" s="2">
        <f t="shared" si="22"/>
        <v>9.1868217590656798E-12</v>
      </c>
      <c r="S62" s="56">
        <f t="shared" si="23"/>
        <v>1.0144286763075437E-10</v>
      </c>
      <c r="T62" s="56">
        <f t="shared" si="24"/>
        <v>6.5686694259495513E-9</v>
      </c>
      <c r="U62" s="56">
        <f t="shared" si="25"/>
        <v>1.350966588022269E-7</v>
      </c>
      <c r="V62" s="56">
        <f t="shared" si="26"/>
        <v>1.1557408404887955E-9</v>
      </c>
      <c r="W62" s="56">
        <f t="shared" si="27"/>
        <v>4.5513930105114739E-10</v>
      </c>
      <c r="X62" s="56">
        <f t="shared" si="7"/>
        <v>1.4337765123734713E-7</v>
      </c>
      <c r="Z62" s="119"/>
    </row>
    <row r="63" spans="2:26" x14ac:dyDescent="0.2">
      <c r="B63" s="119"/>
      <c r="C63" s="2">
        <f t="shared" si="19"/>
        <v>52</v>
      </c>
      <c r="D63" s="2">
        <f t="shared" si="19"/>
        <v>52</v>
      </c>
      <c r="E63" s="2">
        <f t="shared" si="8"/>
        <v>0.14236824093086928</v>
      </c>
      <c r="F63" s="2">
        <f t="shared" si="20"/>
        <v>62.172368240931007</v>
      </c>
      <c r="G63" s="2">
        <f t="shared" si="28"/>
        <v>3.0671620515669446E-12</v>
      </c>
      <c r="H63" s="2">
        <f t="shared" si="29"/>
        <v>3.0772650532060933E-12</v>
      </c>
      <c r="I63" s="2">
        <f t="shared" si="30"/>
        <v>2.65000465577775E-12</v>
      </c>
      <c r="J63" s="2">
        <f t="shared" si="31"/>
        <v>3.0418014326946015E-12</v>
      </c>
      <c r="K63" s="2">
        <f t="shared" si="32"/>
        <v>1.8677111983853194E-12</v>
      </c>
      <c r="L63" s="79">
        <f t="shared" si="33"/>
        <v>3.9011398259108135E-12</v>
      </c>
      <c r="M63" s="2">
        <f t="shared" si="34"/>
        <v>0.64587507179660952</v>
      </c>
      <c r="N63" s="2">
        <f t="shared" si="35"/>
        <v>0.35412492818578545</v>
      </c>
      <c r="O63" s="2" t="str">
        <f t="shared" si="17"/>
        <v>OK</v>
      </c>
      <c r="P63" s="2">
        <f t="shared" si="21"/>
        <v>2.65000465577775E-12</v>
      </c>
      <c r="Q63" s="2">
        <f t="shared" si="18"/>
        <v>3.0418014326946015E-12</v>
      </c>
      <c r="R63" s="2">
        <f t="shared" si="22"/>
        <v>5.6918060884723519E-12</v>
      </c>
      <c r="S63" s="56">
        <f t="shared" si="23"/>
        <v>6.2850150656623251E-11</v>
      </c>
      <c r="T63" s="56">
        <f t="shared" si="24"/>
        <v>4.0696982713186165E-9</v>
      </c>
      <c r="U63" s="56">
        <f t="shared" si="25"/>
        <v>8.3700762382157099E-8</v>
      </c>
      <c r="V63" s="56">
        <f t="shared" si="26"/>
        <v>7.1605316018009928E-10</v>
      </c>
      <c r="W63" s="56">
        <f t="shared" si="27"/>
        <v>2.8198703673221557E-10</v>
      </c>
      <c r="X63" s="56">
        <f t="shared" si="7"/>
        <v>8.8831351001044642E-8</v>
      </c>
      <c r="Z63" s="119"/>
    </row>
    <row r="64" spans="2:26" x14ac:dyDescent="0.2">
      <c r="B64" s="119"/>
      <c r="C64" s="2">
        <f t="shared" si="19"/>
        <v>53</v>
      </c>
      <c r="D64" s="2">
        <f t="shared" si="19"/>
        <v>53</v>
      </c>
      <c r="E64" s="2">
        <f t="shared" si="8"/>
        <v>0.14510609171800137</v>
      </c>
      <c r="F64" s="2">
        <f t="shared" si="20"/>
        <v>62.175106091718142</v>
      </c>
      <c r="G64" s="2">
        <f t="shared" si="28"/>
        <v>1.9002971971468367E-12</v>
      </c>
      <c r="H64" s="2">
        <f t="shared" si="29"/>
        <v>1.906556633516635E-12</v>
      </c>
      <c r="I64" s="2">
        <f t="shared" si="30"/>
        <v>1.6418423073628763E-12</v>
      </c>
      <c r="J64" s="2">
        <f t="shared" si="31"/>
        <v>1.8845847202216599E-12</v>
      </c>
      <c r="K64" s="2">
        <f t="shared" si="32"/>
        <v>1.1571629720569122E-12</v>
      </c>
      <c r="L64" s="79">
        <f t="shared" si="33"/>
        <v>2.4169981736272837E-12</v>
      </c>
      <c r="M64" s="2">
        <f t="shared" si="34"/>
        <v>0.645875071801293</v>
      </c>
      <c r="N64" s="2">
        <f t="shared" si="35"/>
        <v>0.35412492818779961</v>
      </c>
      <c r="O64" s="2" t="str">
        <f t="shared" si="17"/>
        <v>OK</v>
      </c>
      <c r="P64" s="2">
        <f t="shared" si="21"/>
        <v>1.6418423073628763E-12</v>
      </c>
      <c r="Q64" s="2">
        <f t="shared" si="18"/>
        <v>1.8845847202216599E-12</v>
      </c>
      <c r="R64" s="2">
        <f t="shared" si="22"/>
        <v>3.5264270275845362E-12</v>
      </c>
      <c r="S64" s="56">
        <f t="shared" si="23"/>
        <v>3.8939567954037974E-11</v>
      </c>
      <c r="T64" s="56">
        <f t="shared" si="24"/>
        <v>2.521430588993219E-9</v>
      </c>
      <c r="U64" s="56">
        <f t="shared" si="25"/>
        <v>5.1857815622297554E-8</v>
      </c>
      <c r="V64" s="56">
        <f t="shared" si="26"/>
        <v>4.4363936121445523E-10</v>
      </c>
      <c r="W64" s="56">
        <f t="shared" si="27"/>
        <v>1.7470846552115263E-10</v>
      </c>
      <c r="X64" s="56">
        <f t="shared" si="7"/>
        <v>5.5036533605980419E-8</v>
      </c>
      <c r="Z64" s="119"/>
    </row>
    <row r="65" spans="2:26" x14ac:dyDescent="0.2">
      <c r="B65" s="119"/>
      <c r="C65" s="2">
        <f t="shared" si="19"/>
        <v>54</v>
      </c>
      <c r="D65" s="2">
        <f t="shared" si="19"/>
        <v>54</v>
      </c>
      <c r="E65" s="2">
        <f t="shared" si="8"/>
        <v>0.14784394250513347</v>
      </c>
      <c r="F65" s="2">
        <f t="shared" si="20"/>
        <v>62.177843942505277</v>
      </c>
      <c r="G65" s="2">
        <f t="shared" si="28"/>
        <v>1.1773520201318603E-12</v>
      </c>
      <c r="H65" s="2">
        <f t="shared" si="29"/>
        <v>1.1812301293381116E-12</v>
      </c>
      <c r="I65" s="2">
        <f t="shared" si="30"/>
        <v>1.0172231797289082E-12</v>
      </c>
      <c r="J65" s="2">
        <f t="shared" si="31"/>
        <v>1.1676171657749167E-12</v>
      </c>
      <c r="K65" s="2">
        <f t="shared" si="32"/>
        <v>7.169342589246163E-13</v>
      </c>
      <c r="L65" s="79">
        <f t="shared" si="33"/>
        <v>1.4974803344696056E-12</v>
      </c>
      <c r="M65" s="2">
        <f t="shared" si="34"/>
        <v>0.64587507180419468</v>
      </c>
      <c r="N65" s="2">
        <f t="shared" si="35"/>
        <v>0.35412492818904751</v>
      </c>
      <c r="O65" s="2" t="str">
        <f t="shared" si="17"/>
        <v>OK</v>
      </c>
      <c r="P65" s="2">
        <f t="shared" si="21"/>
        <v>1.0172231797289082E-12</v>
      </c>
      <c r="Q65" s="2">
        <f t="shared" si="18"/>
        <v>1.1676171657749167E-12</v>
      </c>
      <c r="R65" s="2">
        <f t="shared" si="22"/>
        <v>2.1848403455038251E-12</v>
      </c>
      <c r="S65" s="56">
        <f t="shared" si="23"/>
        <v>2.4125478405473831E-11</v>
      </c>
      <c r="T65" s="56">
        <f t="shared" si="24"/>
        <v>1.5621826954386898E-9</v>
      </c>
      <c r="U65" s="56">
        <f t="shared" si="25"/>
        <v>3.2129134366038762E-8</v>
      </c>
      <c r="V65" s="56">
        <f t="shared" si="26"/>
        <v>2.7486211047412655E-10</v>
      </c>
      <c r="W65" s="56">
        <f t="shared" si="27"/>
        <v>1.0824273441243858E-10</v>
      </c>
      <c r="X65" s="56">
        <f t="shared" si="7"/>
        <v>3.4098547384769498E-8</v>
      </c>
      <c r="Z65" s="119"/>
    </row>
    <row r="66" spans="2:26" x14ac:dyDescent="0.2">
      <c r="B66" s="119"/>
      <c r="C66" s="2">
        <f t="shared" si="19"/>
        <v>55</v>
      </c>
      <c r="D66" s="2">
        <f t="shared" si="19"/>
        <v>55</v>
      </c>
      <c r="E66" s="2">
        <f t="shared" si="8"/>
        <v>0.15058179329226556</v>
      </c>
      <c r="F66" s="2">
        <f t="shared" si="20"/>
        <v>62.180581793292411</v>
      </c>
      <c r="G66" s="2">
        <f t="shared" si="28"/>
        <v>7.2944262686373008E-13</v>
      </c>
      <c r="H66" s="2">
        <f t="shared" si="29"/>
        <v>7.3184535613951272E-13</v>
      </c>
      <c r="I66" s="2">
        <f t="shared" si="30"/>
        <v>6.3023287482449673E-13</v>
      </c>
      <c r="J66" s="2">
        <f t="shared" si="31"/>
        <v>7.2341128057745175E-13</v>
      </c>
      <c r="K66" s="2">
        <f t="shared" si="32"/>
        <v>4.4418525655564206E-13</v>
      </c>
      <c r="L66" s="79">
        <f t="shared" si="33"/>
        <v>9.2778198038845589E-13</v>
      </c>
      <c r="M66" s="2">
        <f t="shared" si="34"/>
        <v>0.64587507180599246</v>
      </c>
      <c r="N66" s="2">
        <f t="shared" si="35"/>
        <v>0.35412492818982066</v>
      </c>
      <c r="O66" s="2" t="str">
        <f t="shared" si="17"/>
        <v>OK</v>
      </c>
      <c r="P66" s="2">
        <f t="shared" si="21"/>
        <v>6.3023287482449673E-13</v>
      </c>
      <c r="Q66" s="2">
        <f t="shared" si="18"/>
        <v>7.2341128057745175E-13</v>
      </c>
      <c r="R66" s="2">
        <f t="shared" si="22"/>
        <v>1.3536441554019485E-12</v>
      </c>
      <c r="S66" s="56">
        <f t="shared" si="23"/>
        <v>1.4947230769996962E-11</v>
      </c>
      <c r="T66" s="56">
        <f t="shared" si="24"/>
        <v>9.6786910755394716E-10</v>
      </c>
      <c r="U66" s="56">
        <f t="shared" si="25"/>
        <v>1.9905992235182348E-8</v>
      </c>
      <c r="V66" s="56">
        <f t="shared" si="26"/>
        <v>1.7029413162861919E-10</v>
      </c>
      <c r="W66" s="56">
        <f t="shared" si="27"/>
        <v>6.7063090034770846E-11</v>
      </c>
      <c r="X66" s="56">
        <f t="shared" si="7"/>
        <v>2.1126165795169685E-8</v>
      </c>
      <c r="Z66" s="119"/>
    </row>
    <row r="67" spans="2:26" x14ac:dyDescent="0.2">
      <c r="B67" s="119"/>
      <c r="C67" s="2">
        <f t="shared" si="19"/>
        <v>56</v>
      </c>
      <c r="D67" s="2">
        <f t="shared" si="19"/>
        <v>56</v>
      </c>
      <c r="E67" s="2">
        <f t="shared" si="8"/>
        <v>0.15331964407939766</v>
      </c>
      <c r="F67" s="2">
        <f t="shared" si="20"/>
        <v>62.183319644079546</v>
      </c>
      <c r="G67" s="2">
        <f t="shared" si="28"/>
        <v>4.5193496659246125E-13</v>
      </c>
      <c r="H67" s="2">
        <f t="shared" si="29"/>
        <v>4.5342360645938308E-13</v>
      </c>
      <c r="I67" s="2">
        <f t="shared" si="30"/>
        <v>3.9046836960145028E-13</v>
      </c>
      <c r="J67" s="2">
        <f t="shared" si="31"/>
        <v>4.48198173345107E-13</v>
      </c>
      <c r="K67" s="2">
        <f t="shared" si="32"/>
        <v>2.752003265088036E-13</v>
      </c>
      <c r="L67" s="79">
        <f t="shared" si="33"/>
        <v>5.748185023333916E-13</v>
      </c>
      <c r="M67" s="2">
        <f t="shared" si="34"/>
        <v>0.64587507180710635</v>
      </c>
      <c r="N67" s="2">
        <f t="shared" si="35"/>
        <v>0.35412492819029967</v>
      </c>
      <c r="O67" s="2" t="str">
        <f t="shared" si="17"/>
        <v>OK</v>
      </c>
      <c r="P67" s="2">
        <f t="shared" si="21"/>
        <v>3.9046836960145028E-13</v>
      </c>
      <c r="Q67" s="2">
        <f t="shared" si="18"/>
        <v>4.48198173345107E-13</v>
      </c>
      <c r="R67" s="2">
        <f t="shared" si="22"/>
        <v>8.3866654294655733E-13</v>
      </c>
      <c r="S67" s="56">
        <f t="shared" si="23"/>
        <v>9.2607368830809312E-12</v>
      </c>
      <c r="T67" s="56">
        <f t="shared" si="24"/>
        <v>5.9965496487221795E-10</v>
      </c>
      <c r="U67" s="56">
        <f t="shared" si="25"/>
        <v>1.2332997283798092E-8</v>
      </c>
      <c r="V67" s="56">
        <f t="shared" si="26"/>
        <v>1.0550778067272143E-10</v>
      </c>
      <c r="W67" s="56">
        <f t="shared" si="27"/>
        <v>4.1549745296299174E-11</v>
      </c>
      <c r="X67" s="56">
        <f t="shared" si="7"/>
        <v>1.3088970511522412E-8</v>
      </c>
      <c r="Z67" s="119"/>
    </row>
    <row r="68" spans="2:26" x14ac:dyDescent="0.2">
      <c r="B68" s="119"/>
      <c r="C68" s="2">
        <f t="shared" si="19"/>
        <v>57</v>
      </c>
      <c r="D68" s="2">
        <f t="shared" si="19"/>
        <v>57</v>
      </c>
      <c r="E68" s="2">
        <f t="shared" si="8"/>
        <v>0.15605749486652978</v>
      </c>
      <c r="F68" s="2">
        <f t="shared" si="20"/>
        <v>62.186057494866681</v>
      </c>
      <c r="G68" s="2">
        <f t="shared" si="28"/>
        <v>2.8000175271781163E-13</v>
      </c>
      <c r="H68" s="2">
        <f t="shared" si="29"/>
        <v>2.8092405748003549E-13</v>
      </c>
      <c r="I68" s="2">
        <f t="shared" si="30"/>
        <v>2.4191938210407134E-13</v>
      </c>
      <c r="J68" s="2">
        <f t="shared" si="31"/>
        <v>2.7768657744670493E-13</v>
      </c>
      <c r="K68" s="2">
        <f t="shared" si="32"/>
        <v>1.7050367744717106E-13</v>
      </c>
      <c r="L68" s="79">
        <f t="shared" si="33"/>
        <v>3.5613572758382339E-13</v>
      </c>
      <c r="M68" s="2">
        <f t="shared" si="34"/>
        <v>0.64587507180779646</v>
      </c>
      <c r="N68" s="2">
        <f t="shared" si="35"/>
        <v>0.35412492819059643</v>
      </c>
      <c r="O68" s="2" t="str">
        <f t="shared" si="17"/>
        <v>OK</v>
      </c>
      <c r="P68" s="2">
        <f t="shared" si="21"/>
        <v>2.4191938210407134E-13</v>
      </c>
      <c r="Q68" s="2">
        <f t="shared" si="18"/>
        <v>2.7768657744670493E-13</v>
      </c>
      <c r="R68" s="2">
        <f t="shared" si="22"/>
        <v>5.1960595955077632E-13</v>
      </c>
      <c r="S68" s="56">
        <f t="shared" si="23"/>
        <v>5.7376010939632358E-12</v>
      </c>
      <c r="T68" s="56">
        <f t="shared" si="24"/>
        <v>3.7152345713840055E-10</v>
      </c>
      <c r="U68" s="56">
        <f t="shared" si="25"/>
        <v>7.6410570347425721E-9</v>
      </c>
      <c r="V68" s="56">
        <f t="shared" si="26"/>
        <v>6.5368616499127159E-11</v>
      </c>
      <c r="W68" s="56">
        <f t="shared" si="27"/>
        <v>2.574264522097389E-11</v>
      </c>
      <c r="X68" s="56">
        <f t="shared" si="7"/>
        <v>8.1094293546950362E-9</v>
      </c>
      <c r="Z68" s="119"/>
    </row>
    <row r="69" spans="2:26" x14ac:dyDescent="0.2">
      <c r="B69" s="119"/>
      <c r="C69" s="2">
        <f t="shared" si="19"/>
        <v>58</v>
      </c>
      <c r="D69" s="2">
        <f t="shared" si="19"/>
        <v>58</v>
      </c>
      <c r="E69" s="2">
        <f t="shared" si="8"/>
        <v>0.15879534565366188</v>
      </c>
      <c r="F69" s="2">
        <f t="shared" si="20"/>
        <v>62.188795345653816</v>
      </c>
      <c r="G69" s="2">
        <f t="shared" si="28"/>
        <v>1.734784588946084E-13</v>
      </c>
      <c r="H69" s="2">
        <f t="shared" si="29"/>
        <v>1.7404988392044748E-13</v>
      </c>
      <c r="I69" s="2">
        <f t="shared" si="30"/>
        <v>1.4988406742741268E-13</v>
      </c>
      <c r="J69" s="2">
        <f t="shared" si="31"/>
        <v>1.7204406416598948E-13</v>
      </c>
      <c r="K69" s="2">
        <f t="shared" si="32"/>
        <v>1.0563760730886689E-13</v>
      </c>
      <c r="L69" s="79">
        <f t="shared" si="33"/>
        <v>2.2064818015912965E-13</v>
      </c>
      <c r="M69" s="2">
        <f t="shared" si="34"/>
        <v>0.64587507180822401</v>
      </c>
      <c r="N69" s="2">
        <f t="shared" si="35"/>
        <v>0.35412492819078029</v>
      </c>
      <c r="O69" s="2" t="str">
        <f t="shared" si="17"/>
        <v>OK</v>
      </c>
      <c r="P69" s="2">
        <f t="shared" si="21"/>
        <v>1.4988406742741268E-13</v>
      </c>
      <c r="Q69" s="2">
        <f t="shared" si="18"/>
        <v>1.7204406416598948E-13</v>
      </c>
      <c r="R69" s="2">
        <f t="shared" si="22"/>
        <v>3.2192813159340219E-13</v>
      </c>
      <c r="S69" s="56">
        <f t="shared" si="23"/>
        <v>3.5547998748989427E-12</v>
      </c>
      <c r="T69" s="56">
        <f t="shared" si="24"/>
        <v>2.3018183337059849E-10</v>
      </c>
      <c r="U69" s="56">
        <f t="shared" si="25"/>
        <v>4.7341089326996403E-9</v>
      </c>
      <c r="V69" s="56">
        <f t="shared" si="26"/>
        <v>4.0499913805074854E-11</v>
      </c>
      <c r="W69" s="56">
        <f t="shared" si="27"/>
        <v>1.5949165951492724E-11</v>
      </c>
      <c r="X69" s="56">
        <f t="shared" si="7"/>
        <v>5.0242946457017053E-9</v>
      </c>
      <c r="Z69" s="119"/>
    </row>
    <row r="70" spans="2:26" x14ac:dyDescent="0.2">
      <c r="B70" s="119"/>
      <c r="C70" s="2">
        <f t="shared" si="19"/>
        <v>59</v>
      </c>
      <c r="D70" s="2">
        <f t="shared" si="19"/>
        <v>59</v>
      </c>
      <c r="E70" s="2">
        <f t="shared" si="8"/>
        <v>0.16153319644079397</v>
      </c>
      <c r="F70" s="2">
        <f t="shared" si="20"/>
        <v>62.19153319644095</v>
      </c>
      <c r="G70" s="2">
        <f t="shared" si="28"/>
        <v>1.0748066898987641E-13</v>
      </c>
      <c r="H70" s="2">
        <f t="shared" si="29"/>
        <v>1.0783470224821919E-13</v>
      </c>
      <c r="I70" s="2">
        <f t="shared" si="30"/>
        <v>9.2862479530147228E-14</v>
      </c>
      <c r="J70" s="2">
        <f t="shared" si="31"/>
        <v>1.0659197245654386E-13</v>
      </c>
      <c r="K70" s="2">
        <f t="shared" si="32"/>
        <v>6.5449052155487799E-14</v>
      </c>
      <c r="L70" s="79">
        <f t="shared" si="33"/>
        <v>1.3670523802214323E-13</v>
      </c>
      <c r="M70" s="2">
        <f t="shared" si="34"/>
        <v>0.64587507180848891</v>
      </c>
      <c r="N70" s="2">
        <f t="shared" si="35"/>
        <v>0.35412492819089419</v>
      </c>
      <c r="O70" s="2" t="str">
        <f t="shared" si="17"/>
        <v>OK</v>
      </c>
      <c r="P70" s="2">
        <f t="shared" si="21"/>
        <v>9.2862479530147228E-14</v>
      </c>
      <c r="Q70" s="2">
        <f t="shared" si="18"/>
        <v>1.0659197245654386E-13</v>
      </c>
      <c r="R70" s="2">
        <f t="shared" si="22"/>
        <v>1.994544519866911E-13</v>
      </c>
      <c r="S70" s="56">
        <f t="shared" si="23"/>
        <v>2.2024190848466313E-12</v>
      </c>
      <c r="T70" s="56">
        <f t="shared" si="24"/>
        <v>1.4261192771500401E-10</v>
      </c>
      <c r="U70" s="56">
        <f t="shared" si="25"/>
        <v>2.9330742179732444E-9</v>
      </c>
      <c r="V70" s="56">
        <f t="shared" si="26"/>
        <v>2.5092209473951368E-11</v>
      </c>
      <c r="W70" s="56">
        <f t="shared" si="27"/>
        <v>9.881497894435549E-12</v>
      </c>
      <c r="X70" s="56">
        <f t="shared" si="7"/>
        <v>3.1128622721414816E-9</v>
      </c>
      <c r="Z70" s="119"/>
    </row>
    <row r="71" spans="2:26" x14ac:dyDescent="0.2">
      <c r="B71" s="119"/>
      <c r="C71" s="2">
        <f t="shared" si="19"/>
        <v>60</v>
      </c>
      <c r="D71" s="2">
        <f t="shared" si="19"/>
        <v>60</v>
      </c>
      <c r="E71" s="2">
        <f t="shared" si="8"/>
        <v>0.16427104722792607</v>
      </c>
      <c r="F71" s="2">
        <f t="shared" si="20"/>
        <v>62.194271047228085</v>
      </c>
      <c r="G71" s="2">
        <f t="shared" si="28"/>
        <v>6.6590943222117909E-14</v>
      </c>
      <c r="H71" s="2">
        <f t="shared" si="29"/>
        <v>6.6810288792131655E-14</v>
      </c>
      <c r="I71" s="2">
        <f t="shared" si="30"/>
        <v>5.7534067846559191E-14</v>
      </c>
      <c r="J71" s="2">
        <f t="shared" si="31"/>
        <v>6.6040340579344842E-14</v>
      </c>
      <c r="K71" s="2">
        <f t="shared" si="32"/>
        <v>4.0549748684928919E-14</v>
      </c>
      <c r="L71" s="79">
        <f t="shared" si="33"/>
        <v>8.4697377015359785E-14</v>
      </c>
      <c r="M71" s="2">
        <f t="shared" si="34"/>
        <v>0.645875071808653</v>
      </c>
      <c r="N71" s="2">
        <f t="shared" si="35"/>
        <v>0.35412492819096475</v>
      </c>
      <c r="O71" s="2" t="str">
        <f t="shared" si="17"/>
        <v>OK</v>
      </c>
      <c r="P71" s="2">
        <f t="shared" si="21"/>
        <v>5.7534067846559191E-14</v>
      </c>
      <c r="Q71" s="2">
        <f t="shared" si="18"/>
        <v>6.6040340579344842E-14</v>
      </c>
      <c r="R71" s="2">
        <f t="shared" si="22"/>
        <v>1.2357440842590402E-13</v>
      </c>
      <c r="S71" s="56">
        <f t="shared" si="23"/>
        <v>1.3645352751213791E-12</v>
      </c>
      <c r="T71" s="56">
        <f t="shared" si="24"/>
        <v>8.8356937768605629E-11</v>
      </c>
      <c r="U71" s="56">
        <f t="shared" si="25"/>
        <v>1.8172214645752805E-9</v>
      </c>
      <c r="V71" s="56">
        <f t="shared" si="26"/>
        <v>1.5546180649050181E-11</v>
      </c>
      <c r="W71" s="56">
        <f t="shared" si="27"/>
        <v>6.122201056450569E-12</v>
      </c>
      <c r="X71" s="56">
        <f t="shared" si="7"/>
        <v>1.9286113193245083E-9</v>
      </c>
      <c r="Z71" s="119"/>
    </row>
    <row r="72" spans="2:26" x14ac:dyDescent="0.2">
      <c r="B72" s="119"/>
      <c r="C72" s="2">
        <f t="shared" si="19"/>
        <v>61</v>
      </c>
      <c r="D72" s="2">
        <f t="shared" si="19"/>
        <v>61</v>
      </c>
      <c r="E72" s="2">
        <f t="shared" si="8"/>
        <v>0.16700889801505817</v>
      </c>
      <c r="F72" s="2">
        <f t="shared" si="20"/>
        <v>62.19700889801522</v>
      </c>
      <c r="G72" s="2">
        <f t="shared" si="28"/>
        <v>4.1257221050875673E-14</v>
      </c>
      <c r="H72" s="2">
        <f t="shared" si="29"/>
        <v>4.1393119241090566E-14</v>
      </c>
      <c r="I72" s="2">
        <f t="shared" si="30"/>
        <v>3.5645924809684303E-14</v>
      </c>
      <c r="J72" s="2">
        <f t="shared" si="31"/>
        <v>4.0916088550795105E-14</v>
      </c>
      <c r="K72" s="2">
        <f t="shared" si="32"/>
        <v>2.5123085274093216E-14</v>
      </c>
      <c r="L72" s="79">
        <f t="shared" si="33"/>
        <v>5.2475280223864032E-14</v>
      </c>
      <c r="M72" s="2">
        <f t="shared" si="34"/>
        <v>0.6458750718087547</v>
      </c>
      <c r="N72" s="2">
        <f t="shared" si="35"/>
        <v>0.35412492819100849</v>
      </c>
      <c r="O72" s="2" t="str">
        <f t="shared" si="17"/>
        <v>OK</v>
      </c>
      <c r="P72" s="2">
        <f t="shared" si="21"/>
        <v>3.5645924809684303E-14</v>
      </c>
      <c r="Q72" s="2">
        <f t="shared" si="18"/>
        <v>4.0916088550795105E-14</v>
      </c>
      <c r="R72" s="2">
        <f t="shared" si="22"/>
        <v>7.6562013360479408E-14</v>
      </c>
      <c r="S72" s="56">
        <f t="shared" si="23"/>
        <v>8.4541426736693844E-13</v>
      </c>
      <c r="T72" s="56">
        <f t="shared" si="24"/>
        <v>5.4742605172876381E-11</v>
      </c>
      <c r="U72" s="56">
        <f t="shared" si="25"/>
        <v>1.1258814492580466E-9</v>
      </c>
      <c r="V72" s="56">
        <f t="shared" si="26"/>
        <v>9.6318234958064601E-12</v>
      </c>
      <c r="W72" s="56">
        <f t="shared" si="27"/>
        <v>3.7930834146825942E-12</v>
      </c>
      <c r="X72" s="56">
        <f t="shared" si="7"/>
        <v>1.1948943756087788E-9</v>
      </c>
      <c r="Z72" s="119"/>
    </row>
    <row r="73" spans="2:26" x14ac:dyDescent="0.2">
      <c r="B73" s="119"/>
      <c r="C73" s="2">
        <f t="shared" si="19"/>
        <v>62</v>
      </c>
      <c r="D73" s="2">
        <f t="shared" si="19"/>
        <v>62</v>
      </c>
      <c r="E73" s="2">
        <f t="shared" si="8"/>
        <v>0.16974674880219029</v>
      </c>
      <c r="F73" s="2">
        <f t="shared" si="20"/>
        <v>62.199746748802355</v>
      </c>
      <c r="G73" s="2">
        <f t="shared" si="28"/>
        <v>2.5561408300873183E-14</v>
      </c>
      <c r="H73" s="2">
        <f t="shared" si="29"/>
        <v>2.5645605661697574E-14</v>
      </c>
      <c r="I73" s="2">
        <f t="shared" si="30"/>
        <v>2.2084862119021135E-14</v>
      </c>
      <c r="J73" s="2">
        <f t="shared" si="31"/>
        <v>2.5350055551047776E-14</v>
      </c>
      <c r="K73" s="2">
        <f t="shared" si="32"/>
        <v>1.5565310122968662E-14</v>
      </c>
      <c r="L73" s="79">
        <f t="shared" si="33"/>
        <v>3.2511691998132157E-14</v>
      </c>
      <c r="M73" s="2">
        <f t="shared" si="34"/>
        <v>0.64587507180881765</v>
      </c>
      <c r="N73" s="2">
        <f t="shared" si="35"/>
        <v>0.35412492819103558</v>
      </c>
      <c r="O73" s="2" t="str">
        <f t="shared" si="17"/>
        <v>OK</v>
      </c>
      <c r="P73" s="2">
        <f t="shared" si="21"/>
        <v>2.2084862119021135E-14</v>
      </c>
      <c r="Q73" s="2">
        <f t="shared" si="18"/>
        <v>2.5350055551047776E-14</v>
      </c>
      <c r="R73" s="2">
        <f t="shared" si="22"/>
        <v>4.7434917670068914E-14</v>
      </c>
      <c r="S73" s="56">
        <f t="shared" si="23"/>
        <v>5.2378659350085353E-13</v>
      </c>
      <c r="T73" s="56">
        <f t="shared" si="24"/>
        <v>3.3916440483275973E-11</v>
      </c>
      <c r="U73" s="56">
        <f t="shared" si="25"/>
        <v>6.9755341464649925E-10</v>
      </c>
      <c r="V73" s="56">
        <f t="shared" si="26"/>
        <v>5.9675122751154603E-12</v>
      </c>
      <c r="W73" s="56">
        <f t="shared" si="27"/>
        <v>2.350050522365809E-12</v>
      </c>
      <c r="X73" s="56">
        <f t="shared" si="7"/>
        <v>7.4031120452075739E-10</v>
      </c>
      <c r="Z73" s="119"/>
    </row>
    <row r="74" spans="2:26" x14ac:dyDescent="0.2">
      <c r="B74" s="119"/>
      <c r="C74" s="2">
        <f t="shared" si="19"/>
        <v>63</v>
      </c>
      <c r="D74" s="2">
        <f t="shared" si="19"/>
        <v>63</v>
      </c>
      <c r="E74" s="2">
        <f t="shared" si="8"/>
        <v>0.17248459958932238</v>
      </c>
      <c r="F74" s="2">
        <f t="shared" si="20"/>
        <v>62.202484599589489</v>
      </c>
      <c r="G74" s="2">
        <f t="shared" si="28"/>
        <v>1.5836878434401494E-14</v>
      </c>
      <c r="H74" s="2">
        <f t="shared" si="29"/>
        <v>1.5889043923570878E-14</v>
      </c>
      <c r="I74" s="2">
        <f t="shared" si="30"/>
        <v>1.3682942367753211E-14</v>
      </c>
      <c r="J74" s="2">
        <f t="shared" si="31"/>
        <v>1.5705932292218591E-14</v>
      </c>
      <c r="K74" s="2">
        <f t="shared" si="32"/>
        <v>9.6436753918129394E-15</v>
      </c>
      <c r="L74" s="79">
        <f t="shared" si="33"/>
        <v>2.0143010424567811E-14</v>
      </c>
      <c r="M74" s="2">
        <f t="shared" si="34"/>
        <v>0.64587507180885673</v>
      </c>
      <c r="N74" s="2">
        <f t="shared" si="35"/>
        <v>0.35412492819105235</v>
      </c>
      <c r="O74" s="2" t="str">
        <f t="shared" si="17"/>
        <v>OK</v>
      </c>
      <c r="P74" s="2">
        <f t="shared" si="21"/>
        <v>1.3682942367753211E-14</v>
      </c>
      <c r="Q74" s="2">
        <f t="shared" si="18"/>
        <v>1.5705932292218591E-14</v>
      </c>
      <c r="R74" s="2">
        <f t="shared" si="22"/>
        <v>2.9388874659971802E-14</v>
      </c>
      <c r="S74" s="56">
        <f t="shared" si="23"/>
        <v>3.2451829371853996E-13</v>
      </c>
      <c r="T74" s="56">
        <f t="shared" si="24"/>
        <v>2.1013339270626437E-11</v>
      </c>
      <c r="U74" s="56">
        <f t="shared" si="25"/>
        <v>4.3217762101475834E-10</v>
      </c>
      <c r="V74" s="56">
        <f t="shared" si="26"/>
        <v>3.6972441167716835E-12</v>
      </c>
      <c r="W74" s="56">
        <f t="shared" si="27"/>
        <v>1.4560021106559178E-12</v>
      </c>
      <c r="X74" s="56">
        <f t="shared" si="7"/>
        <v>4.5866872480653087E-10</v>
      </c>
      <c r="Z74" s="119"/>
    </row>
    <row r="75" spans="2:26" x14ac:dyDescent="0.2">
      <c r="B75" s="119"/>
      <c r="C75" s="2">
        <f t="shared" si="19"/>
        <v>64</v>
      </c>
      <c r="D75" s="2">
        <f t="shared" si="19"/>
        <v>64</v>
      </c>
      <c r="E75" s="2">
        <f t="shared" si="8"/>
        <v>0.17522245037645448</v>
      </c>
      <c r="F75" s="2">
        <f t="shared" si="20"/>
        <v>62.205222450376624</v>
      </c>
      <c r="G75" s="2">
        <f t="shared" si="28"/>
        <v>9.8119288105672773E-15</v>
      </c>
      <c r="H75" s="2">
        <f t="shared" si="29"/>
        <v>9.844248567785755E-15</v>
      </c>
      <c r="I75" s="2">
        <f t="shared" si="30"/>
        <v>8.4774317734139477E-15</v>
      </c>
      <c r="J75" s="2">
        <f t="shared" si="31"/>
        <v>9.7307995507551856E-15</v>
      </c>
      <c r="K75" s="2">
        <f t="shared" si="32"/>
        <v>5.9748552600583279E-15</v>
      </c>
      <c r="L75" s="79">
        <f t="shared" si="33"/>
        <v>1.2479844758235222E-14</v>
      </c>
      <c r="M75" s="2">
        <f t="shared" si="34"/>
        <v>0.64587507180888093</v>
      </c>
      <c r="N75" s="2">
        <f t="shared" si="35"/>
        <v>0.35412492819106273</v>
      </c>
      <c r="O75" s="2" t="str">
        <f t="shared" si="17"/>
        <v>OK</v>
      </c>
      <c r="P75" s="2">
        <f t="shared" si="21"/>
        <v>8.4774317734139477E-15</v>
      </c>
      <c r="Q75" s="2">
        <f t="shared" si="18"/>
        <v>9.7307995507551856E-15</v>
      </c>
      <c r="R75" s="2">
        <f t="shared" ref="R75:R106" si="36">SUM(P75:Q75)</f>
        <v>1.8208231324169132E-14</v>
      </c>
      <c r="S75" s="56">
        <f t="shared" ref="S75:S111" si="37">CHG1_cost_perpatient*(G75+H75+J75+I75+K75+L75)</f>
        <v>2.0105921813331215E-13</v>
      </c>
      <c r="T75" s="56">
        <f t="shared" ref="T75:T111" si="38">treatment_cost*(I75+J75)</f>
        <v>1.301906747909417E-11</v>
      </c>
      <c r="U75" s="56">
        <f t="shared" ref="U75:U111" si="39">ICU_Cost_without*(G76+H76+K76+L76)+ICU_cost_with*(I75+J75)</f>
        <v>2.6776085126130405E-10</v>
      </c>
      <c r="V75" s="56">
        <f t="shared" ref="V75:V111" si="40">Resource_cost*(H75+J75)</f>
        <v>2.2906721308316609E-12</v>
      </c>
      <c r="W75" s="56">
        <f t="shared" ref="W75:W111" si="41">IF(Incl_AE="Yes",Adverse_Event_Cost*K75,0)</f>
        <v>9.0208364716360648E-13</v>
      </c>
      <c r="X75" s="56">
        <f t="shared" ref="X75:X111" si="42">SUM(S75:W75)</f>
        <v>2.841737337365268E-10</v>
      </c>
      <c r="Z75" s="119"/>
    </row>
    <row r="76" spans="2:26" x14ac:dyDescent="0.2">
      <c r="B76" s="119"/>
      <c r="C76" s="2">
        <f t="shared" si="19"/>
        <v>65</v>
      </c>
      <c r="D76" s="2">
        <f t="shared" si="19"/>
        <v>65</v>
      </c>
      <c r="E76" s="2">
        <f t="shared" ref="E76:E111" si="43">D76*(1/365.25)</f>
        <v>0.17796030116358658</v>
      </c>
      <c r="F76" s="2">
        <f t="shared" si="20"/>
        <v>62.207960301163759</v>
      </c>
      <c r="G76" s="2">
        <f t="shared" ref="G76:G111" si="44">G75*tp1_1+H75*tp2_1+I75*tp3_1+J75*tp4_1+L75*tp6_1</f>
        <v>6.0790986924866528E-15</v>
      </c>
      <c r="H76" s="2">
        <f t="shared" ref="H76:H111" si="45">G75*tp1_2+J75*tp4_2+H75*tp2_2+I75*tp3_2+L75*tp6_2</f>
        <v>6.099122787406372E-15</v>
      </c>
      <c r="I76" s="2">
        <f t="shared" ref="I76:I111" si="46">G75*tp1_3+H75*tp2_3+I75*tp3_3+J75*tp4_3+L75*tp6_3</f>
        <v>5.2522949773038587E-15</v>
      </c>
      <c r="J76" s="2">
        <f t="shared" ref="J76:J111" si="47">G75*tp1_4+H75*tp2_4+I75*tp3_4+J75*tp4_4+L75*tp6_4</f>
        <v>6.028834082258851E-15</v>
      </c>
      <c r="K76" s="2">
        <f t="shared" ref="K76:K111" si="48">G75*tp1_5+H75*tp2_5+I75*tp3_5+J75*tp4_5</f>
        <v>3.7017935515491815E-15</v>
      </c>
      <c r="L76" s="79">
        <f t="shared" ref="L76:L111" si="49">K75*tp5_6+L75*tp6_6</f>
        <v>7.7320381565057371E-15</v>
      </c>
      <c r="M76" s="2">
        <f t="shared" ref="M76:M111" si="50">G75*tp1_7+H75*tp2_7+I75*tp3_7+J75*tp4_7+L75*tp6_7+M75</f>
        <v>0.64587507180889592</v>
      </c>
      <c r="N76" s="2">
        <f t="shared" ref="N76:N111" si="51">G75*tp1_8+H75*tp2_8+J75*tp4_8+L75*tp6_8+I75*tp3_8+N75*tp8_8</f>
        <v>0.35412492819106917</v>
      </c>
      <c r="O76" s="2" t="str">
        <f t="shared" ref="O76:O111" si="52">IF(ROUND(SUM(G76:N76),6)=$G$11,"OK","ERROR")</f>
        <v>OK</v>
      </c>
      <c r="P76" s="2">
        <f t="shared" ref="P76:P111" si="53">I76</f>
        <v>5.2522949773038587E-15</v>
      </c>
      <c r="Q76" s="2">
        <f t="shared" ref="Q76:Q111" si="54">J76</f>
        <v>6.028834082258851E-15</v>
      </c>
      <c r="R76" s="2">
        <f t="shared" si="36"/>
        <v>1.128112905956271E-14</v>
      </c>
      <c r="S76" s="56">
        <f t="shared" si="37"/>
        <v>1.2456866062361306E-13</v>
      </c>
      <c r="T76" s="56">
        <f t="shared" si="38"/>
        <v>8.0661200888779335E-12</v>
      </c>
      <c r="U76" s="56">
        <f t="shared" si="39"/>
        <v>1.6589446093908204E-10</v>
      </c>
      <c r="V76" s="56">
        <f t="shared" si="40"/>
        <v>1.4192135128882244E-12</v>
      </c>
      <c r="W76" s="56">
        <f t="shared" si="41"/>
        <v>5.5889679041289546E-13</v>
      </c>
      <c r="X76" s="56">
        <f t="shared" si="42"/>
        <v>1.7606325999188472E-10</v>
      </c>
      <c r="Z76" s="119"/>
    </row>
    <row r="77" spans="2:26" x14ac:dyDescent="0.2">
      <c r="B77" s="119"/>
      <c r="C77" s="2">
        <f t="shared" ref="C77:D111" si="55">C76+1</f>
        <v>66</v>
      </c>
      <c r="D77" s="2">
        <f t="shared" si="55"/>
        <v>66</v>
      </c>
      <c r="E77" s="2">
        <f t="shared" si="43"/>
        <v>0.18069815195071867</v>
      </c>
      <c r="F77" s="2">
        <f t="shared" ref="F77:F111" si="56">F76+1/365.25</f>
        <v>62.210698151950893</v>
      </c>
      <c r="G77" s="2">
        <f t="shared" si="44"/>
        <v>3.7663788258627145E-15</v>
      </c>
      <c r="H77" s="2">
        <f t="shared" si="45"/>
        <v>3.7787849950874241E-15</v>
      </c>
      <c r="I77" s="2">
        <f t="shared" si="46"/>
        <v>3.2541226241567184E-15</v>
      </c>
      <c r="J77" s="2">
        <f t="shared" si="47"/>
        <v>3.7352367810911415E-15</v>
      </c>
      <c r="K77" s="2">
        <f t="shared" si="48"/>
        <v>2.2934907879521297E-15</v>
      </c>
      <c r="L77" s="79">
        <f t="shared" si="49"/>
        <v>4.7904773826781774E-15</v>
      </c>
      <c r="M77" s="2">
        <f t="shared" si="50"/>
        <v>0.64587507180890524</v>
      </c>
      <c r="N77" s="2">
        <f t="shared" si="51"/>
        <v>0.35412492819107316</v>
      </c>
      <c r="O77" s="2" t="str">
        <f t="shared" si="52"/>
        <v>OK</v>
      </c>
      <c r="P77" s="2">
        <f t="shared" si="53"/>
        <v>3.2541226241567184E-15</v>
      </c>
      <c r="Q77" s="2">
        <f t="shared" si="54"/>
        <v>3.7352367810911415E-15</v>
      </c>
      <c r="R77" s="2">
        <f t="shared" si="36"/>
        <v>6.9893594052478598E-15</v>
      </c>
      <c r="S77" s="56">
        <f t="shared" si="37"/>
        <v>7.7178014286677048E-14</v>
      </c>
      <c r="T77" s="56">
        <f t="shared" si="38"/>
        <v>4.9974618683462721E-12</v>
      </c>
      <c r="U77" s="56">
        <f t="shared" si="39"/>
        <v>1.0278191169705864E-10</v>
      </c>
      <c r="V77" s="56">
        <f t="shared" si="40"/>
        <v>8.7929082824841567E-13</v>
      </c>
      <c r="W77" s="56">
        <f t="shared" si="41"/>
        <v>3.4627123916501259E-13</v>
      </c>
      <c r="X77" s="56">
        <f t="shared" si="42"/>
        <v>1.0908211364710502E-10</v>
      </c>
      <c r="Z77" s="119"/>
    </row>
    <row r="78" spans="2:26" x14ac:dyDescent="0.2">
      <c r="B78" s="119"/>
      <c r="C78" s="2">
        <f t="shared" si="55"/>
        <v>67</v>
      </c>
      <c r="D78" s="2">
        <f t="shared" si="55"/>
        <v>67</v>
      </c>
      <c r="E78" s="2">
        <f t="shared" si="43"/>
        <v>0.1834360027378508</v>
      </c>
      <c r="F78" s="2">
        <f t="shared" si="56"/>
        <v>62.213436002738028</v>
      </c>
      <c r="G78" s="2">
        <f t="shared" si="44"/>
        <v>2.3335053726697084E-15</v>
      </c>
      <c r="H78" s="2">
        <f t="shared" si="45"/>
        <v>2.3411917642618969E-15</v>
      </c>
      <c r="I78" s="2">
        <f t="shared" si="46"/>
        <v>2.0161308720867731E-15</v>
      </c>
      <c r="J78" s="2">
        <f t="shared" si="47"/>
        <v>2.3142109436836006E-15</v>
      </c>
      <c r="K78" s="2">
        <f t="shared" si="48"/>
        <v>1.4209598458617329E-15</v>
      </c>
      <c r="L78" s="79">
        <f t="shared" si="49"/>
        <v>2.9679979701913584E-15</v>
      </c>
      <c r="M78" s="2">
        <f t="shared" si="50"/>
        <v>0.64587507180891102</v>
      </c>
      <c r="N78" s="2">
        <f t="shared" si="51"/>
        <v>0.35412492819107566</v>
      </c>
      <c r="O78" s="2" t="str">
        <f t="shared" si="52"/>
        <v>OK</v>
      </c>
      <c r="P78" s="2">
        <f t="shared" si="53"/>
        <v>2.0161308720867731E-15</v>
      </c>
      <c r="Q78" s="2">
        <f t="shared" si="54"/>
        <v>2.3142109436836006E-15</v>
      </c>
      <c r="R78" s="2">
        <f t="shared" si="36"/>
        <v>4.3303418157703737E-15</v>
      </c>
      <c r="S78" s="56">
        <f t="shared" si="37"/>
        <v>4.7816568464455607E-14</v>
      </c>
      <c r="T78" s="56">
        <f t="shared" si="38"/>
        <v>3.096237701693975E-12</v>
      </c>
      <c r="U78" s="56">
        <f t="shared" si="39"/>
        <v>6.367977153849159E-11</v>
      </c>
      <c r="V78" s="56">
        <f t="shared" si="40"/>
        <v>5.4477522488378203E-13</v>
      </c>
      <c r="W78" s="56">
        <f t="shared" si="41"/>
        <v>2.1453651752820445E-13</v>
      </c>
      <c r="X78" s="56">
        <f t="shared" si="42"/>
        <v>6.7583137551062007E-11</v>
      </c>
      <c r="Z78" s="119"/>
    </row>
    <row r="79" spans="2:26" x14ac:dyDescent="0.2">
      <c r="B79" s="119"/>
      <c r="C79" s="2">
        <f t="shared" si="55"/>
        <v>68</v>
      </c>
      <c r="D79" s="2">
        <f t="shared" si="55"/>
        <v>68</v>
      </c>
      <c r="E79" s="2">
        <f t="shared" si="43"/>
        <v>0.18617385352498289</v>
      </c>
      <c r="F79" s="2">
        <f t="shared" si="56"/>
        <v>62.216173853525163</v>
      </c>
      <c r="G79" s="2">
        <f t="shared" si="44"/>
        <v>1.445751363853083E-15</v>
      </c>
      <c r="H79" s="2">
        <f t="shared" si="45"/>
        <v>1.4505135603569644E-15</v>
      </c>
      <c r="I79" s="2">
        <f t="shared" si="46"/>
        <v>1.2491181688135465E-15</v>
      </c>
      <c r="J79" s="2">
        <f t="shared" si="47"/>
        <v>1.4337972679473526E-15</v>
      </c>
      <c r="K79" s="2">
        <f t="shared" si="48"/>
        <v>8.80372789879086E-16</v>
      </c>
      <c r="L79" s="79">
        <f t="shared" si="49"/>
        <v>1.8388588959656528E-15</v>
      </c>
      <c r="M79" s="2">
        <f t="shared" si="50"/>
        <v>0.64587507180891457</v>
      </c>
      <c r="N79" s="2">
        <f t="shared" si="51"/>
        <v>0.35412492819107722</v>
      </c>
      <c r="O79" s="2" t="str">
        <f t="shared" si="52"/>
        <v>OK</v>
      </c>
      <c r="P79" s="2">
        <f t="shared" si="53"/>
        <v>1.2491181688135465E-15</v>
      </c>
      <c r="Q79" s="2">
        <f t="shared" si="54"/>
        <v>1.4337972679473526E-15</v>
      </c>
      <c r="R79" s="2">
        <f t="shared" si="36"/>
        <v>2.6829154367608991E-15</v>
      </c>
      <c r="S79" s="56">
        <f t="shared" si="37"/>
        <v>2.9625331007131994E-14</v>
      </c>
      <c r="T79" s="56">
        <f t="shared" si="38"/>
        <v>1.9183113664384106E-12</v>
      </c>
      <c r="U79" s="56">
        <f t="shared" si="39"/>
        <v>3.9453569565300571E-11</v>
      </c>
      <c r="V79" s="56">
        <f t="shared" si="40"/>
        <v>3.3752205312817118E-13</v>
      </c>
      <c r="W79" s="56">
        <f t="shared" si="41"/>
        <v>1.3291868381594443E-13</v>
      </c>
      <c r="X79" s="56">
        <f t="shared" si="42"/>
        <v>4.1871946999690227E-11</v>
      </c>
      <c r="Z79" s="119"/>
    </row>
    <row r="80" spans="2:26" x14ac:dyDescent="0.2">
      <c r="B80" s="119"/>
      <c r="C80" s="2">
        <f t="shared" si="55"/>
        <v>69</v>
      </c>
      <c r="D80" s="2">
        <f t="shared" si="55"/>
        <v>69</v>
      </c>
      <c r="E80" s="2">
        <f t="shared" si="43"/>
        <v>0.18891170431211499</v>
      </c>
      <c r="F80" s="2">
        <f t="shared" si="56"/>
        <v>62.218911704312298</v>
      </c>
      <c r="G80" s="2">
        <f t="shared" si="44"/>
        <v>8.9573267349785676E-16</v>
      </c>
      <c r="H80" s="2">
        <f t="shared" si="45"/>
        <v>8.9868314970890802E-16</v>
      </c>
      <c r="I80" s="2">
        <f t="shared" si="46"/>
        <v>7.7390620879940249E-16</v>
      </c>
      <c r="J80" s="2">
        <f t="shared" si="47"/>
        <v>8.8832636937627336E-16</v>
      </c>
      <c r="K80" s="2">
        <f t="shared" si="48"/>
        <v>5.4544556724574917E-16</v>
      </c>
      <c r="L80" s="79">
        <f t="shared" si="49"/>
        <v>1.1392871805279595E-15</v>
      </c>
      <c r="M80" s="2">
        <f t="shared" si="50"/>
        <v>0.64587507180891679</v>
      </c>
      <c r="N80" s="2">
        <f t="shared" si="51"/>
        <v>0.35412492819107816</v>
      </c>
      <c r="O80" s="2" t="str">
        <f t="shared" si="52"/>
        <v>OK</v>
      </c>
      <c r="P80" s="2">
        <f t="shared" si="53"/>
        <v>7.7390620879940249E-16</v>
      </c>
      <c r="Q80" s="2">
        <f t="shared" si="54"/>
        <v>8.8832636937627336E-16</v>
      </c>
      <c r="R80" s="2">
        <f t="shared" si="36"/>
        <v>1.6622325781756759E-15</v>
      </c>
      <c r="S80" s="56">
        <f t="shared" si="37"/>
        <v>1.8354730702487457E-14</v>
      </c>
      <c r="T80" s="56">
        <f t="shared" si="38"/>
        <v>1.1885129157213899E-12</v>
      </c>
      <c r="U80" s="56">
        <f t="shared" si="39"/>
        <v>2.444393429557337E-11</v>
      </c>
      <c r="V80" s="56">
        <f t="shared" si="40"/>
        <v>2.0911585392334794E-13</v>
      </c>
      <c r="W80" s="56">
        <f t="shared" si="41"/>
        <v>8.2351371742763215E-14</v>
      </c>
      <c r="X80" s="56">
        <f t="shared" si="42"/>
        <v>2.5942269167663356E-11</v>
      </c>
      <c r="Z80" s="119"/>
    </row>
    <row r="81" spans="2:26" x14ac:dyDescent="0.2">
      <c r="B81" s="119"/>
      <c r="C81" s="2">
        <f t="shared" si="55"/>
        <v>70</v>
      </c>
      <c r="D81" s="2">
        <f t="shared" si="55"/>
        <v>70</v>
      </c>
      <c r="E81" s="2">
        <f t="shared" si="43"/>
        <v>0.19164955509924708</v>
      </c>
      <c r="F81" s="2">
        <f t="shared" si="56"/>
        <v>62.221649555099432</v>
      </c>
      <c r="G81" s="2">
        <f t="shared" si="44"/>
        <v>5.5496196817224733E-16</v>
      </c>
      <c r="H81" s="2">
        <f t="shared" si="45"/>
        <v>5.5678997125126467E-16</v>
      </c>
      <c r="I81" s="2">
        <f t="shared" si="46"/>
        <v>4.7948291440444613E-16</v>
      </c>
      <c r="J81" s="2">
        <f t="shared" si="47"/>
        <v>5.5037330323481063E-16</v>
      </c>
      <c r="K81" s="2">
        <f t="shared" si="48"/>
        <v>3.3793737181370458E-16</v>
      </c>
      <c r="L81" s="79">
        <f t="shared" si="49"/>
        <v>7.0585909694486513E-16</v>
      </c>
      <c r="M81" s="2">
        <f t="shared" si="50"/>
        <v>0.64587507180891812</v>
      </c>
      <c r="N81" s="2">
        <f t="shared" si="51"/>
        <v>0.35412492819107877</v>
      </c>
      <c r="O81" s="2" t="str">
        <f t="shared" si="52"/>
        <v>OK</v>
      </c>
      <c r="P81" s="2">
        <f t="shared" si="53"/>
        <v>4.7948291440444613E-16</v>
      </c>
      <c r="Q81" s="2">
        <f t="shared" si="54"/>
        <v>5.5037330323481063E-16</v>
      </c>
      <c r="R81" s="2">
        <f t="shared" si="36"/>
        <v>1.0298562176392569E-15</v>
      </c>
      <c r="S81" s="56">
        <f t="shared" si="37"/>
        <v>1.1371894514182179E-14</v>
      </c>
      <c r="T81" s="56">
        <f t="shared" si="38"/>
        <v>7.3635749417424507E-13</v>
      </c>
      <c r="U81" s="56">
        <f t="shared" si="39"/>
        <v>1.5144533952938308E-11</v>
      </c>
      <c r="V81" s="56">
        <f t="shared" si="40"/>
        <v>1.2956024638036053E-13</v>
      </c>
      <c r="W81" s="56">
        <f t="shared" si="41"/>
        <v>5.1021784396433125E-14</v>
      </c>
      <c r="X81" s="56">
        <f t="shared" si="42"/>
        <v>1.607284537240353E-11</v>
      </c>
      <c r="Z81" s="119"/>
    </row>
    <row r="82" spans="2:26" x14ac:dyDescent="0.2">
      <c r="B82" s="119"/>
      <c r="C82" s="2">
        <f t="shared" si="55"/>
        <v>71</v>
      </c>
      <c r="D82" s="2">
        <f t="shared" si="55"/>
        <v>71</v>
      </c>
      <c r="E82" s="2">
        <f t="shared" si="43"/>
        <v>0.19438740588637918</v>
      </c>
      <c r="F82" s="2">
        <f t="shared" si="56"/>
        <v>62.224387405886567</v>
      </c>
      <c r="G82" s="2">
        <f t="shared" si="44"/>
        <v>3.4383337264558477E-16</v>
      </c>
      <c r="H82" s="2">
        <f t="shared" si="45"/>
        <v>3.4496593397394943E-16</v>
      </c>
      <c r="I82" s="2">
        <f t="shared" si="46"/>
        <v>2.9706941563686676E-16</v>
      </c>
      <c r="J82" s="2">
        <f t="shared" si="47"/>
        <v>3.409904100069455E-16</v>
      </c>
      <c r="K82" s="2">
        <f t="shared" si="48"/>
        <v>2.093731696180432E-16</v>
      </c>
      <c r="L82" s="79">
        <f t="shared" si="49"/>
        <v>4.373235065358424E-16</v>
      </c>
      <c r="M82" s="2">
        <f t="shared" si="50"/>
        <v>0.64587507180891901</v>
      </c>
      <c r="N82" s="2">
        <f t="shared" si="51"/>
        <v>0.35412492819107916</v>
      </c>
      <c r="O82" s="2" t="str">
        <f t="shared" si="52"/>
        <v>OK</v>
      </c>
      <c r="P82" s="2">
        <f t="shared" si="53"/>
        <v>2.9706941563686676E-16</v>
      </c>
      <c r="Q82" s="2">
        <f t="shared" si="54"/>
        <v>3.409904100069455E-16</v>
      </c>
      <c r="R82" s="2">
        <f t="shared" si="36"/>
        <v>6.3805982564381225E-16</v>
      </c>
      <c r="S82" s="56">
        <f t="shared" si="37"/>
        <v>7.0455942360495181E-15</v>
      </c>
      <c r="T82" s="56">
        <f t="shared" si="38"/>
        <v>4.5621915593358218E-13</v>
      </c>
      <c r="U82" s="56">
        <f t="shared" si="39"/>
        <v>9.3829784468548569E-12</v>
      </c>
      <c r="V82" s="56">
        <f t="shared" si="40"/>
        <v>8.0270611372644316E-14</v>
      </c>
      <c r="W82" s="56">
        <f t="shared" si="41"/>
        <v>3.1611161148932164E-14</v>
      </c>
      <c r="X82" s="56">
        <f t="shared" si="42"/>
        <v>9.958124969546065E-12</v>
      </c>
      <c r="Z82" s="119"/>
    </row>
    <row r="83" spans="2:26" x14ac:dyDescent="0.2">
      <c r="B83" s="119"/>
      <c r="C83" s="2">
        <f t="shared" si="55"/>
        <v>72</v>
      </c>
      <c r="D83" s="2">
        <f t="shared" si="55"/>
        <v>72</v>
      </c>
      <c r="E83" s="2">
        <f t="shared" si="43"/>
        <v>0.1971252566735113</v>
      </c>
      <c r="F83" s="2">
        <f t="shared" si="56"/>
        <v>62.227125256673702</v>
      </c>
      <c r="G83" s="2">
        <f t="shared" si="44"/>
        <v>2.1302610795870678E-16</v>
      </c>
      <c r="H83" s="2">
        <f t="shared" si="45"/>
        <v>2.1372779997292193E-16</v>
      </c>
      <c r="I83" s="2">
        <f t="shared" si="46"/>
        <v>1.8405293505909992E-16</v>
      </c>
      <c r="J83" s="2">
        <f t="shared" si="47"/>
        <v>2.112647162086232E-16</v>
      </c>
      <c r="K83" s="2">
        <f t="shared" si="48"/>
        <v>1.2971966941872313E-16</v>
      </c>
      <c r="L83" s="79">
        <f t="shared" si="49"/>
        <v>2.7094904662501463E-16</v>
      </c>
      <c r="M83" s="2">
        <f t="shared" si="50"/>
        <v>0.64587507180891957</v>
      </c>
      <c r="N83" s="2">
        <f t="shared" si="51"/>
        <v>0.35412492819107938</v>
      </c>
      <c r="O83" s="2" t="str">
        <f t="shared" si="52"/>
        <v>OK</v>
      </c>
      <c r="P83" s="2">
        <f t="shared" si="53"/>
        <v>1.8405293505909992E-16</v>
      </c>
      <c r="Q83" s="2">
        <f t="shared" si="54"/>
        <v>2.112647162086232E-16</v>
      </c>
      <c r="R83" s="2">
        <f t="shared" si="36"/>
        <v>3.9531765126772315E-16</v>
      </c>
      <c r="S83" s="56">
        <f t="shared" si="37"/>
        <v>4.3651827826178301E-15</v>
      </c>
      <c r="T83" s="56">
        <f t="shared" si="38"/>
        <v>2.8265607383293473E-13</v>
      </c>
      <c r="U83" s="56">
        <f t="shared" si="39"/>
        <v>5.8133373273636731E-12</v>
      </c>
      <c r="V83" s="56">
        <f t="shared" si="40"/>
        <v>4.9732624243564409E-14</v>
      </c>
      <c r="W83" s="56">
        <f t="shared" si="41"/>
        <v>1.9585075688838822E-14</v>
      </c>
      <c r="X83" s="56">
        <f t="shared" si="42"/>
        <v>6.1696762839116282E-12</v>
      </c>
      <c r="Z83" s="119"/>
    </row>
    <row r="84" spans="2:26" x14ac:dyDescent="0.2">
      <c r="B84" s="119"/>
      <c r="C84" s="2">
        <f t="shared" si="55"/>
        <v>73</v>
      </c>
      <c r="D84" s="2">
        <f t="shared" si="55"/>
        <v>73</v>
      </c>
      <c r="E84" s="2">
        <f t="shared" si="43"/>
        <v>0.1998631074606434</v>
      </c>
      <c r="F84" s="2">
        <f t="shared" si="56"/>
        <v>62.229863107460837</v>
      </c>
      <c r="G84" s="2">
        <f t="shared" si="44"/>
        <v>1.3198289137224425E-16</v>
      </c>
      <c r="H84" s="2">
        <f t="shared" si="45"/>
        <v>1.3241763311247681E-16</v>
      </c>
      <c r="I84" s="2">
        <f t="shared" si="46"/>
        <v>1.1403221308139692E-16</v>
      </c>
      <c r="J84" s="2">
        <f t="shared" si="47"/>
        <v>1.3089159989514367E-16</v>
      </c>
      <c r="K84" s="2">
        <f t="shared" si="48"/>
        <v>8.036938383652712E-17</v>
      </c>
      <c r="L84" s="79">
        <f t="shared" si="49"/>
        <v>1.6786974578277672E-16</v>
      </c>
      <c r="M84" s="2">
        <f t="shared" si="50"/>
        <v>0.6458750718089199</v>
      </c>
      <c r="N84" s="2">
        <f t="shared" si="51"/>
        <v>0.35412492819107955</v>
      </c>
      <c r="O84" s="2" t="str">
        <f t="shared" si="52"/>
        <v>OK</v>
      </c>
      <c r="P84" s="2">
        <f t="shared" si="53"/>
        <v>1.1403221308139692E-16</v>
      </c>
      <c r="Q84" s="2">
        <f t="shared" si="54"/>
        <v>1.3089159989514367E-16</v>
      </c>
      <c r="R84" s="2">
        <f t="shared" si="36"/>
        <v>2.4492381297654057E-16</v>
      </c>
      <c r="S84" s="56">
        <f t="shared" si="37"/>
        <v>2.7045015774776194E-15</v>
      </c>
      <c r="T84" s="56">
        <f t="shared" si="38"/>
        <v>1.7512297551635628E-13</v>
      </c>
      <c r="U84" s="56">
        <f t="shared" si="39"/>
        <v>3.6017231706471356E-12</v>
      </c>
      <c r="V84" s="56">
        <f t="shared" si="40"/>
        <v>3.0812446446551747E-14</v>
      </c>
      <c r="W84" s="56">
        <f t="shared" si="41"/>
        <v>1.2134169571638866E-14</v>
      </c>
      <c r="X84" s="56">
        <f t="shared" si="42"/>
        <v>3.8224972637591599E-12</v>
      </c>
      <c r="Z84" s="119"/>
    </row>
    <row r="85" spans="2:26" x14ac:dyDescent="0.2">
      <c r="B85" s="119"/>
      <c r="C85" s="2">
        <f t="shared" si="55"/>
        <v>74</v>
      </c>
      <c r="D85" s="2">
        <f t="shared" si="55"/>
        <v>74</v>
      </c>
      <c r="E85" s="2">
        <f t="shared" si="43"/>
        <v>0.20260095824777549</v>
      </c>
      <c r="F85" s="2">
        <f t="shared" si="56"/>
        <v>62.232600958247971</v>
      </c>
      <c r="G85" s="2">
        <f t="shared" si="44"/>
        <v>8.1771590261388253E-17</v>
      </c>
      <c r="H85" s="2">
        <f t="shared" si="45"/>
        <v>8.2040939743599191E-17</v>
      </c>
      <c r="I85" s="2">
        <f t="shared" si="46"/>
        <v>7.0650031286193277E-17</v>
      </c>
      <c r="J85" s="2">
        <f t="shared" si="47"/>
        <v>8.1095467480674711E-17</v>
      </c>
      <c r="K85" s="2">
        <f t="shared" si="48"/>
        <v>4.9793819913410381E-17</v>
      </c>
      <c r="L85" s="79">
        <f t="shared" si="49"/>
        <v>1.0400572321693643E-16</v>
      </c>
      <c r="M85" s="2">
        <f t="shared" si="50"/>
        <v>0.64587507180892012</v>
      </c>
      <c r="N85" s="2">
        <f t="shared" si="51"/>
        <v>0.35412492819107966</v>
      </c>
      <c r="O85" s="2" t="str">
        <f t="shared" si="52"/>
        <v>OK</v>
      </c>
      <c r="P85" s="2">
        <f t="shared" si="53"/>
        <v>7.0650031286193277E-17</v>
      </c>
      <c r="Q85" s="2">
        <f t="shared" si="54"/>
        <v>8.1095467480674711E-17</v>
      </c>
      <c r="R85" s="2">
        <f t="shared" si="36"/>
        <v>1.5174549876686799E-16</v>
      </c>
      <c r="S85" s="56">
        <f t="shared" si="37"/>
        <v>1.6756065316908621E-15</v>
      </c>
      <c r="T85" s="56">
        <f t="shared" si="38"/>
        <v>1.0849954907329828E-13</v>
      </c>
      <c r="U85" s="56">
        <f t="shared" si="39"/>
        <v>2.2314909779817296E-12</v>
      </c>
      <c r="V85" s="56">
        <f t="shared" si="40"/>
        <v>1.9090222373384532E-14</v>
      </c>
      <c r="W85" s="56">
        <f t="shared" si="41"/>
        <v>7.517870930526701E-15</v>
      </c>
      <c r="X85" s="56">
        <f t="shared" si="42"/>
        <v>2.3682742268906299E-12</v>
      </c>
      <c r="Z85" s="119"/>
    </row>
    <row r="86" spans="2:26" x14ac:dyDescent="0.2">
      <c r="B86" s="119"/>
      <c r="C86" s="2">
        <f t="shared" si="55"/>
        <v>75</v>
      </c>
      <c r="D86" s="2">
        <f t="shared" si="55"/>
        <v>75</v>
      </c>
      <c r="E86" s="2">
        <f t="shared" si="43"/>
        <v>0.20533880903490759</v>
      </c>
      <c r="F86" s="2">
        <f t="shared" si="56"/>
        <v>62.235338809035106</v>
      </c>
      <c r="G86" s="2">
        <f t="shared" si="44"/>
        <v>5.0662573795398322E-17</v>
      </c>
      <c r="H86" s="2">
        <f t="shared" si="45"/>
        <v>5.0829452511779448E-17</v>
      </c>
      <c r="I86" s="2">
        <f t="shared" si="46"/>
        <v>4.3772077958157104E-17</v>
      </c>
      <c r="J86" s="2">
        <f t="shared" si="47"/>
        <v>5.024367378179758E-17</v>
      </c>
      <c r="K86" s="2">
        <f t="shared" si="48"/>
        <v>3.0850360960989093E-17</v>
      </c>
      <c r="L86" s="79">
        <f t="shared" si="49"/>
        <v>6.443799870809017E-17</v>
      </c>
      <c r="M86" s="2">
        <f t="shared" si="50"/>
        <v>0.64587507180892023</v>
      </c>
      <c r="N86" s="2">
        <f t="shared" si="51"/>
        <v>0.35412492819107971</v>
      </c>
      <c r="O86" s="2" t="str">
        <f t="shared" si="52"/>
        <v>OK</v>
      </c>
      <c r="P86" s="2">
        <f t="shared" si="53"/>
        <v>4.3772077958157104E-17</v>
      </c>
      <c r="Q86" s="2">
        <f t="shared" si="54"/>
        <v>5.024367378179758E-17</v>
      </c>
      <c r="R86" s="2">
        <f t="shared" si="36"/>
        <v>9.4015751739954678E-17</v>
      </c>
      <c r="S86" s="56">
        <f t="shared" si="37"/>
        <v>1.0381422116468761E-15</v>
      </c>
      <c r="T86" s="56">
        <f t="shared" si="38"/>
        <v>6.7222202651584994E-14</v>
      </c>
      <c r="U86" s="56">
        <f t="shared" si="39"/>
        <v>1.3825471167233432E-12</v>
      </c>
      <c r="V86" s="56">
        <f t="shared" si="40"/>
        <v>1.1827577238874385E-14</v>
      </c>
      <c r="W86" s="56">
        <f t="shared" si="41"/>
        <v>4.6577874978901339E-15</v>
      </c>
      <c r="X86" s="56">
        <f t="shared" si="42"/>
        <v>1.4672928263233395E-12</v>
      </c>
      <c r="Z86" s="119"/>
    </row>
    <row r="87" spans="2:26" x14ac:dyDescent="0.2">
      <c r="B87" s="119"/>
      <c r="C87" s="2">
        <f t="shared" si="55"/>
        <v>76</v>
      </c>
      <c r="D87" s="2">
        <f t="shared" si="55"/>
        <v>76</v>
      </c>
      <c r="E87" s="2">
        <f t="shared" si="43"/>
        <v>0.20807665982203968</v>
      </c>
      <c r="F87" s="2">
        <f t="shared" si="56"/>
        <v>62.238076659822241</v>
      </c>
      <c r="G87" s="2">
        <f t="shared" si="44"/>
        <v>3.1388607893885487E-17</v>
      </c>
      <c r="H87" s="2">
        <f t="shared" si="45"/>
        <v>3.1491999612898347E-17</v>
      </c>
      <c r="I87" s="2">
        <f t="shared" si="46"/>
        <v>2.711951819261848E-17</v>
      </c>
      <c r="J87" s="2">
        <f t="shared" si="47"/>
        <v>3.1129073344244198E-17</v>
      </c>
      <c r="K87" s="2">
        <f t="shared" si="48"/>
        <v>1.9113712767535589E-17</v>
      </c>
      <c r="L87" s="79">
        <f t="shared" si="49"/>
        <v>3.9923338342092999E-17</v>
      </c>
      <c r="M87" s="2">
        <f t="shared" si="50"/>
        <v>0.64587507180892034</v>
      </c>
      <c r="N87" s="2">
        <f t="shared" si="51"/>
        <v>0.35412492819107977</v>
      </c>
      <c r="O87" s="2" t="str">
        <f t="shared" si="52"/>
        <v>OK</v>
      </c>
      <c r="P87" s="2">
        <f t="shared" si="53"/>
        <v>2.711951819261848E-17</v>
      </c>
      <c r="Q87" s="2">
        <f t="shared" si="54"/>
        <v>3.1129073344244198E-17</v>
      </c>
      <c r="R87" s="2">
        <f t="shared" si="36"/>
        <v>5.8248591536862678E-17</v>
      </c>
      <c r="S87" s="56">
        <f t="shared" si="37"/>
        <v>6.4319351304719225E-16</v>
      </c>
      <c r="T87" s="56">
        <f t="shared" si="38"/>
        <v>4.1648325434772184E-14</v>
      </c>
      <c r="U87" s="56">
        <f t="shared" si="39"/>
        <v>8.5657372080833019E-13</v>
      </c>
      <c r="V87" s="56">
        <f t="shared" si="40"/>
        <v>7.3279179574448209E-15</v>
      </c>
      <c r="W87" s="56">
        <f t="shared" si="41"/>
        <v>2.8857883536425236E-15</v>
      </c>
      <c r="X87" s="56">
        <f t="shared" si="42"/>
        <v>9.0907894606723682E-13</v>
      </c>
      <c r="Z87" s="119"/>
    </row>
    <row r="88" spans="2:26" x14ac:dyDescent="0.2">
      <c r="B88" s="119"/>
      <c r="C88" s="2">
        <f t="shared" si="55"/>
        <v>77</v>
      </c>
      <c r="D88" s="2">
        <f t="shared" si="55"/>
        <v>77</v>
      </c>
      <c r="E88" s="2">
        <f t="shared" si="43"/>
        <v>0.21081451060917181</v>
      </c>
      <c r="F88" s="2">
        <f t="shared" si="56"/>
        <v>62.240814510609376</v>
      </c>
      <c r="G88" s="2">
        <f t="shared" si="44"/>
        <v>1.9447190138720902E-17</v>
      </c>
      <c r="H88" s="2">
        <f t="shared" si="45"/>
        <v>1.9511247723727848E-17</v>
      </c>
      <c r="I88" s="2">
        <f t="shared" si="46"/>
        <v>1.6802224187364793E-17</v>
      </c>
      <c r="J88" s="2">
        <f t="shared" si="47"/>
        <v>1.9286392382047389E-17</v>
      </c>
      <c r="K88" s="2">
        <f t="shared" si="48"/>
        <v>1.1842130995544111E-17</v>
      </c>
      <c r="L88" s="79">
        <f t="shared" si="49"/>
        <v>2.4734985200232837E-17</v>
      </c>
      <c r="M88" s="2">
        <f t="shared" si="50"/>
        <v>0.64587507180892034</v>
      </c>
      <c r="N88" s="2">
        <f t="shared" si="51"/>
        <v>0.35412492819107977</v>
      </c>
      <c r="O88" s="2" t="str">
        <f t="shared" si="52"/>
        <v>OK</v>
      </c>
      <c r="P88" s="2">
        <f t="shared" si="53"/>
        <v>1.6802224187364793E-17</v>
      </c>
      <c r="Q88" s="2">
        <f t="shared" si="54"/>
        <v>1.9286392382047389E-17</v>
      </c>
      <c r="R88" s="2">
        <f t="shared" si="36"/>
        <v>3.6088616569412185E-17</v>
      </c>
      <c r="S88" s="56">
        <f t="shared" si="37"/>
        <v>3.9849828914066722E-16</v>
      </c>
      <c r="T88" s="56">
        <f t="shared" si="38"/>
        <v>2.5803721733295405E-14</v>
      </c>
      <c r="U88" s="56">
        <f t="shared" si="39"/>
        <v>5.3070056731111698E-13</v>
      </c>
      <c r="V88" s="56">
        <f t="shared" si="40"/>
        <v>4.5400998451778177E-15</v>
      </c>
      <c r="W88" s="56">
        <f t="shared" si="41"/>
        <v>1.7879249377072503E-15</v>
      </c>
      <c r="X88" s="56">
        <f t="shared" si="42"/>
        <v>5.6323081211643819E-13</v>
      </c>
      <c r="Z88" s="119"/>
    </row>
    <row r="89" spans="2:26" x14ac:dyDescent="0.2">
      <c r="B89" s="119"/>
      <c r="C89" s="2">
        <f t="shared" si="55"/>
        <v>78</v>
      </c>
      <c r="D89" s="2">
        <f t="shared" si="55"/>
        <v>78</v>
      </c>
      <c r="E89" s="2">
        <f t="shared" si="43"/>
        <v>0.2135523613963039</v>
      </c>
      <c r="F89" s="2">
        <f t="shared" si="56"/>
        <v>62.24355236139651</v>
      </c>
      <c r="G89" s="2">
        <f t="shared" si="44"/>
        <v>1.204874091804612E-17</v>
      </c>
      <c r="H89" s="2">
        <f t="shared" si="45"/>
        <v>1.2088428566497077E-17</v>
      </c>
      <c r="I89" s="2">
        <f t="shared" si="46"/>
        <v>1.0410020400705655E-17</v>
      </c>
      <c r="J89" s="2">
        <f t="shared" si="47"/>
        <v>1.1949116730873463E-17</v>
      </c>
      <c r="K89" s="2">
        <f t="shared" si="48"/>
        <v>7.336934912709154E-18</v>
      </c>
      <c r="L89" s="79">
        <f t="shared" si="49"/>
        <v>1.5324858047020285E-17</v>
      </c>
      <c r="M89" s="2">
        <f t="shared" si="50"/>
        <v>0.64587507180892034</v>
      </c>
      <c r="N89" s="2">
        <f t="shared" si="51"/>
        <v>0.35412492819107977</v>
      </c>
      <c r="O89" s="2" t="str">
        <f t="shared" si="52"/>
        <v>OK</v>
      </c>
      <c r="P89" s="2">
        <f t="shared" si="53"/>
        <v>1.0410020400705655E-17</v>
      </c>
      <c r="Q89" s="2">
        <f t="shared" si="54"/>
        <v>1.1949116730873463E-17</v>
      </c>
      <c r="R89" s="2">
        <f t="shared" si="36"/>
        <v>2.235913713157912E-17</v>
      </c>
      <c r="S89" s="56">
        <f t="shared" si="37"/>
        <v>2.468944154857908E-16</v>
      </c>
      <c r="T89" s="56">
        <f t="shared" si="38"/>
        <v>1.5987006640450385E-14</v>
      </c>
      <c r="U89" s="56">
        <f t="shared" si="39"/>
        <v>3.2880192948081675E-13</v>
      </c>
      <c r="V89" s="56">
        <f t="shared" si="40"/>
        <v>2.8128735506983001E-15</v>
      </c>
      <c r="W89" s="56">
        <f t="shared" si="41"/>
        <v>1.1077304331208283E-15</v>
      </c>
      <c r="X89" s="56">
        <f t="shared" si="42"/>
        <v>3.4895643452057205E-13</v>
      </c>
      <c r="Z89" s="119"/>
    </row>
    <row r="90" spans="2:26" x14ac:dyDescent="0.2">
      <c r="B90" s="119"/>
      <c r="C90" s="2">
        <f t="shared" si="55"/>
        <v>79</v>
      </c>
      <c r="D90" s="2">
        <f t="shared" si="55"/>
        <v>79</v>
      </c>
      <c r="E90" s="2">
        <f t="shared" si="43"/>
        <v>0.216290212183436</v>
      </c>
      <c r="F90" s="2">
        <f t="shared" si="56"/>
        <v>62.246290212183645</v>
      </c>
      <c r="G90" s="2">
        <f t="shared" si="44"/>
        <v>7.4649425790901046E-18</v>
      </c>
      <c r="H90" s="2">
        <f t="shared" si="45"/>
        <v>7.4895315397790809E-18</v>
      </c>
      <c r="I90" s="2">
        <f t="shared" si="46"/>
        <v>6.4496535419757472E-18</v>
      </c>
      <c r="J90" s="2">
        <f t="shared" si="47"/>
        <v>7.4032192138197523E-18</v>
      </c>
      <c r="K90" s="2">
        <f t="shared" si="48"/>
        <v>4.5456864084332085E-18</v>
      </c>
      <c r="L90" s="79">
        <f t="shared" si="49"/>
        <v>9.4947004115899654E-18</v>
      </c>
      <c r="M90" s="2">
        <f t="shared" si="50"/>
        <v>0.64587507180892034</v>
      </c>
      <c r="N90" s="2">
        <f t="shared" si="51"/>
        <v>0.35412492819107977</v>
      </c>
      <c r="O90" s="2" t="str">
        <f t="shared" si="52"/>
        <v>OK</v>
      </c>
      <c r="P90" s="2">
        <f t="shared" si="53"/>
        <v>6.4496535419757472E-18</v>
      </c>
      <c r="Q90" s="2">
        <f t="shared" si="54"/>
        <v>7.4032192138197523E-18</v>
      </c>
      <c r="R90" s="2">
        <f t="shared" si="36"/>
        <v>1.3852872755795499E-17</v>
      </c>
      <c r="S90" s="56">
        <f t="shared" si="37"/>
        <v>1.5296640929003569E-16</v>
      </c>
      <c r="T90" s="56">
        <f t="shared" si="38"/>
        <v>9.9049425491213406E-15</v>
      </c>
      <c r="U90" s="56">
        <f t="shared" si="39"/>
        <v>2.0371319627199369E-13</v>
      </c>
      <c r="V90" s="56">
        <f t="shared" si="40"/>
        <v>1.7427496931861355E-15</v>
      </c>
      <c r="W90" s="56">
        <f t="shared" si="41"/>
        <v>6.8630773394524595E-16</v>
      </c>
      <c r="X90" s="56">
        <f t="shared" si="42"/>
        <v>2.1620016265753645E-13</v>
      </c>
      <c r="Z90" s="119"/>
    </row>
    <row r="91" spans="2:26" x14ac:dyDescent="0.2">
      <c r="B91" s="119"/>
      <c r="C91" s="2">
        <f t="shared" si="55"/>
        <v>80</v>
      </c>
      <c r="D91" s="2">
        <f t="shared" si="55"/>
        <v>80</v>
      </c>
      <c r="E91" s="2">
        <f t="shared" si="43"/>
        <v>0.21902806297056809</v>
      </c>
      <c r="F91" s="2">
        <f t="shared" si="56"/>
        <v>62.24902806297078</v>
      </c>
      <c r="G91" s="2">
        <f t="shared" si="44"/>
        <v>4.6249951001643005E-18</v>
      </c>
      <c r="H91" s="2">
        <f t="shared" si="45"/>
        <v>4.6402294869663096E-18</v>
      </c>
      <c r="I91" s="2">
        <f t="shared" si="46"/>
        <v>3.9959605466960021E-18</v>
      </c>
      <c r="J91" s="2">
        <f t="shared" si="47"/>
        <v>4.5867536456699744E-18</v>
      </c>
      <c r="K91" s="2">
        <f t="shared" si="48"/>
        <v>2.8163347732608574E-18</v>
      </c>
      <c r="L91" s="79">
        <f t="shared" si="49"/>
        <v>5.88255601645687E-18</v>
      </c>
      <c r="M91" s="2">
        <f t="shared" si="50"/>
        <v>0.64587507180892034</v>
      </c>
      <c r="N91" s="2">
        <f t="shared" si="51"/>
        <v>0.35412492819107977</v>
      </c>
      <c r="O91" s="2" t="str">
        <f t="shared" si="52"/>
        <v>OK</v>
      </c>
      <c r="P91" s="2">
        <f t="shared" si="53"/>
        <v>3.9959605466960021E-18</v>
      </c>
      <c r="Q91" s="2">
        <f t="shared" si="54"/>
        <v>4.5867536456699744E-18</v>
      </c>
      <c r="R91" s="2">
        <f t="shared" si="36"/>
        <v>8.5827141923659773E-18</v>
      </c>
      <c r="S91" s="56">
        <f t="shared" si="37"/>
        <v>9.4772181562095116E-17</v>
      </c>
      <c r="T91" s="56">
        <f t="shared" si="38"/>
        <v>6.136726474683597E-15</v>
      </c>
      <c r="U91" s="56">
        <f t="shared" si="39"/>
        <v>1.2621296475017496E-13</v>
      </c>
      <c r="V91" s="56">
        <f t="shared" si="40"/>
        <v>1.0797415661810979E-15</v>
      </c>
      <c r="W91" s="56">
        <f t="shared" si="41"/>
        <v>4.252102240669243E-16</v>
      </c>
      <c r="X91" s="56">
        <f t="shared" si="42"/>
        <v>1.3394941519666869E-13</v>
      </c>
      <c r="Z91" s="119"/>
    </row>
    <row r="92" spans="2:26" x14ac:dyDescent="0.2">
      <c r="B92" s="119"/>
      <c r="C92" s="2">
        <f t="shared" si="55"/>
        <v>81</v>
      </c>
      <c r="D92" s="2">
        <f t="shared" si="55"/>
        <v>81</v>
      </c>
      <c r="E92" s="2">
        <f t="shared" si="43"/>
        <v>0.22176591375770019</v>
      </c>
      <c r="F92" s="2">
        <f t="shared" si="56"/>
        <v>62.251765913757914</v>
      </c>
      <c r="G92" s="2">
        <f t="shared" si="44"/>
        <v>2.8654714286028803E-18</v>
      </c>
      <c r="H92" s="2">
        <f t="shared" si="45"/>
        <v>2.8749100764647753E-18</v>
      </c>
      <c r="I92" s="2">
        <f t="shared" si="46"/>
        <v>2.4757454934330569E-18</v>
      </c>
      <c r="J92" s="2">
        <f t="shared" si="47"/>
        <v>2.8417784748010874E-18</v>
      </c>
      <c r="K92" s="2">
        <f t="shared" si="48"/>
        <v>1.7448941353198559E-18</v>
      </c>
      <c r="L92" s="79">
        <f t="shared" si="49"/>
        <v>3.6446084433071779E-18</v>
      </c>
      <c r="M92" s="2">
        <f t="shared" si="50"/>
        <v>0.64587507180892034</v>
      </c>
      <c r="N92" s="2">
        <f t="shared" si="51"/>
        <v>0.35412492819107977</v>
      </c>
      <c r="O92" s="2" t="str">
        <f t="shared" si="52"/>
        <v>OK</v>
      </c>
      <c r="P92" s="2">
        <f t="shared" si="53"/>
        <v>2.4757454934330569E-18</v>
      </c>
      <c r="Q92" s="2">
        <f t="shared" si="54"/>
        <v>2.8417784748010874E-18</v>
      </c>
      <c r="R92" s="2">
        <f t="shared" si="36"/>
        <v>5.3175239682341447E-18</v>
      </c>
      <c r="S92" s="56">
        <f t="shared" si="37"/>
        <v>5.8717246745385924E-17</v>
      </c>
      <c r="T92" s="56">
        <f t="shared" si="38"/>
        <v>3.8020828125270961E-15</v>
      </c>
      <c r="U92" s="56">
        <f t="shared" si="39"/>
        <v>7.8196762716146648E-14</v>
      </c>
      <c r="V92" s="56">
        <f t="shared" si="40"/>
        <v>6.6896689426913119E-16</v>
      </c>
      <c r="W92" s="56">
        <f t="shared" si="41"/>
        <v>2.6344411655059189E-16</v>
      </c>
      <c r="X92" s="56">
        <f t="shared" si="42"/>
        <v>8.2989973786238852E-14</v>
      </c>
      <c r="Z92" s="119"/>
    </row>
    <row r="93" spans="2:26" x14ac:dyDescent="0.2">
      <c r="B93" s="119"/>
      <c r="C93" s="2">
        <f t="shared" si="55"/>
        <v>82</v>
      </c>
      <c r="D93" s="2">
        <f t="shared" si="55"/>
        <v>82</v>
      </c>
      <c r="E93" s="2">
        <f t="shared" si="43"/>
        <v>0.22450376454483231</v>
      </c>
      <c r="F93" s="2">
        <f t="shared" si="56"/>
        <v>62.254503764545049</v>
      </c>
      <c r="G93" s="2">
        <f t="shared" si="44"/>
        <v>1.7753373420542094E-18</v>
      </c>
      <c r="H93" s="2">
        <f t="shared" si="45"/>
        <v>1.7811851700382742E-18</v>
      </c>
      <c r="I93" s="2">
        <f t="shared" si="46"/>
        <v>1.5338779441458753E-18</v>
      </c>
      <c r="J93" s="2">
        <f t="shared" si="47"/>
        <v>1.7606580871127645E-18</v>
      </c>
      <c r="K93" s="2">
        <f t="shared" si="48"/>
        <v>1.0810701811377386E-18</v>
      </c>
      <c r="L93" s="79">
        <f t="shared" si="49"/>
        <v>2.2580610652691365E-18</v>
      </c>
      <c r="M93" s="2">
        <f t="shared" si="50"/>
        <v>0.64587507180892034</v>
      </c>
      <c r="N93" s="2">
        <f t="shared" si="51"/>
        <v>0.35412492819107977</v>
      </c>
      <c r="O93" s="2" t="str">
        <f t="shared" si="52"/>
        <v>OK</v>
      </c>
      <c r="P93" s="2">
        <f t="shared" si="53"/>
        <v>1.5338779441458753E-18</v>
      </c>
      <c r="Q93" s="2">
        <f t="shared" si="54"/>
        <v>1.7606580871127645E-18</v>
      </c>
      <c r="R93" s="2">
        <f t="shared" si="36"/>
        <v>3.2945360312586398E-18</v>
      </c>
      <c r="S93" s="56">
        <f t="shared" si="37"/>
        <v>3.6378977549436062E-17</v>
      </c>
      <c r="T93" s="56">
        <f t="shared" si="38"/>
        <v>2.35562620771024E-15</v>
      </c>
      <c r="U93" s="56">
        <f t="shared" si="39"/>
        <v>4.8447746326130629E-14</v>
      </c>
      <c r="V93" s="56">
        <f t="shared" si="40"/>
        <v>4.1446649795181456E-16</v>
      </c>
      <c r="W93" s="56">
        <f t="shared" si="41"/>
        <v>1.632199759481758E-16</v>
      </c>
      <c r="X93" s="56">
        <f t="shared" si="42"/>
        <v>5.1417437985290298E-14</v>
      </c>
      <c r="Z93" s="119"/>
    </row>
    <row r="94" spans="2:26" x14ac:dyDescent="0.2">
      <c r="B94" s="119"/>
      <c r="C94" s="2">
        <f t="shared" si="55"/>
        <v>83</v>
      </c>
      <c r="D94" s="2">
        <f t="shared" si="55"/>
        <v>83</v>
      </c>
      <c r="E94" s="2">
        <f t="shared" si="43"/>
        <v>0.22724161533196441</v>
      </c>
      <c r="F94" s="2">
        <f t="shared" si="56"/>
        <v>62.257241615332184</v>
      </c>
      <c r="G94" s="2">
        <f t="shared" si="44"/>
        <v>1.0999316365994412E-18</v>
      </c>
      <c r="H94" s="2">
        <f t="shared" si="45"/>
        <v>1.1035547288719339E-18</v>
      </c>
      <c r="I94" s="2">
        <f t="shared" si="46"/>
        <v>9.5033255792162681E-19</v>
      </c>
      <c r="J94" s="2">
        <f t="shared" si="47"/>
        <v>1.0908369273690694E-18</v>
      </c>
      <c r="K94" s="2">
        <f t="shared" si="48"/>
        <v>6.6979005367047482E-19</v>
      </c>
      <c r="L94" s="79">
        <f t="shared" si="49"/>
        <v>1.3990089343747488E-18</v>
      </c>
      <c r="M94" s="2">
        <f t="shared" si="50"/>
        <v>0.64587507180892034</v>
      </c>
      <c r="N94" s="2">
        <f t="shared" si="51"/>
        <v>0.35412492819107977</v>
      </c>
      <c r="O94" s="2" t="str">
        <f t="shared" si="52"/>
        <v>OK</v>
      </c>
      <c r="P94" s="2">
        <f t="shared" si="53"/>
        <v>9.5033255792162681E-19</v>
      </c>
      <c r="Q94" s="2">
        <f t="shared" si="54"/>
        <v>1.0908369273690694E-18</v>
      </c>
      <c r="R94" s="2">
        <f t="shared" si="36"/>
        <v>2.041169485290696E-18</v>
      </c>
      <c r="S94" s="56">
        <f t="shared" si="37"/>
        <v>2.2539033774542042E-17</v>
      </c>
      <c r="T94" s="56">
        <f t="shared" si="38"/>
        <v>1.4594565936777006E-15</v>
      </c>
      <c r="U94" s="56">
        <f t="shared" si="39"/>
        <v>3.0016384854720329E-14</v>
      </c>
      <c r="V94" s="56">
        <f t="shared" si="40"/>
        <v>2.5678771161332221E-16</v>
      </c>
      <c r="W94" s="56">
        <f t="shared" si="41"/>
        <v>1.011249023031683E-16</v>
      </c>
      <c r="X94" s="56">
        <f t="shared" si="42"/>
        <v>3.1856293096089065E-14</v>
      </c>
      <c r="Z94" s="119"/>
    </row>
    <row r="95" spans="2:26" x14ac:dyDescent="0.2">
      <c r="B95" s="119"/>
      <c r="C95" s="2">
        <f t="shared" si="55"/>
        <v>84</v>
      </c>
      <c r="D95" s="2">
        <f t="shared" si="55"/>
        <v>84</v>
      </c>
      <c r="E95" s="2">
        <f t="shared" si="43"/>
        <v>0.2299794661190965</v>
      </c>
      <c r="F95" s="2">
        <f t="shared" si="56"/>
        <v>62.259979466119319</v>
      </c>
      <c r="G95" s="2">
        <f t="shared" si="44"/>
        <v>6.8147589561341099E-19</v>
      </c>
      <c r="H95" s="2">
        <f t="shared" si="45"/>
        <v>6.8372062607586088E-19</v>
      </c>
      <c r="I95" s="2">
        <f t="shared" si="46"/>
        <v>5.8878998429615084E-19</v>
      </c>
      <c r="J95" s="2">
        <f t="shared" si="47"/>
        <v>6.7584115895171049E-19</v>
      </c>
      <c r="K95" s="2">
        <f t="shared" si="48"/>
        <v>4.1497649627498077E-19</v>
      </c>
      <c r="L95" s="79">
        <f t="shared" si="49"/>
        <v>8.6677283823902706E-19</v>
      </c>
      <c r="M95" s="2">
        <f t="shared" si="50"/>
        <v>0.64587507180892034</v>
      </c>
      <c r="N95" s="2">
        <f t="shared" si="51"/>
        <v>0.35412492819107977</v>
      </c>
      <c r="O95" s="2" t="str">
        <f t="shared" si="52"/>
        <v>OK</v>
      </c>
      <c r="P95" s="2">
        <f t="shared" si="53"/>
        <v>5.8878998429615084E-19</v>
      </c>
      <c r="Q95" s="2">
        <f t="shared" si="54"/>
        <v>6.7584115895171049E-19</v>
      </c>
      <c r="R95" s="2">
        <f t="shared" si="36"/>
        <v>1.2646311432478613E-18</v>
      </c>
      <c r="S95" s="56">
        <f t="shared" si="37"/>
        <v>1.3964329888040577E-17</v>
      </c>
      <c r="T95" s="56">
        <f t="shared" si="38"/>
        <v>9.0422391373365324E-16</v>
      </c>
      <c r="U95" s="56">
        <f t="shared" si="39"/>
        <v>1.8597012824531172E-14</v>
      </c>
      <c r="V95" s="56">
        <f t="shared" si="40"/>
        <v>1.590959200839264E-16</v>
      </c>
      <c r="W95" s="56">
        <f t="shared" si="41"/>
        <v>6.2653151407596602E-17</v>
      </c>
      <c r="X95" s="56">
        <f t="shared" si="42"/>
        <v>1.9736950139644388E-14</v>
      </c>
      <c r="Z95" s="119"/>
    </row>
    <row r="96" spans="2:26" x14ac:dyDescent="0.2">
      <c r="B96" s="119"/>
      <c r="C96" s="2">
        <f t="shared" si="55"/>
        <v>85</v>
      </c>
      <c r="D96" s="2">
        <f t="shared" si="55"/>
        <v>85</v>
      </c>
      <c r="E96" s="2">
        <f t="shared" si="43"/>
        <v>0.2327173169062286</v>
      </c>
      <c r="F96" s="2">
        <f t="shared" si="56"/>
        <v>62.262717316906453</v>
      </c>
      <c r="G96" s="2">
        <f t="shared" si="44"/>
        <v>4.2221660042243446E-19</v>
      </c>
      <c r="H96" s="2">
        <f t="shared" si="45"/>
        <v>4.2360735022124747E-19</v>
      </c>
      <c r="I96" s="2">
        <f t="shared" si="46"/>
        <v>3.6479192753917142E-19</v>
      </c>
      <c r="J96" s="2">
        <f t="shared" si="47"/>
        <v>4.1872553144568458E-19</v>
      </c>
      <c r="K96" s="2">
        <f t="shared" si="48"/>
        <v>2.5710368721805661E-19</v>
      </c>
      <c r="L96" s="79">
        <f t="shared" si="49"/>
        <v>5.3701955337741344E-19</v>
      </c>
      <c r="M96" s="2">
        <f t="shared" si="50"/>
        <v>0.64587507180892034</v>
      </c>
      <c r="N96" s="2">
        <f t="shared" si="51"/>
        <v>0.35412492819107977</v>
      </c>
      <c r="O96" s="2" t="str">
        <f t="shared" si="52"/>
        <v>OK</v>
      </c>
      <c r="P96" s="2">
        <f t="shared" si="53"/>
        <v>3.6479192753917142E-19</v>
      </c>
      <c r="Q96" s="2">
        <f t="shared" si="54"/>
        <v>4.1872553144568458E-19</v>
      </c>
      <c r="R96" s="2">
        <f t="shared" si="36"/>
        <v>7.8351745898485601E-19</v>
      </c>
      <c r="S96" s="56">
        <f t="shared" si="37"/>
        <v>8.6517688012997093E-18</v>
      </c>
      <c r="T96" s="56">
        <f t="shared" si="38"/>
        <v>5.6022281834876192E-16</v>
      </c>
      <c r="U96" s="56">
        <f t="shared" si="39"/>
        <v>1.1522003321508891E-14</v>
      </c>
      <c r="V96" s="56">
        <f t="shared" si="40"/>
        <v>9.8569793812664391E-17</v>
      </c>
      <c r="W96" s="56">
        <f t="shared" si="41"/>
        <v>3.881751469618219E-17</v>
      </c>
      <c r="X96" s="56">
        <f t="shared" si="42"/>
        <v>1.2228265217167799E-14</v>
      </c>
      <c r="Z96" s="119"/>
    </row>
    <row r="97" spans="2:26" x14ac:dyDescent="0.2">
      <c r="B97" s="119"/>
      <c r="C97" s="2">
        <f t="shared" si="55"/>
        <v>86</v>
      </c>
      <c r="D97" s="2">
        <f t="shared" si="55"/>
        <v>86</v>
      </c>
      <c r="E97" s="2">
        <f t="shared" si="43"/>
        <v>0.2354551676933607</v>
      </c>
      <c r="F97" s="2">
        <f t="shared" si="56"/>
        <v>62.265455167693588</v>
      </c>
      <c r="G97" s="2">
        <f t="shared" si="44"/>
        <v>2.615893809594188E-19</v>
      </c>
      <c r="H97" s="2">
        <f t="shared" si="45"/>
        <v>2.6245103675072818E-19</v>
      </c>
      <c r="I97" s="2">
        <f t="shared" si="46"/>
        <v>2.2601123311705437E-19</v>
      </c>
      <c r="J97" s="2">
        <f t="shared" si="47"/>
        <v>2.5942644712024491E-19</v>
      </c>
      <c r="K97" s="2">
        <f t="shared" si="48"/>
        <v>1.592916865761914E-19</v>
      </c>
      <c r="L97" s="79">
        <f t="shared" si="49"/>
        <v>3.3271693341888982E-19</v>
      </c>
      <c r="M97" s="2">
        <f t="shared" si="50"/>
        <v>0.64587507180892034</v>
      </c>
      <c r="N97" s="2">
        <f t="shared" si="51"/>
        <v>0.35412492819107977</v>
      </c>
      <c r="O97" s="2" t="str">
        <f t="shared" si="52"/>
        <v>OK</v>
      </c>
      <c r="P97" s="2">
        <f t="shared" si="53"/>
        <v>2.2601123311705437E-19</v>
      </c>
      <c r="Q97" s="2">
        <f t="shared" si="54"/>
        <v>2.5942644712024491E-19</v>
      </c>
      <c r="R97" s="2">
        <f t="shared" si="36"/>
        <v>4.8543768023729924E-19</v>
      </c>
      <c r="S97" s="56">
        <f t="shared" si="37"/>
        <v>5.360307583054823E-18</v>
      </c>
      <c r="T97" s="56">
        <f t="shared" si="38"/>
        <v>3.4709279574647134E-16</v>
      </c>
      <c r="U97" s="56">
        <f t="shared" si="39"/>
        <v>7.1385959558915702E-15</v>
      </c>
      <c r="V97" s="56">
        <f t="shared" si="40"/>
        <v>6.1070103162581277E-17</v>
      </c>
      <c r="W97" s="56">
        <f t="shared" si="41"/>
        <v>2.4049858839273381E-17</v>
      </c>
      <c r="X97" s="56">
        <f t="shared" si="42"/>
        <v>7.5761690212229517E-15</v>
      </c>
      <c r="Z97" s="119"/>
    </row>
    <row r="98" spans="2:26" x14ac:dyDescent="0.2">
      <c r="B98" s="119"/>
      <c r="C98" s="2">
        <f t="shared" si="55"/>
        <v>87</v>
      </c>
      <c r="D98" s="2">
        <f t="shared" si="55"/>
        <v>87</v>
      </c>
      <c r="E98" s="2">
        <f t="shared" si="43"/>
        <v>0.23819301848049282</v>
      </c>
      <c r="F98" s="2">
        <f t="shared" si="56"/>
        <v>62.268193018480723</v>
      </c>
      <c r="G98" s="2">
        <f t="shared" si="44"/>
        <v>1.6207085216987593E-19</v>
      </c>
      <c r="H98" s="2">
        <f t="shared" si="45"/>
        <v>1.6260470139518629E-19</v>
      </c>
      <c r="I98" s="2">
        <f t="shared" si="46"/>
        <v>1.4002798208742265E-19</v>
      </c>
      <c r="J98" s="2">
        <f t="shared" si="47"/>
        <v>1.6073078045436407E-19</v>
      </c>
      <c r="K98" s="2">
        <f t="shared" si="48"/>
        <v>9.8691083301218273E-20</v>
      </c>
      <c r="L98" s="79">
        <f t="shared" si="49"/>
        <v>2.0613878412332302E-19</v>
      </c>
      <c r="M98" s="2">
        <f t="shared" si="50"/>
        <v>0.64587507180892034</v>
      </c>
      <c r="N98" s="2">
        <f t="shared" si="51"/>
        <v>0.35412492819107977</v>
      </c>
      <c r="O98" s="2" t="str">
        <f t="shared" si="52"/>
        <v>OK</v>
      </c>
      <c r="P98" s="2">
        <f t="shared" si="53"/>
        <v>1.4002798208742265E-19</v>
      </c>
      <c r="Q98" s="2">
        <f t="shared" si="54"/>
        <v>1.6073078045436407E-19</v>
      </c>
      <c r="R98" s="2">
        <f t="shared" si="36"/>
        <v>3.0075876254178674E-19</v>
      </c>
      <c r="S98" s="56">
        <f t="shared" si="37"/>
        <v>3.3210431352070634E-18</v>
      </c>
      <c r="T98" s="56">
        <f t="shared" si="38"/>
        <v>2.1504552280500294E-16</v>
      </c>
      <c r="U98" s="56">
        <f t="shared" si="39"/>
        <v>4.422803118476967E-15</v>
      </c>
      <c r="V98" s="56">
        <f t="shared" si="40"/>
        <v>3.7836718086034377E-17</v>
      </c>
      <c r="W98" s="56">
        <f t="shared" si="41"/>
        <v>1.4900379756817937E-17</v>
      </c>
      <c r="X98" s="56">
        <f t="shared" si="42"/>
        <v>4.6939067822600293E-15</v>
      </c>
      <c r="Z98" s="119"/>
    </row>
    <row r="99" spans="2:26" x14ac:dyDescent="0.2">
      <c r="B99" s="119"/>
      <c r="C99" s="2">
        <f t="shared" si="55"/>
        <v>88</v>
      </c>
      <c r="D99" s="2">
        <f t="shared" si="55"/>
        <v>88</v>
      </c>
      <c r="E99" s="2">
        <f t="shared" si="43"/>
        <v>0.24093086926762491</v>
      </c>
      <c r="F99" s="2">
        <f t="shared" si="56"/>
        <v>62.270930869267858</v>
      </c>
      <c r="G99" s="2">
        <f t="shared" si="44"/>
        <v>1.0041294882357878E-19</v>
      </c>
      <c r="H99" s="2">
        <f t="shared" si="45"/>
        <v>1.0074370154205287E-19</v>
      </c>
      <c r="I99" s="2">
        <f t="shared" si="46"/>
        <v>8.6756023127931834E-20</v>
      </c>
      <c r="J99" s="2">
        <f t="shared" si="47"/>
        <v>9.9582691249264455E-20</v>
      </c>
      <c r="K99" s="2">
        <f t="shared" si="48"/>
        <v>6.1145249526310107E-20</v>
      </c>
      <c r="L99" s="79">
        <f t="shared" si="49"/>
        <v>1.2771576692293906E-19</v>
      </c>
      <c r="M99" s="2">
        <f t="shared" si="50"/>
        <v>0.64587507180892034</v>
      </c>
      <c r="N99" s="2">
        <f t="shared" si="51"/>
        <v>0.35412492819107977</v>
      </c>
      <c r="O99" s="2" t="str">
        <f t="shared" si="52"/>
        <v>OK</v>
      </c>
      <c r="P99" s="2">
        <f t="shared" si="53"/>
        <v>8.6756023127931834E-20</v>
      </c>
      <c r="Q99" s="2">
        <f t="shared" si="54"/>
        <v>9.9582691249264455E-20</v>
      </c>
      <c r="R99" s="2">
        <f t="shared" si="36"/>
        <v>1.8633871437719628E-19</v>
      </c>
      <c r="S99" s="56">
        <f t="shared" si="37"/>
        <v>2.0575922808557158E-18</v>
      </c>
      <c r="T99" s="56">
        <f t="shared" si="38"/>
        <v>1.3323404416683912E-16</v>
      </c>
      <c r="U99" s="56">
        <f t="shared" si="39"/>
        <v>2.7402009506737094E-15</v>
      </c>
      <c r="V99" s="56">
        <f t="shared" si="40"/>
        <v>2.3442194484439953E-17</v>
      </c>
      <c r="W99" s="56">
        <f t="shared" si="41"/>
        <v>9.2317097734823009E-18</v>
      </c>
      <c r="X99" s="56">
        <f t="shared" si="42"/>
        <v>2.908166491379326E-15</v>
      </c>
      <c r="Z99" s="119"/>
    </row>
    <row r="100" spans="2:26" x14ac:dyDescent="0.2">
      <c r="B100" s="119"/>
      <c r="C100" s="2">
        <f t="shared" si="55"/>
        <v>89</v>
      </c>
      <c r="D100" s="2">
        <f t="shared" si="55"/>
        <v>89</v>
      </c>
      <c r="E100" s="2">
        <f t="shared" si="43"/>
        <v>0.24366872005475701</v>
      </c>
      <c r="F100" s="2">
        <f t="shared" si="56"/>
        <v>62.273668720054992</v>
      </c>
      <c r="G100" s="2">
        <f t="shared" si="44"/>
        <v>6.2212052052878207E-20</v>
      </c>
      <c r="H100" s="2">
        <f t="shared" si="45"/>
        <v>6.2416973883970867E-20</v>
      </c>
      <c r="I100" s="2">
        <f t="shared" si="46"/>
        <v>5.3750739222073558E-20</v>
      </c>
      <c r="J100" s="2">
        <f t="shared" si="47"/>
        <v>6.1697655971140887E-20</v>
      </c>
      <c r="K100" s="2">
        <f t="shared" si="48"/>
        <v>3.7883275920921764E-20</v>
      </c>
      <c r="L100" s="79">
        <f t="shared" si="49"/>
        <v>7.9127841905559196E-20</v>
      </c>
      <c r="M100" s="2">
        <f t="shared" si="50"/>
        <v>0.64587507180892034</v>
      </c>
      <c r="N100" s="2">
        <f t="shared" si="51"/>
        <v>0.35412492819107977</v>
      </c>
      <c r="O100" s="2" t="str">
        <f t="shared" si="52"/>
        <v>OK</v>
      </c>
      <c r="P100" s="2">
        <f t="shared" si="53"/>
        <v>5.3750739222073558E-20</v>
      </c>
      <c r="Q100" s="2">
        <f t="shared" si="54"/>
        <v>6.1697655971140887E-20</v>
      </c>
      <c r="R100" s="2">
        <f t="shared" si="36"/>
        <v>1.1544839519321444E-19</v>
      </c>
      <c r="S100" s="56">
        <f t="shared" si="37"/>
        <v>1.2748060840748641E-18</v>
      </c>
      <c r="T100" s="56">
        <f t="shared" si="38"/>
        <v>8.2546757047100259E-17</v>
      </c>
      <c r="U100" s="56">
        <f t="shared" si="39"/>
        <v>1.6977245084015389E-15</v>
      </c>
      <c r="V100" s="56">
        <f t="shared" si="40"/>
        <v>1.4523893985645178E-17</v>
      </c>
      <c r="W100" s="56">
        <f t="shared" si="41"/>
        <v>5.7196169985407685E-18</v>
      </c>
      <c r="X100" s="56">
        <f t="shared" si="42"/>
        <v>1.8017895825169003E-15</v>
      </c>
      <c r="Z100" s="119"/>
    </row>
    <row r="101" spans="2:26" x14ac:dyDescent="0.2">
      <c r="B101" s="119"/>
      <c r="C101" s="2">
        <f t="shared" si="55"/>
        <v>90</v>
      </c>
      <c r="D101" s="2">
        <f t="shared" si="55"/>
        <v>90</v>
      </c>
      <c r="E101" s="2">
        <f t="shared" si="43"/>
        <v>0.24640657084188911</v>
      </c>
      <c r="F101" s="2">
        <f t="shared" si="56"/>
        <v>62.276406570842127</v>
      </c>
      <c r="G101" s="2">
        <f t="shared" si="44"/>
        <v>3.8544226277330502E-20</v>
      </c>
      <c r="H101" s="2">
        <f t="shared" si="45"/>
        <v>3.8671188066343453E-20</v>
      </c>
      <c r="I101" s="2">
        <f t="shared" si="46"/>
        <v>3.330191798509461E-20</v>
      </c>
      <c r="J101" s="2">
        <f t="shared" si="47"/>
        <v>3.8225525988296425E-20</v>
      </c>
      <c r="K101" s="2">
        <f t="shared" si="48"/>
        <v>2.3471039951896265E-20</v>
      </c>
      <c r="L101" s="79">
        <f t="shared" si="49"/>
        <v>4.902460765403422E-20</v>
      </c>
      <c r="M101" s="2">
        <f t="shared" si="50"/>
        <v>0.64587507180892034</v>
      </c>
      <c r="N101" s="2">
        <f t="shared" si="51"/>
        <v>0.35412492819107977</v>
      </c>
      <c r="O101" s="2" t="str">
        <f t="shared" si="52"/>
        <v>OK</v>
      </c>
      <c r="P101" s="2">
        <f t="shared" si="53"/>
        <v>3.330191798509461E-20</v>
      </c>
      <c r="Q101" s="2">
        <f t="shared" si="54"/>
        <v>3.8225525988296425E-20</v>
      </c>
      <c r="R101" s="2">
        <f t="shared" si="36"/>
        <v>7.1527443973391028E-20</v>
      </c>
      <c r="S101" s="56">
        <f t="shared" si="37"/>
        <v>7.8982146614509394E-19</v>
      </c>
      <c r="T101" s="56">
        <f t="shared" si="38"/>
        <v>5.114283771541432E-17</v>
      </c>
      <c r="U101" s="56">
        <f t="shared" si="39"/>
        <v>1.0518456705587994E-15</v>
      </c>
      <c r="V101" s="56">
        <f t="shared" si="40"/>
        <v>8.9984534786739581E-18</v>
      </c>
      <c r="W101" s="56">
        <f t="shared" si="41"/>
        <v>3.5436576119372984E-18</v>
      </c>
      <c r="X101" s="56">
        <f t="shared" si="42"/>
        <v>1.11632044083097E-15</v>
      </c>
      <c r="Z101" s="119"/>
    </row>
    <row r="102" spans="2:26" x14ac:dyDescent="0.2">
      <c r="B102" s="119"/>
      <c r="C102" s="2">
        <f t="shared" si="55"/>
        <v>91</v>
      </c>
      <c r="D102" s="2">
        <f t="shared" si="55"/>
        <v>91</v>
      </c>
      <c r="E102" s="2">
        <f t="shared" si="43"/>
        <v>0.2491444216290212</v>
      </c>
      <c r="F102" s="2">
        <f t="shared" si="56"/>
        <v>62.279144421629262</v>
      </c>
      <c r="G102" s="2">
        <f t="shared" si="44"/>
        <v>2.3880539707246675E-20</v>
      </c>
      <c r="H102" s="2">
        <f t="shared" si="45"/>
        <v>2.3959200413055426E-20</v>
      </c>
      <c r="I102" s="2">
        <f t="shared" si="46"/>
        <v>2.0632604454126891E-20</v>
      </c>
      <c r="J102" s="2">
        <f t="shared" si="47"/>
        <v>2.3683085104001324E-20</v>
      </c>
      <c r="K102" s="2">
        <f t="shared" si="48"/>
        <v>1.4541765542490246E-20</v>
      </c>
      <c r="L102" s="79">
        <f t="shared" si="49"/>
        <v>3.0373786239494757E-20</v>
      </c>
      <c r="M102" s="2">
        <f t="shared" si="50"/>
        <v>0.64587507180892034</v>
      </c>
      <c r="N102" s="2">
        <f t="shared" si="51"/>
        <v>0.35412492819107977</v>
      </c>
      <c r="O102" s="2" t="str">
        <f t="shared" si="52"/>
        <v>OK</v>
      </c>
      <c r="P102" s="2">
        <f t="shared" si="53"/>
        <v>2.0632604454126891E-20</v>
      </c>
      <c r="Q102" s="2">
        <f t="shared" si="54"/>
        <v>2.3683085104001324E-20</v>
      </c>
      <c r="R102" s="2">
        <f t="shared" si="36"/>
        <v>4.4315689558128219E-20</v>
      </c>
      <c r="S102" s="56">
        <f t="shared" si="37"/>
        <v>4.8934340381368265E-19</v>
      </c>
      <c r="T102" s="56">
        <f t="shared" si="38"/>
        <v>3.168616119095726E-17</v>
      </c>
      <c r="U102" s="56">
        <f t="shared" si="39"/>
        <v>6.5168365609269631E-16</v>
      </c>
      <c r="V102" s="56">
        <f t="shared" si="40"/>
        <v>5.5751002512059803E-18</v>
      </c>
      <c r="W102" s="56">
        <f t="shared" si="41"/>
        <v>2.1955157616051778E-18</v>
      </c>
      <c r="X102" s="56">
        <f t="shared" si="42"/>
        <v>6.9162977670027845E-16</v>
      </c>
      <c r="Z102" s="119"/>
    </row>
    <row r="103" spans="2:26" x14ac:dyDescent="0.2">
      <c r="B103" s="119"/>
      <c r="C103" s="2">
        <f t="shared" si="55"/>
        <v>92</v>
      </c>
      <c r="D103" s="2">
        <f t="shared" si="55"/>
        <v>92</v>
      </c>
      <c r="E103" s="2">
        <f t="shared" si="43"/>
        <v>0.2518822724161533</v>
      </c>
      <c r="F103" s="2">
        <f t="shared" si="56"/>
        <v>62.281882272416397</v>
      </c>
      <c r="G103" s="2">
        <f t="shared" si="44"/>
        <v>1.4795476048893764E-20</v>
      </c>
      <c r="H103" s="2">
        <f t="shared" si="45"/>
        <v>1.4844211236751738E-20</v>
      </c>
      <c r="I103" s="2">
        <f t="shared" si="46"/>
        <v>1.2783178637068143E-20</v>
      </c>
      <c r="J103" s="2">
        <f t="shared" si="47"/>
        <v>1.467314067084643E-20</v>
      </c>
      <c r="K103" s="2">
        <f t="shared" si="48"/>
        <v>9.0095260170042973E-21</v>
      </c>
      <c r="L103" s="79">
        <f t="shared" si="49"/>
        <v>1.8818445157849279E-20</v>
      </c>
      <c r="M103" s="2">
        <f t="shared" si="50"/>
        <v>0.64587507180892034</v>
      </c>
      <c r="N103" s="2">
        <f t="shared" si="51"/>
        <v>0.35412492819107977</v>
      </c>
      <c r="O103" s="2" t="str">
        <f t="shared" si="52"/>
        <v>OK</v>
      </c>
      <c r="P103" s="2">
        <f t="shared" si="53"/>
        <v>1.2783178637068143E-20</v>
      </c>
      <c r="Q103" s="2">
        <f t="shared" si="54"/>
        <v>1.467314067084643E-20</v>
      </c>
      <c r="R103" s="2">
        <f t="shared" si="36"/>
        <v>2.7456319307914573E-20</v>
      </c>
      <c r="S103" s="56">
        <f t="shared" si="37"/>
        <v>3.0317860063323674E-19</v>
      </c>
      <c r="T103" s="56">
        <f t="shared" si="38"/>
        <v>1.9631542868352E-17</v>
      </c>
      <c r="U103" s="56">
        <f t="shared" si="39"/>
        <v>4.0375845953971895E-16</v>
      </c>
      <c r="V103" s="56">
        <f t="shared" si="40"/>
        <v>3.4541205202271374E-18</v>
      </c>
      <c r="W103" s="56">
        <f t="shared" si="41"/>
        <v>1.3602582380473089E-18</v>
      </c>
      <c r="X103" s="56">
        <f t="shared" si="42"/>
        <v>4.285075597669786E-16</v>
      </c>
      <c r="Z103" s="119"/>
    </row>
    <row r="104" spans="2:26" x14ac:dyDescent="0.2">
      <c r="B104" s="119"/>
      <c r="C104" s="2">
        <f t="shared" si="55"/>
        <v>93</v>
      </c>
      <c r="D104" s="2">
        <f t="shared" si="55"/>
        <v>93</v>
      </c>
      <c r="E104" s="2">
        <f t="shared" si="43"/>
        <v>0.25462012320328542</v>
      </c>
      <c r="F104" s="2">
        <f t="shared" si="56"/>
        <v>62.284620123203531</v>
      </c>
      <c r="G104" s="2">
        <f t="shared" si="44"/>
        <v>9.1667154175314067E-21</v>
      </c>
      <c r="H104" s="2">
        <f t="shared" si="45"/>
        <v>9.1969098902497998E-21</v>
      </c>
      <c r="I104" s="2">
        <f t="shared" si="46"/>
        <v>7.9199723152018507E-21</v>
      </c>
      <c r="J104" s="2">
        <f t="shared" si="47"/>
        <v>9.0909210603677601E-21</v>
      </c>
      <c r="K104" s="2">
        <f t="shared" si="48"/>
        <v>5.5819603757121815E-21</v>
      </c>
      <c r="L104" s="79">
        <f t="shared" si="49"/>
        <v>1.1659194391066861E-20</v>
      </c>
      <c r="M104" s="2">
        <f t="shared" si="50"/>
        <v>0.64587507180892034</v>
      </c>
      <c r="N104" s="2">
        <f t="shared" si="51"/>
        <v>0.35412492819107977</v>
      </c>
      <c r="O104" s="2" t="str">
        <f t="shared" si="52"/>
        <v>OK</v>
      </c>
      <c r="P104" s="2">
        <f t="shared" si="53"/>
        <v>7.9199723152018507E-21</v>
      </c>
      <c r="Q104" s="2">
        <f t="shared" si="54"/>
        <v>9.0909210603677601E-21</v>
      </c>
      <c r="R104" s="2">
        <f t="shared" si="36"/>
        <v>1.7010893375569611E-20</v>
      </c>
      <c r="S104" s="56">
        <f t="shared" si="37"/>
        <v>1.878379542169636E-19</v>
      </c>
      <c r="T104" s="56">
        <f t="shared" si="38"/>
        <v>1.2162958872466028E-17</v>
      </c>
      <c r="U104" s="56">
        <f t="shared" si="39"/>
        <v>2.501534174223614E-16</v>
      </c>
      <c r="V104" s="56">
        <f t="shared" si="40"/>
        <v>2.1400419778412666E-18</v>
      </c>
      <c r="W104" s="56">
        <f t="shared" si="41"/>
        <v>8.4276437752502523E-19</v>
      </c>
      <c r="X104" s="56">
        <f t="shared" si="42"/>
        <v>2.6548702060441068E-16</v>
      </c>
      <c r="Z104" s="119"/>
    </row>
    <row r="105" spans="2:26" x14ac:dyDescent="0.2">
      <c r="B105" s="119"/>
      <c r="C105" s="2">
        <f t="shared" si="55"/>
        <v>94</v>
      </c>
      <c r="D105" s="2">
        <f t="shared" si="55"/>
        <v>94</v>
      </c>
      <c r="E105" s="2">
        <f t="shared" si="43"/>
        <v>0.25735797399041754</v>
      </c>
      <c r="F105" s="2">
        <f t="shared" si="56"/>
        <v>62.287357973990666</v>
      </c>
      <c r="G105" s="2">
        <f t="shared" si="44"/>
        <v>5.6793489623668239E-21</v>
      </c>
      <c r="H105" s="2">
        <f t="shared" si="45"/>
        <v>5.6980563116726015E-21</v>
      </c>
      <c r="I105" s="2">
        <f t="shared" si="46"/>
        <v>4.9069142546184525E-21</v>
      </c>
      <c r="J105" s="2">
        <f t="shared" si="47"/>
        <v>5.6323896553409552E-21</v>
      </c>
      <c r="K105" s="2">
        <f t="shared" si="48"/>
        <v>3.4583707930043949E-21</v>
      </c>
      <c r="L105" s="79">
        <f t="shared" si="49"/>
        <v>7.223594335687447E-21</v>
      </c>
      <c r="M105" s="2">
        <f t="shared" si="50"/>
        <v>0.64587507180892034</v>
      </c>
      <c r="N105" s="2">
        <f t="shared" si="51"/>
        <v>0.35412492819107977</v>
      </c>
      <c r="O105" s="2" t="str">
        <f t="shared" si="52"/>
        <v>OK</v>
      </c>
      <c r="P105" s="2">
        <f t="shared" si="53"/>
        <v>4.9069142546184525E-21</v>
      </c>
      <c r="Q105" s="2">
        <f t="shared" si="54"/>
        <v>5.6323896553409552E-21</v>
      </c>
      <c r="R105" s="2">
        <f t="shared" si="36"/>
        <v>1.0539303909959408E-20</v>
      </c>
      <c r="S105" s="56">
        <f t="shared" si="37"/>
        <v>1.1637726729630572E-19</v>
      </c>
      <c r="T105" s="56">
        <f t="shared" si="38"/>
        <v>7.5357076886600769E-18</v>
      </c>
      <c r="U105" s="56">
        <f t="shared" si="39"/>
        <v>1.5498556319890637E-16</v>
      </c>
      <c r="V105" s="56">
        <f t="shared" si="40"/>
        <v>1.3258887870599262E-18</v>
      </c>
      <c r="W105" s="56">
        <f t="shared" si="41"/>
        <v>5.2214482232780363E-19</v>
      </c>
      <c r="X105" s="56">
        <f t="shared" si="42"/>
        <v>1.6448568176425049E-16</v>
      </c>
      <c r="Z105" s="119"/>
    </row>
    <row r="106" spans="2:26" x14ac:dyDescent="0.2">
      <c r="B106" s="119"/>
      <c r="C106" s="2">
        <f t="shared" si="55"/>
        <v>95</v>
      </c>
      <c r="D106" s="2">
        <f t="shared" si="55"/>
        <v>95</v>
      </c>
      <c r="E106" s="2">
        <f t="shared" si="43"/>
        <v>0.26009582477754961</v>
      </c>
      <c r="F106" s="2">
        <f t="shared" si="56"/>
        <v>62.290095824777801</v>
      </c>
      <c r="G106" s="2">
        <f t="shared" si="44"/>
        <v>3.5187090650429924E-21</v>
      </c>
      <c r="H106" s="2">
        <f t="shared" si="45"/>
        <v>3.5302994286606091E-21</v>
      </c>
      <c r="I106" s="2">
        <f t="shared" si="46"/>
        <v>3.0401378368409248E-21</v>
      </c>
      <c r="J106" s="2">
        <f t="shared" si="47"/>
        <v>3.4896148606870057E-21</v>
      </c>
      <c r="K106" s="2">
        <f t="shared" si="48"/>
        <v>2.1426752855406778E-21</v>
      </c>
      <c r="L106" s="79">
        <f t="shared" si="49"/>
        <v>4.4754648885994841E-21</v>
      </c>
      <c r="M106" s="2">
        <f t="shared" si="50"/>
        <v>0.64587507180892034</v>
      </c>
      <c r="N106" s="2">
        <f t="shared" si="51"/>
        <v>0.35412492819107977</v>
      </c>
      <c r="O106" s="2" t="str">
        <f t="shared" si="52"/>
        <v>OK</v>
      </c>
      <c r="P106" s="2">
        <f t="shared" si="53"/>
        <v>3.0401378368409248E-21</v>
      </c>
      <c r="Q106" s="2">
        <f t="shared" si="54"/>
        <v>3.4896148606870057E-21</v>
      </c>
      <c r="R106" s="2">
        <f t="shared" si="36"/>
        <v>6.5297526975279305E-21</v>
      </c>
      <c r="S106" s="56">
        <f t="shared" si="37"/>
        <v>7.2102937874376956E-20</v>
      </c>
      <c r="T106" s="56">
        <f t="shared" si="38"/>
        <v>4.6688384762594458E-18</v>
      </c>
      <c r="U106" s="56">
        <f t="shared" si="39"/>
        <v>9.6023172689764695E-17</v>
      </c>
      <c r="V106" s="56">
        <f t="shared" si="40"/>
        <v>8.2147037013945784E-19</v>
      </c>
      <c r="W106" s="56">
        <f t="shared" si="41"/>
        <v>3.2350111461093158E-19</v>
      </c>
      <c r="X106" s="56">
        <f t="shared" si="42"/>
        <v>1.019090855886489E-16</v>
      </c>
      <c r="Z106" s="119"/>
    </row>
    <row r="107" spans="2:26" x14ac:dyDescent="0.2">
      <c r="B107" s="119"/>
      <c r="C107" s="2">
        <f t="shared" si="55"/>
        <v>96</v>
      </c>
      <c r="D107" s="2">
        <f t="shared" si="55"/>
        <v>96</v>
      </c>
      <c r="E107" s="2">
        <f t="shared" si="43"/>
        <v>0.26283367556468173</v>
      </c>
      <c r="F107" s="2">
        <f t="shared" si="56"/>
        <v>62.292833675564935</v>
      </c>
      <c r="G107" s="2">
        <f t="shared" si="44"/>
        <v>2.1800585888379562E-21</v>
      </c>
      <c r="H107" s="2">
        <f t="shared" si="45"/>
        <v>2.1872395382387932E-21</v>
      </c>
      <c r="I107" s="2">
        <f t="shared" si="46"/>
        <v>1.8835540193702613E-21</v>
      </c>
      <c r="J107" s="2">
        <f t="shared" si="47"/>
        <v>2.1620329240503222E-21</v>
      </c>
      <c r="K107" s="2">
        <f t="shared" si="48"/>
        <v>1.327520284566835E-21</v>
      </c>
      <c r="L107" s="79">
        <f t="shared" si="49"/>
        <v>2.7728281847350748E-21</v>
      </c>
      <c r="M107" s="2">
        <f t="shared" si="50"/>
        <v>0.64587507180892034</v>
      </c>
      <c r="N107" s="2">
        <f t="shared" si="51"/>
        <v>0.35412492819107977</v>
      </c>
      <c r="O107" s="2" t="str">
        <f t="shared" si="52"/>
        <v>OK</v>
      </c>
      <c r="P107" s="2">
        <f t="shared" si="53"/>
        <v>1.8835540193702613E-21</v>
      </c>
      <c r="Q107" s="2">
        <f t="shared" si="54"/>
        <v>2.1620329240503222E-21</v>
      </c>
      <c r="R107" s="2">
        <f>SUM(P107:Q107)</f>
        <v>4.0455869434205835E-21</v>
      </c>
      <c r="S107" s="56">
        <f t="shared" si="37"/>
        <v>4.4672243737083301E-20</v>
      </c>
      <c r="T107" s="56">
        <f t="shared" si="38"/>
        <v>2.8926351204151515E-18</v>
      </c>
      <c r="U107" s="56">
        <f t="shared" si="39"/>
        <v>5.9492313368406899E-17</v>
      </c>
      <c r="V107" s="56">
        <f t="shared" si="40"/>
        <v>5.0895186353707224E-19</v>
      </c>
      <c r="W107" s="56">
        <f t="shared" si="41"/>
        <v>2.0042901256390078E-19</v>
      </c>
      <c r="X107" s="56">
        <f t="shared" si="42"/>
        <v>6.3139001608660106E-17</v>
      </c>
      <c r="Z107" s="119"/>
    </row>
    <row r="108" spans="2:26" x14ac:dyDescent="0.2">
      <c r="B108" s="119"/>
      <c r="C108" s="2">
        <f t="shared" si="55"/>
        <v>97</v>
      </c>
      <c r="D108" s="2">
        <f t="shared" si="55"/>
        <v>97</v>
      </c>
      <c r="E108" s="2">
        <f t="shared" si="43"/>
        <v>0.2655715263518138</v>
      </c>
      <c r="F108" s="2">
        <f t="shared" si="56"/>
        <v>62.29557152635207</v>
      </c>
      <c r="G108" s="2">
        <f t="shared" si="44"/>
        <v>1.3506815604569091E-21</v>
      </c>
      <c r="H108" s="2">
        <f t="shared" si="45"/>
        <v>1.3551306041624065E-21</v>
      </c>
      <c r="I108" s="2">
        <f t="shared" si="46"/>
        <v>1.1669785826462529E-21</v>
      </c>
      <c r="J108" s="2">
        <f t="shared" si="47"/>
        <v>1.3395135426943166E-21</v>
      </c>
      <c r="K108" s="2">
        <f t="shared" si="48"/>
        <v>8.2248118407344818E-22</v>
      </c>
      <c r="L108" s="79">
        <f t="shared" si="49"/>
        <v>1.7179391043032428E-21</v>
      </c>
      <c r="M108" s="2">
        <f t="shared" si="50"/>
        <v>0.64587507180892034</v>
      </c>
      <c r="N108" s="2">
        <f t="shared" si="51"/>
        <v>0.35412492819107977</v>
      </c>
      <c r="O108" s="2" t="str">
        <f t="shared" si="52"/>
        <v>OK</v>
      </c>
      <c r="P108" s="2">
        <f t="shared" si="53"/>
        <v>1.1669785826462529E-21</v>
      </c>
      <c r="Q108" s="2">
        <f t="shared" si="54"/>
        <v>1.3395135426943166E-21</v>
      </c>
      <c r="R108" s="2">
        <f>SUM(P108:Q108)</f>
        <v>2.5064921253405692E-21</v>
      </c>
      <c r="S108" s="56">
        <f t="shared" si="37"/>
        <v>2.767722674466158E-20</v>
      </c>
      <c r="T108" s="56">
        <f t="shared" si="38"/>
        <v>1.7921669345397604E-18</v>
      </c>
      <c r="U108" s="56">
        <f t="shared" si="39"/>
        <v>3.6859179412450219E-17</v>
      </c>
      <c r="V108" s="56">
        <f t="shared" si="40"/>
        <v>3.1532725806517374E-19</v>
      </c>
      <c r="W108" s="56">
        <f t="shared" si="41"/>
        <v>1.2417820917140923E-19</v>
      </c>
      <c r="X108" s="56">
        <f t="shared" si="42"/>
        <v>3.9118529040971229E-17</v>
      </c>
      <c r="Z108" s="119"/>
    </row>
    <row r="109" spans="2:26" x14ac:dyDescent="0.2">
      <c r="B109" s="119"/>
      <c r="C109" s="2">
        <f t="shared" si="55"/>
        <v>98</v>
      </c>
      <c r="D109" s="2">
        <f t="shared" si="55"/>
        <v>98</v>
      </c>
      <c r="E109" s="2">
        <f t="shared" si="43"/>
        <v>0.26830937713894593</v>
      </c>
      <c r="F109" s="2">
        <f t="shared" si="56"/>
        <v>62.298309377139205</v>
      </c>
      <c r="G109" s="2">
        <f t="shared" si="44"/>
        <v>8.3683103155991124E-22</v>
      </c>
      <c r="H109" s="2">
        <f t="shared" si="45"/>
        <v>8.3958749018237656E-22</v>
      </c>
      <c r="I109" s="2">
        <f t="shared" si="46"/>
        <v>7.2301563870749393E-22</v>
      </c>
      <c r="J109" s="2">
        <f t="shared" si="47"/>
        <v>8.2991175162127912E-22</v>
      </c>
      <c r="K109" s="2">
        <f t="shared" si="48"/>
        <v>5.0957812548649144E-22</v>
      </c>
      <c r="L109" s="79">
        <f t="shared" si="49"/>
        <v>1.0643698669617376E-21</v>
      </c>
      <c r="M109" s="2">
        <f t="shared" si="50"/>
        <v>0.64587507180892034</v>
      </c>
      <c r="N109" s="2">
        <f t="shared" si="51"/>
        <v>0.35412492819107977</v>
      </c>
      <c r="O109" s="2" t="str">
        <f t="shared" si="52"/>
        <v>OK</v>
      </c>
      <c r="P109" s="2">
        <f t="shared" si="53"/>
        <v>7.2301563870749393E-22</v>
      </c>
      <c r="Q109" s="2">
        <f t="shared" si="54"/>
        <v>8.2991175162127912E-22</v>
      </c>
      <c r="R109" s="2">
        <f>SUM(P109:Q109)</f>
        <v>1.552927390328773E-21</v>
      </c>
      <c r="S109" s="56">
        <f t="shared" si="37"/>
        <v>1.7147759239133864E-20</v>
      </c>
      <c r="T109" s="56">
        <f t="shared" si="38"/>
        <v>1.1103586133589759E-18</v>
      </c>
      <c r="U109" s="56">
        <f t="shared" si="39"/>
        <v>2.2836548623450765E-17</v>
      </c>
      <c r="V109" s="56">
        <f t="shared" si="40"/>
        <v>1.953648012758638E-19</v>
      </c>
      <c r="W109" s="56">
        <f t="shared" si="41"/>
        <v>7.6936105385950483E-20</v>
      </c>
      <c r="X109" s="56">
        <f t="shared" si="42"/>
        <v>2.4236355902710689E-17</v>
      </c>
      <c r="Z109" s="119"/>
    </row>
    <row r="110" spans="2:26" x14ac:dyDescent="0.2">
      <c r="B110" s="119"/>
      <c r="C110" s="2">
        <f t="shared" si="55"/>
        <v>99</v>
      </c>
      <c r="D110" s="2">
        <f t="shared" si="55"/>
        <v>99</v>
      </c>
      <c r="E110" s="2">
        <f t="shared" si="43"/>
        <v>0.27104722792607805</v>
      </c>
      <c r="F110" s="2">
        <f t="shared" si="56"/>
        <v>62.30104722792634</v>
      </c>
      <c r="G110" s="2">
        <f t="shared" si="44"/>
        <v>5.1846874635997249E-22</v>
      </c>
      <c r="H110" s="2">
        <f t="shared" si="45"/>
        <v>5.2017654350477816E-22</v>
      </c>
      <c r="I110" s="2">
        <f t="shared" si="46"/>
        <v>4.4795304865853528E-22</v>
      </c>
      <c r="J110" s="2">
        <f t="shared" si="47"/>
        <v>5.1418182312194551E-22</v>
      </c>
      <c r="K110" s="2">
        <f t="shared" si="48"/>
        <v>3.1571526620010513E-22</v>
      </c>
      <c r="L110" s="79">
        <f t="shared" si="49"/>
        <v>6.5944317284495301E-22</v>
      </c>
      <c r="M110" s="2">
        <f t="shared" si="50"/>
        <v>0.64587507180892034</v>
      </c>
      <c r="N110" s="2">
        <f t="shared" si="51"/>
        <v>0.35412492819107977</v>
      </c>
      <c r="O110" s="2" t="str">
        <f t="shared" si="52"/>
        <v>OK</v>
      </c>
      <c r="P110" s="2">
        <f t="shared" si="53"/>
        <v>4.4795304865853528E-22</v>
      </c>
      <c r="Q110" s="2">
        <f t="shared" si="54"/>
        <v>5.1418182312194551E-22</v>
      </c>
      <c r="R110" s="2">
        <f>SUM(P110:Q110)</f>
        <v>9.6213487178048079E-22</v>
      </c>
      <c r="S110" s="56">
        <f t="shared" si="37"/>
        <v>1.0624100804464336E-20</v>
      </c>
      <c r="T110" s="56">
        <f t="shared" si="38"/>
        <v>6.8793605467176156E-19</v>
      </c>
      <c r="U110" s="56">
        <f t="shared" si="39"/>
        <v>1.4148658796649096E-17</v>
      </c>
      <c r="V110" s="56">
        <f t="shared" si="40"/>
        <v>1.2104061606265919E-19</v>
      </c>
      <c r="W110" s="56">
        <f t="shared" si="41"/>
        <v>4.766669089089188E-20</v>
      </c>
      <c r="X110" s="56">
        <f t="shared" si="42"/>
        <v>1.5015926259078876E-17</v>
      </c>
      <c r="Z110" s="119"/>
    </row>
    <row r="111" spans="2:26" x14ac:dyDescent="0.2">
      <c r="B111" s="119"/>
      <c r="C111" s="2">
        <f t="shared" si="55"/>
        <v>100</v>
      </c>
      <c r="D111" s="2">
        <f t="shared" si="55"/>
        <v>100</v>
      </c>
      <c r="E111" s="2">
        <f t="shared" si="43"/>
        <v>0.27378507871321012</v>
      </c>
      <c r="F111" s="2">
        <f t="shared" si="56"/>
        <v>62.303785078713474</v>
      </c>
      <c r="G111" s="2">
        <f t="shared" si="44"/>
        <v>3.2122355746177495E-22</v>
      </c>
      <c r="H111" s="2">
        <f t="shared" si="45"/>
        <v>3.2228164375555632E-22</v>
      </c>
      <c r="I111" s="2">
        <f t="shared" si="46"/>
        <v>2.7753470749428241E-22</v>
      </c>
      <c r="J111" s="2">
        <f t="shared" si="47"/>
        <v>3.1856754252789015E-22</v>
      </c>
      <c r="K111" s="2">
        <f t="shared" si="48"/>
        <v>1.9560519638994118E-22</v>
      </c>
      <c r="L111" s="79">
        <f t="shared" si="49"/>
        <v>4.0856596161741136E-22</v>
      </c>
      <c r="M111" s="2">
        <f t="shared" si="50"/>
        <v>0.64587507180892034</v>
      </c>
      <c r="N111" s="2">
        <f t="shared" si="51"/>
        <v>0.35412492819107977</v>
      </c>
      <c r="O111" s="2" t="str">
        <f t="shared" si="52"/>
        <v>OK</v>
      </c>
      <c r="P111" s="2">
        <f t="shared" si="53"/>
        <v>2.7753470749428241E-22</v>
      </c>
      <c r="Q111" s="2">
        <f t="shared" si="54"/>
        <v>3.1856754252789015E-22</v>
      </c>
      <c r="R111" s="2">
        <f>SUM(P111:Q111)</f>
        <v>5.9610225002217256E-22</v>
      </c>
      <c r="S111" s="56">
        <f t="shared" si="37"/>
        <v>6.5822896350112776E-21</v>
      </c>
      <c r="T111" s="56">
        <f t="shared" si="38"/>
        <v>4.2621906978835358E-19</v>
      </c>
      <c r="U111" s="56">
        <f t="shared" si="39"/>
        <v>7.8960155287340254E-18</v>
      </c>
      <c r="V111" s="56">
        <f t="shared" si="40"/>
        <v>7.4992171778888902E-20</v>
      </c>
      <c r="W111" s="56">
        <f t="shared" si="41"/>
        <v>2.9532472550953323E-20</v>
      </c>
      <c r="X111" s="56">
        <f t="shared" si="42"/>
        <v>8.4333415324872336E-18</v>
      </c>
      <c r="Z111" s="119"/>
    </row>
    <row r="112" spans="2:26" x14ac:dyDescent="0.2">
      <c r="B112" s="119"/>
      <c r="C112" s="1"/>
      <c r="D112" s="1"/>
      <c r="E112" s="1"/>
      <c r="F112" s="1"/>
      <c r="G112" s="1"/>
      <c r="H112" s="1"/>
      <c r="I112" s="1"/>
      <c r="J112" s="1"/>
      <c r="K112" s="1"/>
      <c r="L112" s="1"/>
      <c r="M112" s="1"/>
      <c r="N112" s="1"/>
      <c r="O112" s="1"/>
      <c r="P112" s="1"/>
      <c r="Q112" s="1"/>
      <c r="R112" s="1"/>
      <c r="S112" s="1"/>
      <c r="T112" s="1"/>
      <c r="U112" s="1"/>
      <c r="V112" s="1"/>
      <c r="W112" s="1"/>
      <c r="X112" s="1"/>
      <c r="Z112" s="119"/>
    </row>
    <row r="113" spans="1:26" ht="16" thickBot="1" x14ac:dyDescent="0.25">
      <c r="A113" s="93"/>
      <c r="B113" s="98"/>
      <c r="C113" s="95"/>
      <c r="D113" s="95"/>
      <c r="E113" s="95"/>
      <c r="F113" s="95"/>
      <c r="G113" s="95"/>
      <c r="H113" s="95"/>
      <c r="I113" s="95"/>
      <c r="J113" s="95"/>
      <c r="K113" s="95"/>
      <c r="L113" s="95"/>
      <c r="M113" s="95"/>
      <c r="N113" s="95"/>
      <c r="O113" s="95"/>
      <c r="P113" s="95"/>
      <c r="Q113" s="95"/>
      <c r="R113" s="95"/>
      <c r="S113" s="95"/>
      <c r="T113" s="95"/>
      <c r="U113" s="95"/>
      <c r="V113" s="95"/>
      <c r="W113" s="95"/>
      <c r="X113" s="95"/>
      <c r="Y113" s="95"/>
      <c r="Z113" s="94"/>
    </row>
  </sheetData>
  <mergeCells count="3">
    <mergeCell ref="P8:Q8"/>
    <mergeCell ref="S8:W8"/>
    <mergeCell ref="G8:N8"/>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FAC1A-CAB7-4CF0-A53D-0973ED245F3A}">
  <sheetPr codeName="Sheet11">
    <tabColor theme="2" tint="-0.499984740745262"/>
  </sheetPr>
  <dimension ref="A3:Z113"/>
  <sheetViews>
    <sheetView showGridLines="0" zoomScaleNormal="100" workbookViewId="0">
      <selection activeCell="G12" sqref="G12"/>
    </sheetView>
  </sheetViews>
  <sheetFormatPr baseColWidth="10" defaultColWidth="8.83203125" defaultRowHeight="15" x14ac:dyDescent="0.2"/>
  <cols>
    <col min="1" max="1" width="11.83203125" customWidth="1"/>
    <col min="2" max="2" width="8.1640625" customWidth="1"/>
    <col min="7" max="7" width="21.83203125" bestFit="1" customWidth="1"/>
    <col min="8" max="8" width="19.33203125" bestFit="1" customWidth="1"/>
    <col min="9" max="9" width="19.5" bestFit="1" customWidth="1"/>
    <col min="10" max="10" width="17.1640625" bestFit="1" customWidth="1"/>
    <col min="11" max="11" width="19.5" bestFit="1" customWidth="1"/>
    <col min="12" max="12" width="12.6640625" customWidth="1"/>
    <col min="13" max="13" width="10.83203125" customWidth="1"/>
    <col min="15" max="15" width="7.5" customWidth="1"/>
    <col min="16" max="16" width="19.5" bestFit="1" customWidth="1"/>
    <col min="17" max="17" width="17" bestFit="1" customWidth="1"/>
    <col min="18" max="18" width="17.6640625" bestFit="1" customWidth="1"/>
    <col min="19" max="19" width="21.83203125" bestFit="1" customWidth="1"/>
    <col min="20" max="20" width="19.1640625" bestFit="1" customWidth="1"/>
    <col min="21" max="21" width="20.5" bestFit="1" customWidth="1"/>
    <col min="22" max="22" width="18.6640625" bestFit="1" customWidth="1"/>
    <col min="23" max="23" width="19.33203125" bestFit="1" customWidth="1"/>
    <col min="24" max="24" width="12.6640625" bestFit="1" customWidth="1"/>
  </cols>
  <sheetData>
    <row r="3" spans="2:26" ht="26" x14ac:dyDescent="0.3">
      <c r="I3" s="96" t="s">
        <v>279</v>
      </c>
    </row>
    <row r="4" spans="2:26" ht="16" thickBot="1" x14ac:dyDescent="0.25"/>
    <row r="5" spans="2:26" ht="16" thickBot="1" x14ac:dyDescent="0.25">
      <c r="B5" s="90"/>
      <c r="C5" s="91"/>
      <c r="D5" s="91"/>
      <c r="E5" s="91"/>
      <c r="F5" s="91"/>
      <c r="G5" s="91"/>
      <c r="H5" s="91"/>
      <c r="I5" s="91"/>
      <c r="J5" s="91"/>
      <c r="K5" s="91"/>
      <c r="L5" s="91"/>
      <c r="M5" s="91"/>
      <c r="N5" s="91"/>
      <c r="O5" s="91"/>
      <c r="P5" s="91"/>
      <c r="Q5" s="91"/>
      <c r="R5" s="91"/>
      <c r="S5" s="91"/>
      <c r="T5" s="91"/>
      <c r="U5" s="91"/>
      <c r="V5" s="91"/>
      <c r="W5" s="91"/>
      <c r="X5" s="91"/>
      <c r="Y5" s="92"/>
    </row>
    <row r="6" spans="2:26" x14ac:dyDescent="0.2">
      <c r="B6" s="119"/>
      <c r="Z6" s="119"/>
    </row>
    <row r="7" spans="2:26" x14ac:dyDescent="0.2">
      <c r="B7" s="119"/>
      <c r="G7" s="1"/>
      <c r="H7" s="1"/>
      <c r="I7" s="1"/>
      <c r="J7" s="1"/>
      <c r="K7" s="1"/>
      <c r="L7" s="1"/>
      <c r="M7" s="1"/>
      <c r="N7" s="1"/>
      <c r="O7" s="1"/>
      <c r="P7" s="1"/>
      <c r="Q7" s="1"/>
      <c r="R7" s="1">
        <f>AVERAGE(R11:R111)</f>
        <v>8.8872453952228911E-3</v>
      </c>
      <c r="S7" s="1"/>
      <c r="T7" s="1"/>
      <c r="U7" s="1"/>
      <c r="V7" s="1"/>
      <c r="W7" s="1"/>
      <c r="Z7" s="119"/>
    </row>
    <row r="8" spans="2:26" x14ac:dyDescent="0.2">
      <c r="B8" s="119"/>
      <c r="C8" s="1"/>
      <c r="D8" s="1"/>
      <c r="E8" s="1"/>
      <c r="F8" s="1"/>
      <c r="G8" s="212" t="s">
        <v>115</v>
      </c>
      <c r="H8" s="214"/>
      <c r="I8" s="214"/>
      <c r="J8" s="214" t="s">
        <v>112</v>
      </c>
      <c r="K8" s="214"/>
      <c r="L8" s="214"/>
      <c r="M8" s="214"/>
      <c r="N8" s="213"/>
      <c r="O8" s="1"/>
      <c r="P8" s="212" t="s">
        <v>97</v>
      </c>
      <c r="Q8" s="213"/>
      <c r="R8" s="12"/>
      <c r="S8" s="212" t="s">
        <v>98</v>
      </c>
      <c r="T8" s="214"/>
      <c r="U8" s="214"/>
      <c r="V8" s="213"/>
      <c r="W8" s="1"/>
      <c r="X8" s="1"/>
      <c r="Z8" s="119"/>
    </row>
    <row r="9" spans="2:26" ht="30" customHeight="1" x14ac:dyDescent="0.2">
      <c r="B9" s="119"/>
      <c r="C9" s="101" t="s">
        <v>99</v>
      </c>
      <c r="D9" s="101" t="s">
        <v>100</v>
      </c>
      <c r="E9" s="101" t="s">
        <v>101</v>
      </c>
      <c r="F9" s="101" t="s">
        <v>31</v>
      </c>
      <c r="G9" s="101" t="s">
        <v>102</v>
      </c>
      <c r="H9" s="101" t="s">
        <v>103</v>
      </c>
      <c r="I9" s="101" t="s">
        <v>104</v>
      </c>
      <c r="J9" s="101" t="s">
        <v>105</v>
      </c>
      <c r="K9" s="101" t="s">
        <v>106</v>
      </c>
      <c r="L9" s="101" t="s">
        <v>107</v>
      </c>
      <c r="M9" s="101" t="s">
        <v>108</v>
      </c>
      <c r="N9" s="101" t="s">
        <v>109</v>
      </c>
      <c r="O9" s="101" t="s">
        <v>110</v>
      </c>
      <c r="P9" s="101" t="s">
        <v>60</v>
      </c>
      <c r="Q9" s="101" t="s">
        <v>61</v>
      </c>
      <c r="R9" s="101" t="s">
        <v>111</v>
      </c>
      <c r="S9" s="101" t="str">
        <f>"Drug Acquisition" &amp; "("&amp;c_currency&amp;")"</f>
        <v>Drug Acquisition(€)</v>
      </c>
      <c r="T9" s="101" t="str">
        <f>"Treatment Cost" &amp; "("&amp;c_currency&amp;")"</f>
        <v>Treatment Cost(€)</v>
      </c>
      <c r="U9" s="101" t="str">
        <f>"ICU Cost" &amp; "("&amp;c_currency&amp;")"</f>
        <v>ICU Cost(€)</v>
      </c>
      <c r="V9" s="101" t="str">
        <f>"Resource Use Cost" &amp; "("&amp;c_currency&amp;")"</f>
        <v>Resource Use Cost(€)</v>
      </c>
      <c r="W9" s="101" t="str">
        <f>"Adverse Event Cost" &amp; "("&amp;c_currency&amp;")"</f>
        <v>Adverse Event Cost(€)</v>
      </c>
      <c r="X9" s="101" t="s">
        <v>46</v>
      </c>
      <c r="Z9" s="119"/>
    </row>
    <row r="10" spans="2:26" x14ac:dyDescent="0.2">
      <c r="B10" s="119"/>
      <c r="C10" s="2"/>
      <c r="D10" s="2"/>
      <c r="E10" s="2"/>
      <c r="F10" s="2"/>
      <c r="G10" s="2"/>
      <c r="H10" s="2"/>
      <c r="I10" s="2"/>
      <c r="J10" s="2"/>
      <c r="K10" s="2"/>
      <c r="L10" s="2"/>
      <c r="M10" s="2"/>
      <c r="N10" s="2"/>
      <c r="O10" s="2"/>
      <c r="P10" s="10">
        <f t="shared" ref="P10:X10" si="0">SUM(P11:P111)</f>
        <v>0.45067339355615049</v>
      </c>
      <c r="Q10" s="10">
        <f t="shared" si="0"/>
        <v>0.44693839136136176</v>
      </c>
      <c r="R10" s="10">
        <f t="shared" si="0"/>
        <v>0.89761178491751203</v>
      </c>
      <c r="S10" s="61">
        <f t="shared" si="0"/>
        <v>5.0001797442180793</v>
      </c>
      <c r="T10" s="61">
        <f t="shared" si="0"/>
        <v>641.80140233387044</v>
      </c>
      <c r="U10" s="61">
        <f t="shared" si="0"/>
        <v>13801.661845494324</v>
      </c>
      <c r="V10" s="61">
        <f t="shared" si="0"/>
        <v>107.11181978895387</v>
      </c>
      <c r="W10" s="61">
        <f t="shared" si="0"/>
        <v>34.532155358216826</v>
      </c>
      <c r="X10" s="61">
        <f t="shared" si="0"/>
        <v>14590.107402719581</v>
      </c>
      <c r="Z10" s="119"/>
    </row>
    <row r="11" spans="2:26" x14ac:dyDescent="0.2">
      <c r="B11" s="119"/>
      <c r="C11" s="2">
        <v>0</v>
      </c>
      <c r="D11" s="2">
        <v>0</v>
      </c>
      <c r="E11" s="2">
        <f>D11*(1/365.25)</f>
        <v>0</v>
      </c>
      <c r="F11" s="11">
        <f>con_age</f>
        <v>62.03</v>
      </c>
      <c r="G11" s="2">
        <v>1</v>
      </c>
      <c r="H11" s="2"/>
      <c r="I11" s="2"/>
      <c r="J11" s="2"/>
      <c r="K11" s="2"/>
      <c r="L11" s="2"/>
      <c r="M11" s="2"/>
      <c r="N11" s="2"/>
      <c r="O11" s="2" t="str">
        <f>IF(ROUND(SUM(G11:N11),6)=$G$11,"OK","ERROR")</f>
        <v>OK</v>
      </c>
      <c r="P11" s="2">
        <f>I11</f>
        <v>0</v>
      </c>
      <c r="Q11" s="2">
        <f>J11</f>
        <v>0</v>
      </c>
      <c r="R11" s="2">
        <f t="shared" ref="R11:R42" si="1">SUM(P11:Q11)</f>
        <v>0</v>
      </c>
      <c r="S11" s="56">
        <f t="shared" ref="S11:S42" si="2">PVI1_cost_perpatient*(G11+H11+J11)</f>
        <v>2.1</v>
      </c>
      <c r="T11" s="56">
        <f t="shared" ref="T11:T42" si="3">treatment_cost*(I11+J11)</f>
        <v>0</v>
      </c>
      <c r="U11" s="56">
        <f t="shared" ref="U11:U42" si="4">ICU_Cost_without*(G12+H12+K12+L12)+ICU_cost_with*(I11+J11)</f>
        <v>465.02793550588291</v>
      </c>
      <c r="V11" s="56">
        <f t="shared" ref="V11:V42" si="5">Resource_cost*(H11+J11)</f>
        <v>0</v>
      </c>
      <c r="W11" s="56">
        <f t="shared" ref="W11:W42" si="6">IF(Incl_AE="Yes",Adverse_Event_Cost*K13,0)</f>
        <v>10.665008892061971</v>
      </c>
      <c r="X11" s="56">
        <f t="shared" ref="X11:X42" si="7">SUM(S11:W11)</f>
        <v>477.79294439794489</v>
      </c>
      <c r="Z11" s="119"/>
    </row>
    <row r="12" spans="2:26" x14ac:dyDescent="0.2">
      <c r="B12" s="119"/>
      <c r="C12" s="2">
        <f>C11+1</f>
        <v>1</v>
      </c>
      <c r="D12" s="2">
        <f>D11+1</f>
        <v>1</v>
      </c>
      <c r="E12" s="2">
        <f t="shared" ref="E12:E75" si="8">D12*(1/365.25)</f>
        <v>2.7378507871321013E-3</v>
      </c>
      <c r="F12" s="2">
        <f>F11+1/365.25</f>
        <v>62.032737850787136</v>
      </c>
      <c r="G12" s="2">
        <f t="shared" ref="G12:G43" si="9">G11*tp_pvi1_1_1+H11*tp_pvi1_2_1+I11*tp_pvi1_3_1+J11*tp_pvi1_4_1+L11*tp_pvi1_6_1</f>
        <v>0.14383092204949233</v>
      </c>
      <c r="H12" s="2">
        <f t="shared" ref="H12:H43" si="10">G11*tp_pvi1_1_2+I11*tp_pvi1_3_2+J11*tp_pvi1_4_2+H11*tp_pvi1_2_2+L11*tp_pvi1_6_2</f>
        <v>0.14465923066196321</v>
      </c>
      <c r="I12" s="2">
        <f t="shared" ref="I12:I43" si="11">G11*tp_pvi1_1_3+H11*tp_pvi1_2_3+I11*tp_pvi1_3_3+J11*tp_pvi1_4_3+L11*tp_pvi1_6_3</f>
        <v>0.13918728269213554</v>
      </c>
      <c r="J12" s="2">
        <f t="shared" ref="J12:J43" si="12">G11*tp_pvi1_1_4+H11*tp_pvi1_2_4+I11*tp_pvi1_3_4+J11*tp_pvi1_4_4+L11*tp_pvi1_6_4</f>
        <v>0.13803350342331627</v>
      </c>
      <c r="K12" s="2">
        <f t="shared" ref="K12:K43" si="13">G11*tp_pvi1_1_5+H11*tp_pvi1_2_5+I11*tp_pvi1_3_5+J11*tp_pvi1_4_5</f>
        <v>0.12471742097802914</v>
      </c>
      <c r="L12" s="2">
        <f t="shared" ref="L12:L43" si="14">K11*tp_pvi1_5_6+L11*tp_pvi1_6_6</f>
        <v>0</v>
      </c>
      <c r="M12" s="2">
        <f t="shared" ref="M12:M43" si="15">G11*tp_pvi1_1_7+H11*tp_pvi1_2_7+I11*tp_pvi1_3_7+J11*tp_pvi1_4_7+L11*tp_pvi1_6_7+M11</f>
        <v>0.1557155008352166</v>
      </c>
      <c r="N12" s="2">
        <f t="shared" ref="N12:N43" si="16">G11*tp_pvi1_1_8+H11*tp_pvi1_2_8+I11*tp_pvi1_3_8+J11*tp_pvi1_4_8+L11*tp_pvi1_6_8+N11</f>
        <v>0.15385613935984688</v>
      </c>
      <c r="O12" s="2" t="str">
        <f t="shared" ref="O12:O75" si="17">IF(ROUND(SUM(G12:N12),6)=$G$11,"OK","ERROR")</f>
        <v>OK</v>
      </c>
      <c r="P12" s="2">
        <f t="shared" ref="P12:P75" si="18">I12</f>
        <v>0.13918728269213554</v>
      </c>
      <c r="Q12" s="2">
        <f t="shared" ref="Q12:Q75" si="19">J12</f>
        <v>0.13803350342331627</v>
      </c>
      <c r="R12" s="2">
        <f t="shared" si="1"/>
        <v>0.27722078611545181</v>
      </c>
      <c r="S12" s="56">
        <f t="shared" si="2"/>
        <v>0.89569967788302074</v>
      </c>
      <c r="T12" s="56">
        <f t="shared" si="3"/>
        <v>198.2156342804092</v>
      </c>
      <c r="U12" s="56">
        <f t="shared" si="4"/>
        <v>4075.8324252551256</v>
      </c>
      <c r="V12" s="56">
        <f t="shared" si="5"/>
        <v>33.080703742659409</v>
      </c>
      <c r="W12" s="56">
        <f t="shared" si="6"/>
        <v>6.0405483109225466</v>
      </c>
      <c r="X12" s="56">
        <f t="shared" si="7"/>
        <v>4314.065011267</v>
      </c>
      <c r="Z12" s="119"/>
    </row>
    <row r="13" spans="2:26" x14ac:dyDescent="0.2">
      <c r="B13" s="119"/>
      <c r="C13" s="2">
        <f t="shared" ref="C13:D28" si="20">C12+1</f>
        <v>2</v>
      </c>
      <c r="D13" s="2">
        <f t="shared" si="20"/>
        <v>2</v>
      </c>
      <c r="E13" s="2">
        <f t="shared" si="8"/>
        <v>5.4757015742642025E-3</v>
      </c>
      <c r="F13" s="2">
        <f t="shared" ref="F13:F76" si="21">F12+1/365.25</f>
        <v>62.035475701574271</v>
      </c>
      <c r="G13" s="2">
        <f t="shared" si="9"/>
        <v>8.1464244788054654E-2</v>
      </c>
      <c r="H13" s="2">
        <f t="shared" si="10"/>
        <v>8.1933395972355605E-2</v>
      </c>
      <c r="I13" s="2">
        <f t="shared" si="11"/>
        <v>7.8834196955996999E-2</v>
      </c>
      <c r="J13" s="2">
        <f t="shared" si="12"/>
        <v>7.8180858425875077E-2</v>
      </c>
      <c r="K13" s="2">
        <f t="shared" si="13"/>
        <v>7.0638554060550862E-2</v>
      </c>
      <c r="L13" s="2">
        <f t="shared" si="14"/>
        <v>0.12471742097802914</v>
      </c>
      <c r="M13" s="2">
        <f t="shared" si="15"/>
        <v>0.24340977179079032</v>
      </c>
      <c r="N13" s="2">
        <f t="shared" si="16"/>
        <v>0.24082155702834729</v>
      </c>
      <c r="O13" s="2" t="str">
        <f t="shared" si="17"/>
        <v>OK</v>
      </c>
      <c r="P13" s="2">
        <f t="shared" si="18"/>
        <v>7.8834196955996999E-2</v>
      </c>
      <c r="Q13" s="2">
        <f t="shared" si="19"/>
        <v>7.8180858425875077E-2</v>
      </c>
      <c r="R13" s="2">
        <f t="shared" si="1"/>
        <v>0.15701505538187208</v>
      </c>
      <c r="S13" s="56">
        <f t="shared" si="2"/>
        <v>0.50731484829119922</v>
      </c>
      <c r="T13" s="56">
        <f t="shared" si="3"/>
        <v>112.26733474859235</v>
      </c>
      <c r="U13" s="56">
        <f t="shared" si="4"/>
        <v>2368.0171775488834</v>
      </c>
      <c r="V13" s="56">
        <f t="shared" si="5"/>
        <v>18.736570049680953</v>
      </c>
      <c r="W13" s="56">
        <f t="shared" si="6"/>
        <v>4.7279269303221412</v>
      </c>
      <c r="X13" s="56">
        <f t="shared" si="7"/>
        <v>2504.2563241257703</v>
      </c>
      <c r="Z13" s="119"/>
    </row>
    <row r="14" spans="2:26" x14ac:dyDescent="0.2">
      <c r="B14" s="119"/>
      <c r="C14" s="2">
        <f t="shared" si="20"/>
        <v>3</v>
      </c>
      <c r="D14" s="2">
        <f t="shared" si="20"/>
        <v>3</v>
      </c>
      <c r="E14" s="2">
        <f t="shared" si="8"/>
        <v>8.2135523613963042E-3</v>
      </c>
      <c r="F14" s="2">
        <f t="shared" si="21"/>
        <v>62.038213552361405</v>
      </c>
      <c r="G14" s="2">
        <f t="shared" si="9"/>
        <v>6.3761917074803762E-2</v>
      </c>
      <c r="H14" s="2">
        <f t="shared" si="10"/>
        <v>6.4129115647014706E-2</v>
      </c>
      <c r="I14" s="2">
        <f t="shared" si="11"/>
        <v>6.1703371104226856E-2</v>
      </c>
      <c r="J14" s="2">
        <f t="shared" si="12"/>
        <v>6.1192070645292501E-2</v>
      </c>
      <c r="K14" s="2">
        <f t="shared" si="13"/>
        <v>4.0008930394241263E-2</v>
      </c>
      <c r="L14" s="2">
        <f t="shared" si="14"/>
        <v>8.8170151705128222E-2</v>
      </c>
      <c r="M14" s="2">
        <f t="shared" si="15"/>
        <v>0.3121228507770375</v>
      </c>
      <c r="N14" s="2">
        <f t="shared" si="16"/>
        <v>0.3089115926522551</v>
      </c>
      <c r="O14" s="2" t="str">
        <f t="shared" si="17"/>
        <v>OK</v>
      </c>
      <c r="P14" s="2">
        <f t="shared" si="18"/>
        <v>6.1703371104226856E-2</v>
      </c>
      <c r="Q14" s="2">
        <f t="shared" si="19"/>
        <v>6.1192070645292501E-2</v>
      </c>
      <c r="R14" s="2">
        <f t="shared" si="1"/>
        <v>0.12289544174951936</v>
      </c>
      <c r="S14" s="56">
        <f t="shared" si="2"/>
        <v>0.397074517070933</v>
      </c>
      <c r="T14" s="56">
        <f t="shared" si="3"/>
        <v>87.871469805323841</v>
      </c>
      <c r="U14" s="56">
        <f t="shared" si="4"/>
        <v>1831.7403669946814</v>
      </c>
      <c r="V14" s="56">
        <f t="shared" si="5"/>
        <v>14.665085219925789</v>
      </c>
      <c r="W14" s="56">
        <f t="shared" si="6"/>
        <v>3.6015780961398702</v>
      </c>
      <c r="X14" s="56">
        <f t="shared" si="7"/>
        <v>1938.2755746331418</v>
      </c>
      <c r="Z14" s="119"/>
    </row>
    <row r="15" spans="2:26" x14ac:dyDescent="0.2">
      <c r="B15" s="119"/>
      <c r="C15" s="2">
        <f t="shared" si="20"/>
        <v>4</v>
      </c>
      <c r="D15" s="2">
        <f t="shared" si="20"/>
        <v>4</v>
      </c>
      <c r="E15" s="2">
        <f t="shared" si="8"/>
        <v>1.0951403148528405E-2</v>
      </c>
      <c r="F15" s="2">
        <f t="shared" si="21"/>
        <v>62.04095140314854</v>
      </c>
      <c r="G15" s="2">
        <f t="shared" si="9"/>
        <v>4.8571716463493828E-2</v>
      </c>
      <c r="H15" s="2">
        <f t="shared" si="10"/>
        <v>4.8851436458833164E-2</v>
      </c>
      <c r="I15" s="2">
        <f t="shared" si="11"/>
        <v>4.7003585001110168E-2</v>
      </c>
      <c r="J15" s="2">
        <f t="shared" si="12"/>
        <v>4.6614089606546602E-2</v>
      </c>
      <c r="K15" s="2">
        <f t="shared" si="13"/>
        <v>3.1314922044788321E-2</v>
      </c>
      <c r="L15" s="2">
        <f t="shared" si="14"/>
        <v>5.2403057949428317E-2</v>
      </c>
      <c r="M15" s="2">
        <f t="shared" si="15"/>
        <v>0.36446209158340204</v>
      </c>
      <c r="N15" s="2">
        <f t="shared" si="16"/>
        <v>0.36077910089239745</v>
      </c>
      <c r="O15" s="2" t="str">
        <f t="shared" si="17"/>
        <v>OK</v>
      </c>
      <c r="P15" s="2">
        <f t="shared" si="18"/>
        <v>4.7003585001110168E-2</v>
      </c>
      <c r="Q15" s="2">
        <f t="shared" si="19"/>
        <v>4.6614089606546602E-2</v>
      </c>
      <c r="R15" s="2">
        <f t="shared" si="1"/>
        <v>9.361767460765677E-2</v>
      </c>
      <c r="S15" s="56">
        <f t="shared" si="2"/>
        <v>0.30247820931063457</v>
      </c>
      <c r="T15" s="56">
        <f t="shared" si="3"/>
        <v>66.937573521220671</v>
      </c>
      <c r="U15" s="56">
        <f t="shared" si="4"/>
        <v>1389.2580817573948</v>
      </c>
      <c r="V15" s="56">
        <f t="shared" si="5"/>
        <v>11.171375860170739</v>
      </c>
      <c r="W15" s="56">
        <f t="shared" si="6"/>
        <v>2.5889057107922864</v>
      </c>
      <c r="X15" s="56">
        <f t="shared" si="7"/>
        <v>1470.2584150588891</v>
      </c>
      <c r="Z15" s="119"/>
    </row>
    <row r="16" spans="2:26" x14ac:dyDescent="0.2">
      <c r="B16" s="119"/>
      <c r="C16" s="2">
        <f t="shared" si="20"/>
        <v>5</v>
      </c>
      <c r="D16" s="2">
        <f t="shared" si="20"/>
        <v>5</v>
      </c>
      <c r="E16" s="2">
        <f t="shared" si="8"/>
        <v>1.3689253935660506E-2</v>
      </c>
      <c r="F16" s="2">
        <f t="shared" si="21"/>
        <v>62.043689253935675</v>
      </c>
      <c r="G16" s="2">
        <f t="shared" si="9"/>
        <v>3.491458292254894E-2</v>
      </c>
      <c r="H16" s="2">
        <f t="shared" si="10"/>
        <v>3.511565321530017E-2</v>
      </c>
      <c r="I16" s="2">
        <f t="shared" si="11"/>
        <v>3.3787371297464883E-2</v>
      </c>
      <c r="J16" s="2">
        <f t="shared" si="12"/>
        <v>3.3507386273471926E-2</v>
      </c>
      <c r="K16" s="2">
        <f t="shared" si="13"/>
        <v>2.3854670129420254E-2</v>
      </c>
      <c r="L16" s="2">
        <f t="shared" si="14"/>
        <v>3.8681249219535571E-2</v>
      </c>
      <c r="M16" s="2">
        <f t="shared" si="15"/>
        <v>0.40207827220212894</v>
      </c>
      <c r="N16" s="2">
        <f t="shared" si="16"/>
        <v>0.39806081474012922</v>
      </c>
      <c r="O16" s="2" t="str">
        <f t="shared" si="17"/>
        <v>OK</v>
      </c>
      <c r="P16" s="2">
        <f t="shared" si="18"/>
        <v>3.3787371297464883E-2</v>
      </c>
      <c r="Q16" s="2">
        <f t="shared" si="19"/>
        <v>3.3507386273471926E-2</v>
      </c>
      <c r="R16" s="2">
        <f t="shared" si="1"/>
        <v>6.7294757570936808E-2</v>
      </c>
      <c r="S16" s="56">
        <f t="shared" si="2"/>
        <v>0.21742900706377419</v>
      </c>
      <c r="T16" s="56">
        <f t="shared" si="3"/>
        <v>48.116424610795526</v>
      </c>
      <c r="U16" s="56">
        <f t="shared" si="4"/>
        <v>1000.6304259318064</v>
      </c>
      <c r="V16" s="56">
        <f t="shared" si="5"/>
        <v>8.0302680809761107</v>
      </c>
      <c r="W16" s="56">
        <f t="shared" si="6"/>
        <v>1.8715798088668567</v>
      </c>
      <c r="X16" s="56">
        <f t="shared" si="7"/>
        <v>1058.8661274395088</v>
      </c>
      <c r="Z16" s="119"/>
    </row>
    <row r="17" spans="2:26" x14ac:dyDescent="0.2">
      <c r="B17" s="119"/>
      <c r="C17" s="2">
        <f t="shared" si="20"/>
        <v>6</v>
      </c>
      <c r="D17" s="2">
        <f t="shared" si="20"/>
        <v>6</v>
      </c>
      <c r="E17" s="2">
        <f t="shared" si="8"/>
        <v>1.6427104722792608E-2</v>
      </c>
      <c r="F17" s="2">
        <f t="shared" si="21"/>
        <v>62.04642710472281</v>
      </c>
      <c r="G17" s="2">
        <f t="shared" si="9"/>
        <v>2.524055936300592E-2</v>
      </c>
      <c r="H17" s="2">
        <f t="shared" si="10"/>
        <v>2.5385917693866198E-2</v>
      </c>
      <c r="I17" s="2">
        <f t="shared" si="11"/>
        <v>2.4425671934865185E-2</v>
      </c>
      <c r="J17" s="2">
        <f t="shared" si="12"/>
        <v>2.4223264711567653E-2</v>
      </c>
      <c r="K17" s="2">
        <f t="shared" si="13"/>
        <v>1.7147342103538788E-2</v>
      </c>
      <c r="L17" s="2">
        <f t="shared" si="14"/>
        <v>2.9292114973841668E-2</v>
      </c>
      <c r="M17" s="2">
        <f t="shared" si="15"/>
        <v>0.4292723583785375</v>
      </c>
      <c r="N17" s="2">
        <f t="shared" si="16"/>
        <v>0.42501277084077699</v>
      </c>
      <c r="O17" s="2" t="str">
        <f t="shared" si="17"/>
        <v>OK</v>
      </c>
      <c r="P17" s="2">
        <f t="shared" si="18"/>
        <v>2.4425671934865185E-2</v>
      </c>
      <c r="Q17" s="2">
        <f t="shared" si="19"/>
        <v>2.4223264711567653E-2</v>
      </c>
      <c r="R17" s="2">
        <f t="shared" si="1"/>
        <v>4.8648936646432842E-2</v>
      </c>
      <c r="S17" s="56">
        <f t="shared" si="2"/>
        <v>0.15718445771372355</v>
      </c>
      <c r="T17" s="56">
        <f t="shared" si="3"/>
        <v>34.784476191565943</v>
      </c>
      <c r="U17" s="56">
        <f t="shared" si="4"/>
        <v>723.90276393891122</v>
      </c>
      <c r="V17" s="56">
        <f t="shared" si="5"/>
        <v>5.8052665250838693</v>
      </c>
      <c r="W17" s="56">
        <f t="shared" si="6"/>
        <v>1.3669270672562732</v>
      </c>
      <c r="X17" s="56">
        <f t="shared" si="7"/>
        <v>766.01661818053105</v>
      </c>
      <c r="Z17" s="119"/>
    </row>
    <row r="18" spans="2:26" x14ac:dyDescent="0.2">
      <c r="B18" s="119"/>
      <c r="C18" s="2">
        <f t="shared" si="20"/>
        <v>7</v>
      </c>
      <c r="D18" s="2">
        <f t="shared" si="20"/>
        <v>7</v>
      </c>
      <c r="E18" s="2">
        <f t="shared" si="8"/>
        <v>1.9164955509924708E-2</v>
      </c>
      <c r="F18" s="2">
        <f t="shared" si="21"/>
        <v>62.049164955509944</v>
      </c>
      <c r="G18" s="2">
        <f t="shared" si="9"/>
        <v>1.8434695371754826E-2</v>
      </c>
      <c r="H18" s="2">
        <f t="shared" si="10"/>
        <v>1.8540859241296156E-2</v>
      </c>
      <c r="I18" s="2">
        <f t="shared" si="11"/>
        <v>1.7839534073122172E-2</v>
      </c>
      <c r="J18" s="2">
        <f t="shared" si="12"/>
        <v>1.7691704484413141E-2</v>
      </c>
      <c r="K18" s="2">
        <f t="shared" si="13"/>
        <v>1.2396210152780874E-2</v>
      </c>
      <c r="L18" s="2">
        <f t="shared" si="14"/>
        <v>2.1264951093950473E-2</v>
      </c>
      <c r="M18" s="2">
        <f t="shared" si="15"/>
        <v>0.44913445699958365</v>
      </c>
      <c r="N18" s="2">
        <f t="shared" si="16"/>
        <v>0.4446975885830986</v>
      </c>
      <c r="O18" s="2" t="str">
        <f t="shared" si="17"/>
        <v>OK</v>
      </c>
      <c r="P18" s="2">
        <f t="shared" si="18"/>
        <v>1.7839534073122172E-2</v>
      </c>
      <c r="Q18" s="2">
        <f t="shared" si="19"/>
        <v>1.7691704484413141E-2</v>
      </c>
      <c r="R18" s="2">
        <f t="shared" si="1"/>
        <v>3.5531238557535316E-2</v>
      </c>
      <c r="S18" s="56">
        <f t="shared" si="2"/>
        <v>0.11480124410467465</v>
      </c>
      <c r="T18" s="56">
        <f t="shared" si="3"/>
        <v>25.405190881023326</v>
      </c>
      <c r="U18" s="56">
        <f t="shared" si="4"/>
        <v>528.50465093581101</v>
      </c>
      <c r="V18" s="56">
        <f t="shared" si="5"/>
        <v>4.2399346071825015</v>
      </c>
      <c r="W18" s="56">
        <f t="shared" si="6"/>
        <v>0.99699908021945538</v>
      </c>
      <c r="X18" s="56">
        <f t="shared" si="7"/>
        <v>559.26157674834099</v>
      </c>
      <c r="Z18" s="119"/>
    </row>
    <row r="19" spans="2:26" x14ac:dyDescent="0.2">
      <c r="B19" s="119"/>
      <c r="C19" s="2">
        <f t="shared" si="20"/>
        <v>8</v>
      </c>
      <c r="D19" s="2">
        <f t="shared" si="20"/>
        <v>8</v>
      </c>
      <c r="E19" s="2">
        <f t="shared" si="8"/>
        <v>2.190280629705681E-2</v>
      </c>
      <c r="F19" s="2">
        <f t="shared" si="21"/>
        <v>62.051902806297079</v>
      </c>
      <c r="G19" s="2">
        <f t="shared" si="9"/>
        <v>1.3445760772638621E-2</v>
      </c>
      <c r="H19" s="2">
        <f t="shared" si="10"/>
        <v>1.3523193789063758E-2</v>
      </c>
      <c r="I19" s="2">
        <f t="shared" si="11"/>
        <v>1.3011666468410052E-2</v>
      </c>
      <c r="J19" s="2">
        <f t="shared" si="12"/>
        <v>1.2903843571106126E-2</v>
      </c>
      <c r="K19" s="2">
        <f t="shared" si="13"/>
        <v>9.0536962992202475E-3</v>
      </c>
      <c r="L19" s="2">
        <f t="shared" si="14"/>
        <v>1.5385436225507559E-2</v>
      </c>
      <c r="M19" s="2">
        <f t="shared" si="15"/>
        <v>0.46362126649096902</v>
      </c>
      <c r="N19" s="2">
        <f t="shared" si="16"/>
        <v>0.45905513638308448</v>
      </c>
      <c r="O19" s="2" t="str">
        <f t="shared" si="17"/>
        <v>OK</v>
      </c>
      <c r="P19" s="2">
        <f t="shared" si="18"/>
        <v>1.3011666468410052E-2</v>
      </c>
      <c r="Q19" s="2">
        <f t="shared" si="19"/>
        <v>1.2903843571106126E-2</v>
      </c>
      <c r="R19" s="2">
        <f t="shared" si="1"/>
        <v>2.5915510039516178E-2</v>
      </c>
      <c r="S19" s="56">
        <f t="shared" si="2"/>
        <v>8.3732876078897858E-2</v>
      </c>
      <c r="T19" s="56">
        <f t="shared" si="3"/>
        <v>18.52984883335446</v>
      </c>
      <c r="U19" s="56">
        <f t="shared" si="4"/>
        <v>385.43109256600383</v>
      </c>
      <c r="V19" s="56">
        <f t="shared" si="5"/>
        <v>3.0924919118870795</v>
      </c>
      <c r="W19" s="56">
        <f t="shared" si="6"/>
        <v>0.72587799651861951</v>
      </c>
      <c r="X19" s="56">
        <f t="shared" si="7"/>
        <v>407.86304418384287</v>
      </c>
      <c r="Z19" s="119"/>
    </row>
    <row r="20" spans="2:26" x14ac:dyDescent="0.2">
      <c r="B20" s="119"/>
      <c r="C20" s="2">
        <f t="shared" si="20"/>
        <v>9</v>
      </c>
      <c r="D20" s="2">
        <f t="shared" si="20"/>
        <v>9</v>
      </c>
      <c r="E20" s="2">
        <f t="shared" si="8"/>
        <v>2.4640657084188913E-2</v>
      </c>
      <c r="F20" s="2">
        <f t="shared" si="21"/>
        <v>62.054640657084214</v>
      </c>
      <c r="G20" s="2">
        <f t="shared" si="9"/>
        <v>9.7893589795237691E-3</v>
      </c>
      <c r="H20" s="2">
        <f t="shared" si="10"/>
        <v>9.8457350865992724E-3</v>
      </c>
      <c r="I20" s="2">
        <f t="shared" si="11"/>
        <v>9.4733110504631908E-3</v>
      </c>
      <c r="J20" s="2">
        <f t="shared" si="12"/>
        <v>9.3948091524383073E-3</v>
      </c>
      <c r="K20" s="2">
        <f t="shared" si="13"/>
        <v>6.6035175534471802E-3</v>
      </c>
      <c r="L20" s="2">
        <f t="shared" si="14"/>
        <v>1.1216435677381545E-2</v>
      </c>
      <c r="M20" s="2">
        <f t="shared" si="15"/>
        <v>0.47416851622362005</v>
      </c>
      <c r="N20" s="2">
        <f t="shared" si="16"/>
        <v>0.46950831627652656</v>
      </c>
      <c r="O20" s="2" t="str">
        <f t="shared" si="17"/>
        <v>OK</v>
      </c>
      <c r="P20" s="2">
        <f t="shared" si="18"/>
        <v>9.4733110504631908E-3</v>
      </c>
      <c r="Q20" s="2">
        <f t="shared" si="19"/>
        <v>9.3948091524383073E-3</v>
      </c>
      <c r="R20" s="2">
        <f t="shared" si="1"/>
        <v>1.8868120202901496E-2</v>
      </c>
      <c r="S20" s="56">
        <f t="shared" si="2"/>
        <v>6.0962796758978845E-2</v>
      </c>
      <c r="T20" s="56">
        <f t="shared" si="3"/>
        <v>13.490894626276599</v>
      </c>
      <c r="U20" s="56">
        <f t="shared" si="4"/>
        <v>280.63850146193573</v>
      </c>
      <c r="V20" s="56">
        <f t="shared" si="5"/>
        <v>2.2515284868521777</v>
      </c>
      <c r="W20" s="56">
        <f t="shared" si="6"/>
        <v>0.52864060561538084</v>
      </c>
      <c r="X20" s="56">
        <f t="shared" si="7"/>
        <v>296.97052797743891</v>
      </c>
      <c r="Z20" s="119"/>
    </row>
    <row r="21" spans="2:26" x14ac:dyDescent="0.2">
      <c r="B21" s="119"/>
      <c r="C21" s="2">
        <f t="shared" si="20"/>
        <v>10</v>
      </c>
      <c r="D21" s="2">
        <f t="shared" si="20"/>
        <v>10</v>
      </c>
      <c r="E21" s="2">
        <f t="shared" si="8"/>
        <v>2.7378507871321012E-2</v>
      </c>
      <c r="F21" s="2">
        <f t="shared" si="21"/>
        <v>62.057378507871348</v>
      </c>
      <c r="G21" s="2">
        <f t="shared" si="9"/>
        <v>7.129369789020009E-3</v>
      </c>
      <c r="H21" s="2">
        <f t="shared" si="10"/>
        <v>7.1704272383090921E-3</v>
      </c>
      <c r="I21" s="2">
        <f t="shared" si="11"/>
        <v>6.899199195296914E-3</v>
      </c>
      <c r="J21" s="2">
        <f t="shared" si="12"/>
        <v>6.8420280361830973E-3</v>
      </c>
      <c r="K21" s="2">
        <f t="shared" si="13"/>
        <v>4.80777584129434E-3</v>
      </c>
      <c r="L21" s="2">
        <f t="shared" si="14"/>
        <v>8.1802181920594651E-3</v>
      </c>
      <c r="M21" s="2">
        <f t="shared" si="15"/>
        <v>0.48184984773889505</v>
      </c>
      <c r="N21" s="2">
        <f t="shared" si="16"/>
        <v>0.4771211339689419</v>
      </c>
      <c r="O21" s="2" t="str">
        <f t="shared" si="17"/>
        <v>OK</v>
      </c>
      <c r="P21" s="2">
        <f t="shared" si="18"/>
        <v>6.899199195296914E-3</v>
      </c>
      <c r="Q21" s="2">
        <f t="shared" si="19"/>
        <v>6.8420280361830973E-3</v>
      </c>
      <c r="R21" s="2">
        <f t="shared" si="1"/>
        <v>1.374122723148001E-2</v>
      </c>
      <c r="S21" s="56">
        <f t="shared" si="2"/>
        <v>4.4397832633375621E-2</v>
      </c>
      <c r="T21" s="56">
        <f t="shared" si="3"/>
        <v>9.8251148827805217</v>
      </c>
      <c r="U21" s="56">
        <f t="shared" si="4"/>
        <v>204.38661488707271</v>
      </c>
      <c r="V21" s="56">
        <f t="shared" si="5"/>
        <v>1.6397375162210759</v>
      </c>
      <c r="W21" s="56">
        <f t="shared" si="6"/>
        <v>0.38511796035296286</v>
      </c>
      <c r="X21" s="56">
        <f t="shared" si="7"/>
        <v>216.28098307906066</v>
      </c>
      <c r="Z21" s="119"/>
    </row>
    <row r="22" spans="2:26" x14ac:dyDescent="0.2">
      <c r="B22" s="119"/>
      <c r="C22" s="2">
        <f t="shared" si="20"/>
        <v>11</v>
      </c>
      <c r="D22" s="2">
        <f t="shared" si="20"/>
        <v>11</v>
      </c>
      <c r="E22" s="2">
        <f t="shared" si="8"/>
        <v>3.0116358658453114E-2</v>
      </c>
      <c r="F22" s="2">
        <f t="shared" si="21"/>
        <v>62.060116358658483</v>
      </c>
      <c r="G22" s="2">
        <f t="shared" si="9"/>
        <v>5.1937901141715309E-3</v>
      </c>
      <c r="H22" s="2">
        <f t="shared" si="10"/>
        <v>5.2237007202794406E-3</v>
      </c>
      <c r="I22" s="2">
        <f t="shared" si="11"/>
        <v>5.0261094080314246E-3</v>
      </c>
      <c r="J22" s="2">
        <f t="shared" si="12"/>
        <v>4.9844598687695755E-3</v>
      </c>
      <c r="K22" s="2">
        <f t="shared" si="13"/>
        <v>3.501394923932844E-3</v>
      </c>
      <c r="L22" s="2">
        <f t="shared" si="14"/>
        <v>5.9576736892726339E-3</v>
      </c>
      <c r="M22" s="2">
        <f t="shared" si="15"/>
        <v>0.48744575078684504</v>
      </c>
      <c r="N22" s="2">
        <f t="shared" si="16"/>
        <v>0.48266712048869737</v>
      </c>
      <c r="O22" s="2" t="str">
        <f t="shared" si="17"/>
        <v>OK</v>
      </c>
      <c r="P22" s="2">
        <f t="shared" si="18"/>
        <v>5.0261094080314246E-3</v>
      </c>
      <c r="Q22" s="2">
        <f t="shared" si="19"/>
        <v>4.9844598687695755E-3</v>
      </c>
      <c r="R22" s="2">
        <f t="shared" si="1"/>
        <v>1.0010569276800999E-2</v>
      </c>
      <c r="S22" s="56">
        <f t="shared" si="2"/>
        <v>3.2344096476763153E-2</v>
      </c>
      <c r="T22" s="56">
        <f t="shared" si="3"/>
        <v>7.1576571386054821</v>
      </c>
      <c r="U22" s="56">
        <f t="shared" si="4"/>
        <v>148.89488436969631</v>
      </c>
      <c r="V22" s="56">
        <f t="shared" si="5"/>
        <v>1.1945589521305158</v>
      </c>
      <c r="W22" s="56">
        <f t="shared" si="6"/>
        <v>0.28054336880345948</v>
      </c>
      <c r="X22" s="56">
        <f t="shared" si="7"/>
        <v>157.55998792571251</v>
      </c>
      <c r="Z22" s="119"/>
    </row>
    <row r="23" spans="2:26" x14ac:dyDescent="0.2">
      <c r="B23" s="119"/>
      <c r="C23" s="2">
        <f t="shared" si="20"/>
        <v>12</v>
      </c>
      <c r="D23" s="2">
        <f t="shared" si="20"/>
        <v>12</v>
      </c>
      <c r="E23" s="2">
        <f t="shared" si="8"/>
        <v>3.2854209445585217E-2</v>
      </c>
      <c r="F23" s="2">
        <f t="shared" si="21"/>
        <v>62.062854209445618</v>
      </c>
      <c r="G23" s="2">
        <f t="shared" si="9"/>
        <v>3.7834729239572228E-3</v>
      </c>
      <c r="H23" s="2">
        <f t="shared" si="10"/>
        <v>3.80526163049751E-3</v>
      </c>
      <c r="I23" s="2">
        <f t="shared" si="11"/>
        <v>3.6613240891097696E-3</v>
      </c>
      <c r="J23" s="2">
        <f t="shared" si="12"/>
        <v>3.6309840283426644E-3</v>
      </c>
      <c r="K23" s="2">
        <f t="shared" si="13"/>
        <v>2.5507879212674713E-3</v>
      </c>
      <c r="L23" s="2">
        <f t="shared" si="14"/>
        <v>4.3388684476710609E-3</v>
      </c>
      <c r="M23" s="2">
        <f t="shared" si="15"/>
        <v>0.4915221464747227</v>
      </c>
      <c r="N23" s="2">
        <f t="shared" si="16"/>
        <v>0.48670715448443147</v>
      </c>
      <c r="O23" s="2" t="str">
        <f t="shared" si="17"/>
        <v>OK</v>
      </c>
      <c r="P23" s="2">
        <f t="shared" si="18"/>
        <v>3.6613240891097696E-3</v>
      </c>
      <c r="Q23" s="2">
        <f t="shared" si="19"/>
        <v>3.6309840283426644E-3</v>
      </c>
      <c r="R23" s="2">
        <f t="shared" si="1"/>
        <v>7.292308117452434E-3</v>
      </c>
      <c r="S23" s="56">
        <f t="shared" si="2"/>
        <v>2.3561409023874536E-2</v>
      </c>
      <c r="T23" s="56">
        <f t="shared" si="3"/>
        <v>5.2140732270596644</v>
      </c>
      <c r="U23" s="56">
        <f t="shared" si="4"/>
        <v>108.46376970978629</v>
      </c>
      <c r="V23" s="56">
        <f t="shared" si="5"/>
        <v>0.87018946699747723</v>
      </c>
      <c r="W23" s="56">
        <f t="shared" si="6"/>
        <v>0.20435372481704181</v>
      </c>
      <c r="X23" s="56">
        <f t="shared" si="7"/>
        <v>114.77594753768435</v>
      </c>
      <c r="Z23" s="119"/>
    </row>
    <row r="24" spans="2:26" x14ac:dyDescent="0.2">
      <c r="B24" s="119"/>
      <c r="C24" s="2">
        <f t="shared" si="20"/>
        <v>13</v>
      </c>
      <c r="D24" s="2">
        <f t="shared" si="20"/>
        <v>13</v>
      </c>
      <c r="E24" s="2">
        <f t="shared" si="8"/>
        <v>3.5592060232717319E-2</v>
      </c>
      <c r="F24" s="2">
        <f t="shared" si="21"/>
        <v>62.065592060232753</v>
      </c>
      <c r="G24" s="2">
        <f t="shared" si="9"/>
        <v>2.7559617183968549E-3</v>
      </c>
      <c r="H24" s="2">
        <f t="shared" si="10"/>
        <v>2.7718330732224546E-3</v>
      </c>
      <c r="I24" s="2">
        <f t="shared" si="11"/>
        <v>2.6669859230775837E-3</v>
      </c>
      <c r="J24" s="2">
        <f t="shared" si="12"/>
        <v>2.6448855805205509E-3</v>
      </c>
      <c r="K24" s="2">
        <f t="shared" si="13"/>
        <v>1.8581492171377628E-3</v>
      </c>
      <c r="L24" s="2">
        <f t="shared" si="14"/>
        <v>3.1607050864943037E-3</v>
      </c>
      <c r="M24" s="2">
        <f t="shared" si="15"/>
        <v>0.49449147883429978</v>
      </c>
      <c r="N24" s="2">
        <f t="shared" si="16"/>
        <v>0.4896500005668506</v>
      </c>
      <c r="O24" s="2" t="str">
        <f t="shared" si="17"/>
        <v>OK</v>
      </c>
      <c r="P24" s="2">
        <f t="shared" si="18"/>
        <v>2.6669859230775837E-3</v>
      </c>
      <c r="Q24" s="2">
        <f t="shared" si="19"/>
        <v>2.6448855805205509E-3</v>
      </c>
      <c r="R24" s="2">
        <f t="shared" si="1"/>
        <v>5.3118715035981347E-3</v>
      </c>
      <c r="S24" s="56">
        <f t="shared" si="2"/>
        <v>1.7162628781493709E-2</v>
      </c>
      <c r="T24" s="56">
        <f t="shared" si="3"/>
        <v>3.798041243787702</v>
      </c>
      <c r="U24" s="56">
        <f t="shared" si="4"/>
        <v>79.00750508858772</v>
      </c>
      <c r="V24" s="56">
        <f t="shared" si="5"/>
        <v>0.63386441686100647</v>
      </c>
      <c r="W24" s="56">
        <f t="shared" si="6"/>
        <v>0.14885747803950741</v>
      </c>
      <c r="X24" s="56">
        <f t="shared" si="7"/>
        <v>83.605430856057424</v>
      </c>
      <c r="Z24" s="119"/>
    </row>
    <row r="25" spans="2:26" x14ac:dyDescent="0.2">
      <c r="B25" s="119"/>
      <c r="C25" s="2">
        <f t="shared" si="20"/>
        <v>14</v>
      </c>
      <c r="D25" s="2">
        <f t="shared" si="20"/>
        <v>14</v>
      </c>
      <c r="E25" s="2">
        <f t="shared" si="8"/>
        <v>3.8329911019849415E-2</v>
      </c>
      <c r="F25" s="2">
        <f t="shared" si="21"/>
        <v>62.068329911019887</v>
      </c>
      <c r="G25" s="2">
        <f t="shared" si="9"/>
        <v>2.0075264658822381E-3</v>
      </c>
      <c r="H25" s="2">
        <f t="shared" si="10"/>
        <v>2.0190876441935532E-3</v>
      </c>
      <c r="I25" s="2">
        <f t="shared" si="11"/>
        <v>1.942713786238564E-3</v>
      </c>
      <c r="J25" s="2">
        <f t="shared" si="12"/>
        <v>1.9266152235898277E-3</v>
      </c>
      <c r="K25" s="2">
        <f t="shared" si="13"/>
        <v>1.3535151994770287E-3</v>
      </c>
      <c r="L25" s="2">
        <f t="shared" si="14"/>
        <v>2.3024512995176486E-3</v>
      </c>
      <c r="M25" s="2">
        <f t="shared" si="15"/>
        <v>0.49665443105956625</v>
      </c>
      <c r="N25" s="2">
        <f t="shared" si="16"/>
        <v>0.49179365932153474</v>
      </c>
      <c r="O25" s="2" t="str">
        <f t="shared" si="17"/>
        <v>OK</v>
      </c>
      <c r="P25" s="2">
        <f t="shared" si="18"/>
        <v>1.942713786238564E-3</v>
      </c>
      <c r="Q25" s="2">
        <f t="shared" si="19"/>
        <v>1.9266152235898277E-3</v>
      </c>
      <c r="R25" s="2">
        <f t="shared" si="1"/>
        <v>3.8693290098283919E-3</v>
      </c>
      <c r="S25" s="56">
        <f t="shared" si="2"/>
        <v>1.2501781600697801E-2</v>
      </c>
      <c r="T25" s="56">
        <f t="shared" si="3"/>
        <v>2.7666089353173984</v>
      </c>
      <c r="U25" s="56">
        <f t="shared" si="4"/>
        <v>57.551500408523985</v>
      </c>
      <c r="V25" s="56">
        <f t="shared" si="5"/>
        <v>0.46172614958801117</v>
      </c>
      <c r="W25" s="56">
        <f t="shared" si="6"/>
        <v>0.10843334219631222</v>
      </c>
      <c r="X25" s="56">
        <f t="shared" si="7"/>
        <v>60.900770617226407</v>
      </c>
      <c r="Z25" s="119"/>
    </row>
    <row r="26" spans="2:26" x14ac:dyDescent="0.2">
      <c r="B26" s="119"/>
      <c r="C26" s="2">
        <f t="shared" si="20"/>
        <v>15</v>
      </c>
      <c r="D26" s="2">
        <f t="shared" si="20"/>
        <v>15</v>
      </c>
      <c r="E26" s="2">
        <f t="shared" si="8"/>
        <v>4.1067761806981518E-2</v>
      </c>
      <c r="F26" s="2">
        <f t="shared" si="21"/>
        <v>62.071067761807022</v>
      </c>
      <c r="G26" s="2">
        <f t="shared" si="9"/>
        <v>1.4623571963549272E-3</v>
      </c>
      <c r="H26" s="2">
        <f t="shared" si="10"/>
        <v>1.4707787900837595E-3</v>
      </c>
      <c r="I26" s="2">
        <f t="shared" si="11"/>
        <v>1.4151452217594604E-3</v>
      </c>
      <c r="J26" s="2">
        <f t="shared" si="12"/>
        <v>1.4034184279864089E-3</v>
      </c>
      <c r="K26" s="2">
        <f t="shared" si="13"/>
        <v>9.8594170114920787E-4</v>
      </c>
      <c r="L26" s="2">
        <f t="shared" si="14"/>
        <v>1.6771720668403195E-3</v>
      </c>
      <c r="M26" s="2">
        <f t="shared" si="15"/>
        <v>0.49823000622488733</v>
      </c>
      <c r="N26" s="2">
        <f t="shared" si="16"/>
        <v>0.49335518037093845</v>
      </c>
      <c r="O26" s="2" t="str">
        <f t="shared" si="17"/>
        <v>OK</v>
      </c>
      <c r="P26" s="2">
        <f t="shared" si="18"/>
        <v>1.4151452217594604E-3</v>
      </c>
      <c r="Q26" s="2">
        <f t="shared" si="19"/>
        <v>1.4034184279864089E-3</v>
      </c>
      <c r="R26" s="2">
        <f t="shared" si="1"/>
        <v>2.8185636497458696E-3</v>
      </c>
      <c r="S26" s="56">
        <f t="shared" si="2"/>
        <v>9.106764270292703E-3</v>
      </c>
      <c r="T26" s="56">
        <f t="shared" si="3"/>
        <v>2.0153011952047941</v>
      </c>
      <c r="U26" s="56">
        <f t="shared" si="4"/>
        <v>41.922640959601573</v>
      </c>
      <c r="V26" s="56">
        <f t="shared" si="5"/>
        <v>0.33633855845857108</v>
      </c>
      <c r="W26" s="56">
        <f t="shared" si="6"/>
        <v>7.8986689978991054E-2</v>
      </c>
      <c r="X26" s="56">
        <f t="shared" si="7"/>
        <v>44.362374167514218</v>
      </c>
      <c r="Z26" s="119"/>
    </row>
    <row r="27" spans="2:26" x14ac:dyDescent="0.2">
      <c r="B27" s="119"/>
      <c r="C27" s="2">
        <f t="shared" si="20"/>
        <v>16</v>
      </c>
      <c r="D27" s="2">
        <f t="shared" si="20"/>
        <v>16</v>
      </c>
      <c r="E27" s="2">
        <f t="shared" si="8"/>
        <v>4.380561259411362E-2</v>
      </c>
      <c r="F27" s="2">
        <f t="shared" si="21"/>
        <v>62.073805612594157</v>
      </c>
      <c r="G27" s="2">
        <f t="shared" si="9"/>
        <v>1.0652328164711283E-3</v>
      </c>
      <c r="H27" s="2">
        <f t="shared" si="10"/>
        <v>1.0713674038552654E-3</v>
      </c>
      <c r="I27" s="2">
        <f t="shared" si="11"/>
        <v>1.0308419407037866E-3</v>
      </c>
      <c r="J27" s="2">
        <f t="shared" si="12"/>
        <v>1.0222997284440732E-3</v>
      </c>
      <c r="K27" s="2">
        <f t="shared" si="13"/>
        <v>7.1819672934370256E-4</v>
      </c>
      <c r="L27" s="2">
        <f t="shared" si="14"/>
        <v>1.2217027169398452E-3</v>
      </c>
      <c r="M27" s="2">
        <f t="shared" si="15"/>
        <v>0.49937771101401673</v>
      </c>
      <c r="N27" s="2">
        <f t="shared" si="16"/>
        <v>0.49449264765022533</v>
      </c>
      <c r="O27" s="2" t="str">
        <f t="shared" si="17"/>
        <v>OK</v>
      </c>
      <c r="P27" s="2">
        <f t="shared" si="18"/>
        <v>1.0308419407037866E-3</v>
      </c>
      <c r="Q27" s="2">
        <f t="shared" si="19"/>
        <v>1.0222997284440732E-3</v>
      </c>
      <c r="R27" s="2">
        <f t="shared" si="1"/>
        <v>2.05314166914786E-3</v>
      </c>
      <c r="S27" s="56">
        <f t="shared" si="2"/>
        <v>6.6336898924179806E-3</v>
      </c>
      <c r="T27" s="56">
        <f t="shared" si="3"/>
        <v>1.4680168248574115</v>
      </c>
      <c r="U27" s="56">
        <f t="shared" si="4"/>
        <v>30.537935511028401</v>
      </c>
      <c r="V27" s="56">
        <f t="shared" si="5"/>
        <v>0.2450009278216686</v>
      </c>
      <c r="W27" s="56">
        <f t="shared" si="6"/>
        <v>5.7536611858145133E-2</v>
      </c>
      <c r="X27" s="56">
        <f t="shared" si="7"/>
        <v>32.315123565458052</v>
      </c>
      <c r="Z27" s="119"/>
    </row>
    <row r="28" spans="2:26" x14ac:dyDescent="0.2">
      <c r="B28" s="119"/>
      <c r="C28" s="2">
        <f t="shared" si="20"/>
        <v>17</v>
      </c>
      <c r="D28" s="2">
        <f t="shared" si="20"/>
        <v>17</v>
      </c>
      <c r="E28" s="2">
        <f t="shared" si="8"/>
        <v>4.6543463381245723E-2</v>
      </c>
      <c r="F28" s="2">
        <f t="shared" si="21"/>
        <v>62.076543463381292</v>
      </c>
      <c r="G28" s="2">
        <f t="shared" si="9"/>
        <v>7.7595208909501956E-4</v>
      </c>
      <c r="H28" s="2">
        <f t="shared" si="10"/>
        <v>7.8042073277850388E-4</v>
      </c>
      <c r="I28" s="2">
        <f t="shared" si="11"/>
        <v>7.5090059660987802E-4</v>
      </c>
      <c r="J28" s="2">
        <f t="shared" si="12"/>
        <v>7.4467815645422569E-4</v>
      </c>
      <c r="K28" s="2">
        <f t="shared" si="13"/>
        <v>5.2315995482177138E-4</v>
      </c>
      <c r="L28" s="2">
        <f t="shared" si="14"/>
        <v>8.8993216378994186E-4</v>
      </c>
      <c r="M28" s="2">
        <f t="shared" si="15"/>
        <v>0.5002137385101727</v>
      </c>
      <c r="N28" s="2">
        <f t="shared" si="16"/>
        <v>0.4953212177962778</v>
      </c>
      <c r="O28" s="2" t="str">
        <f t="shared" si="17"/>
        <v>OK</v>
      </c>
      <c r="P28" s="2">
        <f t="shared" si="18"/>
        <v>7.5090059660987802E-4</v>
      </c>
      <c r="Q28" s="2">
        <f t="shared" si="19"/>
        <v>7.4467815645422569E-4</v>
      </c>
      <c r="R28" s="2">
        <f t="shared" si="1"/>
        <v>1.4955787530641037E-3</v>
      </c>
      <c r="S28" s="56">
        <f t="shared" si="2"/>
        <v>4.832207054488274E-3</v>
      </c>
      <c r="T28" s="56">
        <f t="shared" si="3"/>
        <v>1.0693537642283648</v>
      </c>
      <c r="U28" s="56">
        <f t="shared" si="4"/>
        <v>22.244880685004372</v>
      </c>
      <c r="V28" s="56">
        <f t="shared" si="5"/>
        <v>0.17846707201801398</v>
      </c>
      <c r="W28" s="56">
        <f t="shared" si="6"/>
        <v>4.1911661200380167E-2</v>
      </c>
      <c r="X28" s="56">
        <f t="shared" si="7"/>
        <v>23.539445389505616</v>
      </c>
      <c r="Z28" s="119"/>
    </row>
    <row r="29" spans="2:26" x14ac:dyDescent="0.2">
      <c r="B29" s="119"/>
      <c r="C29" s="2">
        <f t="shared" ref="C29:D44" si="22">C28+1</f>
        <v>18</v>
      </c>
      <c r="D29" s="2">
        <f t="shared" si="22"/>
        <v>18</v>
      </c>
      <c r="E29" s="2">
        <f t="shared" si="8"/>
        <v>4.9281314168377825E-2</v>
      </c>
      <c r="F29" s="2">
        <f t="shared" si="21"/>
        <v>62.079281314168426</v>
      </c>
      <c r="G29" s="2">
        <f t="shared" si="9"/>
        <v>5.6523038141438587E-4</v>
      </c>
      <c r="H29" s="2">
        <f t="shared" si="10"/>
        <v>5.6848549627143234E-4</v>
      </c>
      <c r="I29" s="2">
        <f t="shared" si="11"/>
        <v>5.4698200648055253E-4</v>
      </c>
      <c r="J29" s="2">
        <f t="shared" si="12"/>
        <v>5.4244936552078006E-4</v>
      </c>
      <c r="K29" s="2">
        <f t="shared" si="13"/>
        <v>3.8108763980755812E-4</v>
      </c>
      <c r="L29" s="2">
        <f t="shared" si="14"/>
        <v>6.4825821699062986E-4</v>
      </c>
      <c r="M29" s="2">
        <f t="shared" si="15"/>
        <v>0.50082272990011101</v>
      </c>
      <c r="N29" s="2">
        <f t="shared" si="16"/>
        <v>0.49592477699340343</v>
      </c>
      <c r="O29" s="2" t="str">
        <f t="shared" si="17"/>
        <v>OK</v>
      </c>
      <c r="P29" s="2">
        <f t="shared" si="18"/>
        <v>5.4698200648055253E-4</v>
      </c>
      <c r="Q29" s="2">
        <f t="shared" si="19"/>
        <v>5.4244936552078006E-4</v>
      </c>
      <c r="R29" s="2">
        <f t="shared" si="1"/>
        <v>1.0894313720013326E-3</v>
      </c>
      <c r="S29" s="56">
        <f t="shared" si="2"/>
        <v>3.5199470107338563E-3</v>
      </c>
      <c r="T29" s="56">
        <f t="shared" si="3"/>
        <v>0.77895432529467279</v>
      </c>
      <c r="U29" s="56">
        <f t="shared" si="4"/>
        <v>16.203941838473654</v>
      </c>
      <c r="V29" s="56">
        <f t="shared" si="5"/>
        <v>0.13000159752692467</v>
      </c>
      <c r="W29" s="56">
        <f t="shared" si="6"/>
        <v>3.052991426774752E-2</v>
      </c>
      <c r="X29" s="56">
        <f t="shared" si="7"/>
        <v>17.146947622573734</v>
      </c>
      <c r="Z29" s="119"/>
    </row>
    <row r="30" spans="2:26" x14ac:dyDescent="0.2">
      <c r="B30" s="119"/>
      <c r="C30" s="2">
        <f t="shared" si="22"/>
        <v>19</v>
      </c>
      <c r="D30" s="2">
        <f t="shared" si="22"/>
        <v>19</v>
      </c>
      <c r="E30" s="2">
        <f t="shared" si="8"/>
        <v>5.2019164955509921E-2</v>
      </c>
      <c r="F30" s="2">
        <f t="shared" si="21"/>
        <v>62.082019164955561</v>
      </c>
      <c r="G30" s="2">
        <f t="shared" si="9"/>
        <v>4.1173350308407609E-4</v>
      </c>
      <c r="H30" s="2">
        <f t="shared" si="10"/>
        <v>4.1410464215778332E-4</v>
      </c>
      <c r="I30" s="2">
        <f t="shared" si="11"/>
        <v>3.9844075098831571E-4</v>
      </c>
      <c r="J30" s="2">
        <f t="shared" si="12"/>
        <v>3.9513901739124315E-4</v>
      </c>
      <c r="K30" s="2">
        <f t="shared" si="13"/>
        <v>2.7759743807378567E-4</v>
      </c>
      <c r="L30" s="2">
        <f t="shared" si="14"/>
        <v>4.7221366006156067E-4</v>
      </c>
      <c r="M30" s="2">
        <f t="shared" si="15"/>
        <v>0.5012663404468608</v>
      </c>
      <c r="N30" s="2">
        <f t="shared" si="16"/>
        <v>0.49636443054138224</v>
      </c>
      <c r="O30" s="2" t="str">
        <f t="shared" si="17"/>
        <v>OK</v>
      </c>
      <c r="P30" s="2">
        <f t="shared" si="18"/>
        <v>3.9844075098831571E-4</v>
      </c>
      <c r="Q30" s="2">
        <f t="shared" si="19"/>
        <v>3.9513901739124315E-4</v>
      </c>
      <c r="R30" s="2">
        <f t="shared" si="1"/>
        <v>7.9357976837955886E-4</v>
      </c>
      <c r="S30" s="56">
        <f t="shared" si="2"/>
        <v>2.5640520415295153E-3</v>
      </c>
      <c r="T30" s="56">
        <f t="shared" si="3"/>
        <v>0.56741747018906841</v>
      </c>
      <c r="U30" s="56">
        <f t="shared" si="4"/>
        <v>11.80351561205449</v>
      </c>
      <c r="V30" s="56">
        <f t="shared" si="5"/>
        <v>9.4697693040427078E-2</v>
      </c>
      <c r="W30" s="56">
        <f t="shared" si="6"/>
        <v>2.2239051036072793E-2</v>
      </c>
      <c r="X30" s="56">
        <f t="shared" si="7"/>
        <v>12.490433878361587</v>
      </c>
      <c r="Z30" s="119"/>
    </row>
    <row r="31" spans="2:26" x14ac:dyDescent="0.2">
      <c r="B31" s="119"/>
      <c r="C31" s="2">
        <f t="shared" si="22"/>
        <v>20</v>
      </c>
      <c r="D31" s="2">
        <f t="shared" si="22"/>
        <v>20</v>
      </c>
      <c r="E31" s="2">
        <f t="shared" si="8"/>
        <v>5.4757015742642023E-2</v>
      </c>
      <c r="F31" s="2">
        <f t="shared" si="21"/>
        <v>62.084757015742696</v>
      </c>
      <c r="G31" s="2">
        <f t="shared" si="9"/>
        <v>2.9992099905833591E-4</v>
      </c>
      <c r="H31" s="2">
        <f t="shared" si="10"/>
        <v>3.0164821920090017E-4</v>
      </c>
      <c r="I31" s="2">
        <f t="shared" si="11"/>
        <v>2.9023809626095413E-4</v>
      </c>
      <c r="J31" s="2">
        <f t="shared" si="12"/>
        <v>2.8783299871198862E-4</v>
      </c>
      <c r="K31" s="2">
        <f t="shared" si="13"/>
        <v>2.022116456997451E-4</v>
      </c>
      <c r="L31" s="2">
        <f t="shared" si="14"/>
        <v>3.4397677646574073E-4</v>
      </c>
      <c r="M31" s="2">
        <f t="shared" si="15"/>
        <v>0.50158948179274787</v>
      </c>
      <c r="N31" s="2">
        <f t="shared" si="16"/>
        <v>0.49668468947185429</v>
      </c>
      <c r="O31" s="2" t="str">
        <f t="shared" si="17"/>
        <v>OK</v>
      </c>
      <c r="P31" s="2">
        <f t="shared" si="18"/>
        <v>2.9023809626095413E-4</v>
      </c>
      <c r="Q31" s="2">
        <f t="shared" si="19"/>
        <v>2.8783299871198862E-4</v>
      </c>
      <c r="R31" s="2">
        <f t="shared" si="1"/>
        <v>5.780710949729428E-4</v>
      </c>
      <c r="S31" s="56">
        <f t="shared" si="2"/>
        <v>1.8677446556395719E-3</v>
      </c>
      <c r="T31" s="56">
        <f t="shared" si="3"/>
        <v>0.41332661361660383</v>
      </c>
      <c r="U31" s="56">
        <f t="shared" si="4"/>
        <v>8.5980911523591406</v>
      </c>
      <c r="V31" s="56">
        <f t="shared" si="5"/>
        <v>6.8981092120166246E-2</v>
      </c>
      <c r="W31" s="56">
        <f t="shared" si="6"/>
        <v>1.619969724444819E-2</v>
      </c>
      <c r="X31" s="56">
        <f t="shared" si="7"/>
        <v>9.098466299995998</v>
      </c>
      <c r="Z31" s="119"/>
    </row>
    <row r="32" spans="2:26" x14ac:dyDescent="0.2">
      <c r="B32" s="119"/>
      <c r="C32" s="2">
        <f t="shared" si="22"/>
        <v>21</v>
      </c>
      <c r="D32" s="2">
        <f t="shared" si="22"/>
        <v>21</v>
      </c>
      <c r="E32" s="2">
        <f t="shared" si="8"/>
        <v>5.7494866529774126E-2</v>
      </c>
      <c r="F32" s="2">
        <f t="shared" si="21"/>
        <v>62.087494866529831</v>
      </c>
      <c r="G32" s="2">
        <f t="shared" si="9"/>
        <v>2.1847287342057167E-4</v>
      </c>
      <c r="H32" s="2">
        <f t="shared" si="10"/>
        <v>2.1973104056712483E-4</v>
      </c>
      <c r="I32" s="2">
        <f t="shared" si="11"/>
        <v>2.1141951068893121E-4</v>
      </c>
      <c r="J32" s="2">
        <f t="shared" si="12"/>
        <v>2.0966755409356804E-4</v>
      </c>
      <c r="K32" s="2">
        <f t="shared" si="13"/>
        <v>1.4729799335059472E-4</v>
      </c>
      <c r="L32" s="2">
        <f t="shared" si="14"/>
        <v>2.5056465361784864E-4</v>
      </c>
      <c r="M32" s="2">
        <f t="shared" si="15"/>
        <v>0.50182486917331992</v>
      </c>
      <c r="N32" s="2">
        <f t="shared" si="16"/>
        <v>0.49691797720094133</v>
      </c>
      <c r="O32" s="2" t="str">
        <f t="shared" si="17"/>
        <v>OK</v>
      </c>
      <c r="P32" s="2">
        <f t="shared" si="18"/>
        <v>2.1141951068893121E-4</v>
      </c>
      <c r="Q32" s="2">
        <f t="shared" si="19"/>
        <v>2.0966755409356804E-4</v>
      </c>
      <c r="R32" s="2">
        <f t="shared" si="1"/>
        <v>4.2108706478249925E-4</v>
      </c>
      <c r="S32" s="56">
        <f t="shared" si="2"/>
        <v>1.3605300829706555E-3</v>
      </c>
      <c r="T32" s="56">
        <f t="shared" si="3"/>
        <v>0.30108146219013476</v>
      </c>
      <c r="U32" s="56">
        <f t="shared" si="4"/>
        <v>6.2631482666857821</v>
      </c>
      <c r="V32" s="56">
        <f t="shared" si="5"/>
        <v>5.0248223547194278E-2</v>
      </c>
      <c r="W32" s="56">
        <f t="shared" si="6"/>
        <v>1.1800422393632284E-2</v>
      </c>
      <c r="X32" s="56">
        <f t="shared" si="7"/>
        <v>6.6276389048997135</v>
      </c>
      <c r="Z32" s="119"/>
    </row>
    <row r="33" spans="2:26" x14ac:dyDescent="0.2">
      <c r="B33" s="119"/>
      <c r="C33" s="2">
        <f t="shared" si="22"/>
        <v>22</v>
      </c>
      <c r="D33" s="2">
        <f t="shared" si="22"/>
        <v>22</v>
      </c>
      <c r="E33" s="2">
        <f t="shared" si="8"/>
        <v>6.0232717316906229E-2</v>
      </c>
      <c r="F33" s="2">
        <f t="shared" si="21"/>
        <v>62.090232717316965</v>
      </c>
      <c r="G33" s="2">
        <f t="shared" si="9"/>
        <v>1.5914323267966123E-4</v>
      </c>
      <c r="H33" s="2">
        <f t="shared" si="10"/>
        <v>1.6005972534906555E-4</v>
      </c>
      <c r="I33" s="2">
        <f t="shared" si="11"/>
        <v>1.5400531816972107E-4</v>
      </c>
      <c r="J33" s="2">
        <f t="shared" si="12"/>
        <v>1.5272913210719849E-4</v>
      </c>
      <c r="K33" s="2">
        <f t="shared" si="13"/>
        <v>1.0729697472809769E-4</v>
      </c>
      <c r="L33" s="2">
        <f t="shared" si="14"/>
        <v>1.8252000689716153E-4</v>
      </c>
      <c r="M33" s="2">
        <f t="shared" si="15"/>
        <v>0.50199633352077844</v>
      </c>
      <c r="N33" s="2">
        <f t="shared" si="16"/>
        <v>0.4970879120892906</v>
      </c>
      <c r="O33" s="2" t="str">
        <f t="shared" si="17"/>
        <v>OK</v>
      </c>
      <c r="P33" s="2">
        <f t="shared" si="18"/>
        <v>1.5400531816972107E-4</v>
      </c>
      <c r="Q33" s="2">
        <f t="shared" si="19"/>
        <v>1.5272913210719849E-4</v>
      </c>
      <c r="R33" s="2">
        <f t="shared" si="1"/>
        <v>3.0673445027691956E-4</v>
      </c>
      <c r="S33" s="56">
        <f t="shared" si="2"/>
        <v>9.9105738928544312E-4</v>
      </c>
      <c r="T33" s="56">
        <f t="shared" si="3"/>
        <v>0.21931819929250024</v>
      </c>
      <c r="U33" s="56">
        <f t="shared" si="4"/>
        <v>4.5622948353418655</v>
      </c>
      <c r="V33" s="56">
        <f t="shared" si="5"/>
        <v>3.6602552099532011E-2</v>
      </c>
      <c r="W33" s="56">
        <f t="shared" si="6"/>
        <v>8.5958377893071113E-3</v>
      </c>
      <c r="X33" s="56">
        <f t="shared" si="7"/>
        <v>4.8278024819124896</v>
      </c>
      <c r="Z33" s="119"/>
    </row>
    <row r="34" spans="2:26" x14ac:dyDescent="0.2">
      <c r="B34" s="119"/>
      <c r="C34" s="2">
        <f t="shared" si="22"/>
        <v>23</v>
      </c>
      <c r="D34" s="2">
        <f t="shared" si="22"/>
        <v>23</v>
      </c>
      <c r="E34" s="2">
        <f t="shared" si="8"/>
        <v>6.2970568104038324E-2</v>
      </c>
      <c r="F34" s="2">
        <f t="shared" si="21"/>
        <v>62.0929705681041</v>
      </c>
      <c r="G34" s="2">
        <f t="shared" si="9"/>
        <v>1.159254616274162E-4</v>
      </c>
      <c r="H34" s="2">
        <f t="shared" si="10"/>
        <v>1.1659306674005501E-4</v>
      </c>
      <c r="I34" s="2">
        <f t="shared" si="11"/>
        <v>1.1218282613272319E-4</v>
      </c>
      <c r="J34" s="2">
        <f t="shared" si="12"/>
        <v>1.1125320785157529E-4</v>
      </c>
      <c r="K34" s="2">
        <f t="shared" si="13"/>
        <v>7.8158844837940674E-5</v>
      </c>
      <c r="L34" s="2">
        <f t="shared" si="14"/>
        <v>1.3295391421508585E-4</v>
      </c>
      <c r="M34" s="2">
        <f t="shared" si="15"/>
        <v>0.50212123411062792</v>
      </c>
      <c r="N34" s="2">
        <f t="shared" si="16"/>
        <v>0.49721169856796726</v>
      </c>
      <c r="O34" s="2" t="str">
        <f t="shared" si="17"/>
        <v>OK</v>
      </c>
      <c r="P34" s="2">
        <f t="shared" si="18"/>
        <v>1.1218282613272319E-4</v>
      </c>
      <c r="Q34" s="2">
        <f t="shared" si="19"/>
        <v>1.1125320785157529E-4</v>
      </c>
      <c r="R34" s="2">
        <f t="shared" si="1"/>
        <v>2.2343603398429848E-4</v>
      </c>
      <c r="S34" s="56">
        <f t="shared" si="2"/>
        <v>7.2192064605999774E-4</v>
      </c>
      <c r="T34" s="56">
        <f t="shared" si="3"/>
        <v>0.15975899865911325</v>
      </c>
      <c r="U34" s="56">
        <f t="shared" si="4"/>
        <v>3.3233341166081454</v>
      </c>
      <c r="V34" s="56">
        <f t="shared" si="5"/>
        <v>2.6662571052712577E-2</v>
      </c>
      <c r="W34" s="56">
        <f t="shared" si="6"/>
        <v>6.2615069667259996E-3</v>
      </c>
      <c r="X34" s="56">
        <f t="shared" si="7"/>
        <v>3.5167391139327568</v>
      </c>
      <c r="Z34" s="119"/>
    </row>
    <row r="35" spans="2:26" x14ac:dyDescent="0.2">
      <c r="B35" s="119"/>
      <c r="C35" s="2">
        <f t="shared" si="22"/>
        <v>24</v>
      </c>
      <c r="D35" s="2">
        <f t="shared" si="22"/>
        <v>24</v>
      </c>
      <c r="E35" s="2">
        <f t="shared" si="8"/>
        <v>6.5708418891170434E-2</v>
      </c>
      <c r="F35" s="2">
        <f t="shared" si="21"/>
        <v>62.095708418891235</v>
      </c>
      <c r="G35" s="2">
        <f t="shared" si="9"/>
        <v>8.4444134870011962E-5</v>
      </c>
      <c r="H35" s="2">
        <f t="shared" si="10"/>
        <v>8.4930441634549841E-5</v>
      </c>
      <c r="I35" s="2">
        <f t="shared" si="11"/>
        <v>8.1717869112288313E-5</v>
      </c>
      <c r="J35" s="2">
        <f t="shared" si="12"/>
        <v>8.1040702850373493E-5</v>
      </c>
      <c r="K35" s="2">
        <f t="shared" si="13"/>
        <v>5.6933618951563856E-5</v>
      </c>
      <c r="L35" s="2">
        <f t="shared" si="14"/>
        <v>9.6848250945056718E-5</v>
      </c>
      <c r="M35" s="2">
        <f t="shared" si="15"/>
        <v>0.50221221604079591</v>
      </c>
      <c r="N35" s="2">
        <f t="shared" si="16"/>
        <v>0.49730186894084027</v>
      </c>
      <c r="O35" s="2" t="str">
        <f t="shared" si="17"/>
        <v>OK</v>
      </c>
      <c r="P35" s="2">
        <f t="shared" si="18"/>
        <v>8.1717869112288313E-5</v>
      </c>
      <c r="Q35" s="2">
        <f t="shared" si="19"/>
        <v>8.1040702850373493E-5</v>
      </c>
      <c r="R35" s="2">
        <f t="shared" si="1"/>
        <v>1.6275857196266179E-4</v>
      </c>
      <c r="S35" s="56">
        <f t="shared" si="2"/>
        <v>5.258720866453641E-4</v>
      </c>
      <c r="T35" s="56">
        <f t="shared" si="3"/>
        <v>0.1163740065390228</v>
      </c>
      <c r="U35" s="56">
        <f t="shared" si="4"/>
        <v>2.4208320624103452</v>
      </c>
      <c r="V35" s="56">
        <f t="shared" si="5"/>
        <v>1.9421943327625726E-2</v>
      </c>
      <c r="W35" s="56">
        <f t="shared" si="6"/>
        <v>4.5610992674550771E-3</v>
      </c>
      <c r="X35" s="56">
        <f t="shared" si="7"/>
        <v>2.5617149836310942</v>
      </c>
      <c r="Z35" s="119"/>
    </row>
    <row r="36" spans="2:26" x14ac:dyDescent="0.2">
      <c r="B36" s="119"/>
      <c r="C36" s="2">
        <f t="shared" si="22"/>
        <v>25</v>
      </c>
      <c r="D36" s="2">
        <f t="shared" si="22"/>
        <v>25</v>
      </c>
      <c r="E36" s="2">
        <f t="shared" si="8"/>
        <v>6.8446269678302529E-2</v>
      </c>
      <c r="F36" s="2">
        <f t="shared" si="21"/>
        <v>62.098446269678369</v>
      </c>
      <c r="G36" s="2">
        <f t="shared" si="9"/>
        <v>6.1512042347511731E-5</v>
      </c>
      <c r="H36" s="2">
        <f t="shared" si="10"/>
        <v>6.1866285094390309E-5</v>
      </c>
      <c r="I36" s="2">
        <f t="shared" si="11"/>
        <v>5.9526135629445309E-5</v>
      </c>
      <c r="J36" s="2">
        <f t="shared" si="12"/>
        <v>5.9032864192141242E-5</v>
      </c>
      <c r="K36" s="2">
        <f t="shared" si="13"/>
        <v>4.1472426591111399E-5</v>
      </c>
      <c r="L36" s="2">
        <f t="shared" si="14"/>
        <v>7.0547631772185809E-5</v>
      </c>
      <c r="M36" s="2">
        <f t="shared" si="15"/>
        <v>0.50227849044043238</v>
      </c>
      <c r="N36" s="2">
        <f t="shared" si="16"/>
        <v>0.49736755217394091</v>
      </c>
      <c r="O36" s="2" t="str">
        <f t="shared" si="17"/>
        <v>OK</v>
      </c>
      <c r="P36" s="2">
        <f t="shared" si="18"/>
        <v>5.9526135629445309E-5</v>
      </c>
      <c r="Q36" s="2">
        <f t="shared" si="19"/>
        <v>5.9032864192141242E-5</v>
      </c>
      <c r="R36" s="2">
        <f t="shared" si="1"/>
        <v>1.1855899982158655E-4</v>
      </c>
      <c r="S36" s="56">
        <f t="shared" si="2"/>
        <v>3.8306350243149089E-4</v>
      </c>
      <c r="T36" s="56">
        <f t="shared" si="3"/>
        <v>8.4770870462432604E-2</v>
      </c>
      <c r="U36" s="56">
        <f t="shared" si="4"/>
        <v>1.7634182004755876</v>
      </c>
      <c r="V36" s="56">
        <f t="shared" si="5"/>
        <v>1.4147618449509921E-2</v>
      </c>
      <c r="W36" s="56">
        <f t="shared" si="6"/>
        <v>3.3224632109602335E-3</v>
      </c>
      <c r="X36" s="56">
        <f t="shared" si="7"/>
        <v>1.866042216100922</v>
      </c>
      <c r="Z36" s="119"/>
    </row>
    <row r="37" spans="2:26" x14ac:dyDescent="0.2">
      <c r="B37" s="119"/>
      <c r="C37" s="2">
        <f t="shared" si="22"/>
        <v>26</v>
      </c>
      <c r="D37" s="2">
        <f t="shared" si="22"/>
        <v>26</v>
      </c>
      <c r="E37" s="2">
        <f t="shared" si="8"/>
        <v>7.1184120465434639E-2</v>
      </c>
      <c r="F37" s="2">
        <f t="shared" si="21"/>
        <v>62.101184120465504</v>
      </c>
      <c r="G37" s="2">
        <f t="shared" si="9"/>
        <v>4.480750927498829E-5</v>
      </c>
      <c r="H37" s="2">
        <f t="shared" si="10"/>
        <v>4.5065552002242977E-5</v>
      </c>
      <c r="I37" s="2">
        <f t="shared" si="11"/>
        <v>4.3360905808526999E-5</v>
      </c>
      <c r="J37" s="2">
        <f t="shared" si="12"/>
        <v>4.3001589751726008E-5</v>
      </c>
      <c r="K37" s="2">
        <f t="shared" si="13"/>
        <v>3.0209956732382281E-5</v>
      </c>
      <c r="L37" s="2">
        <f t="shared" si="14"/>
        <v>5.1389346659765217E-5</v>
      </c>
      <c r="M37" s="2">
        <f t="shared" si="15"/>
        <v>0.50232676701625523</v>
      </c>
      <c r="N37" s="2">
        <f t="shared" si="16"/>
        <v>0.49741539812351521</v>
      </c>
      <c r="O37" s="2" t="str">
        <f t="shared" si="17"/>
        <v>OK</v>
      </c>
      <c r="P37" s="2">
        <f t="shared" si="18"/>
        <v>4.3360905808526999E-5</v>
      </c>
      <c r="Q37" s="2">
        <f t="shared" si="19"/>
        <v>4.3001589751726008E-5</v>
      </c>
      <c r="R37" s="2">
        <f t="shared" si="1"/>
        <v>8.6362495560253001E-5</v>
      </c>
      <c r="S37" s="56">
        <f t="shared" si="2"/>
        <v>2.7903676716081028E-4</v>
      </c>
      <c r="T37" s="56">
        <f t="shared" si="3"/>
        <v>6.1750047950536499E-2</v>
      </c>
      <c r="U37" s="56">
        <f t="shared" si="4"/>
        <v>1.2845350984619421</v>
      </c>
      <c r="V37" s="56">
        <f t="shared" si="5"/>
        <v>1.0305616928049452E-2</v>
      </c>
      <c r="W37" s="56">
        <f t="shared" si="6"/>
        <v>2.4201976635914941E-3</v>
      </c>
      <c r="X37" s="56">
        <f t="shared" si="7"/>
        <v>1.3592899977712807</v>
      </c>
      <c r="Z37" s="119"/>
    </row>
    <row r="38" spans="2:26" x14ac:dyDescent="0.2">
      <c r="B38" s="119"/>
      <c r="C38" s="2">
        <f t="shared" si="22"/>
        <v>27</v>
      </c>
      <c r="D38" s="2">
        <f t="shared" si="22"/>
        <v>27</v>
      </c>
      <c r="E38" s="2">
        <f t="shared" si="8"/>
        <v>7.3921971252566734E-2</v>
      </c>
      <c r="F38" s="2">
        <f t="shared" si="21"/>
        <v>62.103921971252639</v>
      </c>
      <c r="G38" s="2">
        <f t="shared" si="9"/>
        <v>3.2639346886053089E-5</v>
      </c>
      <c r="H38" s="2">
        <f t="shared" si="10"/>
        <v>3.2827314175968725E-5</v>
      </c>
      <c r="I38" s="2">
        <f t="shared" si="11"/>
        <v>3.1585590649377969E-5</v>
      </c>
      <c r="J38" s="2">
        <f t="shared" si="12"/>
        <v>3.1323852346816219E-5</v>
      </c>
      <c r="K38" s="2">
        <f t="shared" si="13"/>
        <v>2.2005982321898483E-5</v>
      </c>
      <c r="L38" s="2">
        <f t="shared" si="14"/>
        <v>3.7433785943983945E-5</v>
      </c>
      <c r="M38" s="2">
        <f t="shared" si="15"/>
        <v>0.50236193335177026</v>
      </c>
      <c r="N38" s="2">
        <f t="shared" si="16"/>
        <v>0.49745025077590577</v>
      </c>
      <c r="O38" s="2" t="str">
        <f t="shared" si="17"/>
        <v>OK</v>
      </c>
      <c r="P38" s="2">
        <f t="shared" si="18"/>
        <v>3.1585590649377969E-5</v>
      </c>
      <c r="Q38" s="2">
        <f t="shared" si="19"/>
        <v>3.1323852346816219E-5</v>
      </c>
      <c r="R38" s="2">
        <f t="shared" si="1"/>
        <v>6.2909442996194188E-5</v>
      </c>
      <c r="S38" s="56">
        <f t="shared" si="2"/>
        <v>2.0326007815855989E-4</v>
      </c>
      <c r="T38" s="56">
        <f t="shared" si="3"/>
        <v>4.4980880836708807E-2</v>
      </c>
      <c r="U38" s="56">
        <f t="shared" si="4"/>
        <v>0.93570000528251451</v>
      </c>
      <c r="V38" s="56">
        <f t="shared" si="5"/>
        <v>7.5069695064962942E-3</v>
      </c>
      <c r="W38" s="56">
        <f t="shared" si="6"/>
        <v>1.7629560835346876E-3</v>
      </c>
      <c r="X38" s="56">
        <f t="shared" si="7"/>
        <v>0.99015407178741288</v>
      </c>
      <c r="Z38" s="119"/>
    </row>
    <row r="39" spans="2:26" x14ac:dyDescent="0.2">
      <c r="B39" s="119"/>
      <c r="C39" s="2">
        <f t="shared" si="22"/>
        <v>28</v>
      </c>
      <c r="D39" s="2">
        <f t="shared" si="22"/>
        <v>28</v>
      </c>
      <c r="E39" s="2">
        <f t="shared" si="8"/>
        <v>7.665982203969883E-2</v>
      </c>
      <c r="F39" s="2">
        <f t="shared" si="21"/>
        <v>62.106659822039774</v>
      </c>
      <c r="G39" s="2">
        <f t="shared" si="9"/>
        <v>2.377563453638585E-5</v>
      </c>
      <c r="H39" s="2">
        <f t="shared" si="10"/>
        <v>2.3912556442496007E-5</v>
      </c>
      <c r="I39" s="2">
        <f t="shared" si="11"/>
        <v>2.3008041874036028E-5</v>
      </c>
      <c r="J39" s="2">
        <f t="shared" si="12"/>
        <v>2.2817382598664876E-5</v>
      </c>
      <c r="K39" s="2">
        <f t="shared" si="13"/>
        <v>1.6029922265144349E-5</v>
      </c>
      <c r="L39" s="2">
        <f t="shared" si="14"/>
        <v>2.7268070555736919E-5</v>
      </c>
      <c r="M39" s="2">
        <f t="shared" si="15"/>
        <v>0.50238754973264044</v>
      </c>
      <c r="N39" s="2">
        <f t="shared" si="16"/>
        <v>0.49747563865908723</v>
      </c>
      <c r="O39" s="2" t="str">
        <f t="shared" si="17"/>
        <v>OK</v>
      </c>
      <c r="P39" s="2">
        <f t="shared" si="18"/>
        <v>2.3008041874036028E-5</v>
      </c>
      <c r="Q39" s="2">
        <f t="shared" si="19"/>
        <v>2.2817382598664876E-5</v>
      </c>
      <c r="R39" s="2">
        <f t="shared" si="1"/>
        <v>4.5825424472700901E-5</v>
      </c>
      <c r="S39" s="56">
        <f t="shared" si="2"/>
        <v>1.4806170451284816E-4</v>
      </c>
      <c r="T39" s="56">
        <f t="shared" si="3"/>
        <v>3.2765636752225873E-2</v>
      </c>
      <c r="U39" s="56">
        <f t="shared" si="4"/>
        <v>0.68159640077879313</v>
      </c>
      <c r="V39" s="56">
        <f t="shared" si="5"/>
        <v>5.4683374665966461E-3</v>
      </c>
      <c r="W39" s="56">
        <f t="shared" si="6"/>
        <v>1.2841984764808822E-3</v>
      </c>
      <c r="X39" s="56">
        <f t="shared" si="7"/>
        <v>0.72126263517860945</v>
      </c>
      <c r="Z39" s="119"/>
    </row>
    <row r="40" spans="2:26" x14ac:dyDescent="0.2">
      <c r="B40" s="119"/>
      <c r="C40" s="2">
        <f t="shared" si="22"/>
        <v>29</v>
      </c>
      <c r="D40" s="2">
        <f t="shared" si="22"/>
        <v>29</v>
      </c>
      <c r="E40" s="2">
        <f t="shared" si="8"/>
        <v>7.939767282683094E-2</v>
      </c>
      <c r="F40" s="2">
        <f t="shared" si="21"/>
        <v>62.109397672826908</v>
      </c>
      <c r="G40" s="2">
        <f t="shared" si="9"/>
        <v>1.7318998433458251E-5</v>
      </c>
      <c r="H40" s="2">
        <f t="shared" si="10"/>
        <v>1.7418737108100094E-5</v>
      </c>
      <c r="I40" s="2">
        <f t="shared" si="11"/>
        <v>1.6759857263264631E-5</v>
      </c>
      <c r="J40" s="2">
        <f t="shared" si="12"/>
        <v>1.6620974421402982E-5</v>
      </c>
      <c r="K40" s="2">
        <f t="shared" si="13"/>
        <v>1.1676752440950374E-5</v>
      </c>
      <c r="L40" s="2">
        <f t="shared" si="14"/>
        <v>1.9863010199277806E-5</v>
      </c>
      <c r="M40" s="2">
        <f t="shared" si="15"/>
        <v>0.50240620959467197</v>
      </c>
      <c r="N40" s="2">
        <f t="shared" si="16"/>
        <v>0.49749413207546167</v>
      </c>
      <c r="O40" s="2" t="str">
        <f t="shared" si="17"/>
        <v>OK</v>
      </c>
      <c r="P40" s="2">
        <f t="shared" si="18"/>
        <v>1.6759857263264631E-5</v>
      </c>
      <c r="Q40" s="2">
        <f t="shared" si="19"/>
        <v>1.6620974421402982E-5</v>
      </c>
      <c r="R40" s="2">
        <f t="shared" si="1"/>
        <v>3.3380831684667609E-5</v>
      </c>
      <c r="S40" s="56">
        <f t="shared" si="2"/>
        <v>1.0785329092221878E-4</v>
      </c>
      <c r="T40" s="56">
        <f t="shared" si="3"/>
        <v>2.3867628462854187E-2</v>
      </c>
      <c r="U40" s="56">
        <f t="shared" si="4"/>
        <v>0.49649850477423457</v>
      </c>
      <c r="V40" s="56">
        <f t="shared" si="5"/>
        <v>3.983327043182449E-3</v>
      </c>
      <c r="W40" s="56">
        <f t="shared" si="6"/>
        <v>9.3545479801737576E-4</v>
      </c>
      <c r="X40" s="56">
        <f t="shared" si="7"/>
        <v>0.52539276836921089</v>
      </c>
      <c r="Z40" s="119"/>
    </row>
    <row r="41" spans="2:26" x14ac:dyDescent="0.2">
      <c r="B41" s="119"/>
      <c r="C41" s="2">
        <f t="shared" si="22"/>
        <v>30</v>
      </c>
      <c r="D41" s="2">
        <f t="shared" si="22"/>
        <v>30</v>
      </c>
      <c r="E41" s="2">
        <f t="shared" si="8"/>
        <v>8.2135523613963035E-2</v>
      </c>
      <c r="F41" s="2">
        <f t="shared" si="21"/>
        <v>62.112135523614043</v>
      </c>
      <c r="G41" s="2">
        <f t="shared" si="9"/>
        <v>1.2615760319098246E-5</v>
      </c>
      <c r="H41" s="2">
        <f t="shared" si="10"/>
        <v>1.2688413435770117E-5</v>
      </c>
      <c r="I41" s="2">
        <f t="shared" si="11"/>
        <v>1.2208462459767344E-5</v>
      </c>
      <c r="J41" s="2">
        <f t="shared" si="12"/>
        <v>1.2107295371376312E-5</v>
      </c>
      <c r="K41" s="2">
        <f t="shared" si="13"/>
        <v>8.5057522617623655E-6</v>
      </c>
      <c r="L41" s="2">
        <f t="shared" si="14"/>
        <v>1.4468906897746115E-5</v>
      </c>
      <c r="M41" s="2">
        <f t="shared" si="15"/>
        <v>0.50241980208663284</v>
      </c>
      <c r="N41" s="2">
        <f t="shared" si="16"/>
        <v>0.49750760332262173</v>
      </c>
      <c r="O41" s="2" t="str">
        <f t="shared" si="17"/>
        <v>OK</v>
      </c>
      <c r="P41" s="2">
        <f t="shared" si="18"/>
        <v>1.2208462459767344E-5</v>
      </c>
      <c r="Q41" s="2">
        <f t="shared" si="19"/>
        <v>1.2107295371376312E-5</v>
      </c>
      <c r="R41" s="2">
        <f t="shared" si="1"/>
        <v>2.4315757831143657E-5</v>
      </c>
      <c r="S41" s="56">
        <f t="shared" si="2"/>
        <v>7.8564085165113814E-5</v>
      </c>
      <c r="T41" s="56">
        <f t="shared" si="3"/>
        <v>1.7386010006846028E-2</v>
      </c>
      <c r="U41" s="56">
        <f t="shared" si="4"/>
        <v>0.36166676491640848</v>
      </c>
      <c r="V41" s="56">
        <f t="shared" si="5"/>
        <v>2.9015938446122751E-3</v>
      </c>
      <c r="W41" s="56">
        <f t="shared" si="6"/>
        <v>6.8141778328253424E-4</v>
      </c>
      <c r="X41" s="56">
        <f t="shared" si="7"/>
        <v>0.38271435063631437</v>
      </c>
      <c r="Z41" s="119"/>
    </row>
    <row r="42" spans="2:26" x14ac:dyDescent="0.2">
      <c r="B42" s="119"/>
      <c r="C42" s="2">
        <f t="shared" si="22"/>
        <v>31</v>
      </c>
      <c r="D42" s="2">
        <f t="shared" si="22"/>
        <v>31</v>
      </c>
      <c r="E42" s="2">
        <f t="shared" si="8"/>
        <v>8.4873374401095145E-2</v>
      </c>
      <c r="F42" s="2">
        <f t="shared" si="21"/>
        <v>62.114873374401178</v>
      </c>
      <c r="G42" s="2">
        <f t="shared" si="9"/>
        <v>9.189758232341659E-6</v>
      </c>
      <c r="H42" s="2">
        <f t="shared" si="10"/>
        <v>9.2426812873262932E-6</v>
      </c>
      <c r="I42" s="2">
        <f t="shared" si="11"/>
        <v>8.8930683174155584E-6</v>
      </c>
      <c r="J42" s="2">
        <f t="shared" si="12"/>
        <v>8.8193746945289489E-6</v>
      </c>
      <c r="K42" s="2">
        <f t="shared" si="13"/>
        <v>6.1958855346229678E-6</v>
      </c>
      <c r="L42" s="2">
        <f t="shared" si="14"/>
        <v>1.053965459953458E-5</v>
      </c>
      <c r="M42" s="2">
        <f t="shared" si="15"/>
        <v>0.50242970333013592</v>
      </c>
      <c r="N42" s="2">
        <f t="shared" si="16"/>
        <v>0.49751741624719842</v>
      </c>
      <c r="O42" s="2" t="str">
        <f t="shared" si="17"/>
        <v>OK</v>
      </c>
      <c r="P42" s="2">
        <f t="shared" si="18"/>
        <v>8.8930683174155584E-6</v>
      </c>
      <c r="Q42" s="2">
        <f t="shared" si="19"/>
        <v>8.8193746945289489E-6</v>
      </c>
      <c r="R42" s="2">
        <f t="shared" si="1"/>
        <v>1.7712443011944507E-5</v>
      </c>
      <c r="S42" s="56">
        <f t="shared" si="2"/>
        <v>5.7228809849813493E-5</v>
      </c>
      <c r="T42" s="56">
        <f t="shared" si="3"/>
        <v>1.2664573877970441E-2</v>
      </c>
      <c r="U42" s="56">
        <f t="shared" si="4"/>
        <v>0.26345064000793655</v>
      </c>
      <c r="V42" s="56">
        <f t="shared" si="5"/>
        <v>2.1136217909967004E-3</v>
      </c>
      <c r="W42" s="56">
        <f t="shared" si="6"/>
        <v>4.9636839359386232E-4</v>
      </c>
      <c r="X42" s="56">
        <f t="shared" si="7"/>
        <v>0.27878243288034738</v>
      </c>
      <c r="Z42" s="119"/>
    </row>
    <row r="43" spans="2:26" x14ac:dyDescent="0.2">
      <c r="B43" s="119"/>
      <c r="C43" s="2">
        <f t="shared" si="22"/>
        <v>32</v>
      </c>
      <c r="D43" s="2">
        <f t="shared" si="22"/>
        <v>32</v>
      </c>
      <c r="E43" s="2">
        <f t="shared" si="8"/>
        <v>8.761122518822724E-2</v>
      </c>
      <c r="F43" s="2">
        <f t="shared" si="21"/>
        <v>62.117611225188313</v>
      </c>
      <c r="G43" s="2">
        <f t="shared" si="9"/>
        <v>6.6941392537917945E-6</v>
      </c>
      <c r="H43" s="2">
        <f t="shared" si="10"/>
        <v>6.7326902461951017E-6</v>
      </c>
      <c r="I43" s="2">
        <f t="shared" si="11"/>
        <v>6.4780200093571274E-6</v>
      </c>
      <c r="J43" s="2">
        <f t="shared" si="12"/>
        <v>6.4243390134868267E-6</v>
      </c>
      <c r="K43" s="2">
        <f t="shared" si="13"/>
        <v>4.5132983393994841E-6</v>
      </c>
      <c r="L43" s="2">
        <f t="shared" si="14"/>
        <v>7.6774506784725239E-6</v>
      </c>
      <c r="M43" s="2">
        <f t="shared" si="15"/>
        <v>0.50243691573998606</v>
      </c>
      <c r="N43" s="2">
        <f t="shared" si="16"/>
        <v>0.49752456432247338</v>
      </c>
      <c r="O43" s="2" t="str">
        <f t="shared" si="17"/>
        <v>OK</v>
      </c>
      <c r="P43" s="2">
        <f t="shared" si="18"/>
        <v>6.4780200093571274E-6</v>
      </c>
      <c r="Q43" s="2">
        <f t="shared" si="19"/>
        <v>6.4243390134868267E-6</v>
      </c>
      <c r="R43" s="2">
        <f t="shared" ref="R43:R74" si="23">SUM(P43:Q43)</f>
        <v>1.2902359022843955E-5</v>
      </c>
      <c r="S43" s="56">
        <f t="shared" ref="S43:S74" si="24">PVI1_cost_perpatient*(G43+H43+J43)</f>
        <v>4.1687453878294821E-5</v>
      </c>
      <c r="T43" s="56">
        <f t="shared" ref="T43:T74" si="25">treatment_cost*(I43+J43)</f>
        <v>9.2253157249236554E-3</v>
      </c>
      <c r="U43" s="56">
        <f t="shared" ref="U43:U74" si="26">ICU_Cost_without*(G44+H44+K44+L44)+ICU_cost_with*(I43+J43)</f>
        <v>0.19190660147153932</v>
      </c>
      <c r="V43" s="56">
        <f t="shared" ref="V43:V74" si="27">Resource_cost*(H43+J43)</f>
        <v>1.5396355639679792E-3</v>
      </c>
      <c r="W43" s="56">
        <f t="shared" ref="W43:W74" si="28">IF(Incl_AE="Yes",Adverse_Event_Cost*K45,0)</f>
        <v>3.6157198741112372E-4</v>
      </c>
      <c r="X43" s="56">
        <f t="shared" ref="X43:X74" si="29">SUM(S43:W43)</f>
        <v>0.20307481220172036</v>
      </c>
      <c r="Z43" s="119"/>
    </row>
    <row r="44" spans="2:26" x14ac:dyDescent="0.2">
      <c r="B44" s="119"/>
      <c r="C44" s="2">
        <f t="shared" si="22"/>
        <v>33</v>
      </c>
      <c r="D44" s="2">
        <f t="shared" si="22"/>
        <v>33</v>
      </c>
      <c r="E44" s="2">
        <f t="shared" si="8"/>
        <v>9.0349075975359336E-2</v>
      </c>
      <c r="F44" s="2">
        <f t="shared" si="21"/>
        <v>62.120349075975447</v>
      </c>
      <c r="G44" s="2">
        <f t="shared" ref="G44:G75" si="30">G43*tp_pvi1_1_1+H43*tp_pvi1_2_1+I43*tp_pvi1_3_1+J43*tp_pvi1_4_1+L43*tp_pvi1_6_1</f>
        <v>4.8762436634527964E-6</v>
      </c>
      <c r="H44" s="2">
        <f t="shared" ref="H44:H75" si="31">G43*tp_pvi1_1_2+I43*tp_pvi1_3_2+J43*tp_pvi1_4_2+H43*tp_pvi1_2_2+L43*tp_pvi1_6_2</f>
        <v>4.9043255460219355E-6</v>
      </c>
      <c r="I44" s="2">
        <f t="shared" ref="I44:I75" si="32">G43*tp_pvi1_1_3+H43*tp_pvi1_2_3+I43*tp_pvi1_3_3+J43*tp_pvi1_4_3+L43*tp_pvi1_6_3</f>
        <v>4.7188148953512349E-6</v>
      </c>
      <c r="J44" s="2">
        <f t="shared" ref="J44:J75" si="33">G43*tp_pvi1_1_4+H43*tp_pvi1_2_4+I43*tp_pvi1_3_4+J43*tp_pvi1_4_4+L43*tp_pvi1_6_4</f>
        <v>4.6797117924673028E-6</v>
      </c>
      <c r="K44" s="2">
        <f t="shared" ref="K44:K75" si="34">G43*tp_pvi1_1_5+H43*tp_pvi1_2_5+I43*tp_pvi1_3_5+J43*tp_pvi1_4_5</f>
        <v>3.2876433540459816E-6</v>
      </c>
      <c r="L44" s="2">
        <f t="shared" ref="L44:L75" si="35">K43*tp_pvi1_5_6+L43*tp_pvi1_6_6</f>
        <v>5.5925218767012954E-6</v>
      </c>
      <c r="M44" s="2">
        <f t="shared" ref="M44:M75" si="36">G43*tp_pvi1_1_7+H43*tp_pvi1_2_7+I43*tp_pvi1_3_7+J43*tp_pvi1_4_7+L43*tp_pvi1_6_7+M43</f>
        <v>0.50244216950996257</v>
      </c>
      <c r="N44" s="2">
        <f t="shared" ref="N44:N75" si="37">G43*tp_pvi1_1_8+H43*tp_pvi1_2_8+I43*tp_pvi1_3_8+J43*tp_pvi1_4_8+L43*tp_pvi1_6_8+N43</f>
        <v>0.49752977122890957</v>
      </c>
      <c r="O44" s="2" t="str">
        <f t="shared" si="17"/>
        <v>OK</v>
      </c>
      <c r="P44" s="2">
        <f t="shared" si="18"/>
        <v>4.7188148953512349E-6</v>
      </c>
      <c r="Q44" s="2">
        <f t="shared" si="19"/>
        <v>4.6797117924673028E-6</v>
      </c>
      <c r="R44" s="2">
        <f t="shared" si="23"/>
        <v>9.3985266878185386E-6</v>
      </c>
      <c r="S44" s="56">
        <f t="shared" si="24"/>
        <v>3.0366590104078276E-5</v>
      </c>
      <c r="T44" s="56">
        <f t="shared" si="25"/>
        <v>6.7200405670571331E-3</v>
      </c>
      <c r="U44" s="56">
        <f t="shared" si="26"/>
        <v>0.13979143754297954</v>
      </c>
      <c r="V44" s="56">
        <f t="shared" si="27"/>
        <v>1.1215240493500107E-3</v>
      </c>
      <c r="W44" s="56">
        <f t="shared" si="28"/>
        <v>2.6338160077837191E-4</v>
      </c>
      <c r="X44" s="56">
        <f t="shared" si="29"/>
        <v>0.14792675035026914</v>
      </c>
      <c r="Z44" s="119"/>
    </row>
    <row r="45" spans="2:26" x14ac:dyDescent="0.2">
      <c r="B45" s="119"/>
      <c r="C45" s="2">
        <f t="shared" ref="C45:D60" si="38">C44+1</f>
        <v>34</v>
      </c>
      <c r="D45" s="2">
        <f t="shared" si="38"/>
        <v>34</v>
      </c>
      <c r="E45" s="2">
        <f t="shared" si="8"/>
        <v>9.3086926762491445E-2</v>
      </c>
      <c r="F45" s="2">
        <f t="shared" si="21"/>
        <v>62.123086926762582</v>
      </c>
      <c r="G45" s="2">
        <f t="shared" si="30"/>
        <v>3.5520253409600247E-6</v>
      </c>
      <c r="H45" s="2">
        <f t="shared" si="31"/>
        <v>3.5724811601093104E-6</v>
      </c>
      <c r="I45" s="2">
        <f t="shared" si="32"/>
        <v>3.4373487553980729E-6</v>
      </c>
      <c r="J45" s="2">
        <f t="shared" si="33"/>
        <v>3.4088646963681878E-6</v>
      </c>
      <c r="K45" s="2">
        <f t="shared" si="34"/>
        <v>2.3948336694338566E-6</v>
      </c>
      <c r="L45" s="2">
        <f t="shared" si="35"/>
        <v>4.0737872831935864E-6</v>
      </c>
      <c r="M45" s="2">
        <f t="shared" si="36"/>
        <v>0.50244599653858957</v>
      </c>
      <c r="N45" s="2">
        <f t="shared" si="37"/>
        <v>0.4975335641205052</v>
      </c>
      <c r="O45" s="2" t="str">
        <f t="shared" si="17"/>
        <v>OK</v>
      </c>
      <c r="P45" s="2">
        <f t="shared" si="18"/>
        <v>3.4373487553980729E-6</v>
      </c>
      <c r="Q45" s="2">
        <f t="shared" si="19"/>
        <v>3.4088646963681878E-6</v>
      </c>
      <c r="R45" s="2">
        <f t="shared" si="23"/>
        <v>6.8462134517662603E-6</v>
      </c>
      <c r="S45" s="56">
        <f t="shared" si="24"/>
        <v>2.2120079514618798E-5</v>
      </c>
      <c r="T45" s="56">
        <f t="shared" si="25"/>
        <v>4.8951110801473937E-3</v>
      </c>
      <c r="U45" s="56">
        <f t="shared" si="26"/>
        <v>0.10182894106040083</v>
      </c>
      <c r="V45" s="56">
        <f t="shared" si="27"/>
        <v>8.1695709212499686E-4</v>
      </c>
      <c r="W45" s="56">
        <f t="shared" si="28"/>
        <v>1.9185631089752963E-4</v>
      </c>
      <c r="X45" s="56">
        <f t="shared" si="29"/>
        <v>0.10775498562308537</v>
      </c>
      <c r="Z45" s="119"/>
    </row>
    <row r="46" spans="2:26" x14ac:dyDescent="0.2">
      <c r="B46" s="119"/>
      <c r="C46" s="2">
        <f t="shared" si="38"/>
        <v>35</v>
      </c>
      <c r="D46" s="2">
        <f t="shared" si="38"/>
        <v>35</v>
      </c>
      <c r="E46" s="2">
        <f t="shared" si="8"/>
        <v>9.5824777549623541E-2</v>
      </c>
      <c r="F46" s="2">
        <f t="shared" si="21"/>
        <v>62.125824777549717</v>
      </c>
      <c r="G46" s="2">
        <f t="shared" si="30"/>
        <v>2.5874186963597921E-6</v>
      </c>
      <c r="H46" s="2">
        <f t="shared" si="31"/>
        <v>2.6023194258973553E-6</v>
      </c>
      <c r="I46" s="2">
        <f t="shared" si="32"/>
        <v>2.5038842862596933E-6</v>
      </c>
      <c r="J46" s="2">
        <f t="shared" si="33"/>
        <v>2.4831355078001846E-6</v>
      </c>
      <c r="K46" s="2">
        <f t="shared" si="34"/>
        <v>1.7444800687400441E-6</v>
      </c>
      <c r="L46" s="2">
        <f t="shared" si="35"/>
        <v>2.9674882270607947E-6</v>
      </c>
      <c r="M46" s="2">
        <f t="shared" si="36"/>
        <v>0.50244878427923623</v>
      </c>
      <c r="N46" s="2">
        <f t="shared" si="37"/>
        <v>0.49753632699455191</v>
      </c>
      <c r="O46" s="2" t="str">
        <f t="shared" si="17"/>
        <v>OK</v>
      </c>
      <c r="P46" s="2">
        <f t="shared" si="18"/>
        <v>2.5038842862596933E-6</v>
      </c>
      <c r="Q46" s="2">
        <f t="shared" si="19"/>
        <v>2.4831355078001846E-6</v>
      </c>
      <c r="R46" s="2">
        <f t="shared" si="23"/>
        <v>4.9870197940598779E-6</v>
      </c>
      <c r="S46" s="56">
        <f t="shared" si="24"/>
        <v>1.6113034623120397E-5</v>
      </c>
      <c r="T46" s="56">
        <f t="shared" si="25"/>
        <v>3.5657690229507532E-3</v>
      </c>
      <c r="U46" s="56">
        <f t="shared" si="26"/>
        <v>7.417573937098812E-2</v>
      </c>
      <c r="V46" s="56">
        <f t="shared" si="27"/>
        <v>5.9509993634128606E-4</v>
      </c>
      <c r="W46" s="56">
        <f t="shared" si="28"/>
        <v>1.397548041413015E-4</v>
      </c>
      <c r="X46" s="56">
        <f t="shared" si="29"/>
        <v>7.8492476169044575E-2</v>
      </c>
      <c r="Z46" s="119"/>
    </row>
    <row r="47" spans="2:26" x14ac:dyDescent="0.2">
      <c r="B47" s="119"/>
      <c r="C47" s="2">
        <f t="shared" si="38"/>
        <v>36</v>
      </c>
      <c r="D47" s="2">
        <f t="shared" si="38"/>
        <v>36</v>
      </c>
      <c r="E47" s="2">
        <f t="shared" si="8"/>
        <v>9.856262833675565E-2</v>
      </c>
      <c r="F47" s="2">
        <f t="shared" si="21"/>
        <v>62.128562628336852</v>
      </c>
      <c r="G47" s="2">
        <f t="shared" si="30"/>
        <v>1.8847656949603132E-6</v>
      </c>
      <c r="H47" s="2">
        <f t="shared" si="31"/>
        <v>1.895619904177319E-6</v>
      </c>
      <c r="I47" s="2">
        <f t="shared" si="32"/>
        <v>1.8239163277021588E-6</v>
      </c>
      <c r="J47" s="2">
        <f t="shared" si="33"/>
        <v>1.8088021964222725E-6</v>
      </c>
      <c r="K47" s="2">
        <f t="shared" si="34"/>
        <v>1.2707399052691059E-6</v>
      </c>
      <c r="L47" s="2">
        <f t="shared" si="35"/>
        <v>2.1616215490871643E-6</v>
      </c>
      <c r="M47" s="2">
        <f t="shared" si="36"/>
        <v>0.5024508149664012</v>
      </c>
      <c r="N47" s="2">
        <f t="shared" si="37"/>
        <v>0.4975383395680214</v>
      </c>
      <c r="O47" s="2" t="str">
        <f t="shared" si="17"/>
        <v>OK</v>
      </c>
      <c r="P47" s="2">
        <f t="shared" si="18"/>
        <v>1.8239163277021588E-6</v>
      </c>
      <c r="Q47" s="2">
        <f t="shared" si="19"/>
        <v>1.8088021964222725E-6</v>
      </c>
      <c r="R47" s="2">
        <f t="shared" si="23"/>
        <v>3.6327185241244315E-6</v>
      </c>
      <c r="S47" s="56">
        <f t="shared" si="24"/>
        <v>1.1737294370675799E-5</v>
      </c>
      <c r="T47" s="56">
        <f t="shared" si="25"/>
        <v>2.5974300719342099E-3</v>
      </c>
      <c r="U47" s="56">
        <f t="shared" si="26"/>
        <v>5.4032186271763545E-2</v>
      </c>
      <c r="V47" s="56">
        <f t="shared" si="27"/>
        <v>4.3349147421216421E-4</v>
      </c>
      <c r="W47" s="56">
        <f t="shared" si="28"/>
        <v>1.0180225601755112E-4</v>
      </c>
      <c r="X47" s="56">
        <f t="shared" si="29"/>
        <v>5.7176647368298146E-2</v>
      </c>
      <c r="Z47" s="119"/>
    </row>
    <row r="48" spans="2:26" x14ac:dyDescent="0.2">
      <c r="B48" s="119"/>
      <c r="C48" s="2">
        <f t="shared" si="38"/>
        <v>37</v>
      </c>
      <c r="D48" s="2">
        <f t="shared" si="38"/>
        <v>37</v>
      </c>
      <c r="E48" s="2">
        <f t="shared" si="8"/>
        <v>0.10130047912388775</v>
      </c>
      <c r="F48" s="2">
        <f t="shared" si="21"/>
        <v>62.131300479123986</v>
      </c>
      <c r="G48" s="2">
        <f t="shared" si="30"/>
        <v>1.3729288305355899E-6</v>
      </c>
      <c r="H48" s="2">
        <f t="shared" si="31"/>
        <v>1.3808354137286834E-6</v>
      </c>
      <c r="I48" s="2">
        <f t="shared" si="32"/>
        <v>1.3286040368214685E-6</v>
      </c>
      <c r="J48" s="2">
        <f t="shared" si="33"/>
        <v>1.3175943783593368E-6</v>
      </c>
      <c r="K48" s="2">
        <f t="shared" si="34"/>
        <v>9.2565110704266439E-7</v>
      </c>
      <c r="L48" s="2">
        <f t="shared" si="35"/>
        <v>1.5746002558220593E-6</v>
      </c>
      <c r="M48" s="2">
        <f t="shared" si="36"/>
        <v>0.50245229418950155</v>
      </c>
      <c r="N48" s="2">
        <f t="shared" si="37"/>
        <v>0.49753980559647643</v>
      </c>
      <c r="O48" s="2" t="str">
        <f t="shared" si="17"/>
        <v>OK</v>
      </c>
      <c r="P48" s="2">
        <f t="shared" si="18"/>
        <v>1.3286040368214685E-6</v>
      </c>
      <c r="Q48" s="2">
        <f t="shared" si="19"/>
        <v>1.3175943783593368E-6</v>
      </c>
      <c r="R48" s="2">
        <f t="shared" si="23"/>
        <v>2.6461984151808052E-6</v>
      </c>
      <c r="S48" s="56">
        <f t="shared" si="24"/>
        <v>8.549853107509583E-6</v>
      </c>
      <c r="T48" s="56">
        <f t="shared" si="25"/>
        <v>1.8920583288384275E-3</v>
      </c>
      <c r="U48" s="56">
        <f t="shared" si="26"/>
        <v>3.9358922176761985E-2</v>
      </c>
      <c r="V48" s="56">
        <f t="shared" si="27"/>
        <v>3.1577025427014009E-4</v>
      </c>
      <c r="W48" s="56">
        <f t="shared" si="28"/>
        <v>7.4156301058423186E-5</v>
      </c>
      <c r="X48" s="56">
        <f t="shared" si="29"/>
        <v>4.164945691403648E-2</v>
      </c>
      <c r="Z48" s="119"/>
    </row>
    <row r="49" spans="2:26" x14ac:dyDescent="0.2">
      <c r="B49" s="119"/>
      <c r="C49" s="2">
        <f t="shared" si="38"/>
        <v>38</v>
      </c>
      <c r="D49" s="2">
        <f t="shared" si="38"/>
        <v>38</v>
      </c>
      <c r="E49" s="2">
        <f t="shared" si="8"/>
        <v>0.10403832991101984</v>
      </c>
      <c r="F49" s="2">
        <f t="shared" si="21"/>
        <v>62.134038329911121</v>
      </c>
      <c r="G49" s="2">
        <f t="shared" si="30"/>
        <v>1.0000890714193345E-6</v>
      </c>
      <c r="H49" s="2">
        <f t="shared" si="31"/>
        <v>1.0058485013823545E-6</v>
      </c>
      <c r="I49" s="2">
        <f t="shared" si="32"/>
        <v>9.6780135132745172E-7</v>
      </c>
      <c r="J49" s="2">
        <f t="shared" si="33"/>
        <v>9.5978153350212255E-7</v>
      </c>
      <c r="K49" s="2">
        <f t="shared" si="34"/>
        <v>6.7427643408101151E-7</v>
      </c>
      <c r="L49" s="2">
        <f t="shared" si="35"/>
        <v>1.1469935459709358E-6</v>
      </c>
      <c r="M49" s="2">
        <f t="shared" si="36"/>
        <v>0.50245337170701299</v>
      </c>
      <c r="N49" s="2">
        <f t="shared" si="37"/>
        <v>0.49754087350254966</v>
      </c>
      <c r="O49" s="2" t="str">
        <f t="shared" si="17"/>
        <v>OK</v>
      </c>
      <c r="P49" s="2">
        <f t="shared" si="18"/>
        <v>9.6780135132745172E-7</v>
      </c>
      <c r="Q49" s="2">
        <f t="shared" si="19"/>
        <v>9.5978153350212255E-7</v>
      </c>
      <c r="R49" s="2">
        <f t="shared" si="23"/>
        <v>1.927582884829574E-6</v>
      </c>
      <c r="S49" s="56">
        <f t="shared" si="24"/>
        <v>6.2280101232380035E-6</v>
      </c>
      <c r="T49" s="56">
        <f t="shared" si="25"/>
        <v>1.3782410384819937E-3</v>
      </c>
      <c r="U49" s="56">
        <f t="shared" si="26"/>
        <v>2.8670406692871429E-2</v>
      </c>
      <c r="V49" s="56">
        <f t="shared" si="27"/>
        <v>2.3001802668218149E-4</v>
      </c>
      <c r="W49" s="56">
        <f t="shared" si="28"/>
        <v>5.4018026729382403E-5</v>
      </c>
      <c r="X49" s="56">
        <f t="shared" si="29"/>
        <v>3.0338911794888224E-2</v>
      </c>
      <c r="Z49" s="119"/>
    </row>
    <row r="50" spans="2:26" x14ac:dyDescent="0.2">
      <c r="B50" s="119"/>
      <c r="C50" s="2">
        <f t="shared" si="38"/>
        <v>39</v>
      </c>
      <c r="D50" s="2">
        <f t="shared" si="38"/>
        <v>39</v>
      </c>
      <c r="E50" s="2">
        <f t="shared" si="8"/>
        <v>0.10677618069815195</v>
      </c>
      <c r="F50" s="2">
        <f t="shared" si="21"/>
        <v>62.136776180698256</v>
      </c>
      <c r="G50" s="2">
        <f t="shared" si="30"/>
        <v>7.2849963415963229E-7</v>
      </c>
      <c r="H50" s="2">
        <f t="shared" si="31"/>
        <v>7.3269500309319477E-7</v>
      </c>
      <c r="I50" s="2">
        <f t="shared" si="32"/>
        <v>7.049801367998589E-7</v>
      </c>
      <c r="J50" s="2">
        <f t="shared" si="33"/>
        <v>6.9913822279565178E-7</v>
      </c>
      <c r="K50" s="2">
        <f t="shared" si="34"/>
        <v>4.9116638666328767E-7</v>
      </c>
      <c r="L50" s="2">
        <f t="shared" si="35"/>
        <v>8.355099585653892E-7</v>
      </c>
      <c r="M50" s="2">
        <f t="shared" si="36"/>
        <v>0.50245415660821358</v>
      </c>
      <c r="N50" s="2">
        <f t="shared" si="37"/>
        <v>0.49754165140244466</v>
      </c>
      <c r="O50" s="2" t="str">
        <f t="shared" si="17"/>
        <v>OK</v>
      </c>
      <c r="P50" s="2">
        <f t="shared" si="18"/>
        <v>7.049801367998589E-7</v>
      </c>
      <c r="Q50" s="2">
        <f t="shared" si="19"/>
        <v>6.9913822279565178E-7</v>
      </c>
      <c r="R50" s="2">
        <f t="shared" si="23"/>
        <v>1.4041183595955108E-6</v>
      </c>
      <c r="S50" s="56">
        <f t="shared" si="24"/>
        <v>4.5366990061018058E-6</v>
      </c>
      <c r="T50" s="56">
        <f t="shared" si="25"/>
        <v>1.0039586682943861E-3</v>
      </c>
      <c r="U50" s="56">
        <f t="shared" si="26"/>
        <v>2.088452057307514E-2</v>
      </c>
      <c r="V50" s="56">
        <f t="shared" si="27"/>
        <v>1.6755312409351281E-4</v>
      </c>
      <c r="W50" s="56">
        <f t="shared" si="28"/>
        <v>3.9348607874027939E-5</v>
      </c>
      <c r="X50" s="56">
        <f t="shared" si="29"/>
        <v>2.2099917672343167E-2</v>
      </c>
      <c r="Z50" s="119"/>
    </row>
    <row r="51" spans="2:26" x14ac:dyDescent="0.2">
      <c r="B51" s="119"/>
      <c r="C51" s="2">
        <f t="shared" si="38"/>
        <v>40</v>
      </c>
      <c r="D51" s="2">
        <f t="shared" si="38"/>
        <v>40</v>
      </c>
      <c r="E51" s="2">
        <f t="shared" si="8"/>
        <v>0.10951403148528405</v>
      </c>
      <c r="F51" s="2">
        <f t="shared" si="21"/>
        <v>62.13951403148539</v>
      </c>
      <c r="G51" s="2">
        <f t="shared" si="30"/>
        <v>5.3066444993496932E-7</v>
      </c>
      <c r="H51" s="2">
        <f t="shared" si="31"/>
        <v>5.3372050246129818E-7</v>
      </c>
      <c r="I51" s="2">
        <f t="shared" si="32"/>
        <v>5.1353203072165203E-7</v>
      </c>
      <c r="J51" s="2">
        <f t="shared" si="33"/>
        <v>5.0927657754604931E-7</v>
      </c>
      <c r="K51" s="2">
        <f t="shared" si="34"/>
        <v>3.5778266478594778E-7</v>
      </c>
      <c r="L51" s="2">
        <f t="shared" si="35"/>
        <v>6.0861448899524934E-7</v>
      </c>
      <c r="M51" s="2">
        <f t="shared" si="36"/>
        <v>0.50245472835752458</v>
      </c>
      <c r="N51" s="2">
        <f t="shared" si="37"/>
        <v>0.49754221805176135</v>
      </c>
      <c r="O51" s="2" t="str">
        <f t="shared" si="17"/>
        <v>OK</v>
      </c>
      <c r="P51" s="2">
        <f t="shared" si="18"/>
        <v>5.1353203072165203E-7</v>
      </c>
      <c r="Q51" s="2">
        <f t="shared" si="19"/>
        <v>5.0927657754604931E-7</v>
      </c>
      <c r="R51" s="2">
        <f t="shared" si="23"/>
        <v>1.0228086082677014E-6</v>
      </c>
      <c r="S51" s="56">
        <f t="shared" si="24"/>
        <v>3.304689212878865E-6</v>
      </c>
      <c r="T51" s="56">
        <f t="shared" si="25"/>
        <v>7.313183829974892E-4</v>
      </c>
      <c r="U51" s="56">
        <f t="shared" si="26"/>
        <v>1.5213010552642204E-2</v>
      </c>
      <c r="V51" s="56">
        <f t="shared" si="27"/>
        <v>1.2205151830245982E-4</v>
      </c>
      <c r="W51" s="56">
        <f t="shared" si="28"/>
        <v>2.8662893396322983E-5</v>
      </c>
      <c r="X51" s="56">
        <f t="shared" si="29"/>
        <v>1.6098348036551358E-2</v>
      </c>
      <c r="Z51" s="119"/>
    </row>
    <row r="52" spans="2:26" x14ac:dyDescent="0.2">
      <c r="B52" s="119"/>
      <c r="C52" s="2">
        <f t="shared" si="38"/>
        <v>41</v>
      </c>
      <c r="D52" s="2">
        <f t="shared" si="38"/>
        <v>41</v>
      </c>
      <c r="E52" s="2">
        <f t="shared" si="8"/>
        <v>0.11225188227241616</v>
      </c>
      <c r="F52" s="2">
        <f t="shared" si="21"/>
        <v>62.142251882272525</v>
      </c>
      <c r="G52" s="2">
        <f t="shared" si="30"/>
        <v>3.8655442668771044E-7</v>
      </c>
      <c r="H52" s="2">
        <f t="shared" si="31"/>
        <v>3.8878056155012179E-7</v>
      </c>
      <c r="I52" s="2">
        <f t="shared" si="32"/>
        <v>3.7407457715645021E-7</v>
      </c>
      <c r="J52" s="2">
        <f t="shared" si="33"/>
        <v>3.7097475718020524E-7</v>
      </c>
      <c r="K52" s="2">
        <f t="shared" si="34"/>
        <v>2.6062132649376034E-7</v>
      </c>
      <c r="L52" s="2">
        <f t="shared" si="35"/>
        <v>4.4333594401551463E-7</v>
      </c>
      <c r="M52" s="2">
        <f t="shared" si="36"/>
        <v>0.50245514483959175</v>
      </c>
      <c r="N52" s="2">
        <f t="shared" si="37"/>
        <v>0.4975426308188155</v>
      </c>
      <c r="O52" s="2" t="str">
        <f t="shared" si="17"/>
        <v>OK</v>
      </c>
      <c r="P52" s="2">
        <f t="shared" si="18"/>
        <v>3.7407457715645021E-7</v>
      </c>
      <c r="Q52" s="2">
        <f t="shared" si="19"/>
        <v>3.7097475718020524E-7</v>
      </c>
      <c r="R52" s="2">
        <f t="shared" si="23"/>
        <v>7.4504933433665545E-7</v>
      </c>
      <c r="S52" s="56">
        <f t="shared" si="24"/>
        <v>2.4072504653778788E-6</v>
      </c>
      <c r="T52" s="56">
        <f t="shared" si="25"/>
        <v>5.3271772454405197E-4</v>
      </c>
      <c r="U52" s="56">
        <f t="shared" si="26"/>
        <v>1.1081685560604907E-2</v>
      </c>
      <c r="V52" s="56">
        <f t="shared" si="27"/>
        <v>8.8906567397822878E-5</v>
      </c>
      <c r="W52" s="56">
        <f t="shared" si="28"/>
        <v>2.0879047626771268E-5</v>
      </c>
      <c r="X52" s="56">
        <f t="shared" si="29"/>
        <v>1.1726596150638932E-2</v>
      </c>
      <c r="Z52" s="119"/>
    </row>
    <row r="53" spans="2:26" x14ac:dyDescent="0.2">
      <c r="B53" s="119"/>
      <c r="C53" s="2">
        <f t="shared" si="38"/>
        <v>42</v>
      </c>
      <c r="D53" s="2">
        <f t="shared" si="38"/>
        <v>42</v>
      </c>
      <c r="E53" s="2">
        <f t="shared" si="8"/>
        <v>0.11498973305954825</v>
      </c>
      <c r="F53" s="2">
        <f t="shared" si="21"/>
        <v>62.14498973305966</v>
      </c>
      <c r="G53" s="2">
        <f t="shared" si="30"/>
        <v>2.8157967772323162E-7</v>
      </c>
      <c r="H53" s="2">
        <f t="shared" si="31"/>
        <v>2.8320127171840956E-7</v>
      </c>
      <c r="I53" s="2">
        <f t="shared" si="32"/>
        <v>2.724889216318892E-7</v>
      </c>
      <c r="J53" s="2">
        <f t="shared" si="33"/>
        <v>2.7023090503797694E-7</v>
      </c>
      <c r="K53" s="2">
        <f t="shared" si="34"/>
        <v>1.8984563118507736E-7</v>
      </c>
      <c r="L53" s="2">
        <f t="shared" si="35"/>
        <v>3.2294130818443447E-7</v>
      </c>
      <c r="M53" s="2">
        <f t="shared" si="36"/>
        <v>0.50245544821960286</v>
      </c>
      <c r="N53" s="2">
        <f t="shared" si="37"/>
        <v>0.49754293149268197</v>
      </c>
      <c r="O53" s="2" t="str">
        <f t="shared" si="17"/>
        <v>OK</v>
      </c>
      <c r="P53" s="2">
        <f t="shared" si="18"/>
        <v>2.724889216318892E-7</v>
      </c>
      <c r="Q53" s="2">
        <f t="shared" si="19"/>
        <v>2.7023090503797694E-7</v>
      </c>
      <c r="R53" s="2">
        <f t="shared" si="23"/>
        <v>5.4271982666986609E-7</v>
      </c>
      <c r="S53" s="56">
        <f t="shared" si="24"/>
        <v>1.7535248944071981E-6</v>
      </c>
      <c r="T53" s="56">
        <f t="shared" si="25"/>
        <v>3.8805010326722097E-4</v>
      </c>
      <c r="U53" s="56">
        <f t="shared" si="26"/>
        <v>8.0722848669023493E-3</v>
      </c>
      <c r="V53" s="56">
        <f t="shared" si="27"/>
        <v>6.4762633324032352E-5</v>
      </c>
      <c r="W53" s="56">
        <f t="shared" si="28"/>
        <v>1.5209023868361692E-5</v>
      </c>
      <c r="X53" s="56">
        <f t="shared" si="29"/>
        <v>8.5420601522563713E-3</v>
      </c>
      <c r="Z53" s="119"/>
    </row>
    <row r="54" spans="2:26" x14ac:dyDescent="0.2">
      <c r="B54" s="119"/>
      <c r="C54" s="2">
        <f t="shared" si="38"/>
        <v>43</v>
      </c>
      <c r="D54" s="2">
        <f t="shared" si="38"/>
        <v>43</v>
      </c>
      <c r="E54" s="2">
        <f t="shared" si="8"/>
        <v>0.11772758384668035</v>
      </c>
      <c r="F54" s="2">
        <f t="shared" si="21"/>
        <v>62.147727583846795</v>
      </c>
      <c r="G54" s="2">
        <f t="shared" si="30"/>
        <v>2.0511242255356045E-7</v>
      </c>
      <c r="H54" s="2">
        <f t="shared" si="31"/>
        <v>2.0629364797237844E-7</v>
      </c>
      <c r="I54" s="2">
        <f t="shared" si="32"/>
        <v>1.9849039989973977E-7</v>
      </c>
      <c r="J54" s="2">
        <f t="shared" si="33"/>
        <v>1.9684558214340043E-7</v>
      </c>
      <c r="K54" s="2">
        <f t="shared" si="34"/>
        <v>1.3829015516473219E-7</v>
      </c>
      <c r="L54" s="2">
        <f t="shared" si="35"/>
        <v>2.3524167155782009E-7</v>
      </c>
      <c r="M54" s="2">
        <f t="shared" si="36"/>
        <v>0.50245566921214591</v>
      </c>
      <c r="N54" s="2">
        <f t="shared" si="37"/>
        <v>0.49754315051397519</v>
      </c>
      <c r="O54" s="2" t="str">
        <f t="shared" si="17"/>
        <v>OK</v>
      </c>
      <c r="P54" s="2">
        <f t="shared" si="18"/>
        <v>1.9849039989973977E-7</v>
      </c>
      <c r="Q54" s="2">
        <f t="shared" si="19"/>
        <v>1.9684558214340043E-7</v>
      </c>
      <c r="R54" s="2">
        <f t="shared" si="23"/>
        <v>3.9533598204314021E-7</v>
      </c>
      <c r="S54" s="56">
        <f t="shared" si="24"/>
        <v>1.2773284706056126E-6</v>
      </c>
      <c r="T54" s="56">
        <f t="shared" si="25"/>
        <v>2.8266918052066568E-4</v>
      </c>
      <c r="U54" s="56">
        <f t="shared" si="26"/>
        <v>5.8801328205944671E-3</v>
      </c>
      <c r="V54" s="56">
        <f t="shared" si="27"/>
        <v>4.7175352708148442E-5</v>
      </c>
      <c r="W54" s="56">
        <f t="shared" si="28"/>
        <v>1.1078781521231964E-5</v>
      </c>
      <c r="X54" s="56">
        <f t="shared" si="29"/>
        <v>6.2223334638151183E-3</v>
      </c>
      <c r="Z54" s="119"/>
    </row>
    <row r="55" spans="2:26" x14ac:dyDescent="0.2">
      <c r="B55" s="119"/>
      <c r="C55" s="2">
        <f t="shared" si="38"/>
        <v>44</v>
      </c>
      <c r="D55" s="2">
        <f t="shared" si="38"/>
        <v>44</v>
      </c>
      <c r="E55" s="2">
        <f t="shared" si="8"/>
        <v>0.12046543463381246</v>
      </c>
      <c r="F55" s="2">
        <f t="shared" si="21"/>
        <v>62.150465434633929</v>
      </c>
      <c r="G55" s="2">
        <f t="shared" si="30"/>
        <v>1.4941101654055657E-7</v>
      </c>
      <c r="H55" s="2">
        <f t="shared" si="31"/>
        <v>1.502714621849107E-7</v>
      </c>
      <c r="I55" s="2">
        <f t="shared" si="32"/>
        <v>1.4458730511467454E-7</v>
      </c>
      <c r="J55" s="2">
        <f t="shared" si="33"/>
        <v>1.4338916270116741E-7</v>
      </c>
      <c r="K55" s="2">
        <f t="shared" si="34"/>
        <v>1.0073535480435614E-7</v>
      </c>
      <c r="L55" s="2">
        <f t="shared" si="35"/>
        <v>1.7135820855012136E-7</v>
      </c>
      <c r="M55" s="2">
        <f t="shared" si="36"/>
        <v>0.50245583019079398</v>
      </c>
      <c r="N55" s="2">
        <f t="shared" si="37"/>
        <v>0.49754331005669644</v>
      </c>
      <c r="O55" s="2" t="str">
        <f t="shared" si="17"/>
        <v>OK</v>
      </c>
      <c r="P55" s="2">
        <f t="shared" si="18"/>
        <v>1.4458730511467454E-7</v>
      </c>
      <c r="Q55" s="2">
        <f t="shared" si="19"/>
        <v>1.4338916270116741E-7</v>
      </c>
      <c r="R55" s="2">
        <f t="shared" si="23"/>
        <v>2.8797646781584192E-7</v>
      </c>
      <c r="S55" s="56">
        <f t="shared" si="24"/>
        <v>9.3045044699593282E-7</v>
      </c>
      <c r="T55" s="56">
        <f t="shared" si="25"/>
        <v>2.0590605425300514E-4</v>
      </c>
      <c r="U55" s="56">
        <f t="shared" si="26"/>
        <v>4.283293089618178E-3</v>
      </c>
      <c r="V55" s="56">
        <f t="shared" si="27"/>
        <v>3.4364166324168859E-5</v>
      </c>
      <c r="W55" s="56">
        <f t="shared" si="28"/>
        <v>8.0701694637035415E-6</v>
      </c>
      <c r="X55" s="56">
        <f t="shared" si="29"/>
        <v>4.5325639301060511E-3</v>
      </c>
      <c r="Z55" s="119"/>
    </row>
    <row r="56" spans="2:26" x14ac:dyDescent="0.2">
      <c r="B56" s="119"/>
      <c r="C56" s="2">
        <f t="shared" si="38"/>
        <v>45</v>
      </c>
      <c r="D56" s="2">
        <f t="shared" si="38"/>
        <v>45</v>
      </c>
      <c r="E56" s="2">
        <f t="shared" si="8"/>
        <v>0.12320328542094455</v>
      </c>
      <c r="F56" s="2">
        <f t="shared" si="21"/>
        <v>62.153203285421064</v>
      </c>
      <c r="G56" s="2">
        <f t="shared" si="30"/>
        <v>1.0883617669648041E-7</v>
      </c>
      <c r="H56" s="2">
        <f t="shared" si="31"/>
        <v>1.0946295520555526E-7</v>
      </c>
      <c r="I56" s="2">
        <f t="shared" si="32"/>
        <v>1.0532241766293806E-7</v>
      </c>
      <c r="J56" s="2">
        <f t="shared" si="33"/>
        <v>1.0444964909176237E-7</v>
      </c>
      <c r="K56" s="2">
        <f t="shared" si="34"/>
        <v>7.33791331383757E-8</v>
      </c>
      <c r="L56" s="2">
        <f t="shared" si="35"/>
        <v>1.2482327405282695E-7</v>
      </c>
      <c r="M56" s="2">
        <f t="shared" si="36"/>
        <v>0.50245594745323552</v>
      </c>
      <c r="N56" s="2">
        <f t="shared" si="37"/>
        <v>0.49754342627315895</v>
      </c>
      <c r="O56" s="2" t="str">
        <f t="shared" si="17"/>
        <v>OK</v>
      </c>
      <c r="P56" s="2">
        <f t="shared" si="18"/>
        <v>1.0532241766293806E-7</v>
      </c>
      <c r="Q56" s="2">
        <f t="shared" si="19"/>
        <v>1.0444964909176237E-7</v>
      </c>
      <c r="R56" s="2">
        <f t="shared" si="23"/>
        <v>2.0977206675470044E-7</v>
      </c>
      <c r="S56" s="56">
        <f t="shared" si="24"/>
        <v>6.7777244008697596E-7</v>
      </c>
      <c r="T56" s="56">
        <f t="shared" si="25"/>
        <v>1.4998912545027837E-4</v>
      </c>
      <c r="U56" s="56">
        <f t="shared" si="26"/>
        <v>3.1200995370910755E-3</v>
      </c>
      <c r="V56" s="56">
        <f t="shared" si="27"/>
        <v>2.5032052954872109E-5</v>
      </c>
      <c r="W56" s="56">
        <f t="shared" si="28"/>
        <v>5.878591887391141E-6</v>
      </c>
      <c r="X56" s="56">
        <f t="shared" si="29"/>
        <v>3.3016770798237039E-3</v>
      </c>
      <c r="Z56" s="119"/>
    </row>
    <row r="57" spans="2:26" x14ac:dyDescent="0.2">
      <c r="B57" s="119"/>
      <c r="C57" s="2">
        <f t="shared" si="38"/>
        <v>46</v>
      </c>
      <c r="D57" s="2">
        <f t="shared" si="38"/>
        <v>46</v>
      </c>
      <c r="E57" s="2">
        <f t="shared" si="8"/>
        <v>0.12594113620807665</v>
      </c>
      <c r="F57" s="2">
        <f t="shared" si="21"/>
        <v>62.155941136208199</v>
      </c>
      <c r="G57" s="2">
        <f t="shared" si="30"/>
        <v>7.9280053319844604E-8</v>
      </c>
      <c r="H57" s="2">
        <f t="shared" si="31"/>
        <v>7.9736620567311969E-8</v>
      </c>
      <c r="I57" s="2">
        <f t="shared" si="32"/>
        <v>7.6720509131617626E-8</v>
      </c>
      <c r="J57" s="2">
        <f t="shared" si="33"/>
        <v>7.608475417440647E-8</v>
      </c>
      <c r="K57" s="2">
        <f t="shared" si="34"/>
        <v>5.3451910608713344E-8</v>
      </c>
      <c r="L57" s="2">
        <f t="shared" si="35"/>
        <v>9.0925610608900743E-8</v>
      </c>
      <c r="M57" s="2">
        <f t="shared" si="36"/>
        <v>0.50245603287127294</v>
      </c>
      <c r="N57" s="2">
        <f t="shared" si="37"/>
        <v>0.49754351092926896</v>
      </c>
      <c r="O57" s="2" t="str">
        <f t="shared" si="17"/>
        <v>OK</v>
      </c>
      <c r="P57" s="2">
        <f t="shared" si="18"/>
        <v>7.6720509131617626E-8</v>
      </c>
      <c r="Q57" s="2">
        <f t="shared" si="19"/>
        <v>7.608475417440647E-8</v>
      </c>
      <c r="R57" s="2">
        <f t="shared" si="23"/>
        <v>1.5280526330602408E-7</v>
      </c>
      <c r="S57" s="56">
        <f t="shared" si="24"/>
        <v>4.9371299892928245E-7</v>
      </c>
      <c r="T57" s="56">
        <f t="shared" si="25"/>
        <v>1.0925729131644028E-4</v>
      </c>
      <c r="U57" s="56">
        <f t="shared" si="26"/>
        <v>2.2727889307765639E-3</v>
      </c>
      <c r="V57" s="56">
        <f t="shared" si="27"/>
        <v>1.823421727227589E-5</v>
      </c>
      <c r="W57" s="56">
        <f t="shared" si="28"/>
        <v>4.2821706203232235E-6</v>
      </c>
      <c r="X57" s="56">
        <f t="shared" si="29"/>
        <v>2.4050563229845328E-3</v>
      </c>
      <c r="Z57" s="119"/>
    </row>
    <row r="58" spans="2:26" x14ac:dyDescent="0.2">
      <c r="B58" s="119"/>
      <c r="C58" s="2">
        <f t="shared" si="38"/>
        <v>47</v>
      </c>
      <c r="D58" s="2">
        <f t="shared" si="38"/>
        <v>47</v>
      </c>
      <c r="E58" s="2">
        <f t="shared" si="8"/>
        <v>0.12867898699520877</v>
      </c>
      <c r="F58" s="2">
        <f t="shared" si="21"/>
        <v>62.158678986995334</v>
      </c>
      <c r="G58" s="2">
        <f t="shared" si="30"/>
        <v>5.7750345934383238E-8</v>
      </c>
      <c r="H58" s="2">
        <f t="shared" si="31"/>
        <v>5.8082925383808883E-8</v>
      </c>
      <c r="I58" s="2">
        <f t="shared" si="32"/>
        <v>5.5885884999826207E-8</v>
      </c>
      <c r="J58" s="2">
        <f t="shared" si="33"/>
        <v>5.5422778995591814E-8</v>
      </c>
      <c r="K58" s="2">
        <f t="shared" si="34"/>
        <v>3.8936229218380846E-8</v>
      </c>
      <c r="L58" s="2">
        <f t="shared" si="35"/>
        <v>6.6233374563645371E-8</v>
      </c>
      <c r="M58" s="2">
        <f t="shared" si="36"/>
        <v>0.50245609509273981</v>
      </c>
      <c r="N58" s="2">
        <f t="shared" si="37"/>
        <v>0.49754357259572141</v>
      </c>
      <c r="O58" s="2" t="str">
        <f t="shared" si="17"/>
        <v>OK</v>
      </c>
      <c r="P58" s="2">
        <f t="shared" si="18"/>
        <v>5.5885884999826207E-8</v>
      </c>
      <c r="Q58" s="2">
        <f t="shared" si="19"/>
        <v>5.5422778995591814E-8</v>
      </c>
      <c r="R58" s="2">
        <f t="shared" si="23"/>
        <v>1.1130866399541802E-7</v>
      </c>
      <c r="S58" s="56">
        <f t="shared" si="24"/>
        <v>3.5963770565894626E-7</v>
      </c>
      <c r="T58" s="56">
        <f t="shared" si="25"/>
        <v>7.9586807843363839E-5</v>
      </c>
      <c r="U58" s="56">
        <f t="shared" si="26"/>
        <v>1.6555784398713223E-3</v>
      </c>
      <c r="V58" s="56">
        <f t="shared" si="27"/>
        <v>1.3282437526477468E-5</v>
      </c>
      <c r="W58" s="56">
        <f t="shared" si="28"/>
        <v>3.119281891449204E-6</v>
      </c>
      <c r="X58" s="56">
        <f t="shared" si="29"/>
        <v>1.7519266048382717E-3</v>
      </c>
      <c r="Z58" s="119"/>
    </row>
    <row r="59" spans="2:26" x14ac:dyDescent="0.2">
      <c r="B59" s="119"/>
      <c r="C59" s="2">
        <f t="shared" si="38"/>
        <v>48</v>
      </c>
      <c r="D59" s="2">
        <f t="shared" si="38"/>
        <v>48</v>
      </c>
      <c r="E59" s="2">
        <f t="shared" si="8"/>
        <v>0.13141683778234087</v>
      </c>
      <c r="F59" s="2">
        <f t="shared" si="21"/>
        <v>62.161416837782468</v>
      </c>
      <c r="G59" s="2">
        <f t="shared" si="30"/>
        <v>4.2067358886426534E-8</v>
      </c>
      <c r="H59" s="2">
        <f t="shared" si="31"/>
        <v>4.2309621315003772E-8</v>
      </c>
      <c r="I59" s="2">
        <f t="shared" si="32"/>
        <v>4.0709220748988369E-8</v>
      </c>
      <c r="J59" s="2">
        <f t="shared" si="33"/>
        <v>4.0371878241902406E-8</v>
      </c>
      <c r="K59" s="2">
        <f t="shared" si="34"/>
        <v>2.836250245279655E-8</v>
      </c>
      <c r="L59" s="2">
        <f t="shared" si="35"/>
        <v>4.8246691737462075E-8</v>
      </c>
      <c r="M59" s="2">
        <f t="shared" si="36"/>
        <v>0.50245614041701858</v>
      </c>
      <c r="N59" s="2">
        <f t="shared" si="37"/>
        <v>0.49754361751570836</v>
      </c>
      <c r="O59" s="2" t="str">
        <f t="shared" si="17"/>
        <v>OK</v>
      </c>
      <c r="P59" s="2">
        <f t="shared" si="18"/>
        <v>4.0709220748988369E-8</v>
      </c>
      <c r="Q59" s="2">
        <f t="shared" si="19"/>
        <v>4.0371878241902406E-8</v>
      </c>
      <c r="R59" s="2">
        <f t="shared" si="23"/>
        <v>8.1081098990890768E-8</v>
      </c>
      <c r="S59" s="56">
        <f t="shared" si="24"/>
        <v>2.6197260273099872E-7</v>
      </c>
      <c r="T59" s="56">
        <f t="shared" si="25"/>
        <v>5.7973796589476804E-5</v>
      </c>
      <c r="U59" s="56">
        <f t="shared" si="26"/>
        <v>1.2059808693411051E-3</v>
      </c>
      <c r="V59" s="56">
        <f t="shared" si="27"/>
        <v>9.6753890781491592E-6</v>
      </c>
      <c r="W59" s="56">
        <f t="shared" si="28"/>
        <v>2.272193329276659E-6</v>
      </c>
      <c r="X59" s="56">
        <f t="shared" si="29"/>
        <v>1.2761642209407388E-3</v>
      </c>
      <c r="Z59" s="119"/>
    </row>
    <row r="60" spans="2:26" x14ac:dyDescent="0.2">
      <c r="B60" s="119"/>
      <c r="C60" s="2">
        <f t="shared" si="38"/>
        <v>49</v>
      </c>
      <c r="D60" s="2">
        <f t="shared" si="38"/>
        <v>49</v>
      </c>
      <c r="E60" s="2">
        <f t="shared" si="8"/>
        <v>0.13415468856947296</v>
      </c>
      <c r="F60" s="2">
        <f t="shared" si="21"/>
        <v>62.164154688569603</v>
      </c>
      <c r="G60" s="2">
        <f t="shared" si="30"/>
        <v>3.0643326114273417E-8</v>
      </c>
      <c r="H60" s="2">
        <f t="shared" si="31"/>
        <v>3.0819798486217911E-8</v>
      </c>
      <c r="I60" s="2">
        <f t="shared" si="32"/>
        <v>2.9654011097704167E-8</v>
      </c>
      <c r="J60" s="2">
        <f t="shared" si="33"/>
        <v>2.9408279092404033E-8</v>
      </c>
      <c r="K60" s="2">
        <f t="shared" si="34"/>
        <v>2.0660232424488036E-8</v>
      </c>
      <c r="L60" s="2">
        <f t="shared" si="35"/>
        <v>3.5144566903697501E-8</v>
      </c>
      <c r="M60" s="2">
        <f t="shared" si="36"/>
        <v>0.50245617343279836</v>
      </c>
      <c r="N60" s="2">
        <f t="shared" si="37"/>
        <v>0.49754365023698788</v>
      </c>
      <c r="O60" s="2" t="str">
        <f t="shared" si="17"/>
        <v>OK</v>
      </c>
      <c r="P60" s="2">
        <f t="shared" si="18"/>
        <v>2.9654011097704167E-8</v>
      </c>
      <c r="Q60" s="2">
        <f t="shared" si="19"/>
        <v>2.9408279092404033E-8</v>
      </c>
      <c r="R60" s="2">
        <f t="shared" si="23"/>
        <v>5.9062290190108203E-8</v>
      </c>
      <c r="S60" s="56">
        <f t="shared" si="24"/>
        <v>1.9082994775508026E-7</v>
      </c>
      <c r="T60" s="56">
        <f t="shared" si="25"/>
        <v>4.2230128108829264E-5</v>
      </c>
      <c r="U60" s="56">
        <f t="shared" si="26"/>
        <v>8.7847837480280796E-4</v>
      </c>
      <c r="V60" s="56">
        <f t="shared" si="27"/>
        <v>7.0478896382503404E-6</v>
      </c>
      <c r="W60" s="56">
        <f t="shared" si="28"/>
        <v>1.6551445830407801E-6</v>
      </c>
      <c r="X60" s="56">
        <f t="shared" si="29"/>
        <v>9.2960236708068342E-4</v>
      </c>
      <c r="Z60" s="119"/>
    </row>
    <row r="61" spans="2:26" x14ac:dyDescent="0.2">
      <c r="B61" s="119"/>
      <c r="C61" s="2">
        <f t="shared" ref="C61:D76" si="39">C60+1</f>
        <v>50</v>
      </c>
      <c r="D61" s="2">
        <f t="shared" si="39"/>
        <v>50</v>
      </c>
      <c r="E61" s="2">
        <f t="shared" si="8"/>
        <v>0.13689253935660506</v>
      </c>
      <c r="F61" s="2">
        <f t="shared" si="21"/>
        <v>62.166892539356738</v>
      </c>
      <c r="G61" s="2">
        <f t="shared" si="30"/>
        <v>2.2321663641419936E-8</v>
      </c>
      <c r="H61" s="2">
        <f t="shared" si="31"/>
        <v>2.245021224981378E-8</v>
      </c>
      <c r="I61" s="2">
        <f t="shared" si="32"/>
        <v>2.1601012203227056E-8</v>
      </c>
      <c r="J61" s="2">
        <f t="shared" si="33"/>
        <v>2.1422012471024807E-8</v>
      </c>
      <c r="K61" s="2">
        <f t="shared" si="34"/>
        <v>1.5049631270874679E-8</v>
      </c>
      <c r="L61" s="2">
        <f t="shared" si="35"/>
        <v>2.560052385704658E-8</v>
      </c>
      <c r="M61" s="2">
        <f t="shared" si="36"/>
        <v>0.5024561974826397</v>
      </c>
      <c r="N61" s="2">
        <f t="shared" si="37"/>
        <v>0.49754367407230499</v>
      </c>
      <c r="O61" s="2" t="str">
        <f t="shared" si="17"/>
        <v>OK</v>
      </c>
      <c r="P61" s="2">
        <f t="shared" si="18"/>
        <v>2.1601012203227056E-8</v>
      </c>
      <c r="Q61" s="2">
        <f t="shared" si="19"/>
        <v>2.1422012471024807E-8</v>
      </c>
      <c r="R61" s="2">
        <f t="shared" si="23"/>
        <v>4.3023024674251866E-8</v>
      </c>
      <c r="S61" s="56">
        <f t="shared" si="24"/>
        <v>1.3900716556074292E-7</v>
      </c>
      <c r="T61" s="56">
        <f t="shared" si="25"/>
        <v>3.0761892872336829E-5</v>
      </c>
      <c r="U61" s="56">
        <f t="shared" si="26"/>
        <v>6.3991417659702921E-4</v>
      </c>
      <c r="V61" s="56">
        <f t="shared" si="27"/>
        <v>5.1339277368325317E-6</v>
      </c>
      <c r="W61" s="56">
        <f t="shared" si="28"/>
        <v>1.2056648329485876E-6</v>
      </c>
      <c r="X61" s="56">
        <f t="shared" si="29"/>
        <v>6.7715466920470783E-4</v>
      </c>
      <c r="Z61" s="119"/>
    </row>
    <row r="62" spans="2:26" x14ac:dyDescent="0.2">
      <c r="B62" s="119"/>
      <c r="C62" s="2">
        <f t="shared" si="39"/>
        <v>51</v>
      </c>
      <c r="D62" s="2">
        <f t="shared" si="39"/>
        <v>51</v>
      </c>
      <c r="E62" s="2">
        <f t="shared" si="8"/>
        <v>0.13963039014373715</v>
      </c>
      <c r="F62" s="2">
        <f t="shared" si="21"/>
        <v>62.169630390143872</v>
      </c>
      <c r="G62" s="2">
        <f t="shared" si="30"/>
        <v>1.6259875506419156E-8</v>
      </c>
      <c r="H62" s="2">
        <f t="shared" si="31"/>
        <v>1.6353514780022794E-8</v>
      </c>
      <c r="I62" s="2">
        <f t="shared" si="32"/>
        <v>1.5734927955162498E-8</v>
      </c>
      <c r="J62" s="2">
        <f t="shared" si="33"/>
        <v>1.5604538329727491E-8</v>
      </c>
      <c r="K62" s="2">
        <f t="shared" si="34"/>
        <v>1.0962674414099748E-8</v>
      </c>
      <c r="L62" s="2">
        <f t="shared" si="35"/>
        <v>1.8648311232603604E-8</v>
      </c>
      <c r="M62" s="2">
        <f t="shared" si="36"/>
        <v>0.50245621500137982</v>
      </c>
      <c r="N62" s="2">
        <f t="shared" si="37"/>
        <v>0.49754369143477828</v>
      </c>
      <c r="O62" s="2" t="str">
        <f t="shared" si="17"/>
        <v>OK</v>
      </c>
      <c r="P62" s="2">
        <f t="shared" si="18"/>
        <v>1.5734927955162498E-8</v>
      </c>
      <c r="Q62" s="2">
        <f t="shared" si="19"/>
        <v>1.5604538329727491E-8</v>
      </c>
      <c r="R62" s="2">
        <f t="shared" si="23"/>
        <v>3.1339466284889986E-8</v>
      </c>
      <c r="S62" s="56">
        <f t="shared" si="24"/>
        <v>1.0125765009395584E-7</v>
      </c>
      <c r="T62" s="56">
        <f t="shared" si="25"/>
        <v>2.240803178835919E-5</v>
      </c>
      <c r="U62" s="56">
        <f t="shared" si="26"/>
        <v>4.661357241739412E-4</v>
      </c>
      <c r="V62" s="56">
        <f t="shared" si="27"/>
        <v>3.7397313749029783E-6</v>
      </c>
      <c r="W62" s="56">
        <f t="shared" si="28"/>
        <v>8.7824816291177763E-7</v>
      </c>
      <c r="X62" s="56">
        <f t="shared" si="29"/>
        <v>4.9326299315020916E-4</v>
      </c>
      <c r="Z62" s="119"/>
    </row>
    <row r="63" spans="2:26" x14ac:dyDescent="0.2">
      <c r="B63" s="119"/>
      <c r="C63" s="2">
        <f t="shared" si="39"/>
        <v>52</v>
      </c>
      <c r="D63" s="2">
        <f t="shared" si="39"/>
        <v>52</v>
      </c>
      <c r="E63" s="2">
        <f t="shared" si="8"/>
        <v>0.14236824093086928</v>
      </c>
      <c r="F63" s="2">
        <f t="shared" si="21"/>
        <v>62.172368240931007</v>
      </c>
      <c r="G63" s="2">
        <f t="shared" si="30"/>
        <v>1.1844258373003217E-8</v>
      </c>
      <c r="H63" s="2">
        <f t="shared" si="31"/>
        <v>1.1912468473995935E-8</v>
      </c>
      <c r="I63" s="2">
        <f t="shared" si="32"/>
        <v>1.1461868333983266E-8</v>
      </c>
      <c r="J63" s="2">
        <f t="shared" si="33"/>
        <v>1.1366887999588844E-8</v>
      </c>
      <c r="K63" s="2">
        <f t="shared" si="34"/>
        <v>7.9855930119789869E-9</v>
      </c>
      <c r="L63" s="2">
        <f t="shared" si="35"/>
        <v>1.3584077957542595E-8</v>
      </c>
      <c r="M63" s="2">
        <f t="shared" si="36"/>
        <v>0.50245622776263899</v>
      </c>
      <c r="N63" s="2">
        <f t="shared" si="37"/>
        <v>0.49754370408220722</v>
      </c>
      <c r="O63" s="2" t="str">
        <f t="shared" si="17"/>
        <v>OK</v>
      </c>
      <c r="P63" s="2">
        <f t="shared" si="18"/>
        <v>1.1461868333983266E-8</v>
      </c>
      <c r="Q63" s="2">
        <f t="shared" si="19"/>
        <v>1.1366887999588844E-8</v>
      </c>
      <c r="R63" s="2">
        <f t="shared" si="23"/>
        <v>2.282875633357211E-8</v>
      </c>
      <c r="S63" s="56">
        <f t="shared" si="24"/>
        <v>7.3759591177834798E-8</v>
      </c>
      <c r="T63" s="56">
        <f t="shared" si="25"/>
        <v>1.6322789066067393E-5</v>
      </c>
      <c r="U63" s="56">
        <f t="shared" si="26"/>
        <v>3.395494603770798E-4</v>
      </c>
      <c r="V63" s="56">
        <f t="shared" si="27"/>
        <v>2.7241502945388904E-6</v>
      </c>
      <c r="W63" s="56">
        <f t="shared" si="28"/>
        <v>6.3974648225540758E-7</v>
      </c>
      <c r="X63" s="56">
        <f t="shared" si="29"/>
        <v>3.5930990581111929E-4</v>
      </c>
      <c r="Z63" s="119"/>
    </row>
    <row r="64" spans="2:26" x14ac:dyDescent="0.2">
      <c r="B64" s="119"/>
      <c r="C64" s="2">
        <f t="shared" si="39"/>
        <v>53</v>
      </c>
      <c r="D64" s="2">
        <f t="shared" si="39"/>
        <v>53</v>
      </c>
      <c r="E64" s="2">
        <f t="shared" si="8"/>
        <v>0.14510609171800137</v>
      </c>
      <c r="F64" s="2">
        <f t="shared" si="21"/>
        <v>62.175106091718142</v>
      </c>
      <c r="G64" s="2">
        <f t="shared" si="30"/>
        <v>8.6277694039584651E-9</v>
      </c>
      <c r="H64" s="2">
        <f t="shared" si="31"/>
        <v>8.6774560119209567E-9</v>
      </c>
      <c r="I64" s="2">
        <f t="shared" si="32"/>
        <v>8.3492232109309064E-9</v>
      </c>
      <c r="J64" s="2">
        <f t="shared" si="33"/>
        <v>8.280036234654388E-9</v>
      </c>
      <c r="K64" s="2">
        <f t="shared" si="34"/>
        <v>5.816983460801282E-9</v>
      </c>
      <c r="L64" s="2">
        <f t="shared" si="35"/>
        <v>9.8951144505770705E-9</v>
      </c>
      <c r="M64" s="2">
        <f t="shared" si="36"/>
        <v>0.5024562370583836</v>
      </c>
      <c r="N64" s="2">
        <f t="shared" si="37"/>
        <v>0.49754371329503394</v>
      </c>
      <c r="O64" s="2" t="str">
        <f t="shared" si="17"/>
        <v>OK</v>
      </c>
      <c r="P64" s="2">
        <f t="shared" si="18"/>
        <v>8.3492232109309064E-9</v>
      </c>
      <c r="Q64" s="2">
        <f t="shared" si="19"/>
        <v>8.280036234654388E-9</v>
      </c>
      <c r="R64" s="2">
        <f t="shared" si="23"/>
        <v>1.6629259445585294E-8</v>
      </c>
      <c r="S64" s="56">
        <f t="shared" si="24"/>
        <v>5.3729049466121003E-8</v>
      </c>
      <c r="T64" s="56">
        <f t="shared" si="25"/>
        <v>1.1890086796187941E-5</v>
      </c>
      <c r="U64" s="56">
        <f t="shared" si="26"/>
        <v>2.4733962677218782E-4</v>
      </c>
      <c r="V64" s="56">
        <f t="shared" si="27"/>
        <v>1.9843657426942465E-6</v>
      </c>
      <c r="W64" s="56">
        <f t="shared" si="28"/>
        <v>4.6601356978788374E-7</v>
      </c>
      <c r="X64" s="56">
        <f t="shared" si="29"/>
        <v>2.6173382193032398E-4</v>
      </c>
      <c r="Z64" s="119"/>
    </row>
    <row r="65" spans="2:26" x14ac:dyDescent="0.2">
      <c r="B65" s="119"/>
      <c r="C65" s="2">
        <f t="shared" si="39"/>
        <v>54</v>
      </c>
      <c r="D65" s="2">
        <f t="shared" si="39"/>
        <v>54</v>
      </c>
      <c r="E65" s="2">
        <f t="shared" si="8"/>
        <v>0.14784394250513347</v>
      </c>
      <c r="F65" s="2">
        <f t="shared" si="21"/>
        <v>62.177843942505277</v>
      </c>
      <c r="G65" s="2">
        <f t="shared" si="30"/>
        <v>6.2847670612750474E-9</v>
      </c>
      <c r="H65" s="2">
        <f t="shared" si="31"/>
        <v>6.3209605131962214E-9</v>
      </c>
      <c r="I65" s="2">
        <f t="shared" si="32"/>
        <v>6.0818643343917835E-9</v>
      </c>
      <c r="J65" s="2">
        <f t="shared" si="33"/>
        <v>6.0314661365247448E-9</v>
      </c>
      <c r="K65" s="2">
        <f t="shared" si="34"/>
        <v>4.2372929014134821E-9</v>
      </c>
      <c r="L65" s="2">
        <f t="shared" si="35"/>
        <v>7.2079452353004594E-9</v>
      </c>
      <c r="M65" s="2">
        <f t="shared" si="36"/>
        <v>0.50245624382972709</v>
      </c>
      <c r="N65" s="2">
        <f t="shared" si="37"/>
        <v>0.49754372000597707</v>
      </c>
      <c r="O65" s="2" t="str">
        <f t="shared" si="17"/>
        <v>OK</v>
      </c>
      <c r="P65" s="2">
        <f t="shared" si="18"/>
        <v>6.0818643343917835E-9</v>
      </c>
      <c r="Q65" s="2">
        <f t="shared" si="19"/>
        <v>6.0314661365247448E-9</v>
      </c>
      <c r="R65" s="2">
        <f t="shared" si="23"/>
        <v>1.2113330470916528E-8</v>
      </c>
      <c r="S65" s="56">
        <f t="shared" si="24"/>
        <v>3.9138106793091629E-8</v>
      </c>
      <c r="T65" s="56">
        <f t="shared" si="25"/>
        <v>8.6611524200100263E-6</v>
      </c>
      <c r="U65" s="56">
        <f t="shared" si="26"/>
        <v>1.8017077954966088E-4</v>
      </c>
      <c r="V65" s="56">
        <f t="shared" si="27"/>
        <v>1.4454809665503475E-6</v>
      </c>
      <c r="W65" s="56">
        <f t="shared" si="28"/>
        <v>3.3946047887723447E-7</v>
      </c>
      <c r="X65" s="56">
        <f t="shared" si="29"/>
        <v>1.9065601152189158E-4</v>
      </c>
      <c r="Z65" s="119"/>
    </row>
    <row r="66" spans="2:26" x14ac:dyDescent="0.2">
      <c r="B66" s="119"/>
      <c r="C66" s="2">
        <f t="shared" si="39"/>
        <v>55</v>
      </c>
      <c r="D66" s="2">
        <f t="shared" si="39"/>
        <v>55</v>
      </c>
      <c r="E66" s="2">
        <f t="shared" si="8"/>
        <v>0.15058179329226556</v>
      </c>
      <c r="F66" s="2">
        <f t="shared" si="21"/>
        <v>62.180581793292411</v>
      </c>
      <c r="G66" s="2">
        <f t="shared" si="30"/>
        <v>4.5780427321534303E-9</v>
      </c>
      <c r="H66" s="2">
        <f t="shared" si="31"/>
        <v>4.6044073003074756E-9</v>
      </c>
      <c r="I66" s="2">
        <f t="shared" si="32"/>
        <v>4.4302413347292299E-9</v>
      </c>
      <c r="J66" s="2">
        <f t="shared" si="33"/>
        <v>4.3935295359928081E-9</v>
      </c>
      <c r="K66" s="2">
        <f t="shared" si="34"/>
        <v>3.0865914014298828E-9</v>
      </c>
      <c r="L66" s="2">
        <f t="shared" si="35"/>
        <v>5.2505177958867058E-9</v>
      </c>
      <c r="M66" s="2">
        <f t="shared" si="36"/>
        <v>0.50245624876220896</v>
      </c>
      <c r="N66" s="2">
        <f t="shared" si="37"/>
        <v>0.4975437248944613</v>
      </c>
      <c r="O66" s="2" t="str">
        <f t="shared" si="17"/>
        <v>OK</v>
      </c>
      <c r="P66" s="2">
        <f t="shared" si="18"/>
        <v>4.4302413347292299E-9</v>
      </c>
      <c r="Q66" s="2">
        <f t="shared" si="19"/>
        <v>4.3935295359928081E-9</v>
      </c>
      <c r="R66" s="2">
        <f t="shared" si="23"/>
        <v>8.8237708707220381E-9</v>
      </c>
      <c r="S66" s="56">
        <f t="shared" si="24"/>
        <v>2.8509557093752806E-8</v>
      </c>
      <c r="T66" s="56">
        <f t="shared" si="25"/>
        <v>6.3090844102749641E-6</v>
      </c>
      <c r="U66" s="56">
        <f t="shared" si="26"/>
        <v>1.3124265701844524E-4</v>
      </c>
      <c r="V66" s="56">
        <f t="shared" si="27"/>
        <v>1.0529385685838592E-6</v>
      </c>
      <c r="W66" s="56">
        <f t="shared" si="28"/>
        <v>2.4727480955546493E-7</v>
      </c>
      <c r="X66" s="56">
        <f t="shared" si="29"/>
        <v>1.3888046436395329E-4</v>
      </c>
      <c r="Z66" s="119"/>
    </row>
    <row r="67" spans="2:26" x14ac:dyDescent="0.2">
      <c r="B67" s="119"/>
      <c r="C67" s="2">
        <f t="shared" si="39"/>
        <v>56</v>
      </c>
      <c r="D67" s="2">
        <f t="shared" si="39"/>
        <v>56</v>
      </c>
      <c r="E67" s="2">
        <f t="shared" si="8"/>
        <v>0.15331964407939766</v>
      </c>
      <c r="F67" s="2">
        <f t="shared" si="21"/>
        <v>62.183319644079546</v>
      </c>
      <c r="G67" s="2">
        <f t="shared" si="30"/>
        <v>3.3348054196889861E-9</v>
      </c>
      <c r="H67" s="2">
        <f t="shared" si="31"/>
        <v>3.3540102873391642E-9</v>
      </c>
      <c r="I67" s="2">
        <f t="shared" si="32"/>
        <v>3.2271417454934458E-9</v>
      </c>
      <c r="J67" s="2">
        <f t="shared" si="33"/>
        <v>3.2003995955058757E-9</v>
      </c>
      <c r="K67" s="2">
        <f t="shared" si="34"/>
        <v>2.2483804403049041E-9</v>
      </c>
      <c r="L67" s="2">
        <f t="shared" si="35"/>
        <v>3.8246596255907631E-9</v>
      </c>
      <c r="M67" s="2">
        <f t="shared" si="36"/>
        <v>0.50245625235520019</v>
      </c>
      <c r="N67" s="2">
        <f t="shared" si="37"/>
        <v>0.49754372845540307</v>
      </c>
      <c r="O67" s="2" t="str">
        <f t="shared" si="17"/>
        <v>OK</v>
      </c>
      <c r="P67" s="2">
        <f t="shared" si="18"/>
        <v>3.2271417454934458E-9</v>
      </c>
      <c r="Q67" s="2">
        <f t="shared" si="19"/>
        <v>3.2003995955058757E-9</v>
      </c>
      <c r="R67" s="2">
        <f t="shared" si="23"/>
        <v>6.427541340999322E-9</v>
      </c>
      <c r="S67" s="56">
        <f t="shared" si="24"/>
        <v>2.0767352135321454E-8</v>
      </c>
      <c r="T67" s="56">
        <f t="shared" si="25"/>
        <v>4.595756334227925E-6</v>
      </c>
      <c r="U67" s="56">
        <f t="shared" si="26"/>
        <v>9.5601712243874646E-5</v>
      </c>
      <c r="V67" s="56">
        <f t="shared" si="27"/>
        <v>7.6699704449052662E-7</v>
      </c>
      <c r="W67" s="56">
        <f t="shared" si="28"/>
        <v>1.8012356443650817E-7</v>
      </c>
      <c r="X67" s="56">
        <f t="shared" si="29"/>
        <v>1.0116535653916492E-4</v>
      </c>
      <c r="Z67" s="119"/>
    </row>
    <row r="68" spans="2:26" x14ac:dyDescent="0.2">
      <c r="B68" s="119"/>
      <c r="C68" s="2">
        <f t="shared" si="39"/>
        <v>57</v>
      </c>
      <c r="D68" s="2">
        <f t="shared" si="39"/>
        <v>57</v>
      </c>
      <c r="E68" s="2">
        <f t="shared" si="8"/>
        <v>0.15605749486652978</v>
      </c>
      <c r="F68" s="2">
        <f t="shared" si="21"/>
        <v>62.186057494866681</v>
      </c>
      <c r="G68" s="2">
        <f t="shared" si="30"/>
        <v>2.4291881569999996E-9</v>
      </c>
      <c r="H68" s="2">
        <f t="shared" si="31"/>
        <v>2.4431776499932418E-9</v>
      </c>
      <c r="I68" s="2">
        <f t="shared" si="32"/>
        <v>2.3507621952479931E-9</v>
      </c>
      <c r="J68" s="2">
        <f t="shared" si="33"/>
        <v>2.331282283868761E-9</v>
      </c>
      <c r="K68" s="2">
        <f t="shared" si="34"/>
        <v>1.6377984471815136E-9</v>
      </c>
      <c r="L68" s="2">
        <f t="shared" si="35"/>
        <v>2.786014983719087E-9</v>
      </c>
      <c r="M68" s="2">
        <f t="shared" si="36"/>
        <v>0.50245625497245983</v>
      </c>
      <c r="N68" s="2">
        <f t="shared" si="37"/>
        <v>0.49754373104931682</v>
      </c>
      <c r="O68" s="2" t="str">
        <f t="shared" si="17"/>
        <v>OK</v>
      </c>
      <c r="P68" s="2">
        <f t="shared" si="18"/>
        <v>2.3507621952479931E-9</v>
      </c>
      <c r="Q68" s="2">
        <f t="shared" si="19"/>
        <v>2.331282283868761E-9</v>
      </c>
      <c r="R68" s="2">
        <f t="shared" si="23"/>
        <v>4.6820444791167545E-9</v>
      </c>
      <c r="S68" s="56">
        <f t="shared" si="24"/>
        <v>1.5127660990810205E-8</v>
      </c>
      <c r="T68" s="56">
        <f t="shared" si="25"/>
        <v>3.3477086230132707E-6</v>
      </c>
      <c r="U68" s="56">
        <f t="shared" si="26"/>
        <v>6.9639609495837103E-5</v>
      </c>
      <c r="V68" s="56">
        <f t="shared" si="27"/>
        <v>5.5870730146053156E-7</v>
      </c>
      <c r="W68" s="56">
        <f t="shared" si="28"/>
        <v>1.3120826388923151E-7</v>
      </c>
      <c r="X68" s="56">
        <f t="shared" si="29"/>
        <v>7.369236134519095E-5</v>
      </c>
      <c r="Z68" s="119"/>
    </row>
    <row r="69" spans="2:26" x14ac:dyDescent="0.2">
      <c r="B69" s="119"/>
      <c r="C69" s="2">
        <f t="shared" si="39"/>
        <v>58</v>
      </c>
      <c r="D69" s="2">
        <f t="shared" si="39"/>
        <v>58</v>
      </c>
      <c r="E69" s="2">
        <f t="shared" si="8"/>
        <v>0.15879534565366188</v>
      </c>
      <c r="F69" s="2">
        <f t="shared" si="21"/>
        <v>62.188795345653816</v>
      </c>
      <c r="G69" s="2">
        <f t="shared" si="30"/>
        <v>1.7695050713511782E-9</v>
      </c>
      <c r="H69" s="2">
        <f t="shared" si="31"/>
        <v>1.7796955042025161E-9</v>
      </c>
      <c r="I69" s="2">
        <f t="shared" si="32"/>
        <v>1.7123768753957218E-9</v>
      </c>
      <c r="J69" s="2">
        <f t="shared" si="33"/>
        <v>1.6981870309920709E-9</v>
      </c>
      <c r="K69" s="2">
        <f t="shared" si="34"/>
        <v>1.1930293047854561E-9</v>
      </c>
      <c r="L69" s="2">
        <f t="shared" si="35"/>
        <v>2.0294301321802856E-9</v>
      </c>
      <c r="M69" s="2">
        <f t="shared" si="36"/>
        <v>0.50245625687896267</v>
      </c>
      <c r="N69" s="2">
        <f t="shared" si="37"/>
        <v>0.49754373293881371</v>
      </c>
      <c r="O69" s="2" t="str">
        <f t="shared" si="17"/>
        <v>OK</v>
      </c>
      <c r="P69" s="2">
        <f t="shared" si="18"/>
        <v>1.7123768753957218E-9</v>
      </c>
      <c r="Q69" s="2">
        <f t="shared" si="19"/>
        <v>1.6981870309920709E-9</v>
      </c>
      <c r="R69" s="2">
        <f t="shared" si="23"/>
        <v>3.4105639063877929E-9</v>
      </c>
      <c r="S69" s="56">
        <f t="shared" si="24"/>
        <v>1.1019513973746107E-8</v>
      </c>
      <c r="T69" s="56">
        <f t="shared" si="25"/>
        <v>2.4385872987063358E-6</v>
      </c>
      <c r="U69" s="56">
        <f t="shared" si="26"/>
        <v>5.0727911633647671E-5</v>
      </c>
      <c r="V69" s="56">
        <f t="shared" si="27"/>
        <v>4.0698181426847056E-7</v>
      </c>
      <c r="W69" s="56">
        <f t="shared" si="28"/>
        <v>9.5576659093344516E-8</v>
      </c>
      <c r="X69" s="56">
        <f t="shared" si="29"/>
        <v>5.3680076919689572E-5</v>
      </c>
      <c r="Z69" s="119"/>
    </row>
    <row r="70" spans="2:26" x14ac:dyDescent="0.2">
      <c r="B70" s="119"/>
      <c r="C70" s="2">
        <f t="shared" si="39"/>
        <v>59</v>
      </c>
      <c r="D70" s="2">
        <f t="shared" si="39"/>
        <v>59</v>
      </c>
      <c r="E70" s="2">
        <f t="shared" si="8"/>
        <v>0.16153319644079397</v>
      </c>
      <c r="F70" s="2">
        <f t="shared" si="21"/>
        <v>62.19153319644095</v>
      </c>
      <c r="G70" s="2">
        <f t="shared" si="30"/>
        <v>1.2889689868258065E-9</v>
      </c>
      <c r="H70" s="2">
        <f t="shared" si="31"/>
        <v>1.2963920522469618E-9</v>
      </c>
      <c r="I70" s="2">
        <f t="shared" si="32"/>
        <v>1.2473548236046395E-9</v>
      </c>
      <c r="J70" s="2">
        <f t="shared" si="33"/>
        <v>1.2370184478234594E-9</v>
      </c>
      <c r="K70" s="2">
        <f t="shared" si="34"/>
        <v>8.690440050949232E-10</v>
      </c>
      <c r="L70" s="2">
        <f t="shared" si="35"/>
        <v>1.478307433904515E-9</v>
      </c>
      <c r="M70" s="2">
        <f t="shared" si="36"/>
        <v>0.50245625826772566</v>
      </c>
      <c r="N70" s="2">
        <f t="shared" si="37"/>
        <v>0.49754373431518895</v>
      </c>
      <c r="O70" s="2" t="str">
        <f t="shared" si="17"/>
        <v>OK</v>
      </c>
      <c r="P70" s="2">
        <f t="shared" si="18"/>
        <v>1.2473548236046395E-9</v>
      </c>
      <c r="Q70" s="2">
        <f t="shared" si="19"/>
        <v>1.2370184478234594E-9</v>
      </c>
      <c r="R70" s="2">
        <f t="shared" si="23"/>
        <v>2.4843732714280989E-9</v>
      </c>
      <c r="S70" s="56">
        <f t="shared" si="24"/>
        <v>8.0269969224820795E-9</v>
      </c>
      <c r="T70" s="56">
        <f t="shared" si="25"/>
        <v>1.7763517328038049E-6</v>
      </c>
      <c r="U70" s="56">
        <f t="shared" si="26"/>
        <v>3.6951973702049449E-5</v>
      </c>
      <c r="V70" s="56">
        <f t="shared" si="27"/>
        <v>2.9645969671824069E-7</v>
      </c>
      <c r="W70" s="56">
        <f t="shared" si="28"/>
        <v>6.9621359910357849E-8</v>
      </c>
      <c r="X70" s="56">
        <f t="shared" si="29"/>
        <v>3.9102433488404331E-5</v>
      </c>
      <c r="Z70" s="119"/>
    </row>
    <row r="71" spans="2:26" x14ac:dyDescent="0.2">
      <c r="B71" s="119"/>
      <c r="C71" s="2">
        <f t="shared" si="39"/>
        <v>60</v>
      </c>
      <c r="D71" s="2">
        <f t="shared" si="39"/>
        <v>60</v>
      </c>
      <c r="E71" s="2">
        <f t="shared" si="8"/>
        <v>0.16427104722792607</v>
      </c>
      <c r="F71" s="2">
        <f t="shared" si="21"/>
        <v>62.194271047228085</v>
      </c>
      <c r="G71" s="2">
        <f t="shared" si="30"/>
        <v>9.3892980353545133E-10</v>
      </c>
      <c r="H71" s="2">
        <f t="shared" si="31"/>
        <v>9.4433702235045132E-10</v>
      </c>
      <c r="I71" s="2">
        <f t="shared" si="32"/>
        <v>9.0861660089295612E-10</v>
      </c>
      <c r="J71" s="2">
        <f t="shared" si="33"/>
        <v>9.0108722556997643E-10</v>
      </c>
      <c r="K71" s="2">
        <f t="shared" si="34"/>
        <v>6.3304185384385018E-10</v>
      </c>
      <c r="L71" s="2">
        <f t="shared" si="35"/>
        <v>1.0768505081717249E-9</v>
      </c>
      <c r="M71" s="2">
        <f t="shared" si="36"/>
        <v>0.50245625927934889</v>
      </c>
      <c r="N71" s="2">
        <f t="shared" si="37"/>
        <v>0.4975437353177885</v>
      </c>
      <c r="O71" s="2" t="str">
        <f t="shared" si="17"/>
        <v>OK</v>
      </c>
      <c r="P71" s="2">
        <f t="shared" si="18"/>
        <v>9.0861660089295612E-10</v>
      </c>
      <c r="Q71" s="2">
        <f t="shared" si="19"/>
        <v>9.0108722556997643E-10</v>
      </c>
      <c r="R71" s="2">
        <f t="shared" si="23"/>
        <v>1.8097038264629327E-9</v>
      </c>
      <c r="S71" s="56">
        <f t="shared" si="24"/>
        <v>5.8471435080573459E-9</v>
      </c>
      <c r="T71" s="56">
        <f t="shared" si="25"/>
        <v>1.2939563329592614E-6</v>
      </c>
      <c r="U71" s="56">
        <f t="shared" si="26"/>
        <v>2.6917101778959433E-5</v>
      </c>
      <c r="V71" s="56">
        <f t="shared" si="27"/>
        <v>2.1595154549164846E-7</v>
      </c>
      <c r="W71" s="56">
        <f t="shared" si="28"/>
        <v>5.0714618001385142E-8</v>
      </c>
      <c r="X71" s="56">
        <f t="shared" si="29"/>
        <v>2.8483571418919785E-5</v>
      </c>
      <c r="Z71" s="119"/>
    </row>
    <row r="72" spans="2:26" x14ac:dyDescent="0.2">
      <c r="B72" s="119"/>
      <c r="C72" s="2">
        <f t="shared" si="39"/>
        <v>61</v>
      </c>
      <c r="D72" s="2">
        <f t="shared" si="39"/>
        <v>61</v>
      </c>
      <c r="E72" s="2">
        <f t="shared" si="8"/>
        <v>0.16700889801505817</v>
      </c>
      <c r="F72" s="2">
        <f t="shared" si="21"/>
        <v>62.19700889801522</v>
      </c>
      <c r="G72" s="2">
        <f t="shared" si="30"/>
        <v>6.8394909806023171E-10</v>
      </c>
      <c r="H72" s="2">
        <f t="shared" si="31"/>
        <v>6.8788790415373102E-10</v>
      </c>
      <c r="I72" s="2">
        <f t="shared" si="32"/>
        <v>6.6186790782792184E-10</v>
      </c>
      <c r="J72" s="2">
        <f t="shared" si="33"/>
        <v>6.563832491860104E-10</v>
      </c>
      <c r="K72" s="2">
        <f t="shared" si="34"/>
        <v>4.6112968545739726E-10</v>
      </c>
      <c r="L72" s="2">
        <f t="shared" si="35"/>
        <v>7.8441533226071992E-10</v>
      </c>
      <c r="M72" s="2">
        <f t="shared" si="36"/>
        <v>0.50245626001625043</v>
      </c>
      <c r="N72" s="2">
        <f t="shared" si="37"/>
        <v>0.49754373604811686</v>
      </c>
      <c r="O72" s="2" t="str">
        <f t="shared" si="17"/>
        <v>OK</v>
      </c>
      <c r="P72" s="2">
        <f t="shared" si="18"/>
        <v>6.6186790782792184E-10</v>
      </c>
      <c r="Q72" s="2">
        <f t="shared" si="19"/>
        <v>6.563832491860104E-10</v>
      </c>
      <c r="R72" s="2">
        <f t="shared" si="23"/>
        <v>1.3182511570139322E-9</v>
      </c>
      <c r="S72" s="56">
        <f t="shared" si="24"/>
        <v>4.2592625279399438E-9</v>
      </c>
      <c r="T72" s="56">
        <f t="shared" si="25"/>
        <v>9.4256275977653164E-7</v>
      </c>
      <c r="U72" s="56">
        <f t="shared" si="26"/>
        <v>1.9607352343906778E-5</v>
      </c>
      <c r="V72" s="56">
        <f t="shared" si="27"/>
        <v>1.5730661036381654E-7</v>
      </c>
      <c r="W72" s="56">
        <f t="shared" si="28"/>
        <v>3.6942290158336538E-8</v>
      </c>
      <c r="X72" s="56">
        <f t="shared" si="29"/>
        <v>2.0748423266733402E-5</v>
      </c>
      <c r="Z72" s="119"/>
    </row>
    <row r="73" spans="2:26" x14ac:dyDescent="0.2">
      <c r="B73" s="119"/>
      <c r="C73" s="2">
        <f t="shared" si="39"/>
        <v>62</v>
      </c>
      <c r="D73" s="2">
        <f t="shared" si="39"/>
        <v>62</v>
      </c>
      <c r="E73" s="2">
        <f t="shared" si="8"/>
        <v>0.16974674880219029</v>
      </c>
      <c r="F73" s="2">
        <f t="shared" si="21"/>
        <v>62.199746748802355</v>
      </c>
      <c r="G73" s="2">
        <f t="shared" si="30"/>
        <v>4.9821229124477586E-10</v>
      </c>
      <c r="H73" s="2">
        <f t="shared" si="31"/>
        <v>5.0108145448247399E-10</v>
      </c>
      <c r="I73" s="2">
        <f t="shared" si="32"/>
        <v>4.8212758492635039E-10</v>
      </c>
      <c r="J73" s="2">
        <f t="shared" si="33"/>
        <v>4.7813236897178306E-10</v>
      </c>
      <c r="K73" s="2">
        <f t="shared" si="34"/>
        <v>3.3590288780888288E-10</v>
      </c>
      <c r="L73" s="2">
        <f t="shared" si="35"/>
        <v>5.7139538758296507E-10</v>
      </c>
      <c r="M73" s="2">
        <f t="shared" si="36"/>
        <v>0.50245626055303505</v>
      </c>
      <c r="N73" s="2">
        <f t="shared" si="37"/>
        <v>0.49754373658011342</v>
      </c>
      <c r="O73" s="2" t="str">
        <f t="shared" si="17"/>
        <v>OK</v>
      </c>
      <c r="P73" s="2">
        <f t="shared" si="18"/>
        <v>4.8212758492635039E-10</v>
      </c>
      <c r="Q73" s="2">
        <f t="shared" si="19"/>
        <v>4.7813236897178306E-10</v>
      </c>
      <c r="R73" s="2">
        <f t="shared" si="23"/>
        <v>9.6025995389813344E-10</v>
      </c>
      <c r="S73" s="56">
        <f t="shared" si="24"/>
        <v>3.1025948408679691E-9</v>
      </c>
      <c r="T73" s="56">
        <f t="shared" si="25"/>
        <v>6.8659546963670439E-7</v>
      </c>
      <c r="U73" s="56">
        <f t="shared" si="26"/>
        <v>1.4282676831077791E-5</v>
      </c>
      <c r="V73" s="56">
        <f t="shared" si="27"/>
        <v>1.1458760162061715E-7</v>
      </c>
      <c r="W73" s="56">
        <f t="shared" si="28"/>
        <v>2.6910047949201839E-8</v>
      </c>
      <c r="X73" s="56">
        <f t="shared" si="29"/>
        <v>1.5113872545125183E-5</v>
      </c>
      <c r="Z73" s="119"/>
    </row>
    <row r="74" spans="2:26" x14ac:dyDescent="0.2">
      <c r="B74" s="119"/>
      <c r="C74" s="2">
        <f t="shared" si="39"/>
        <v>63</v>
      </c>
      <c r="D74" s="2">
        <f t="shared" si="39"/>
        <v>63</v>
      </c>
      <c r="E74" s="2">
        <f t="shared" si="8"/>
        <v>0.17248459958932238</v>
      </c>
      <c r="F74" s="2">
        <f t="shared" si="21"/>
        <v>62.202484599589489</v>
      </c>
      <c r="G74" s="2">
        <f t="shared" si="30"/>
        <v>3.6291514653844955E-10</v>
      </c>
      <c r="H74" s="2">
        <f t="shared" si="31"/>
        <v>3.6500514474834989E-10</v>
      </c>
      <c r="I74" s="2">
        <f t="shared" si="32"/>
        <v>3.5119848748936289E-10</v>
      </c>
      <c r="J74" s="2">
        <f t="shared" si="33"/>
        <v>3.4828823334853881E-10</v>
      </c>
      <c r="K74" s="2">
        <f t="shared" si="34"/>
        <v>2.4468333658985649E-10</v>
      </c>
      <c r="L74" s="2">
        <f t="shared" si="35"/>
        <v>4.1622425712934541E-10</v>
      </c>
      <c r="M74" s="2">
        <f t="shared" si="36"/>
        <v>0.50245626094404761</v>
      </c>
      <c r="N74" s="2">
        <f t="shared" si="37"/>
        <v>0.49754373696763821</v>
      </c>
      <c r="O74" s="2" t="str">
        <f t="shared" si="17"/>
        <v>OK</v>
      </c>
      <c r="P74" s="2">
        <f t="shared" si="18"/>
        <v>3.5119848748936289E-10</v>
      </c>
      <c r="Q74" s="2">
        <f t="shared" si="19"/>
        <v>3.4828823334853881E-10</v>
      </c>
      <c r="R74" s="2">
        <f t="shared" si="23"/>
        <v>6.994867208379017E-10</v>
      </c>
      <c r="S74" s="56">
        <f t="shared" si="24"/>
        <v>2.2600379017342104E-9</v>
      </c>
      <c r="T74" s="56">
        <f t="shared" si="25"/>
        <v>5.0014000026630804E-7</v>
      </c>
      <c r="U74" s="56">
        <f t="shared" si="26"/>
        <v>1.0403998147378639E-5</v>
      </c>
      <c r="V74" s="56">
        <f t="shared" si="27"/>
        <v>8.3469591104897914E-8</v>
      </c>
      <c r="W74" s="56">
        <f t="shared" si="28"/>
        <v>1.9602214089180586E-8</v>
      </c>
      <c r="X74" s="56">
        <f t="shared" si="29"/>
        <v>1.1009469990740761E-5</v>
      </c>
      <c r="Z74" s="119"/>
    </row>
    <row r="75" spans="2:26" x14ac:dyDescent="0.2">
      <c r="B75" s="119"/>
      <c r="C75" s="2">
        <f t="shared" si="39"/>
        <v>64</v>
      </c>
      <c r="D75" s="2">
        <f t="shared" si="39"/>
        <v>64</v>
      </c>
      <c r="E75" s="2">
        <f t="shared" si="8"/>
        <v>0.17522245037645448</v>
      </c>
      <c r="F75" s="2">
        <f t="shared" si="21"/>
        <v>62.205222450376624</v>
      </c>
      <c r="G75" s="2">
        <f t="shared" si="30"/>
        <v>2.6436000456342687E-10</v>
      </c>
      <c r="H75" s="2">
        <f t="shared" si="31"/>
        <v>2.6588243188997079E-10</v>
      </c>
      <c r="I75" s="2">
        <f t="shared" si="32"/>
        <v>2.5582518294126976E-10</v>
      </c>
      <c r="J75" s="2">
        <f t="shared" si="33"/>
        <v>2.537052526895643E-10</v>
      </c>
      <c r="K75" s="2">
        <f t="shared" si="34"/>
        <v>1.7823584547093545E-10</v>
      </c>
      <c r="L75" s="2">
        <f t="shared" si="35"/>
        <v>3.0319221328632285E-10</v>
      </c>
      <c r="M75" s="2">
        <f t="shared" si="36"/>
        <v>0.50245626122887477</v>
      </c>
      <c r="N75" s="2">
        <f t="shared" si="37"/>
        <v>0.49754373724992473</v>
      </c>
      <c r="O75" s="2" t="str">
        <f t="shared" si="17"/>
        <v>OK</v>
      </c>
      <c r="P75" s="2">
        <f t="shared" si="18"/>
        <v>2.5582518294126976E-10</v>
      </c>
      <c r="Q75" s="2">
        <f t="shared" si="19"/>
        <v>2.537052526895643E-10</v>
      </c>
      <c r="R75" s="2">
        <f t="shared" ref="R75:R106" si="40">SUM(P75:Q75)</f>
        <v>5.0953043563083407E-10</v>
      </c>
      <c r="S75" s="56">
        <f t="shared" ref="S75:S111" si="41">PVI1_cost_perpatient*(G75+H75+J75)</f>
        <v>1.6462901472002202E-9</v>
      </c>
      <c r="T75" s="56">
        <f t="shared" ref="T75:T111" si="42">treatment_cost*(I75+J75)</f>
        <v>3.6431935678040265E-7</v>
      </c>
      <c r="U75" s="56">
        <f t="shared" ref="U75:U111" si="43">ICU_Cost_without*(G76+H76+K76+L76)+ICU_cost_with*(I75+J75)</f>
        <v>7.578633804493212E-6</v>
      </c>
      <c r="V75" s="56">
        <f t="shared" ref="V75:V111" si="44">Resource_cost*(H75+J75)</f>
        <v>6.0802150849497197E-8</v>
      </c>
      <c r="W75" s="56">
        <f t="shared" ref="W75:W106" si="45">IF(Incl_AE="Yes",Adverse_Event_Cost*K77,0)</f>
        <v>1.4278933947773471E-8</v>
      </c>
      <c r="X75" s="56">
        <f t="shared" ref="X75:X106" si="46">SUM(S75:W75)</f>
        <v>8.0196805362180841E-6</v>
      </c>
      <c r="Z75" s="119"/>
    </row>
    <row r="76" spans="2:26" x14ac:dyDescent="0.2">
      <c r="B76" s="119"/>
      <c r="C76" s="2">
        <f t="shared" si="39"/>
        <v>65</v>
      </c>
      <c r="D76" s="2">
        <f t="shared" si="39"/>
        <v>65</v>
      </c>
      <c r="E76" s="2">
        <f t="shared" ref="E76:E111" si="47">D76*(1/365.25)</f>
        <v>0.17796030116358658</v>
      </c>
      <c r="F76" s="2">
        <f t="shared" si="21"/>
        <v>62.207960301163759</v>
      </c>
      <c r="G76" s="2">
        <f t="shared" ref="G76:G111" si="48">G75*tp_pvi1_1_1+H75*tp_pvi1_2_1+I75*tp_pvi1_3_1+J75*tp_pvi1_4_1+L75*tp_pvi1_6_1</f>
        <v>1.9256901421547827E-10</v>
      </c>
      <c r="H76" s="2">
        <f t="shared" ref="H76:H111" si="49">G75*tp_pvi1_1_2+I75*tp_pvi1_3_2+J75*tp_pvi1_4_2+H75*tp_pvi1_2_2+L75*tp_pvi1_6_2</f>
        <v>1.9367800318667844E-10</v>
      </c>
      <c r="I76" s="2">
        <f t="shared" ref="I76:I111" si="50">G75*tp_pvi1_1_3+H75*tp_pvi1_2_3+I75*tp_pvi1_3_3+J75*tp_pvi1_4_3+L75*tp_pvi1_6_3</f>
        <v>1.8635195354853683E-10</v>
      </c>
      <c r="J76" s="2">
        <f t="shared" ref="J76:J111" si="51">G75*tp_pvi1_1_4+H75*tp_pvi1_2_4+I75*tp_pvi1_3_4+J75*tp_pvi1_4_4+L75*tp_pvi1_6_4</f>
        <v>1.8480772268256051E-10</v>
      </c>
      <c r="K76" s="2">
        <f t="shared" ref="K76:K111" si="52">G75*tp_pvi1_1_5+H75*tp_pvi1_2_5+I75*tp_pvi1_3_5+J75*tp_pvi1_4_5</f>
        <v>1.2983318379375139E-10</v>
      </c>
      <c r="L76" s="2">
        <f t="shared" ref="L76:L111" si="53">K75*tp_pvi1_5_6+L75*tp_pvi1_6_6</f>
        <v>2.2085574452450145E-10</v>
      </c>
      <c r="M76" s="2">
        <f t="shared" ref="M76:M111" si="54">G75*tp_pvi1_1_7+H75*tp_pvi1_2_7+I75*tp_pvi1_3_7+J75*tp_pvi1_4_7+L75*tp_pvi1_6_7+M75</f>
        <v>0.5024562614363528</v>
      </c>
      <c r="N76" s="2">
        <f t="shared" ref="N76:N111" si="55">G75*tp_pvi1_1_8+H75*tp_pvi1_2_8+I75*tp_pvi1_3_8+J75*tp_pvi1_4_8+L75*tp_pvi1_6_8+N75</f>
        <v>0.49754373745555203</v>
      </c>
      <c r="O76" s="2" t="str">
        <f t="shared" ref="O76:O111" si="56">IF(ROUND(SUM(G76:N76),6)=$G$11,"OK","ERROR")</f>
        <v>OK</v>
      </c>
      <c r="P76" s="2">
        <f t="shared" ref="P76:P111" si="57">I76</f>
        <v>1.8635195354853683E-10</v>
      </c>
      <c r="Q76" s="2">
        <f t="shared" ref="Q76:Q111" si="58">J76</f>
        <v>1.8480772268256051E-10</v>
      </c>
      <c r="R76" s="2">
        <f t="shared" si="40"/>
        <v>3.7115967623109734E-10</v>
      </c>
      <c r="S76" s="56">
        <f t="shared" si="41"/>
        <v>1.1992149541779062E-9</v>
      </c>
      <c r="T76" s="56">
        <f t="shared" si="42"/>
        <v>2.6538288010199693E-7</v>
      </c>
      <c r="U76" s="56">
        <f t="shared" si="43"/>
        <v>5.5205402316491761E-6</v>
      </c>
      <c r="V76" s="56">
        <f t="shared" si="44"/>
        <v>4.429039964121834E-8</v>
      </c>
      <c r="W76" s="56">
        <f t="shared" si="45"/>
        <v>1.0401271701109177E-8</v>
      </c>
      <c r="X76" s="56">
        <f t="shared" si="46"/>
        <v>5.8418139980476785E-6</v>
      </c>
      <c r="Z76" s="119"/>
    </row>
    <row r="77" spans="2:26" x14ac:dyDescent="0.2">
      <c r="B77" s="119"/>
      <c r="C77" s="2">
        <f t="shared" ref="C77:D92" si="59">C76+1</f>
        <v>66</v>
      </c>
      <c r="D77" s="2">
        <f t="shared" si="59"/>
        <v>66</v>
      </c>
      <c r="E77" s="2">
        <f t="shared" si="47"/>
        <v>0.18069815195071867</v>
      </c>
      <c r="F77" s="2">
        <f t="shared" ref="F77:F111" si="60">F76+1/365.25</f>
        <v>62.210698151950893</v>
      </c>
      <c r="G77" s="2">
        <f t="shared" si="48"/>
        <v>1.4027396200556483E-10</v>
      </c>
      <c r="H77" s="2">
        <f t="shared" si="49"/>
        <v>1.4108178811115339E-10</v>
      </c>
      <c r="I77" s="2">
        <f t="shared" si="50"/>
        <v>1.3574523896393882E-10</v>
      </c>
      <c r="J77" s="2">
        <f t="shared" si="51"/>
        <v>1.3462036753691162E-10</v>
      </c>
      <c r="K77" s="2">
        <f t="shared" si="52"/>
        <v>9.4575002965780031E-11</v>
      </c>
      <c r="L77" s="2">
        <f t="shared" si="53"/>
        <v>1.6087899936733699E-10</v>
      </c>
      <c r="M77" s="2">
        <f t="shared" si="54"/>
        <v>0.50245626158748702</v>
      </c>
      <c r="N77" s="2">
        <f t="shared" si="55"/>
        <v>0.4975437376053381</v>
      </c>
      <c r="O77" s="2" t="str">
        <f t="shared" si="56"/>
        <v>OK</v>
      </c>
      <c r="P77" s="2">
        <f t="shared" si="57"/>
        <v>1.3574523896393882E-10</v>
      </c>
      <c r="Q77" s="2">
        <f t="shared" si="58"/>
        <v>1.3462036753691162E-10</v>
      </c>
      <c r="R77" s="2">
        <f t="shared" si="40"/>
        <v>2.7036560650085044E-10</v>
      </c>
      <c r="S77" s="56">
        <f t="shared" si="41"/>
        <v>8.735498470726227E-10</v>
      </c>
      <c r="T77" s="56">
        <f t="shared" si="42"/>
        <v>1.9331411230417307E-7</v>
      </c>
      <c r="U77" s="56">
        <f t="shared" si="43"/>
        <v>4.0213533514692766E-6</v>
      </c>
      <c r="V77" s="56">
        <f t="shared" si="44"/>
        <v>3.2262666253936569E-8</v>
      </c>
      <c r="W77" s="56">
        <f t="shared" si="45"/>
        <v>7.5766477662825971E-9</v>
      </c>
      <c r="X77" s="56">
        <f t="shared" si="46"/>
        <v>4.2553803276407417E-6</v>
      </c>
      <c r="Z77" s="119"/>
    </row>
    <row r="78" spans="2:26" x14ac:dyDescent="0.2">
      <c r="B78" s="119"/>
      <c r="C78" s="2">
        <f t="shared" si="59"/>
        <v>67</v>
      </c>
      <c r="D78" s="2">
        <f t="shared" si="59"/>
        <v>67</v>
      </c>
      <c r="E78" s="2">
        <f t="shared" si="47"/>
        <v>0.1834360027378508</v>
      </c>
      <c r="F78" s="2">
        <f t="shared" si="60"/>
        <v>62.213436002738028</v>
      </c>
      <c r="G78" s="2">
        <f t="shared" si="48"/>
        <v>1.0218042864736782E-10</v>
      </c>
      <c r="H78" s="2">
        <f t="shared" si="49"/>
        <v>1.0276887725580094E-10</v>
      </c>
      <c r="I78" s="2">
        <f t="shared" si="50"/>
        <v>9.8881549404189406E-11</v>
      </c>
      <c r="J78" s="2">
        <f t="shared" si="51"/>
        <v>9.8062153965838188E-11</v>
      </c>
      <c r="K78" s="2">
        <f t="shared" si="52"/>
        <v>6.8891718778044614E-11</v>
      </c>
      <c r="L78" s="2">
        <f t="shared" si="53"/>
        <v>1.1718985391645224E-10</v>
      </c>
      <c r="M78" s="2">
        <f t="shared" si="54"/>
        <v>0.5024562616975784</v>
      </c>
      <c r="N78" s="2">
        <f t="shared" si="55"/>
        <v>0.49754373771444749</v>
      </c>
      <c r="O78" s="2" t="str">
        <f t="shared" si="56"/>
        <v>OK</v>
      </c>
      <c r="P78" s="2">
        <f t="shared" si="57"/>
        <v>9.8881549404189406E-11</v>
      </c>
      <c r="Q78" s="2">
        <f t="shared" si="58"/>
        <v>9.8062153965838188E-11</v>
      </c>
      <c r="R78" s="2">
        <f t="shared" si="40"/>
        <v>1.9694370337002758E-10</v>
      </c>
      <c r="S78" s="56">
        <f t="shared" si="41"/>
        <v>6.3632406572491466E-10</v>
      </c>
      <c r="T78" s="56">
        <f t="shared" si="42"/>
        <v>1.4081671734660341E-7</v>
      </c>
      <c r="U78" s="56">
        <f t="shared" si="43"/>
        <v>2.9292935290396867E-6</v>
      </c>
      <c r="V78" s="56">
        <f t="shared" si="44"/>
        <v>2.3501247273556208E-8</v>
      </c>
      <c r="W78" s="56">
        <f t="shared" si="45"/>
        <v>5.5190935323988701E-9</v>
      </c>
      <c r="X78" s="56">
        <f t="shared" si="46"/>
        <v>3.0997669112579705E-6</v>
      </c>
      <c r="Z78" s="119"/>
    </row>
    <row r="79" spans="2:26" x14ac:dyDescent="0.2">
      <c r="B79" s="119"/>
      <c r="C79" s="2">
        <f t="shared" si="59"/>
        <v>68</v>
      </c>
      <c r="D79" s="2">
        <f t="shared" si="59"/>
        <v>68</v>
      </c>
      <c r="E79" s="2">
        <f t="shared" si="47"/>
        <v>0.18617385352498289</v>
      </c>
      <c r="F79" s="2">
        <f t="shared" si="60"/>
        <v>62.216173853525163</v>
      </c>
      <c r="G79" s="2">
        <f t="shared" si="48"/>
        <v>7.4431775144025863E-11</v>
      </c>
      <c r="H79" s="2">
        <f t="shared" si="49"/>
        <v>7.486042155984648E-11</v>
      </c>
      <c r="I79" s="2">
        <f t="shared" si="50"/>
        <v>7.2028756862482615E-11</v>
      </c>
      <c r="J79" s="2">
        <f t="shared" si="51"/>
        <v>7.1431880750014179E-11</v>
      </c>
      <c r="K79" s="2">
        <f t="shared" si="52"/>
        <v>5.0183122044526403E-11</v>
      </c>
      <c r="L79" s="2">
        <f t="shared" si="53"/>
        <v>8.5365162109205028E-11</v>
      </c>
      <c r="M79" s="2">
        <f t="shared" si="54"/>
        <v>0.50245626177777281</v>
      </c>
      <c r="N79" s="2">
        <f t="shared" si="55"/>
        <v>0.49754373779392658</v>
      </c>
      <c r="O79" s="2" t="str">
        <f t="shared" si="56"/>
        <v>OK</v>
      </c>
      <c r="P79" s="2">
        <f t="shared" si="57"/>
        <v>7.2028756862482615E-11</v>
      </c>
      <c r="Q79" s="2">
        <f t="shared" si="58"/>
        <v>7.1431880750014179E-11</v>
      </c>
      <c r="R79" s="2">
        <f t="shared" si="40"/>
        <v>1.4346063761249681E-10</v>
      </c>
      <c r="S79" s="56">
        <f t="shared" si="41"/>
        <v>4.6352056265316174E-10</v>
      </c>
      <c r="T79" s="56">
        <f t="shared" si="42"/>
        <v>1.0257579049931133E-7</v>
      </c>
      <c r="U79" s="56">
        <f t="shared" si="43"/>
        <v>2.1337992037279295E-6</v>
      </c>
      <c r="V79" s="56">
        <f t="shared" si="44"/>
        <v>1.7119125216299895E-8</v>
      </c>
      <c r="W79" s="56">
        <f t="shared" si="45"/>
        <v>4.0202995254604688E-9</v>
      </c>
      <c r="X79" s="56">
        <f t="shared" si="46"/>
        <v>2.2579779395316546E-6</v>
      </c>
      <c r="Z79" s="119"/>
    </row>
    <row r="80" spans="2:26" x14ac:dyDescent="0.2">
      <c r="B80" s="119"/>
      <c r="C80" s="2">
        <f t="shared" si="59"/>
        <v>69</v>
      </c>
      <c r="D80" s="2">
        <f t="shared" si="59"/>
        <v>69</v>
      </c>
      <c r="E80" s="2">
        <f t="shared" si="47"/>
        <v>0.18891170431211499</v>
      </c>
      <c r="F80" s="2">
        <f t="shared" si="60"/>
        <v>62.218911704312298</v>
      </c>
      <c r="G80" s="2">
        <f t="shared" si="48"/>
        <v>5.4218691626456973E-11</v>
      </c>
      <c r="H80" s="2">
        <f t="shared" si="49"/>
        <v>5.453093257182195E-11</v>
      </c>
      <c r="I80" s="2">
        <f t="shared" si="50"/>
        <v>5.2468249601829418E-11</v>
      </c>
      <c r="J80" s="2">
        <f t="shared" si="51"/>
        <v>5.2033464299201551E-11</v>
      </c>
      <c r="K80" s="2">
        <f t="shared" si="52"/>
        <v>3.6555130033109482E-11</v>
      </c>
      <c r="L80" s="2">
        <f t="shared" si="53"/>
        <v>6.2182950642861116E-11</v>
      </c>
      <c r="M80" s="2">
        <f t="shared" si="54"/>
        <v>0.50245626183618919</v>
      </c>
      <c r="N80" s="2">
        <f t="shared" si="55"/>
        <v>0.49754373785182188</v>
      </c>
      <c r="O80" s="2" t="str">
        <f t="shared" si="56"/>
        <v>OK</v>
      </c>
      <c r="P80" s="2">
        <f t="shared" si="57"/>
        <v>5.2468249601829418E-11</v>
      </c>
      <c r="Q80" s="2">
        <f t="shared" si="58"/>
        <v>5.2033464299201551E-11</v>
      </c>
      <c r="R80" s="2">
        <f t="shared" si="40"/>
        <v>1.0450171390103096E-10</v>
      </c>
      <c r="S80" s="56">
        <f t="shared" si="41"/>
        <v>3.3764448584470899E-10</v>
      </c>
      <c r="T80" s="56">
        <f t="shared" si="42"/>
        <v>7.4719770456376147E-8</v>
      </c>
      <c r="U80" s="56">
        <f t="shared" si="43"/>
        <v>1.5543334925955991E-6</v>
      </c>
      <c r="V80" s="56">
        <f t="shared" si="44"/>
        <v>1.247016572184717E-8</v>
      </c>
      <c r="W80" s="56">
        <f t="shared" si="45"/>
        <v>2.9285258855528976E-9</v>
      </c>
      <c r="X80" s="56">
        <f t="shared" si="46"/>
        <v>1.64478959914522E-6</v>
      </c>
      <c r="Z80" s="119"/>
    </row>
    <row r="81" spans="2:26" x14ac:dyDescent="0.2">
      <c r="B81" s="119"/>
      <c r="C81" s="2">
        <f t="shared" si="59"/>
        <v>70</v>
      </c>
      <c r="D81" s="2">
        <f t="shared" si="59"/>
        <v>70</v>
      </c>
      <c r="E81" s="2">
        <f t="shared" si="47"/>
        <v>0.19164955509924708</v>
      </c>
      <c r="F81" s="2">
        <f t="shared" si="60"/>
        <v>62.221649555099432</v>
      </c>
      <c r="G81" s="2">
        <f t="shared" si="48"/>
        <v>3.9494779158451697E-11</v>
      </c>
      <c r="H81" s="2">
        <f t="shared" si="49"/>
        <v>3.9722226313878781E-11</v>
      </c>
      <c r="I81" s="2">
        <f t="shared" si="50"/>
        <v>3.8219696357327753E-11</v>
      </c>
      <c r="J81" s="2">
        <f t="shared" si="51"/>
        <v>3.7902983633477198E-11</v>
      </c>
      <c r="K81" s="2">
        <f t="shared" si="52"/>
        <v>2.6628027059613648E-11</v>
      </c>
      <c r="L81" s="2">
        <f t="shared" si="53"/>
        <v>4.5296222195489137E-11</v>
      </c>
      <c r="M81" s="2">
        <f t="shared" si="54"/>
        <v>0.50245626187874171</v>
      </c>
      <c r="N81" s="2">
        <f t="shared" si="55"/>
        <v>0.49754373789399481</v>
      </c>
      <c r="O81" s="2" t="str">
        <f t="shared" si="56"/>
        <v>OK</v>
      </c>
      <c r="P81" s="2">
        <f t="shared" si="57"/>
        <v>3.8219696357327753E-11</v>
      </c>
      <c r="Q81" s="2">
        <f t="shared" si="58"/>
        <v>3.7902983633477198E-11</v>
      </c>
      <c r="R81" s="2">
        <f t="shared" si="40"/>
        <v>7.6122679990804945E-11</v>
      </c>
      <c r="S81" s="56">
        <f t="shared" si="41"/>
        <v>2.4595197712219615E-10</v>
      </c>
      <c r="T81" s="56">
        <f t="shared" si="42"/>
        <v>5.4428477420225445E-8</v>
      </c>
      <c r="U81" s="56">
        <f t="shared" si="43"/>
        <v>1.1322305313375124E-6</v>
      </c>
      <c r="V81" s="56">
        <f t="shared" si="44"/>
        <v>9.0837020680395971E-9</v>
      </c>
      <c r="W81" s="56">
        <f t="shared" si="45"/>
        <v>2.1332400255354332E-9</v>
      </c>
      <c r="X81" s="56">
        <f t="shared" si="46"/>
        <v>1.1981219028284351E-6</v>
      </c>
      <c r="Z81" s="119"/>
    </row>
    <row r="82" spans="2:26" x14ac:dyDescent="0.2">
      <c r="B82" s="119"/>
      <c r="C82" s="2">
        <f t="shared" si="59"/>
        <v>71</v>
      </c>
      <c r="D82" s="2">
        <f t="shared" si="59"/>
        <v>71</v>
      </c>
      <c r="E82" s="2">
        <f t="shared" si="47"/>
        <v>0.19438740588637918</v>
      </c>
      <c r="F82" s="2">
        <f t="shared" si="60"/>
        <v>62.224387405886567</v>
      </c>
      <c r="G82" s="2">
        <f t="shared" si="48"/>
        <v>2.8769369639560245E-11</v>
      </c>
      <c r="H82" s="2">
        <f t="shared" si="49"/>
        <v>2.8935050051690062E-11</v>
      </c>
      <c r="I82" s="2">
        <f t="shared" si="50"/>
        <v>2.7840555016255008E-11</v>
      </c>
      <c r="J82" s="2">
        <f t="shared" si="51"/>
        <v>2.7609850461978278E-11</v>
      </c>
      <c r="K82" s="2">
        <f t="shared" si="52"/>
        <v>1.9396780272571846E-11</v>
      </c>
      <c r="L82" s="2">
        <f t="shared" si="53"/>
        <v>3.2995342356252003E-11</v>
      </c>
      <c r="M82" s="2">
        <f t="shared" si="54"/>
        <v>0.50245626190973847</v>
      </c>
      <c r="N82" s="2">
        <f t="shared" si="55"/>
        <v>0.49754373792471507</v>
      </c>
      <c r="O82" s="2" t="str">
        <f t="shared" si="56"/>
        <v>OK</v>
      </c>
      <c r="P82" s="2">
        <f t="shared" si="57"/>
        <v>2.7840555016255008E-11</v>
      </c>
      <c r="Q82" s="2">
        <f t="shared" si="58"/>
        <v>2.7609850461978278E-11</v>
      </c>
      <c r="R82" s="2">
        <f t="shared" si="40"/>
        <v>5.5450405478233289E-11</v>
      </c>
      <c r="S82" s="56">
        <f t="shared" si="41"/>
        <v>1.7915996732178005E-10</v>
      </c>
      <c r="T82" s="56">
        <f t="shared" si="42"/>
        <v>3.9647594420991583E-8</v>
      </c>
      <c r="U82" s="56">
        <f t="shared" si="43"/>
        <v>8.2475606567036602E-7</v>
      </c>
      <c r="V82" s="56">
        <f t="shared" si="44"/>
        <v>6.6168842581094687E-9</v>
      </c>
      <c r="W82" s="56">
        <f t="shared" si="45"/>
        <v>1.5539261677679368E-9</v>
      </c>
      <c r="X82" s="56">
        <f t="shared" si="46"/>
        <v>8.7275363048455681E-7</v>
      </c>
      <c r="Z82" s="119"/>
    </row>
    <row r="83" spans="2:26" x14ac:dyDescent="0.2">
      <c r="B83" s="119"/>
      <c r="C83" s="2">
        <f t="shared" si="59"/>
        <v>72</v>
      </c>
      <c r="D83" s="2">
        <f t="shared" si="59"/>
        <v>72</v>
      </c>
      <c r="E83" s="2">
        <f t="shared" si="47"/>
        <v>0.1971252566735113</v>
      </c>
      <c r="F83" s="2">
        <f t="shared" si="60"/>
        <v>62.227125256673702</v>
      </c>
      <c r="G83" s="2">
        <f t="shared" si="48"/>
        <v>2.0956608622548325E-11</v>
      </c>
      <c r="H83" s="2">
        <f t="shared" si="49"/>
        <v>2.1077295992376987E-11</v>
      </c>
      <c r="I83" s="2">
        <f t="shared" si="50"/>
        <v>2.0280027773284887E-11</v>
      </c>
      <c r="J83" s="2">
        <f t="shared" si="51"/>
        <v>2.0111974558633678E-11</v>
      </c>
      <c r="K83" s="2">
        <f t="shared" si="52"/>
        <v>1.412928881663421E-11</v>
      </c>
      <c r="L83" s="2">
        <f t="shared" si="53"/>
        <v>2.4034954008034157E-11</v>
      </c>
      <c r="M83" s="2">
        <f t="shared" si="54"/>
        <v>0.50245626193231752</v>
      </c>
      <c r="N83" s="2">
        <f t="shared" si="55"/>
        <v>0.49754373794709278</v>
      </c>
      <c r="O83" s="2" t="str">
        <f t="shared" si="56"/>
        <v>OK</v>
      </c>
      <c r="P83" s="2">
        <f t="shared" si="57"/>
        <v>2.0280027773284887E-11</v>
      </c>
      <c r="Q83" s="2">
        <f t="shared" si="58"/>
        <v>2.0111974558633678E-11</v>
      </c>
      <c r="R83" s="2">
        <f t="shared" si="40"/>
        <v>4.0392002331918565E-11</v>
      </c>
      <c r="S83" s="56">
        <f t="shared" si="41"/>
        <v>1.3050634626447388E-10</v>
      </c>
      <c r="T83" s="56">
        <f t="shared" si="42"/>
        <v>2.8880685587345094E-8</v>
      </c>
      <c r="U83" s="56">
        <f t="shared" si="43"/>
        <v>6.0078097969722571E-7</v>
      </c>
      <c r="V83" s="56">
        <f t="shared" si="44"/>
        <v>4.8199684398792684E-9</v>
      </c>
      <c r="W83" s="56">
        <f t="shared" si="45"/>
        <v>1.1319338217779173E-9</v>
      </c>
      <c r="X83" s="56">
        <f t="shared" si="46"/>
        <v>6.3574407389249247E-7</v>
      </c>
      <c r="Z83" s="119"/>
    </row>
    <row r="84" spans="2:26" x14ac:dyDescent="0.2">
      <c r="B84" s="119"/>
      <c r="C84" s="2">
        <f t="shared" si="59"/>
        <v>73</v>
      </c>
      <c r="D84" s="2">
        <f t="shared" si="59"/>
        <v>73</v>
      </c>
      <c r="E84" s="2">
        <f t="shared" si="47"/>
        <v>0.1998631074606434</v>
      </c>
      <c r="F84" s="2">
        <f t="shared" si="60"/>
        <v>62.229863107460837</v>
      </c>
      <c r="G84" s="2">
        <f t="shared" si="48"/>
        <v>1.5265521993042179E-11</v>
      </c>
      <c r="H84" s="2">
        <f t="shared" si="49"/>
        <v>1.5353434867285559E-11</v>
      </c>
      <c r="I84" s="2">
        <f t="shared" si="50"/>
        <v>1.4772676990278258E-11</v>
      </c>
      <c r="J84" s="2">
        <f t="shared" si="51"/>
        <v>1.4650261188634708E-11</v>
      </c>
      <c r="K84" s="2">
        <f t="shared" si="52"/>
        <v>1.0292264987203183E-11</v>
      </c>
      <c r="L84" s="2">
        <f t="shared" si="53"/>
        <v>1.7507895748772485E-11</v>
      </c>
      <c r="M84" s="2">
        <f t="shared" si="54"/>
        <v>0.50245626194876492</v>
      </c>
      <c r="N84" s="2">
        <f t="shared" si="55"/>
        <v>0.49754373796339346</v>
      </c>
      <c r="O84" s="2" t="str">
        <f t="shared" si="56"/>
        <v>OK</v>
      </c>
      <c r="P84" s="2">
        <f t="shared" si="57"/>
        <v>1.4772676990278258E-11</v>
      </c>
      <c r="Q84" s="2">
        <f t="shared" si="58"/>
        <v>1.4650261188634708E-11</v>
      </c>
      <c r="R84" s="2">
        <f t="shared" si="40"/>
        <v>2.9422938178912966E-11</v>
      </c>
      <c r="S84" s="56">
        <f t="shared" si="41"/>
        <v>9.5065357902821151E-11</v>
      </c>
      <c r="T84" s="56">
        <f t="shared" si="42"/>
        <v>2.1037695027304559E-8</v>
      </c>
      <c r="U84" s="56">
        <f t="shared" si="43"/>
        <v>4.3762974361708537E-7</v>
      </c>
      <c r="V84" s="56">
        <f t="shared" si="44"/>
        <v>3.5110325124637895E-9</v>
      </c>
      <c r="W84" s="56">
        <f t="shared" si="45"/>
        <v>8.2453993211607196E-10</v>
      </c>
      <c r="X84" s="56">
        <f t="shared" si="46"/>
        <v>4.6309807644687258E-7</v>
      </c>
      <c r="Z84" s="119"/>
    </row>
    <row r="85" spans="2:26" x14ac:dyDescent="0.2">
      <c r="B85" s="119"/>
      <c r="C85" s="2">
        <f t="shared" si="59"/>
        <v>74</v>
      </c>
      <c r="D85" s="2">
        <f t="shared" si="59"/>
        <v>74</v>
      </c>
      <c r="E85" s="2">
        <f t="shared" si="47"/>
        <v>0.20260095824777549</v>
      </c>
      <c r="F85" s="2">
        <f t="shared" si="60"/>
        <v>62.232600958247971</v>
      </c>
      <c r="G85" s="2">
        <f t="shared" si="48"/>
        <v>1.1119936718640557E-11</v>
      </c>
      <c r="H85" s="2">
        <f t="shared" si="49"/>
        <v>1.1183975511338621E-11</v>
      </c>
      <c r="I85" s="2">
        <f t="shared" si="50"/>
        <v>1.0760931291552581E-11</v>
      </c>
      <c r="J85" s="2">
        <f t="shared" si="51"/>
        <v>1.0671759367509733E-11</v>
      </c>
      <c r="K85" s="2">
        <f t="shared" si="52"/>
        <v>7.4972434877329261E-12</v>
      </c>
      <c r="L85" s="2">
        <f t="shared" si="53"/>
        <v>1.2753359688036983E-11</v>
      </c>
      <c r="M85" s="2">
        <f t="shared" si="54"/>
        <v>0.50245626196074578</v>
      </c>
      <c r="N85" s="2">
        <f t="shared" si="55"/>
        <v>0.49754373797526746</v>
      </c>
      <c r="O85" s="2" t="str">
        <f t="shared" si="56"/>
        <v>OK</v>
      </c>
      <c r="P85" s="2">
        <f t="shared" si="57"/>
        <v>1.0760931291552581E-11</v>
      </c>
      <c r="Q85" s="2">
        <f t="shared" si="58"/>
        <v>1.0671759367509733E-11</v>
      </c>
      <c r="R85" s="2">
        <f t="shared" si="40"/>
        <v>2.1432690659062314E-11</v>
      </c>
      <c r="S85" s="56">
        <f t="shared" si="41"/>
        <v>6.924891035472671E-11</v>
      </c>
      <c r="T85" s="56">
        <f t="shared" si="42"/>
        <v>1.5324588148136144E-8</v>
      </c>
      <c r="U85" s="56">
        <f t="shared" si="43"/>
        <v>3.1878471351552399E-7</v>
      </c>
      <c r="V85" s="56">
        <f t="shared" si="44"/>
        <v>2.5575580955228343E-9</v>
      </c>
      <c r="W85" s="56">
        <f t="shared" si="45"/>
        <v>6.0062354050532504E-10</v>
      </c>
      <c r="X85" s="56">
        <f t="shared" si="46"/>
        <v>3.3733673221004303E-7</v>
      </c>
      <c r="Z85" s="119"/>
    </row>
    <row r="86" spans="2:26" x14ac:dyDescent="0.2">
      <c r="B86" s="119"/>
      <c r="C86" s="2">
        <f t="shared" si="59"/>
        <v>75</v>
      </c>
      <c r="D86" s="2">
        <f t="shared" si="59"/>
        <v>75</v>
      </c>
      <c r="E86" s="2">
        <f t="shared" si="47"/>
        <v>0.20533880903490759</v>
      </c>
      <c r="F86" s="2">
        <f t="shared" si="60"/>
        <v>62.235338809035106</v>
      </c>
      <c r="G86" s="2">
        <f t="shared" si="48"/>
        <v>8.100148339698433E-12</v>
      </c>
      <c r="H86" s="2">
        <f t="shared" si="49"/>
        <v>8.1467964217401219E-12</v>
      </c>
      <c r="I86" s="2">
        <f t="shared" si="50"/>
        <v>7.8386363106511202E-12</v>
      </c>
      <c r="J86" s="2">
        <f t="shared" si="51"/>
        <v>7.7736803823253276E-12</v>
      </c>
      <c r="K86" s="2">
        <f t="shared" si="52"/>
        <v>5.4612526964900771E-12</v>
      </c>
      <c r="L86" s="2">
        <f t="shared" si="53"/>
        <v>9.2899903944110656E-12</v>
      </c>
      <c r="M86" s="2">
        <f t="shared" si="54"/>
        <v>0.50245626196947302</v>
      </c>
      <c r="N86" s="2">
        <f t="shared" si="55"/>
        <v>0.49754373798391688</v>
      </c>
      <c r="O86" s="2" t="str">
        <f t="shared" si="56"/>
        <v>OK</v>
      </c>
      <c r="P86" s="2">
        <f t="shared" si="57"/>
        <v>7.8386363106511202E-12</v>
      </c>
      <c r="Q86" s="2">
        <f t="shared" si="58"/>
        <v>7.7736803823253276E-12</v>
      </c>
      <c r="R86" s="2">
        <f t="shared" si="40"/>
        <v>1.5612316692976449E-11</v>
      </c>
      <c r="S86" s="56">
        <f t="shared" si="41"/>
        <v>5.0443312801904159E-11</v>
      </c>
      <c r="T86" s="56">
        <f t="shared" si="42"/>
        <v>1.116296255864509E-8</v>
      </c>
      <c r="U86" s="56">
        <f t="shared" si="43"/>
        <v>2.3221386355332549E-7</v>
      </c>
      <c r="V86" s="56">
        <f t="shared" si="44"/>
        <v>1.8630141956117389E-9</v>
      </c>
      <c r="W86" s="56">
        <f t="shared" si="45"/>
        <v>4.3751505943846598E-10</v>
      </c>
      <c r="X86" s="56">
        <f t="shared" si="46"/>
        <v>2.4572779867982268E-7</v>
      </c>
      <c r="Z86" s="119"/>
    </row>
    <row r="87" spans="2:26" x14ac:dyDescent="0.2">
      <c r="B87" s="119"/>
      <c r="C87" s="2">
        <f t="shared" si="59"/>
        <v>76</v>
      </c>
      <c r="D87" s="2">
        <f t="shared" si="59"/>
        <v>76</v>
      </c>
      <c r="E87" s="2">
        <f t="shared" si="47"/>
        <v>0.20807665982203968</v>
      </c>
      <c r="F87" s="2">
        <f t="shared" si="60"/>
        <v>62.238076659822241</v>
      </c>
      <c r="G87" s="2">
        <f t="shared" si="48"/>
        <v>5.9004295424750025E-12</v>
      </c>
      <c r="H87" s="2">
        <f t="shared" si="49"/>
        <v>5.9344096265223057E-12</v>
      </c>
      <c r="I87" s="2">
        <f t="shared" si="50"/>
        <v>5.7099350925967192E-12</v>
      </c>
      <c r="J87" s="2">
        <f t="shared" si="51"/>
        <v>5.6626189370920083E-12</v>
      </c>
      <c r="K87" s="2">
        <f t="shared" si="52"/>
        <v>3.9781662505320242E-12</v>
      </c>
      <c r="L87" s="2">
        <f t="shared" si="53"/>
        <v>6.7671518438553439E-12</v>
      </c>
      <c r="M87" s="2">
        <f t="shared" si="54"/>
        <v>0.50245626197583027</v>
      </c>
      <c r="N87" s="2">
        <f t="shared" si="55"/>
        <v>0.49754373799021739</v>
      </c>
      <c r="O87" s="2" t="str">
        <f t="shared" si="56"/>
        <v>OK</v>
      </c>
      <c r="P87" s="2">
        <f t="shared" si="57"/>
        <v>5.7099350925967192E-12</v>
      </c>
      <c r="Q87" s="2">
        <f t="shared" si="58"/>
        <v>5.6626189370920083E-12</v>
      </c>
      <c r="R87" s="2">
        <f t="shared" si="40"/>
        <v>1.1372554029688727E-11</v>
      </c>
      <c r="S87" s="56">
        <f t="shared" si="41"/>
        <v>3.6744662022787569E-11</v>
      </c>
      <c r="T87" s="56">
        <f t="shared" si="42"/>
        <v>8.131489856767737E-9</v>
      </c>
      <c r="U87" s="56">
        <f t="shared" si="43"/>
        <v>1.6915264797895189E-7</v>
      </c>
      <c r="V87" s="56">
        <f t="shared" si="44"/>
        <v>1.3570842825141469E-9</v>
      </c>
      <c r="W87" s="56">
        <f t="shared" si="45"/>
        <v>3.1870117357437692E-10</v>
      </c>
      <c r="X87" s="56">
        <f t="shared" si="46"/>
        <v>1.7899666795383095E-7</v>
      </c>
      <c r="Z87" s="119"/>
    </row>
    <row r="88" spans="2:26" x14ac:dyDescent="0.2">
      <c r="B88" s="119"/>
      <c r="C88" s="2">
        <f t="shared" si="59"/>
        <v>77</v>
      </c>
      <c r="D88" s="2">
        <f t="shared" si="59"/>
        <v>77</v>
      </c>
      <c r="E88" s="2">
        <f t="shared" si="47"/>
        <v>0.21081451060917181</v>
      </c>
      <c r="F88" s="2">
        <f t="shared" si="60"/>
        <v>62.240814510609376</v>
      </c>
      <c r="G88" s="2">
        <f t="shared" si="48"/>
        <v>4.2980779271763221E-12</v>
      </c>
      <c r="H88" s="2">
        <f t="shared" si="49"/>
        <v>4.3228302012533125E-12</v>
      </c>
      <c r="I88" s="2">
        <f t="shared" si="50"/>
        <v>4.159315149928073E-12</v>
      </c>
      <c r="J88" s="2">
        <f t="shared" si="51"/>
        <v>4.124848417953788E-12</v>
      </c>
      <c r="K88" s="2">
        <f t="shared" si="52"/>
        <v>2.8978345439029403E-12</v>
      </c>
      <c r="L88" s="2">
        <f t="shared" si="53"/>
        <v>4.9294285713519177E-12</v>
      </c>
      <c r="M88" s="2">
        <f t="shared" si="54"/>
        <v>0.50245626198046112</v>
      </c>
      <c r="N88" s="2">
        <f t="shared" si="55"/>
        <v>0.49754373799480694</v>
      </c>
      <c r="O88" s="2" t="str">
        <f t="shared" si="56"/>
        <v>OK</v>
      </c>
      <c r="P88" s="2">
        <f t="shared" si="57"/>
        <v>4.159315149928073E-12</v>
      </c>
      <c r="Q88" s="2">
        <f t="shared" si="58"/>
        <v>4.124848417953788E-12</v>
      </c>
      <c r="R88" s="2">
        <f t="shared" si="40"/>
        <v>8.2841635678818618E-12</v>
      </c>
      <c r="S88" s="56">
        <f t="shared" si="41"/>
        <v>2.676608874740519E-11</v>
      </c>
      <c r="T88" s="56">
        <f t="shared" si="42"/>
        <v>5.92325979267121E-9</v>
      </c>
      <c r="U88" s="56">
        <f t="shared" si="43"/>
        <v>1.2321666708637591E-7</v>
      </c>
      <c r="V88" s="56">
        <f t="shared" si="44"/>
        <v>9.8854735201961487E-10</v>
      </c>
      <c r="W88" s="56">
        <f t="shared" si="45"/>
        <v>2.3215301015706052E-10</v>
      </c>
      <c r="X88" s="56">
        <f t="shared" si="46"/>
        <v>1.3038739332997122E-7</v>
      </c>
      <c r="Z88" s="119"/>
    </row>
    <row r="89" spans="2:26" x14ac:dyDescent="0.2">
      <c r="B89" s="119"/>
      <c r="C89" s="2">
        <f t="shared" si="59"/>
        <v>78</v>
      </c>
      <c r="D89" s="2">
        <f t="shared" si="59"/>
        <v>78</v>
      </c>
      <c r="E89" s="2">
        <f t="shared" si="47"/>
        <v>0.2135523613963039</v>
      </c>
      <c r="F89" s="2">
        <f t="shared" si="60"/>
        <v>62.24355236139651</v>
      </c>
      <c r="G89" s="2">
        <f t="shared" si="48"/>
        <v>3.1308693265628592E-12</v>
      </c>
      <c r="H89" s="2">
        <f t="shared" si="49"/>
        <v>3.148899743177766E-12</v>
      </c>
      <c r="I89" s="2">
        <f t="shared" si="50"/>
        <v>3.02978969740857E-12</v>
      </c>
      <c r="J89" s="2">
        <f t="shared" si="51"/>
        <v>3.004682932069849E-12</v>
      </c>
      <c r="K89" s="2">
        <f t="shared" si="52"/>
        <v>2.1108833857092125E-12</v>
      </c>
      <c r="L89" s="2">
        <f t="shared" si="53"/>
        <v>3.5907670761259245E-12</v>
      </c>
      <c r="M89" s="2">
        <f t="shared" si="54"/>
        <v>0.50245626198383442</v>
      </c>
      <c r="N89" s="2">
        <f t="shared" si="55"/>
        <v>0.4975437379981501</v>
      </c>
      <c r="O89" s="2" t="str">
        <f t="shared" si="56"/>
        <v>OK</v>
      </c>
      <c r="P89" s="2">
        <f t="shared" si="57"/>
        <v>3.02978969740857E-12</v>
      </c>
      <c r="Q89" s="2">
        <f t="shared" si="58"/>
        <v>3.004682932069849E-12</v>
      </c>
      <c r="R89" s="2">
        <f t="shared" si="40"/>
        <v>6.034472629478419E-12</v>
      </c>
      <c r="S89" s="56">
        <f t="shared" si="41"/>
        <v>1.9497349203801995E-11</v>
      </c>
      <c r="T89" s="56">
        <f t="shared" si="42"/>
        <v>4.3147082748033644E-9</v>
      </c>
      <c r="U89" s="56">
        <f t="shared" si="43"/>
        <v>8.9755302262628305E-8</v>
      </c>
      <c r="V89" s="56">
        <f t="shared" si="44"/>
        <v>7.200922446574759E-10</v>
      </c>
      <c r="W89" s="56">
        <f t="shared" si="45"/>
        <v>1.6910832025036925E-10</v>
      </c>
      <c r="X89" s="56">
        <f t="shared" si="46"/>
        <v>9.4978708451543317E-8</v>
      </c>
      <c r="Z89" s="119"/>
    </row>
    <row r="90" spans="2:26" x14ac:dyDescent="0.2">
      <c r="B90" s="119"/>
      <c r="C90" s="2">
        <f t="shared" si="59"/>
        <v>79</v>
      </c>
      <c r="D90" s="2">
        <f t="shared" si="59"/>
        <v>79</v>
      </c>
      <c r="E90" s="2">
        <f t="shared" si="47"/>
        <v>0.216290212183436</v>
      </c>
      <c r="F90" s="2">
        <f t="shared" si="60"/>
        <v>62.246290212183645</v>
      </c>
      <c r="G90" s="2">
        <f t="shared" si="48"/>
        <v>2.2806340196935298E-12</v>
      </c>
      <c r="H90" s="2">
        <f t="shared" si="49"/>
        <v>2.2937680017388131E-12</v>
      </c>
      <c r="I90" s="2">
        <f t="shared" si="50"/>
        <v>2.2070041051546331E-12</v>
      </c>
      <c r="J90" s="2">
        <f t="shared" si="51"/>
        <v>2.1887154647855984E-12</v>
      </c>
      <c r="K90" s="2">
        <f t="shared" si="52"/>
        <v>1.5376408143930355E-12</v>
      </c>
      <c r="L90" s="2">
        <f t="shared" si="53"/>
        <v>2.615639522585432E-12</v>
      </c>
      <c r="M90" s="2">
        <f t="shared" si="54"/>
        <v>0.50245626198629167</v>
      </c>
      <c r="N90" s="2">
        <f t="shared" si="55"/>
        <v>0.49754373800058538</v>
      </c>
      <c r="O90" s="2" t="str">
        <f t="shared" si="56"/>
        <v>OK</v>
      </c>
      <c r="P90" s="2">
        <f t="shared" si="57"/>
        <v>2.2070041051546331E-12</v>
      </c>
      <c r="Q90" s="2">
        <f t="shared" si="58"/>
        <v>2.1887154647855984E-12</v>
      </c>
      <c r="R90" s="2">
        <f t="shared" si="40"/>
        <v>4.3957195699402314E-12</v>
      </c>
      <c r="S90" s="56">
        <f t="shared" si="41"/>
        <v>1.4202546721057677E-11</v>
      </c>
      <c r="T90" s="56">
        <f t="shared" si="42"/>
        <v>3.1429834497029649E-9</v>
      </c>
      <c r="U90" s="56">
        <f t="shared" si="43"/>
        <v>6.5380881294317413E-8</v>
      </c>
      <c r="V90" s="56">
        <f t="shared" si="44"/>
        <v>5.2454021525268667E-10</v>
      </c>
      <c r="W90" s="56">
        <f t="shared" si="45"/>
        <v>1.2318437722842378E-10</v>
      </c>
      <c r="X90" s="56">
        <f t="shared" si="46"/>
        <v>6.918579188322254E-8</v>
      </c>
      <c r="Z90" s="119"/>
    </row>
    <row r="91" spans="2:26" x14ac:dyDescent="0.2">
      <c r="B91" s="119"/>
      <c r="C91" s="2">
        <f t="shared" si="59"/>
        <v>80</v>
      </c>
      <c r="D91" s="2">
        <f t="shared" si="59"/>
        <v>80</v>
      </c>
      <c r="E91" s="2">
        <f t="shared" si="47"/>
        <v>0.21902806297056809</v>
      </c>
      <c r="F91" s="2">
        <f t="shared" si="60"/>
        <v>62.24902806297078</v>
      </c>
      <c r="G91" s="2">
        <f t="shared" si="48"/>
        <v>1.6612930752665957E-12</v>
      </c>
      <c r="H91" s="2">
        <f t="shared" si="49"/>
        <v>1.670860324213201E-12</v>
      </c>
      <c r="I91" s="2">
        <f t="shared" si="50"/>
        <v>1.6076584867707274E-12</v>
      </c>
      <c r="J91" s="2">
        <f t="shared" si="51"/>
        <v>1.5943364055692899E-12</v>
      </c>
      <c r="K91" s="2">
        <f t="shared" si="52"/>
        <v>1.1200710044401194E-12</v>
      </c>
      <c r="L91" s="2">
        <f t="shared" si="53"/>
        <v>1.9053227254975033E-12</v>
      </c>
      <c r="M91" s="2">
        <f t="shared" si="54"/>
        <v>0.50245626198808158</v>
      </c>
      <c r="N91" s="2">
        <f t="shared" si="55"/>
        <v>0.49754373800235935</v>
      </c>
      <c r="O91" s="2" t="str">
        <f t="shared" si="56"/>
        <v>OK</v>
      </c>
      <c r="P91" s="2">
        <f t="shared" si="57"/>
        <v>1.6076584867707274E-12</v>
      </c>
      <c r="Q91" s="2">
        <f t="shared" si="58"/>
        <v>1.5943364055692899E-12</v>
      </c>
      <c r="R91" s="2">
        <f t="shared" si="40"/>
        <v>3.2019948923400173E-12</v>
      </c>
      <c r="S91" s="56">
        <f t="shared" si="41"/>
        <v>1.0345628590603083E-11</v>
      </c>
      <c r="T91" s="56">
        <f t="shared" si="42"/>
        <v>2.2894583679720357E-9</v>
      </c>
      <c r="U91" s="56">
        <f t="shared" si="43"/>
        <v>4.7625706014712821E-8</v>
      </c>
      <c r="V91" s="56">
        <f t="shared" si="44"/>
        <v>3.8209332131914708E-10</v>
      </c>
      <c r="W91" s="56">
        <f t="shared" si="45"/>
        <v>8.973178120797683E-11</v>
      </c>
      <c r="X91" s="56">
        <f t="shared" si="46"/>
        <v>5.0397335113802584E-8</v>
      </c>
      <c r="Z91" s="119"/>
    </row>
    <row r="92" spans="2:26" x14ac:dyDescent="0.2">
      <c r="B92" s="119"/>
      <c r="C92" s="2">
        <f t="shared" si="59"/>
        <v>81</v>
      </c>
      <c r="D92" s="2">
        <f t="shared" si="59"/>
        <v>81</v>
      </c>
      <c r="E92" s="2">
        <f t="shared" si="47"/>
        <v>0.22176591375770019</v>
      </c>
      <c r="F92" s="2">
        <f t="shared" si="60"/>
        <v>62.251765913757914</v>
      </c>
      <c r="G92" s="2">
        <f t="shared" si="48"/>
        <v>1.2101436083548449E-12</v>
      </c>
      <c r="H92" s="2">
        <f t="shared" si="49"/>
        <v>1.2171127249632533E-12</v>
      </c>
      <c r="I92" s="2">
        <f t="shared" si="50"/>
        <v>1.1710743102151406E-12</v>
      </c>
      <c r="J92" s="2">
        <f t="shared" si="51"/>
        <v>1.1613700433064754E-12</v>
      </c>
      <c r="K92" s="2">
        <f t="shared" si="52"/>
        <v>8.1589864371720602E-13</v>
      </c>
      <c r="L92" s="2">
        <f t="shared" si="53"/>
        <v>1.3879032859653785E-12</v>
      </c>
      <c r="M92" s="2">
        <f t="shared" si="54"/>
        <v>0.50245626198938542</v>
      </c>
      <c r="N92" s="2">
        <f t="shared" si="55"/>
        <v>0.49754373800365154</v>
      </c>
      <c r="O92" s="2" t="str">
        <f t="shared" si="56"/>
        <v>OK</v>
      </c>
      <c r="P92" s="2">
        <f t="shared" si="57"/>
        <v>1.1710743102151406E-12</v>
      </c>
      <c r="Q92" s="2">
        <f t="shared" si="58"/>
        <v>1.1613700433064754E-12</v>
      </c>
      <c r="R92" s="2">
        <f t="shared" si="40"/>
        <v>2.3324443535216162E-12</v>
      </c>
      <c r="S92" s="56">
        <f t="shared" si="41"/>
        <v>7.5361153909116056E-12</v>
      </c>
      <c r="T92" s="56">
        <f t="shared" si="42"/>
        <v>1.6677210372114908E-9</v>
      </c>
      <c r="U92" s="56">
        <f t="shared" si="43"/>
        <v>3.469221932309736E-8</v>
      </c>
      <c r="V92" s="56">
        <f t="shared" si="44"/>
        <v>2.7833005354292362E-10</v>
      </c>
      <c r="W92" s="56">
        <f t="shared" si="45"/>
        <v>6.5363747740718712E-11</v>
      </c>
      <c r="X92" s="56">
        <f t="shared" si="46"/>
        <v>3.6711170276983405E-8</v>
      </c>
      <c r="Z92" s="119"/>
    </row>
    <row r="93" spans="2:26" x14ac:dyDescent="0.2">
      <c r="B93" s="119"/>
      <c r="C93" s="2">
        <f t="shared" ref="C93:D108" si="61">C92+1</f>
        <v>82</v>
      </c>
      <c r="D93" s="2">
        <f t="shared" si="61"/>
        <v>82</v>
      </c>
      <c r="E93" s="2">
        <f t="shared" si="47"/>
        <v>0.22450376454483231</v>
      </c>
      <c r="F93" s="2">
        <f t="shared" si="60"/>
        <v>62.254503764545049</v>
      </c>
      <c r="G93" s="2">
        <f t="shared" si="48"/>
        <v>8.8151065856160138E-13</v>
      </c>
      <c r="H93" s="2">
        <f t="shared" si="49"/>
        <v>8.8658720528602042E-13</v>
      </c>
      <c r="I93" s="2">
        <f t="shared" si="50"/>
        <v>8.5305122408217564E-13</v>
      </c>
      <c r="J93" s="2">
        <f t="shared" si="51"/>
        <v>8.4598229882863118E-13</v>
      </c>
      <c r="K93" s="2">
        <f t="shared" si="52"/>
        <v>5.9432892573835486E-13</v>
      </c>
      <c r="L93" s="2">
        <f t="shared" si="53"/>
        <v>1.0109969851383159E-12</v>
      </c>
      <c r="M93" s="2">
        <f t="shared" si="54"/>
        <v>0.50245626199033522</v>
      </c>
      <c r="N93" s="2">
        <f t="shared" si="55"/>
        <v>0.49754373800459284</v>
      </c>
      <c r="O93" s="2" t="str">
        <f t="shared" si="56"/>
        <v>OK</v>
      </c>
      <c r="P93" s="2">
        <f t="shared" si="57"/>
        <v>8.5305122408217564E-13</v>
      </c>
      <c r="Q93" s="2">
        <f t="shared" si="58"/>
        <v>8.4598229882863118E-13</v>
      </c>
      <c r="R93" s="2">
        <f t="shared" si="40"/>
        <v>1.6990335229108068E-12</v>
      </c>
      <c r="S93" s="56">
        <f t="shared" si="41"/>
        <v>5.489568341620132E-12</v>
      </c>
      <c r="T93" s="56">
        <f t="shared" si="42"/>
        <v>1.2148259592164559E-9</v>
      </c>
      <c r="U93" s="56">
        <f t="shared" si="43"/>
        <v>2.5271018159606528E-8</v>
      </c>
      <c r="V93" s="56">
        <f t="shared" si="44"/>
        <v>2.027452833714965E-10</v>
      </c>
      <c r="W93" s="56">
        <f t="shared" si="45"/>
        <v>4.7613225338855829E-11</v>
      </c>
      <c r="X93" s="56">
        <f t="shared" si="46"/>
        <v>2.6741692195874956E-8</v>
      </c>
      <c r="Z93" s="119"/>
    </row>
    <row r="94" spans="2:26" x14ac:dyDescent="0.2">
      <c r="B94" s="119"/>
      <c r="C94" s="2">
        <f t="shared" si="61"/>
        <v>83</v>
      </c>
      <c r="D94" s="2">
        <f t="shared" si="61"/>
        <v>83</v>
      </c>
      <c r="E94" s="2">
        <f t="shared" si="47"/>
        <v>0.22724161533196441</v>
      </c>
      <c r="F94" s="2">
        <f t="shared" si="60"/>
        <v>62.257241615332184</v>
      </c>
      <c r="G94" s="2">
        <f t="shared" si="48"/>
        <v>6.4212299746316884E-13</v>
      </c>
      <c r="H94" s="2">
        <f t="shared" si="49"/>
        <v>6.4582093051455687E-13</v>
      </c>
      <c r="I94" s="2">
        <f t="shared" si="50"/>
        <v>6.2139215638195638E-13</v>
      </c>
      <c r="J94" s="2">
        <f t="shared" si="51"/>
        <v>6.1624290557192563E-13</v>
      </c>
      <c r="K94" s="2">
        <f t="shared" si="52"/>
        <v>4.3292984329526227E-13</v>
      </c>
      <c r="L94" s="2">
        <f t="shared" si="53"/>
        <v>7.3644533757827044E-13</v>
      </c>
      <c r="M94" s="2">
        <f t="shared" si="54"/>
        <v>0.50245626199102711</v>
      </c>
      <c r="N94" s="2">
        <f t="shared" si="55"/>
        <v>0.49754373800527851</v>
      </c>
      <c r="O94" s="2" t="str">
        <f t="shared" si="56"/>
        <v>OK</v>
      </c>
      <c r="P94" s="2">
        <f t="shared" si="57"/>
        <v>6.2139215638195638E-13</v>
      </c>
      <c r="Q94" s="2">
        <f t="shared" si="58"/>
        <v>6.1624290557192563E-13</v>
      </c>
      <c r="R94" s="2">
        <f t="shared" si="40"/>
        <v>1.237635061953882E-12</v>
      </c>
      <c r="S94" s="56">
        <f t="shared" si="41"/>
        <v>3.9987923504542675E-12</v>
      </c>
      <c r="T94" s="56">
        <f t="shared" si="42"/>
        <v>8.849214456476452E-10</v>
      </c>
      <c r="U94" s="56">
        <f t="shared" si="43"/>
        <v>1.8408287831790001E-8</v>
      </c>
      <c r="V94" s="56">
        <f t="shared" si="44"/>
        <v>1.4768671009884018E-10</v>
      </c>
      <c r="W94" s="56">
        <f t="shared" si="45"/>
        <v>3.468312796508163E-11</v>
      </c>
      <c r="X94" s="56">
        <f t="shared" si="46"/>
        <v>1.9479577907852021E-8</v>
      </c>
      <c r="Z94" s="119"/>
    </row>
    <row r="95" spans="2:26" x14ac:dyDescent="0.2">
      <c r="B95" s="119"/>
      <c r="C95" s="2">
        <f t="shared" si="61"/>
        <v>84</v>
      </c>
      <c r="D95" s="2">
        <f t="shared" si="61"/>
        <v>84</v>
      </c>
      <c r="E95" s="2">
        <f t="shared" si="47"/>
        <v>0.2299794661190965</v>
      </c>
      <c r="F95" s="2">
        <f t="shared" si="60"/>
        <v>62.259979466119319</v>
      </c>
      <c r="G95" s="2">
        <f t="shared" si="48"/>
        <v>4.6774470605254857E-13</v>
      </c>
      <c r="H95" s="2">
        <f t="shared" si="49"/>
        <v>4.7043840899568705E-13</v>
      </c>
      <c r="I95" s="2">
        <f t="shared" si="50"/>
        <v>4.5264364098236309E-13</v>
      </c>
      <c r="J95" s="2">
        <f t="shared" si="51"/>
        <v>4.4889274774844365E-13</v>
      </c>
      <c r="K95" s="2">
        <f t="shared" si="52"/>
        <v>3.1536114279279258E-13</v>
      </c>
      <c r="L95" s="2">
        <f t="shared" si="53"/>
        <v>5.3645237642976044E-13</v>
      </c>
      <c r="M95" s="2">
        <f t="shared" si="54"/>
        <v>0.50245626199153104</v>
      </c>
      <c r="N95" s="2">
        <f t="shared" si="55"/>
        <v>0.497543738005778</v>
      </c>
      <c r="O95" s="2" t="str">
        <f t="shared" si="56"/>
        <v>OK</v>
      </c>
      <c r="P95" s="2">
        <f t="shared" si="57"/>
        <v>4.5264364098236309E-13</v>
      </c>
      <c r="Q95" s="2">
        <f t="shared" si="58"/>
        <v>4.4889274774844365E-13</v>
      </c>
      <c r="R95" s="2">
        <f t="shared" si="40"/>
        <v>9.0153638873080673E-13</v>
      </c>
      <c r="S95" s="56">
        <f t="shared" si="41"/>
        <v>2.9128593118730268E-12</v>
      </c>
      <c r="T95" s="56">
        <f t="shared" si="42"/>
        <v>6.4460753330641407E-10</v>
      </c>
      <c r="U95" s="56">
        <f t="shared" si="43"/>
        <v>1.3409236571230573E-8</v>
      </c>
      <c r="V95" s="56">
        <f t="shared" si="44"/>
        <v>1.0758013196219817E-10</v>
      </c>
      <c r="W95" s="56">
        <f t="shared" si="45"/>
        <v>2.5264395698490072E-11</v>
      </c>
      <c r="X95" s="56">
        <f t="shared" si="46"/>
        <v>1.4189601491509549E-8</v>
      </c>
      <c r="Z95" s="119"/>
    </row>
    <row r="96" spans="2:26" x14ac:dyDescent="0.2">
      <c r="B96" s="119"/>
      <c r="C96" s="2">
        <f t="shared" si="61"/>
        <v>85</v>
      </c>
      <c r="D96" s="2">
        <f t="shared" si="61"/>
        <v>85</v>
      </c>
      <c r="E96" s="2">
        <f t="shared" si="47"/>
        <v>0.2327173169062286</v>
      </c>
      <c r="F96" s="2">
        <f t="shared" si="60"/>
        <v>62.262717316906453</v>
      </c>
      <c r="G96" s="2">
        <f t="shared" si="48"/>
        <v>3.4072149869189852E-13</v>
      </c>
      <c r="H96" s="2">
        <f t="shared" si="49"/>
        <v>3.426836855257434E-13</v>
      </c>
      <c r="I96" s="2">
        <f t="shared" si="50"/>
        <v>3.2972135811098205E-13</v>
      </c>
      <c r="J96" s="2">
        <f t="shared" si="51"/>
        <v>3.2698907713044489E-13</v>
      </c>
      <c r="K96" s="2">
        <f t="shared" si="52"/>
        <v>2.2972001566486705E-13</v>
      </c>
      <c r="L96" s="2">
        <f t="shared" si="53"/>
        <v>3.9077055348531105E-13</v>
      </c>
      <c r="M96" s="2">
        <f t="shared" si="54"/>
        <v>0.50245626199189819</v>
      </c>
      <c r="N96" s="2">
        <f t="shared" si="55"/>
        <v>0.49754373800614182</v>
      </c>
      <c r="O96" s="2" t="str">
        <f t="shared" si="56"/>
        <v>OK</v>
      </c>
      <c r="P96" s="2">
        <f t="shared" si="57"/>
        <v>3.2972135811098205E-13</v>
      </c>
      <c r="Q96" s="2">
        <f t="shared" si="58"/>
        <v>3.2698907713044489E-13</v>
      </c>
      <c r="R96" s="2">
        <f t="shared" si="40"/>
        <v>6.5671043524142694E-13</v>
      </c>
      <c r="S96" s="56">
        <f t="shared" si="41"/>
        <v>2.1218279488309826E-12</v>
      </c>
      <c r="T96" s="56">
        <f t="shared" si="42"/>
        <v>4.6955452830197265E-10</v>
      </c>
      <c r="U96" s="56">
        <f t="shared" si="43"/>
        <v>9.7677539087970206E-9</v>
      </c>
      <c r="V96" s="56">
        <f t="shared" si="44"/>
        <v>7.8365106686027154E-11</v>
      </c>
      <c r="W96" s="56">
        <f t="shared" si="45"/>
        <v>1.8403463800972695E-11</v>
      </c>
      <c r="X96" s="56">
        <f t="shared" si="46"/>
        <v>1.0336198835534825E-8</v>
      </c>
      <c r="Z96" s="119"/>
    </row>
    <row r="97" spans="2:26" x14ac:dyDescent="0.2">
      <c r="B97" s="119"/>
      <c r="C97" s="2">
        <f t="shared" si="61"/>
        <v>86</v>
      </c>
      <c r="D97" s="2">
        <f t="shared" si="61"/>
        <v>86</v>
      </c>
      <c r="E97" s="2">
        <f t="shared" si="47"/>
        <v>0.2354551676933607</v>
      </c>
      <c r="F97" s="2">
        <f t="shared" si="60"/>
        <v>62.265455167693588</v>
      </c>
      <c r="G97" s="2">
        <f t="shared" si="48"/>
        <v>2.481933802107237E-13</v>
      </c>
      <c r="H97" s="2">
        <f t="shared" si="49"/>
        <v>2.4962270528931913E-13</v>
      </c>
      <c r="I97" s="2">
        <f t="shared" si="50"/>
        <v>2.4018049554083217E-13</v>
      </c>
      <c r="J97" s="2">
        <f t="shared" si="51"/>
        <v>2.3819020712390368E-13</v>
      </c>
      <c r="K97" s="2">
        <f t="shared" si="52"/>
        <v>1.6733604251218751E-13</v>
      </c>
      <c r="L97" s="2">
        <f t="shared" si="53"/>
        <v>2.8465085099909149E-13</v>
      </c>
      <c r="M97" s="2">
        <f t="shared" si="54"/>
        <v>0.50245626199216564</v>
      </c>
      <c r="N97" s="2">
        <f t="shared" si="55"/>
        <v>0.49754373800640683</v>
      </c>
      <c r="O97" s="2" t="str">
        <f t="shared" si="56"/>
        <v>OK</v>
      </c>
      <c r="P97" s="2">
        <f t="shared" si="57"/>
        <v>2.4018049554083217E-13</v>
      </c>
      <c r="Q97" s="2">
        <f t="shared" si="58"/>
        <v>2.3819020712390368E-13</v>
      </c>
      <c r="R97" s="2">
        <f t="shared" si="40"/>
        <v>4.783707026647358E-13</v>
      </c>
      <c r="S97" s="56">
        <f t="shared" si="41"/>
        <v>1.5456132145102879E-12</v>
      </c>
      <c r="T97" s="56">
        <f t="shared" si="42"/>
        <v>3.4203983611231275E-10</v>
      </c>
      <c r="U97" s="56">
        <f t="shared" si="43"/>
        <v>7.1151713907053366E-9</v>
      </c>
      <c r="V97" s="56">
        <f t="shared" si="44"/>
        <v>5.7083867010595325E-11</v>
      </c>
      <c r="W97" s="56">
        <f t="shared" si="45"/>
        <v>1.3405722579541217E-11</v>
      </c>
      <c r="X97" s="56">
        <f t="shared" si="46"/>
        <v>7.5292464296222955E-9</v>
      </c>
      <c r="Z97" s="119"/>
    </row>
    <row r="98" spans="2:26" x14ac:dyDescent="0.2">
      <c r="B98" s="119"/>
      <c r="C98" s="2">
        <f t="shared" si="61"/>
        <v>87</v>
      </c>
      <c r="D98" s="2">
        <f t="shared" si="61"/>
        <v>87</v>
      </c>
      <c r="E98" s="2">
        <f t="shared" si="47"/>
        <v>0.23819301848049282</v>
      </c>
      <c r="F98" s="2">
        <f t="shared" si="60"/>
        <v>62.268193018480723</v>
      </c>
      <c r="G98" s="2">
        <f t="shared" si="48"/>
        <v>1.8079268322345391E-13</v>
      </c>
      <c r="H98" s="2">
        <f t="shared" si="49"/>
        <v>1.8183385328181098E-13</v>
      </c>
      <c r="I98" s="2">
        <f t="shared" si="50"/>
        <v>1.7495581957060462E-13</v>
      </c>
      <c r="J98" s="2">
        <f t="shared" si="51"/>
        <v>1.7350602432232058E-13</v>
      </c>
      <c r="K98" s="2">
        <f t="shared" si="52"/>
        <v>1.2189338853472442E-13</v>
      </c>
      <c r="L98" s="2">
        <f t="shared" si="53"/>
        <v>2.073495718953981E-13</v>
      </c>
      <c r="M98" s="2">
        <f t="shared" si="54"/>
        <v>0.50245626199236049</v>
      </c>
      <c r="N98" s="2">
        <f t="shared" si="55"/>
        <v>0.4975437380065999</v>
      </c>
      <c r="O98" s="2" t="str">
        <f t="shared" si="56"/>
        <v>OK</v>
      </c>
      <c r="P98" s="2">
        <f t="shared" si="57"/>
        <v>1.7495581957060462E-13</v>
      </c>
      <c r="Q98" s="2">
        <f t="shared" si="58"/>
        <v>1.7350602432232058E-13</v>
      </c>
      <c r="R98" s="2">
        <f t="shared" si="40"/>
        <v>3.484618438929252E-13</v>
      </c>
      <c r="S98" s="56">
        <f t="shared" si="41"/>
        <v>1.1258783777379296E-12</v>
      </c>
      <c r="T98" s="56">
        <f t="shared" si="42"/>
        <v>2.4915370300188043E-10</v>
      </c>
      <c r="U98" s="56">
        <f t="shared" si="43"/>
        <v>5.1829381034586987E-9</v>
      </c>
      <c r="V98" s="56">
        <f t="shared" si="44"/>
        <v>4.1581872477235478E-11</v>
      </c>
      <c r="W98" s="56">
        <f t="shared" si="45"/>
        <v>9.7651941951342154E-12</v>
      </c>
      <c r="X98" s="56">
        <f t="shared" si="46"/>
        <v>5.4845647515106868E-9</v>
      </c>
      <c r="Z98" s="119"/>
    </row>
    <row r="99" spans="2:26" x14ac:dyDescent="0.2">
      <c r="B99" s="119"/>
      <c r="C99" s="2">
        <f t="shared" si="61"/>
        <v>88</v>
      </c>
      <c r="D99" s="2">
        <f t="shared" si="61"/>
        <v>88</v>
      </c>
      <c r="E99" s="2">
        <f t="shared" si="47"/>
        <v>0.24093086926762491</v>
      </c>
      <c r="F99" s="2">
        <f t="shared" si="60"/>
        <v>62.270930869267858</v>
      </c>
      <c r="G99" s="2">
        <f t="shared" si="48"/>
        <v>1.316956732664858E-13</v>
      </c>
      <c r="H99" s="2">
        <f t="shared" si="49"/>
        <v>1.3245409771915442E-13</v>
      </c>
      <c r="I99" s="2">
        <f t="shared" si="50"/>
        <v>1.2744389894231919E-13</v>
      </c>
      <c r="J99" s="2">
        <f t="shared" si="51"/>
        <v>1.2638781770099302E-13</v>
      </c>
      <c r="K99" s="2">
        <f t="shared" si="52"/>
        <v>8.8791380179766958E-14</v>
      </c>
      <c r="L99" s="2">
        <f t="shared" si="53"/>
        <v>1.5104063386531762E-13</v>
      </c>
      <c r="M99" s="2">
        <f t="shared" si="54"/>
        <v>0.50245626199250237</v>
      </c>
      <c r="N99" s="2">
        <f t="shared" si="55"/>
        <v>0.49754373800674051</v>
      </c>
      <c r="O99" s="2" t="str">
        <f t="shared" si="56"/>
        <v>OK</v>
      </c>
      <c r="P99" s="2">
        <f t="shared" si="57"/>
        <v>1.2744389894231919E-13</v>
      </c>
      <c r="Q99" s="2">
        <f t="shared" si="58"/>
        <v>1.2638781770099302E-13</v>
      </c>
      <c r="R99" s="2">
        <f t="shared" si="40"/>
        <v>2.5383171664331221E-13</v>
      </c>
      <c r="S99" s="56">
        <f t="shared" si="41"/>
        <v>8.2012893624192973E-13</v>
      </c>
      <c r="T99" s="56">
        <f t="shared" si="42"/>
        <v>1.8149221571713465E-10</v>
      </c>
      <c r="U99" s="56">
        <f t="shared" si="43"/>
        <v>3.7754322291344124E-9</v>
      </c>
      <c r="V99" s="56">
        <f t="shared" si="44"/>
        <v>3.0289680942465649E-11</v>
      </c>
      <c r="W99" s="56">
        <f t="shared" si="45"/>
        <v>7.1133068063196085E-12</v>
      </c>
      <c r="X99" s="56">
        <f t="shared" si="46"/>
        <v>3.9951475615365741E-9</v>
      </c>
      <c r="Z99" s="119"/>
    </row>
    <row r="100" spans="2:26" x14ac:dyDescent="0.2">
      <c r="B100" s="119"/>
      <c r="C100" s="2">
        <f t="shared" si="61"/>
        <v>89</v>
      </c>
      <c r="D100" s="2">
        <f t="shared" si="61"/>
        <v>89</v>
      </c>
      <c r="E100" s="2">
        <f t="shared" si="47"/>
        <v>0.24366872005475701</v>
      </c>
      <c r="F100" s="2">
        <f t="shared" si="60"/>
        <v>62.273668720054992</v>
      </c>
      <c r="G100" s="2">
        <f t="shared" si="48"/>
        <v>9.5931705021915443E-14</v>
      </c>
      <c r="H100" s="2">
        <f t="shared" si="49"/>
        <v>9.6484167749582975E-14</v>
      </c>
      <c r="I100" s="2">
        <f t="shared" si="50"/>
        <v>9.2834564848901859E-14</v>
      </c>
      <c r="J100" s="2">
        <f t="shared" si="51"/>
        <v>9.2065278572373426E-14</v>
      </c>
      <c r="K100" s="2">
        <f t="shared" si="52"/>
        <v>6.4678726951478432E-14</v>
      </c>
      <c r="L100" s="2">
        <f t="shared" si="53"/>
        <v>1.10023246587389E-13</v>
      </c>
      <c r="M100" s="2">
        <f t="shared" si="54"/>
        <v>0.50245626199260573</v>
      </c>
      <c r="N100" s="2">
        <f t="shared" si="55"/>
        <v>0.49754373800684293</v>
      </c>
      <c r="O100" s="2" t="str">
        <f t="shared" si="56"/>
        <v>OK</v>
      </c>
      <c r="P100" s="2">
        <f t="shared" si="57"/>
        <v>9.2834564848901859E-14</v>
      </c>
      <c r="Q100" s="2">
        <f t="shared" si="58"/>
        <v>9.2065278572373426E-14</v>
      </c>
      <c r="R100" s="2">
        <f t="shared" si="40"/>
        <v>1.8489984342127528E-13</v>
      </c>
      <c r="S100" s="56">
        <f t="shared" si="41"/>
        <v>5.9741041782213096E-13</v>
      </c>
      <c r="T100" s="56">
        <f t="shared" si="42"/>
        <v>1.3220523704464605E-10</v>
      </c>
      <c r="U100" s="56">
        <f t="shared" si="43"/>
        <v>2.7501560374172477E-9</v>
      </c>
      <c r="V100" s="56">
        <f t="shared" si="44"/>
        <v>2.2064056208595339E-11</v>
      </c>
      <c r="W100" s="56">
        <f t="shared" si="45"/>
        <v>5.1815798753951364E-12</v>
      </c>
      <c r="X100" s="56">
        <f t="shared" si="46"/>
        <v>2.9102043209637063E-9</v>
      </c>
      <c r="Z100" s="119"/>
    </row>
    <row r="101" spans="2:26" x14ac:dyDescent="0.2">
      <c r="B101" s="119"/>
      <c r="C101" s="2">
        <f t="shared" si="61"/>
        <v>90</v>
      </c>
      <c r="D101" s="2">
        <f t="shared" si="61"/>
        <v>90</v>
      </c>
      <c r="E101" s="2">
        <f t="shared" si="47"/>
        <v>0.24640657084188911</v>
      </c>
      <c r="F101" s="2">
        <f t="shared" si="60"/>
        <v>62.276406570842127</v>
      </c>
      <c r="G101" s="2">
        <f t="shared" si="48"/>
        <v>6.9879987703087046E-14</v>
      </c>
      <c r="H101" s="2">
        <f t="shared" si="49"/>
        <v>7.0282420752796745E-14</v>
      </c>
      <c r="I101" s="2">
        <f t="shared" si="50"/>
        <v>6.7623923170975542E-14</v>
      </c>
      <c r="J101" s="2">
        <f t="shared" si="51"/>
        <v>6.7063548313344487E-14</v>
      </c>
      <c r="K101" s="2">
        <f t="shared" si="52"/>
        <v>4.71142323905127E-14</v>
      </c>
      <c r="L101" s="2">
        <f t="shared" si="53"/>
        <v>8.0144756280773369E-14</v>
      </c>
      <c r="M101" s="2">
        <f t="shared" si="54"/>
        <v>0.50245626199268101</v>
      </c>
      <c r="N101" s="2">
        <f t="shared" si="55"/>
        <v>0.49754373800691754</v>
      </c>
      <c r="O101" s="2" t="str">
        <f t="shared" si="56"/>
        <v>OK</v>
      </c>
      <c r="P101" s="2">
        <f t="shared" si="57"/>
        <v>6.7623923170975542E-14</v>
      </c>
      <c r="Q101" s="2">
        <f t="shared" si="58"/>
        <v>6.7063548313344487E-14</v>
      </c>
      <c r="R101" s="2">
        <f t="shared" si="40"/>
        <v>1.3468747148432004E-13</v>
      </c>
      <c r="S101" s="56">
        <f t="shared" si="41"/>
        <v>4.3517450921537947E-13</v>
      </c>
      <c r="T101" s="56">
        <f t="shared" si="42"/>
        <v>9.6302888986003678E-11</v>
      </c>
      <c r="U101" s="56">
        <f t="shared" si="43"/>
        <v>2.0033092295439185E-9</v>
      </c>
      <c r="V101" s="56">
        <f t="shared" si="44"/>
        <v>1.6072225300119845E-11</v>
      </c>
      <c r="W101" s="56">
        <f t="shared" si="45"/>
        <v>3.7744428486125292E-12</v>
      </c>
      <c r="X101" s="56">
        <f t="shared" si="46"/>
        <v>2.1198939611878699E-9</v>
      </c>
      <c r="Z101" s="119"/>
    </row>
    <row r="102" spans="2:26" x14ac:dyDescent="0.2">
      <c r="B102" s="119"/>
      <c r="C102" s="2">
        <f t="shared" si="61"/>
        <v>91</v>
      </c>
      <c r="D102" s="2">
        <f t="shared" si="61"/>
        <v>91</v>
      </c>
      <c r="E102" s="2">
        <f t="shared" si="47"/>
        <v>0.2491444216290212</v>
      </c>
      <c r="F102" s="2">
        <f t="shared" si="60"/>
        <v>62.279144421629262</v>
      </c>
      <c r="G102" s="2">
        <f t="shared" si="48"/>
        <v>5.0903011473297955E-14</v>
      </c>
      <c r="H102" s="2">
        <f t="shared" si="49"/>
        <v>5.1196157691835447E-14</v>
      </c>
      <c r="I102" s="2">
        <f t="shared" si="50"/>
        <v>4.9259615666611235E-14</v>
      </c>
      <c r="J102" s="2">
        <f t="shared" si="51"/>
        <v>4.8851419146478171E-14</v>
      </c>
      <c r="K102" s="2">
        <f t="shared" si="52"/>
        <v>3.4319644160783787E-14</v>
      </c>
      <c r="L102" s="2">
        <f t="shared" si="53"/>
        <v>5.8380225620798927E-14</v>
      </c>
      <c r="M102" s="2">
        <f t="shared" si="54"/>
        <v>0.50245626199273585</v>
      </c>
      <c r="N102" s="2">
        <f t="shared" si="55"/>
        <v>0.49754373800697188</v>
      </c>
      <c r="O102" s="2" t="str">
        <f t="shared" si="56"/>
        <v>OK</v>
      </c>
      <c r="P102" s="2">
        <f t="shared" si="57"/>
        <v>4.9259615666611235E-14</v>
      </c>
      <c r="Q102" s="2">
        <f t="shared" si="58"/>
        <v>4.8851419146478171E-14</v>
      </c>
      <c r="R102" s="2">
        <f t="shared" si="40"/>
        <v>9.8111034813089412E-14</v>
      </c>
      <c r="S102" s="56">
        <f t="shared" si="41"/>
        <v>3.1699623545438433E-13</v>
      </c>
      <c r="T102" s="56">
        <f t="shared" si="42"/>
        <v>7.0150371001707054E-11</v>
      </c>
      <c r="U102" s="56">
        <f t="shared" si="43"/>
        <v>1.4592800606851409E-9</v>
      </c>
      <c r="V102" s="56">
        <f t="shared" si="44"/>
        <v>1.1707567441619459E-11</v>
      </c>
      <c r="W102" s="56">
        <f t="shared" si="45"/>
        <v>2.7494353382627076E-12</v>
      </c>
      <c r="X102" s="56">
        <f t="shared" si="46"/>
        <v>1.5442044307021845E-9</v>
      </c>
      <c r="Z102" s="119"/>
    </row>
    <row r="103" spans="2:26" x14ac:dyDescent="0.2">
      <c r="B103" s="119"/>
      <c r="C103" s="2">
        <f t="shared" si="61"/>
        <v>92</v>
      </c>
      <c r="D103" s="2">
        <f t="shared" si="61"/>
        <v>92</v>
      </c>
      <c r="E103" s="2">
        <f t="shared" si="47"/>
        <v>0.2518822724161533</v>
      </c>
      <c r="F103" s="2">
        <f t="shared" si="60"/>
        <v>62.281882272416397</v>
      </c>
      <c r="G103" s="2">
        <f t="shared" si="48"/>
        <v>3.7079522510222721E-14</v>
      </c>
      <c r="H103" s="2">
        <f t="shared" si="49"/>
        <v>3.7293060403059369E-14</v>
      </c>
      <c r="I103" s="2">
        <f t="shared" si="50"/>
        <v>3.5882415894257356E-14</v>
      </c>
      <c r="J103" s="2">
        <f t="shared" si="51"/>
        <v>3.5585071363574563E-14</v>
      </c>
      <c r="K103" s="2">
        <f t="shared" si="52"/>
        <v>2.499962146385302E-14</v>
      </c>
      <c r="L103" s="2">
        <f t="shared" si="53"/>
        <v>4.2526185139239379E-14</v>
      </c>
      <c r="M103" s="2">
        <f t="shared" si="54"/>
        <v>0.50245626199277582</v>
      </c>
      <c r="N103" s="2">
        <f t="shared" si="55"/>
        <v>0.49754373800701146</v>
      </c>
      <c r="O103" s="2" t="str">
        <f t="shared" si="56"/>
        <v>OK</v>
      </c>
      <c r="P103" s="2">
        <f t="shared" si="57"/>
        <v>3.5882415894257356E-14</v>
      </c>
      <c r="Q103" s="2">
        <f t="shared" si="58"/>
        <v>3.5585071363574563E-14</v>
      </c>
      <c r="R103" s="2">
        <f t="shared" si="40"/>
        <v>7.1467487257831918E-14</v>
      </c>
      <c r="S103" s="56">
        <f t="shared" si="41"/>
        <v>2.3091107398139896E-13</v>
      </c>
      <c r="T103" s="56">
        <f t="shared" si="42"/>
        <v>5.1099968064222397E-11</v>
      </c>
      <c r="U103" s="56">
        <f t="shared" si="43"/>
        <v>1.062990308290068E-9</v>
      </c>
      <c r="V103" s="56">
        <f t="shared" si="44"/>
        <v>8.5281989793315024E-12</v>
      </c>
      <c r="W103" s="56">
        <f t="shared" si="45"/>
        <v>2.0027842472344162E-12</v>
      </c>
      <c r="X103" s="56">
        <f t="shared" si="46"/>
        <v>1.1248521706548378E-9</v>
      </c>
      <c r="Z103" s="119"/>
    </row>
    <row r="104" spans="2:26" x14ac:dyDescent="0.2">
      <c r="B104" s="119"/>
      <c r="C104" s="2">
        <f t="shared" si="61"/>
        <v>93</v>
      </c>
      <c r="D104" s="2">
        <f t="shared" si="61"/>
        <v>93</v>
      </c>
      <c r="E104" s="2">
        <f t="shared" si="47"/>
        <v>0.25462012320328542</v>
      </c>
      <c r="F104" s="2">
        <f t="shared" si="60"/>
        <v>62.284620123203531</v>
      </c>
      <c r="G104" s="2">
        <f t="shared" si="48"/>
        <v>2.7010012763337902E-14</v>
      </c>
      <c r="H104" s="2">
        <f t="shared" si="49"/>
        <v>2.7165561185229911E-14</v>
      </c>
      <c r="I104" s="2">
        <f t="shared" si="50"/>
        <v>2.6137998703087094E-14</v>
      </c>
      <c r="J104" s="2">
        <f t="shared" si="51"/>
        <v>2.5921402613786409E-14</v>
      </c>
      <c r="K104" s="2">
        <f t="shared" si="52"/>
        <v>1.8210593047176494E-14</v>
      </c>
      <c r="L104" s="2">
        <f t="shared" si="53"/>
        <v>3.0977551101696398E-14</v>
      </c>
      <c r="M104" s="2">
        <f t="shared" si="54"/>
        <v>0.50245626199280491</v>
      </c>
      <c r="N104" s="2">
        <f t="shared" si="55"/>
        <v>0.49754373800704033</v>
      </c>
      <c r="O104" s="2" t="str">
        <f t="shared" si="56"/>
        <v>OK</v>
      </c>
      <c r="P104" s="2">
        <f t="shared" si="57"/>
        <v>2.6137998703087094E-14</v>
      </c>
      <c r="Q104" s="2">
        <f t="shared" si="58"/>
        <v>2.5921402613786409E-14</v>
      </c>
      <c r="R104" s="2">
        <f t="shared" si="40"/>
        <v>5.2059401316873506E-14</v>
      </c>
      <c r="S104" s="56">
        <f t="shared" si="41"/>
        <v>1.6820365078094386E-13</v>
      </c>
      <c r="T104" s="56">
        <f t="shared" si="42"/>
        <v>3.7222992535577724E-11</v>
      </c>
      <c r="U104" s="56">
        <f t="shared" si="43"/>
        <v>7.7431908100498278E-10</v>
      </c>
      <c r="V104" s="56">
        <f t="shared" si="44"/>
        <v>6.2122365037608903E-12</v>
      </c>
      <c r="W104" s="56">
        <f t="shared" si="45"/>
        <v>1.4588976453270069E-12</v>
      </c>
      <c r="X104" s="56">
        <f t="shared" si="46"/>
        <v>8.1938141134042922E-10</v>
      </c>
      <c r="Z104" s="119"/>
    </row>
    <row r="105" spans="2:26" x14ac:dyDescent="0.2">
      <c r="B105" s="119"/>
      <c r="C105" s="2">
        <f t="shared" si="61"/>
        <v>94</v>
      </c>
      <c r="D105" s="2">
        <f t="shared" si="61"/>
        <v>94</v>
      </c>
      <c r="E105" s="2">
        <f t="shared" si="47"/>
        <v>0.25735797399041754</v>
      </c>
      <c r="F105" s="2">
        <f t="shared" si="60"/>
        <v>62.287357973990666</v>
      </c>
      <c r="G105" s="2">
        <f t="shared" si="48"/>
        <v>1.9675031933718783E-14</v>
      </c>
      <c r="H105" s="2">
        <f t="shared" si="49"/>
        <v>1.9788338809756947E-14</v>
      </c>
      <c r="I105" s="2">
        <f t="shared" si="50"/>
        <v>1.9039826588485682E-14</v>
      </c>
      <c r="J105" s="2">
        <f t="shared" si="51"/>
        <v>1.8882050470012536E-14</v>
      </c>
      <c r="K105" s="2">
        <f t="shared" si="52"/>
        <v>1.3265228819939172E-14</v>
      </c>
      <c r="L105" s="2">
        <f t="shared" si="53"/>
        <v>2.2565124737059243E-14</v>
      </c>
      <c r="M105" s="2">
        <f t="shared" si="54"/>
        <v>0.50245626199282611</v>
      </c>
      <c r="N105" s="2">
        <f t="shared" si="55"/>
        <v>0.49754373800706131</v>
      </c>
      <c r="O105" s="2" t="str">
        <f t="shared" si="56"/>
        <v>OK</v>
      </c>
      <c r="P105" s="2">
        <f t="shared" si="57"/>
        <v>1.9039826588485682E-14</v>
      </c>
      <c r="Q105" s="2">
        <f t="shared" si="58"/>
        <v>1.8882050470012536E-14</v>
      </c>
      <c r="R105" s="2">
        <f t="shared" si="40"/>
        <v>3.7921877058498214E-14</v>
      </c>
      <c r="S105" s="56">
        <f t="shared" si="41"/>
        <v>1.2252538454832536E-13</v>
      </c>
      <c r="T105" s="56">
        <f t="shared" si="42"/>
        <v>2.7114521315596807E-11</v>
      </c>
      <c r="U105" s="56">
        <f t="shared" si="43"/>
        <v>5.6404092730899169E-10</v>
      </c>
      <c r="V105" s="56">
        <f t="shared" si="44"/>
        <v>4.5252089535186248E-12</v>
      </c>
      <c r="W105" s="56">
        <f t="shared" si="45"/>
        <v>1.0627117436537181E-12</v>
      </c>
      <c r="X105" s="56">
        <f t="shared" si="46"/>
        <v>5.9686589470630915E-10</v>
      </c>
      <c r="Z105" s="119"/>
    </row>
    <row r="106" spans="2:26" x14ac:dyDescent="0.2">
      <c r="B106" s="119"/>
      <c r="C106" s="2">
        <f t="shared" si="61"/>
        <v>95</v>
      </c>
      <c r="D106" s="2">
        <f t="shared" si="61"/>
        <v>95</v>
      </c>
      <c r="E106" s="2">
        <f t="shared" si="47"/>
        <v>0.26009582477754961</v>
      </c>
      <c r="F106" s="2">
        <f t="shared" si="60"/>
        <v>62.290095824777801</v>
      </c>
      <c r="G106" s="2">
        <f t="shared" si="48"/>
        <v>1.4331976996260223E-14</v>
      </c>
      <c r="H106" s="2">
        <f t="shared" si="49"/>
        <v>1.4414513662343801E-14</v>
      </c>
      <c r="I106" s="2">
        <f t="shared" si="50"/>
        <v>1.3869271348490449E-14</v>
      </c>
      <c r="J106" s="2">
        <f t="shared" si="51"/>
        <v>1.3754341740846912E-14</v>
      </c>
      <c r="K106" s="2">
        <f t="shared" si="52"/>
        <v>9.6628536582792867E-15</v>
      </c>
      <c r="L106" s="2">
        <f t="shared" si="53"/>
        <v>1.6437221029107076E-14</v>
      </c>
      <c r="M106" s="2">
        <f t="shared" si="54"/>
        <v>0.50245626199284155</v>
      </c>
      <c r="N106" s="2">
        <f t="shared" si="55"/>
        <v>0.49754373800707663</v>
      </c>
      <c r="O106" s="2" t="str">
        <f t="shared" si="56"/>
        <v>OK</v>
      </c>
      <c r="P106" s="2">
        <f t="shared" si="57"/>
        <v>1.3869271348490449E-14</v>
      </c>
      <c r="Q106" s="2">
        <f t="shared" si="58"/>
        <v>1.3754341740846912E-14</v>
      </c>
      <c r="R106" s="2">
        <f t="shared" si="40"/>
        <v>2.7623613089337361E-14</v>
      </c>
      <c r="S106" s="56">
        <f t="shared" si="41"/>
        <v>8.9251748038846956E-14</v>
      </c>
      <c r="T106" s="56">
        <f t="shared" si="42"/>
        <v>1.9751159595007106E-11</v>
      </c>
      <c r="U106" s="56">
        <f t="shared" si="43"/>
        <v>4.1086701268768054E-10</v>
      </c>
      <c r="V106" s="56">
        <f t="shared" si="44"/>
        <v>3.2963194592813772E-12</v>
      </c>
      <c r="W106" s="56">
        <f t="shared" si="45"/>
        <v>7.7411616484334254E-13</v>
      </c>
      <c r="X106" s="56">
        <f t="shared" si="46"/>
        <v>4.3477785965485119E-10</v>
      </c>
      <c r="Z106" s="119"/>
    </row>
    <row r="107" spans="2:26" x14ac:dyDescent="0.2">
      <c r="B107" s="119"/>
      <c r="C107" s="2">
        <f t="shared" si="61"/>
        <v>96</v>
      </c>
      <c r="D107" s="2">
        <f t="shared" si="61"/>
        <v>96</v>
      </c>
      <c r="E107" s="2">
        <f t="shared" si="47"/>
        <v>0.26283367556468173</v>
      </c>
      <c r="F107" s="2">
        <f t="shared" si="60"/>
        <v>62.292833675564935</v>
      </c>
      <c r="G107" s="2">
        <f t="shared" si="48"/>
        <v>1.0439910100949373E-14</v>
      </c>
      <c r="H107" s="2">
        <f t="shared" si="49"/>
        <v>1.0500032676792851E-14</v>
      </c>
      <c r="I107" s="2">
        <f t="shared" si="50"/>
        <v>1.0102859227425193E-14</v>
      </c>
      <c r="J107" s="2">
        <f t="shared" si="51"/>
        <v>1.0019140507247998E-14</v>
      </c>
      <c r="K107" s="2">
        <f t="shared" si="52"/>
        <v>7.0387584027932037E-15</v>
      </c>
      <c r="L107" s="2">
        <f t="shared" si="53"/>
        <v>1.1973443014741819E-14</v>
      </c>
      <c r="M107" s="2">
        <f t="shared" si="54"/>
        <v>0.50245626199285276</v>
      </c>
      <c r="N107" s="2">
        <f t="shared" si="55"/>
        <v>0.49754373800708779</v>
      </c>
      <c r="O107" s="2" t="str">
        <f t="shared" si="56"/>
        <v>OK</v>
      </c>
      <c r="P107" s="2">
        <f t="shared" si="57"/>
        <v>1.0102859227425193E-14</v>
      </c>
      <c r="Q107" s="2">
        <f t="shared" si="58"/>
        <v>1.0019140507247998E-14</v>
      </c>
      <c r="R107" s="2">
        <f>SUM(P107:Q107)</f>
        <v>2.0121999734673192E-14</v>
      </c>
      <c r="S107" s="56">
        <f t="shared" si="41"/>
        <v>6.5014074898479468E-14</v>
      </c>
      <c r="T107" s="56">
        <f t="shared" si="42"/>
        <v>1.4387431030288679E-11</v>
      </c>
      <c r="U107" s="56">
        <f t="shared" si="43"/>
        <v>2.9928981026304244E-10</v>
      </c>
      <c r="V107" s="56">
        <f t="shared" si="44"/>
        <v>2.4011536459964602E-12</v>
      </c>
      <c r="W107" s="56">
        <f t="shared" ref="W107:W111" si="62">IF(Incl_AE="Yes",Adverse_Event_Cost*K109,0)</f>
        <v>5.6389311612522386E-13</v>
      </c>
      <c r="X107" s="56">
        <f>SUM(S107:W107)</f>
        <v>3.167073021303513E-10</v>
      </c>
      <c r="Z107" s="119"/>
    </row>
    <row r="108" spans="2:26" x14ac:dyDescent="0.2">
      <c r="B108" s="119"/>
      <c r="C108" s="2">
        <f t="shared" si="61"/>
        <v>97</v>
      </c>
      <c r="D108" s="2">
        <f t="shared" si="61"/>
        <v>97</v>
      </c>
      <c r="E108" s="2">
        <f t="shared" si="47"/>
        <v>0.2655715263518138</v>
      </c>
      <c r="F108" s="2">
        <f t="shared" si="60"/>
        <v>62.29557152635207</v>
      </c>
      <c r="G108" s="2">
        <f t="shared" si="48"/>
        <v>7.6047933194663234E-15</v>
      </c>
      <c r="H108" s="2">
        <f t="shared" si="49"/>
        <v>7.6485886930569458E-15</v>
      </c>
      <c r="I108" s="2">
        <f t="shared" si="50"/>
        <v>7.3592737501872845E-15</v>
      </c>
      <c r="J108" s="2">
        <f t="shared" si="51"/>
        <v>7.2982901250639313E-15</v>
      </c>
      <c r="K108" s="2">
        <f t="shared" si="52"/>
        <v>5.1272762276019503E-15</v>
      </c>
      <c r="L108" s="2">
        <f t="shared" si="53"/>
        <v>8.7218719863535018E-15</v>
      </c>
      <c r="M108" s="2">
        <f t="shared" si="54"/>
        <v>0.50245626199286098</v>
      </c>
      <c r="N108" s="2">
        <f t="shared" si="55"/>
        <v>0.49754373800709589</v>
      </c>
      <c r="O108" s="2" t="str">
        <f t="shared" si="56"/>
        <v>OK</v>
      </c>
      <c r="P108" s="2">
        <f t="shared" si="57"/>
        <v>7.3592737501872845E-15</v>
      </c>
      <c r="Q108" s="2">
        <f t="shared" si="58"/>
        <v>7.2982901250639313E-15</v>
      </c>
      <c r="R108" s="2">
        <f>SUM(P108:Q108)</f>
        <v>1.4657563875251216E-14</v>
      </c>
      <c r="S108" s="56">
        <f t="shared" si="41"/>
        <v>4.735851148893312E-14</v>
      </c>
      <c r="T108" s="56">
        <f t="shared" si="42"/>
        <v>1.0480304746443371E-11</v>
      </c>
      <c r="U108" s="56">
        <f t="shared" si="43"/>
        <v>2.1801309854820999E-10</v>
      </c>
      <c r="V108" s="56">
        <f t="shared" si="44"/>
        <v>1.7490837592965048E-12</v>
      </c>
      <c r="W108" s="56">
        <f t="shared" si="62"/>
        <v>4.1075934188477217E-13</v>
      </c>
      <c r="X108" s="56">
        <f>SUM(S108:W108)</f>
        <v>2.3070060490732356E-10</v>
      </c>
      <c r="Z108" s="119"/>
    </row>
    <row r="109" spans="2:26" x14ac:dyDescent="0.2">
      <c r="B109" s="119"/>
      <c r="C109" s="2">
        <f t="shared" ref="C109:D111" si="63">C108+1</f>
        <v>98</v>
      </c>
      <c r="D109" s="2">
        <f t="shared" si="63"/>
        <v>98</v>
      </c>
      <c r="E109" s="2">
        <f t="shared" si="47"/>
        <v>0.26830937713894593</v>
      </c>
      <c r="F109" s="2">
        <f t="shared" si="60"/>
        <v>62.298309377139205</v>
      </c>
      <c r="G109" s="2">
        <f t="shared" si="48"/>
        <v>5.5395957314364679E-15</v>
      </c>
      <c r="H109" s="2">
        <f t="shared" si="49"/>
        <v>5.571497803512282E-15</v>
      </c>
      <c r="I109" s="2">
        <f t="shared" si="50"/>
        <v>5.3607507450144402E-15</v>
      </c>
      <c r="J109" s="2">
        <f t="shared" si="51"/>
        <v>5.3163281532056527E-15</v>
      </c>
      <c r="K109" s="2">
        <f t="shared" si="52"/>
        <v>3.7348861844298833E-15</v>
      </c>
      <c r="L109" s="2">
        <f t="shared" si="53"/>
        <v>6.3533146524920659E-15</v>
      </c>
      <c r="M109" s="2">
        <f t="shared" si="54"/>
        <v>0.50245626199286697</v>
      </c>
      <c r="N109" s="2">
        <f t="shared" si="55"/>
        <v>0.49754373800710183</v>
      </c>
      <c r="O109" s="2" t="str">
        <f t="shared" si="56"/>
        <v>OK</v>
      </c>
      <c r="P109" s="2">
        <f t="shared" si="57"/>
        <v>5.3607507450144402E-15</v>
      </c>
      <c r="Q109" s="2">
        <f t="shared" si="58"/>
        <v>5.3163281532056527E-15</v>
      </c>
      <c r="R109" s="2">
        <f>SUM(P109:Q109)</f>
        <v>1.0677078898220094E-14</v>
      </c>
      <c r="S109" s="56">
        <f t="shared" si="41"/>
        <v>3.4497585545124245E-14</v>
      </c>
      <c r="T109" s="56">
        <f t="shared" si="42"/>
        <v>7.6342181830163494E-12</v>
      </c>
      <c r="U109" s="56">
        <f t="shared" si="43"/>
        <v>1.5880831725215833E-10</v>
      </c>
      <c r="V109" s="56">
        <f t="shared" si="44"/>
        <v>1.2740933934551327E-12</v>
      </c>
      <c r="W109" s="56">
        <f t="shared" si="62"/>
        <v>2.992113791084882E-13</v>
      </c>
      <c r="X109" s="56">
        <f>SUM(S109:W109)</f>
        <v>1.6805033779328343E-10</v>
      </c>
      <c r="Z109" s="119"/>
    </row>
    <row r="110" spans="2:26" x14ac:dyDescent="0.2">
      <c r="B110" s="119"/>
      <c r="C110" s="2">
        <f t="shared" si="63"/>
        <v>99</v>
      </c>
      <c r="D110" s="2">
        <f t="shared" si="63"/>
        <v>99</v>
      </c>
      <c r="E110" s="2">
        <f t="shared" si="47"/>
        <v>0.27104722792607805</v>
      </c>
      <c r="F110" s="2">
        <f t="shared" si="60"/>
        <v>62.30104722792634</v>
      </c>
      <c r="G110" s="2">
        <f t="shared" si="48"/>
        <v>4.0352340397204442E-15</v>
      </c>
      <c r="H110" s="2">
        <f t="shared" si="49"/>
        <v>4.058472617663488E-15</v>
      </c>
      <c r="I110" s="2">
        <f t="shared" si="50"/>
        <v>3.9049571364893899E-15</v>
      </c>
      <c r="J110" s="2">
        <f t="shared" si="51"/>
        <v>3.8725981768667283E-15</v>
      </c>
      <c r="K110" s="2">
        <f t="shared" si="52"/>
        <v>2.7206208894209306E-15</v>
      </c>
      <c r="L110" s="2">
        <f t="shared" si="53"/>
        <v>4.6279751797235776E-15</v>
      </c>
      <c r="M110" s="2">
        <f t="shared" si="54"/>
        <v>0.5024562619928713</v>
      </c>
      <c r="N110" s="2">
        <f t="shared" si="55"/>
        <v>0.49754373800710616</v>
      </c>
      <c r="O110" s="2" t="str">
        <f t="shared" si="56"/>
        <v>OK</v>
      </c>
      <c r="P110" s="2">
        <f t="shared" si="57"/>
        <v>3.9049571364893899E-15</v>
      </c>
      <c r="Q110" s="2">
        <f t="shared" si="58"/>
        <v>3.8725981768667283E-15</v>
      </c>
      <c r="R110" s="2">
        <f>SUM(P110:Q110)</f>
        <v>7.7775553133561182E-15</v>
      </c>
      <c r="S110" s="56">
        <f t="shared" si="41"/>
        <v>2.5129240151926388E-14</v>
      </c>
      <c r="T110" s="56">
        <f t="shared" si="42"/>
        <v>5.5610298246027583E-12</v>
      </c>
      <c r="U110" s="56">
        <f t="shared" si="43"/>
        <v>1.1568149710456579E-10</v>
      </c>
      <c r="V110" s="56">
        <f t="shared" si="44"/>
        <v>9.2809390437592576E-13</v>
      </c>
      <c r="W110" s="56">
        <f t="shared" si="62"/>
        <v>0</v>
      </c>
      <c r="X110" s="56">
        <f>SUM(S110:W110)</f>
        <v>1.2219575007369638E-10</v>
      </c>
      <c r="Z110" s="119"/>
    </row>
    <row r="111" spans="2:26" x14ac:dyDescent="0.2">
      <c r="B111" s="119"/>
      <c r="C111" s="2">
        <f t="shared" si="63"/>
        <v>100</v>
      </c>
      <c r="D111" s="2">
        <f t="shared" si="63"/>
        <v>100</v>
      </c>
      <c r="E111" s="2">
        <f t="shared" si="47"/>
        <v>0.27378507871321012</v>
      </c>
      <c r="F111" s="2">
        <f t="shared" si="60"/>
        <v>62.303785078713474</v>
      </c>
      <c r="G111" s="2">
        <f t="shared" si="48"/>
        <v>2.9394047047357757E-15</v>
      </c>
      <c r="H111" s="2">
        <f t="shared" si="49"/>
        <v>2.9563324924835921E-15</v>
      </c>
      <c r="I111" s="2">
        <f t="shared" si="50"/>
        <v>2.8445064811119744E-15</v>
      </c>
      <c r="J111" s="2">
        <f t="shared" si="51"/>
        <v>2.8209350904023046E-15</v>
      </c>
      <c r="K111" s="2">
        <f t="shared" si="52"/>
        <v>1.9817948013544057E-15</v>
      </c>
      <c r="L111" s="2">
        <f t="shared" si="53"/>
        <v>3.3711779497236581E-15</v>
      </c>
      <c r="M111" s="2">
        <f t="shared" si="54"/>
        <v>0.50245626199287452</v>
      </c>
      <c r="N111" s="2">
        <f t="shared" si="55"/>
        <v>0.49754373800710933</v>
      </c>
      <c r="O111" s="2" t="str">
        <f t="shared" si="56"/>
        <v>OK</v>
      </c>
      <c r="P111" s="2">
        <f t="shared" si="57"/>
        <v>2.8445064811119744E-15</v>
      </c>
      <c r="Q111" s="2">
        <f t="shared" si="58"/>
        <v>2.8209350904023046E-15</v>
      </c>
      <c r="R111" s="2">
        <f>SUM(P111:Q111)</f>
        <v>5.665441571514279E-15</v>
      </c>
      <c r="S111" s="56">
        <f t="shared" si="41"/>
        <v>1.8305011804005512E-14</v>
      </c>
      <c r="T111" s="56">
        <f t="shared" si="42"/>
        <v>4.0508473780484243E-12</v>
      </c>
      <c r="U111" s="56">
        <f t="shared" si="43"/>
        <v>7.504486793020511E-11</v>
      </c>
      <c r="V111" s="56">
        <f t="shared" si="44"/>
        <v>6.7605585254930762E-13</v>
      </c>
      <c r="W111" s="56">
        <f t="shared" si="62"/>
        <v>0</v>
      </c>
      <c r="X111" s="56">
        <f>SUM(S111:W111)</f>
        <v>7.9790076172606843E-11</v>
      </c>
      <c r="Z111" s="119"/>
    </row>
    <row r="112" spans="2:26" x14ac:dyDescent="0.2">
      <c r="B112" s="119"/>
      <c r="C112" s="1"/>
      <c r="D112" s="1"/>
      <c r="E112" s="1"/>
      <c r="F112" s="1"/>
      <c r="G112" s="1"/>
      <c r="H112" s="1"/>
      <c r="I112" s="1"/>
      <c r="J112" s="1"/>
      <c r="K112" s="1"/>
      <c r="L112" s="1"/>
      <c r="M112" s="1"/>
      <c r="N112" s="1"/>
      <c r="O112" s="1"/>
      <c r="P112" s="1"/>
      <c r="Q112" s="1"/>
      <c r="R112" s="1"/>
      <c r="S112" s="1"/>
      <c r="T112" s="1"/>
      <c r="U112" s="1"/>
      <c r="V112" s="1"/>
      <c r="W112" s="1"/>
      <c r="X112" s="1"/>
      <c r="Z112" s="119"/>
    </row>
    <row r="113" spans="1:26" ht="16" thickBot="1" x14ac:dyDescent="0.25">
      <c r="A113" s="93"/>
      <c r="B113" s="98"/>
      <c r="C113" s="95"/>
      <c r="D113" s="95"/>
      <c r="E113" s="95"/>
      <c r="F113" s="95"/>
      <c r="G113" s="95"/>
      <c r="H113" s="95"/>
      <c r="I113" s="95"/>
      <c r="J113" s="95"/>
      <c r="K113" s="95"/>
      <c r="L113" s="95"/>
      <c r="M113" s="95"/>
      <c r="N113" s="95"/>
      <c r="O113" s="95"/>
      <c r="P113" s="95"/>
      <c r="Q113" s="95"/>
      <c r="R113" s="95"/>
      <c r="S113" s="95"/>
      <c r="T113" s="95"/>
      <c r="U113" s="95"/>
      <c r="V113" s="95"/>
      <c r="W113" s="95"/>
      <c r="X113" s="95"/>
      <c r="Y113" s="95"/>
      <c r="Z113" s="94"/>
    </row>
  </sheetData>
  <mergeCells count="3">
    <mergeCell ref="P8:Q8"/>
    <mergeCell ref="G8:N8"/>
    <mergeCell ref="S8:V8"/>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AF4C4-13DD-4EFB-83EB-51D7BF03B2F6}">
  <sheetPr codeName="Sheet10">
    <tabColor theme="2" tint="-0.499984740745262"/>
  </sheetPr>
  <dimension ref="A3:Z113"/>
  <sheetViews>
    <sheetView showGridLines="0" workbookViewId="0">
      <selection activeCell="G12" sqref="G12"/>
    </sheetView>
  </sheetViews>
  <sheetFormatPr baseColWidth="10" defaultColWidth="8.83203125" defaultRowHeight="15" x14ac:dyDescent="0.2"/>
  <cols>
    <col min="1" max="1" width="11.6640625" customWidth="1"/>
    <col min="2" max="2" width="8.6640625" customWidth="1"/>
    <col min="3" max="3" width="7.6640625" customWidth="1"/>
    <col min="4" max="4" width="7.5" customWidth="1"/>
    <col min="5" max="6" width="11.83203125" bestFit="1" customWidth="1"/>
    <col min="7" max="7" width="21.83203125" bestFit="1" customWidth="1"/>
    <col min="8" max="8" width="19.33203125" bestFit="1" customWidth="1"/>
    <col min="9" max="9" width="19.5" bestFit="1" customWidth="1"/>
    <col min="10" max="10" width="17.1640625" bestFit="1" customWidth="1"/>
    <col min="11" max="11" width="19.5" bestFit="1" customWidth="1"/>
    <col min="12" max="14" width="11.83203125" bestFit="1" customWidth="1"/>
    <col min="15" max="15" width="5.83203125" bestFit="1" customWidth="1"/>
    <col min="16" max="17" width="11.83203125" bestFit="1" customWidth="1"/>
    <col min="18" max="18" width="17.6640625" bestFit="1" customWidth="1"/>
    <col min="19" max="19" width="17" bestFit="1" customWidth="1"/>
    <col min="20" max="20" width="16.33203125" bestFit="1" customWidth="1"/>
    <col min="21" max="21" width="20.83203125" bestFit="1" customWidth="1"/>
    <col min="22" max="22" width="18.6640625" bestFit="1" customWidth="1"/>
    <col min="23" max="23" width="19.33203125" bestFit="1" customWidth="1"/>
    <col min="24" max="24" width="11.83203125" bestFit="1" customWidth="1"/>
  </cols>
  <sheetData>
    <row r="3" spans="2:26" ht="26" x14ac:dyDescent="0.3">
      <c r="H3" s="96" t="s">
        <v>277</v>
      </c>
    </row>
    <row r="4" spans="2:26" ht="16" thickBot="1" x14ac:dyDescent="0.25"/>
    <row r="5" spans="2:26" ht="16" thickBot="1" x14ac:dyDescent="0.25">
      <c r="B5" s="90"/>
      <c r="C5" s="91"/>
      <c r="D5" s="91"/>
      <c r="E5" s="91"/>
      <c r="F5" s="91"/>
      <c r="G5" s="91"/>
      <c r="H5" s="91"/>
      <c r="I5" s="91"/>
      <c r="J5" s="91"/>
      <c r="K5" s="91"/>
      <c r="L5" s="91"/>
      <c r="M5" s="91"/>
      <c r="N5" s="91"/>
      <c r="O5" s="91"/>
      <c r="P5" s="91"/>
      <c r="Q5" s="91"/>
      <c r="R5" s="91"/>
      <c r="S5" s="91"/>
      <c r="T5" s="91"/>
      <c r="U5" s="91"/>
      <c r="V5" s="91"/>
      <c r="W5" s="91"/>
      <c r="X5" s="91"/>
      <c r="Y5" s="92"/>
    </row>
    <row r="6" spans="2:26" x14ac:dyDescent="0.2">
      <c r="B6" s="119"/>
      <c r="Z6" s="119"/>
    </row>
    <row r="7" spans="2:26" x14ac:dyDescent="0.2">
      <c r="B7" s="119"/>
      <c r="R7">
        <f>AVERAGE(R11:R111)</f>
        <v>8.8560554952220975E-3</v>
      </c>
      <c r="Z7" s="119"/>
    </row>
    <row r="8" spans="2:26" x14ac:dyDescent="0.2">
      <c r="B8" s="119"/>
      <c r="C8" s="1"/>
      <c r="D8" s="1"/>
      <c r="E8" s="1"/>
      <c r="F8" s="1"/>
      <c r="G8" s="212" t="s">
        <v>115</v>
      </c>
      <c r="H8" s="214"/>
      <c r="I8" s="214"/>
      <c r="J8" s="214" t="s">
        <v>112</v>
      </c>
      <c r="K8" s="214"/>
      <c r="L8" s="214"/>
      <c r="M8" s="214"/>
      <c r="N8" s="213"/>
      <c r="O8" s="1"/>
      <c r="P8" s="212" t="s">
        <v>97</v>
      </c>
      <c r="Q8" s="213"/>
      <c r="R8" s="12"/>
      <c r="S8" s="212" t="s">
        <v>98</v>
      </c>
      <c r="T8" s="214"/>
      <c r="U8" s="214"/>
      <c r="V8" s="214"/>
      <c r="W8" s="213"/>
      <c r="X8" s="1"/>
      <c r="Z8" s="119"/>
    </row>
    <row r="9" spans="2:26" ht="30" customHeight="1" x14ac:dyDescent="0.2">
      <c r="B9" s="119"/>
      <c r="C9" s="101" t="s">
        <v>99</v>
      </c>
      <c r="D9" s="101" t="s">
        <v>100</v>
      </c>
      <c r="E9" s="101" t="s">
        <v>101</v>
      </c>
      <c r="F9" s="101" t="s">
        <v>31</v>
      </c>
      <c r="G9" s="101" t="s">
        <v>102</v>
      </c>
      <c r="H9" s="101" t="s">
        <v>103</v>
      </c>
      <c r="I9" s="101" t="s">
        <v>104</v>
      </c>
      <c r="J9" s="101" t="s">
        <v>105</v>
      </c>
      <c r="K9" s="101" t="s">
        <v>106</v>
      </c>
      <c r="L9" s="101" t="s">
        <v>107</v>
      </c>
      <c r="M9" s="101" t="s">
        <v>108</v>
      </c>
      <c r="N9" s="101" t="s">
        <v>109</v>
      </c>
      <c r="O9" s="101" t="s">
        <v>110</v>
      </c>
      <c r="P9" s="101" t="s">
        <v>60</v>
      </c>
      <c r="Q9" s="101" t="s">
        <v>61</v>
      </c>
      <c r="R9" s="101" t="s">
        <v>111</v>
      </c>
      <c r="S9" s="101" t="str">
        <f>"Drug Acquisition" &amp; "("&amp;c_currency&amp;")"</f>
        <v>Drug Acquisition(€)</v>
      </c>
      <c r="T9" s="101" t="str">
        <f>"Treatment Cost" &amp; "("&amp;c_currency&amp;")"</f>
        <v>Treatment Cost(€)</v>
      </c>
      <c r="U9" s="101" t="str">
        <f>"ICU Cost" &amp; "("&amp;c_currency&amp;")"</f>
        <v>ICU Cost(€)</v>
      </c>
      <c r="V9" s="101" t="str">
        <f>"Resource Use Cost" &amp; "("&amp;c_currency&amp;")"</f>
        <v>Resource Use Cost(€)</v>
      </c>
      <c r="W9" s="101" t="str">
        <f>"Adverse Event Cost" &amp; "("&amp;c_currency&amp;")"</f>
        <v>Adverse Event Cost(€)</v>
      </c>
      <c r="X9" s="101" t="s">
        <v>46</v>
      </c>
      <c r="Z9" s="119"/>
    </row>
    <row r="10" spans="2:26" x14ac:dyDescent="0.2">
      <c r="B10" s="119"/>
      <c r="C10" s="2"/>
      <c r="D10" s="2"/>
      <c r="E10" s="2"/>
      <c r="F10" s="2"/>
      <c r="G10" s="2"/>
      <c r="H10" s="2"/>
      <c r="I10" s="2"/>
      <c r="J10" s="2"/>
      <c r="K10" s="2"/>
      <c r="L10" s="2"/>
      <c r="M10" s="2"/>
      <c r="N10" s="2"/>
      <c r="O10" s="2"/>
      <c r="P10" s="10">
        <f t="shared" ref="P10:X10" si="0">SUM(P11:P111)</f>
        <v>0.44563816189394523</v>
      </c>
      <c r="Q10" s="10">
        <f t="shared" si="0"/>
        <v>0.44882344312348627</v>
      </c>
      <c r="R10" s="10">
        <f t="shared" si="0"/>
        <v>0.89446160501743177</v>
      </c>
      <c r="S10" s="61">
        <f t="shared" si="0"/>
        <v>11.822674048909503</v>
      </c>
      <c r="T10" s="61">
        <f t="shared" si="0"/>
        <v>639.54899220351399</v>
      </c>
      <c r="U10" s="61">
        <f t="shared" si="0"/>
        <v>13751.413588314825</v>
      </c>
      <c r="V10" s="61">
        <f t="shared" si="0"/>
        <v>107.08388821536846</v>
      </c>
      <c r="W10" s="61">
        <f t="shared" si="0"/>
        <v>34.311670819403943</v>
      </c>
      <c r="X10" s="61">
        <f t="shared" si="0"/>
        <v>14544.180813602017</v>
      </c>
      <c r="Z10" s="119"/>
    </row>
    <row r="11" spans="2:26" x14ac:dyDescent="0.2">
      <c r="B11" s="119"/>
      <c r="C11" s="2">
        <v>0</v>
      </c>
      <c r="D11" s="2">
        <v>0</v>
      </c>
      <c r="E11" s="2">
        <f>D11*(1/365.25)</f>
        <v>0</v>
      </c>
      <c r="F11" s="11">
        <f>con_age</f>
        <v>62.03</v>
      </c>
      <c r="G11" s="2">
        <v>1</v>
      </c>
      <c r="H11" s="2"/>
      <c r="I11" s="2"/>
      <c r="J11" s="2"/>
      <c r="K11" s="2"/>
      <c r="L11" s="2"/>
      <c r="M11" s="2"/>
      <c r="N11" s="2"/>
      <c r="O11" s="2" t="str">
        <f>IF(ROUND(SUM(G11:N11),6)=$G$11,"OK","ERROR")</f>
        <v>OK</v>
      </c>
      <c r="P11" s="2">
        <f>I11</f>
        <v>0</v>
      </c>
      <c r="Q11" s="2">
        <f>J11</f>
        <v>0</v>
      </c>
      <c r="R11" s="2">
        <f t="shared" ref="R11:R42" si="1">SUM(P11:Q11)</f>
        <v>0</v>
      </c>
      <c r="S11" s="56">
        <f t="shared" ref="S11:S42" si="2">CHG4_cost_perpatient*(G11+H11+J11)</f>
        <v>4.97</v>
      </c>
      <c r="T11" s="56">
        <f t="shared" ref="T11:T42" si="3">treatment_cost*(I11+J11)</f>
        <v>0</v>
      </c>
      <c r="U11" s="56">
        <f t="shared" ref="U11:U42" si="4">ICU_Cost_without*(G12+H12+K12+L12)+ICU_cost_with*(I11+J11)</f>
        <v>464.29411396547516</v>
      </c>
      <c r="V11" s="56">
        <f t="shared" ref="V11:V42" si="5">Resource_cost*(H11+J11)</f>
        <v>0</v>
      </c>
      <c r="W11" s="56">
        <f t="shared" ref="W11:W42" si="6">IF(Incl_AE="Yes",Adverse_Event_Cost*K13,0)</f>
        <v>10.62351913644574</v>
      </c>
      <c r="X11" s="56">
        <f t="shared" ref="X11:X42" si="7">SUM(S11:W11)</f>
        <v>479.88763310192093</v>
      </c>
      <c r="Z11" s="119"/>
    </row>
    <row r="12" spans="2:26" x14ac:dyDescent="0.2">
      <c r="B12" s="119"/>
      <c r="C12" s="2">
        <f>C11+1</f>
        <v>1</v>
      </c>
      <c r="D12" s="2">
        <f>D11+1</f>
        <v>1</v>
      </c>
      <c r="E12" s="2">
        <f t="shared" ref="E12:E75" si="8">D12*(1/365.25)</f>
        <v>2.7378507871321013E-3</v>
      </c>
      <c r="F12" s="2">
        <f>F11+1/365.25</f>
        <v>62.032737850787136</v>
      </c>
      <c r="G12" s="2">
        <f t="shared" ref="G12:G43" si="9">G11*tp_CHG4_1_1+H11*tp_CHG4_2_1+I11*tp_CHG4_3_1+J11*tp_CHG4_4_1+L11*tp_CHG4_6_1</f>
        <v>0.14363326839880675</v>
      </c>
      <c r="H12" s="2">
        <f t="shared" ref="H12:H43" si="10">G11*tp_CHG4_1_2+J11*tp_CHG4_4_2+H11*tp_CHG4_2_2+I11*tp_CHG4_3_2+L11*tp_CHG4_6_2</f>
        <v>0.14443571330269944</v>
      </c>
      <c r="I12" s="2">
        <f t="shared" ref="I12:I43" si="11">G11*tp_CHG4_1_3+H11*tp_CHG4_2_3+I11*tp_CHG4_3_3+J11*tp_CHG4_4_3+L11*tp_CHG4_6_3</f>
        <v>0.13805504560628409</v>
      </c>
      <c r="J12" s="2">
        <f t="shared" ref="J12:J43" si="12">G11*tp_CHG4_1_4+H11*tp_CHG4_2_4+I11*tp_CHG4_3_4+J11*tp_CHG4_4_4+L11*tp_CHG4_6_4</f>
        <v>0.13875802043266453</v>
      </c>
      <c r="K12" s="2">
        <f t="shared" ref="K12:K43" si="13">G11*tp_CHG4_1_5+H11*tp_chg4_2_5+I11*tp_CHG4_3_5+J11*tp_CHG4_4_5</f>
        <v>0.12448654380961879</v>
      </c>
      <c r="L12" s="2">
        <f t="shared" ref="L12:L43" si="14">K11*tp_CHG4_5_6+L11*tp_CHG4_6_6</f>
        <v>0</v>
      </c>
      <c r="M12" s="2">
        <f t="shared" ref="M12:M43" si="15">G11*tp_CHG4_1_7+H11*tp_CHG4_2_7+I11*tp_CHG4_3_7+J11*tp_CHG4_4_7+L11*tp_CHG4_6_7+M11</f>
        <v>0.1563212315582837</v>
      </c>
      <c r="N12" s="2">
        <f t="shared" ref="N12:N43" si="16">G11*tp_CHG4_1_8+H11*tp_CHG4_2_8+I11*tp_CHG4_3_8+J11*tp_CHG4_4_8+L11*tp_CHG4_6_8+N11</f>
        <v>0.15431017689164264</v>
      </c>
      <c r="O12" s="2" t="str">
        <f t="shared" ref="O12:O75" si="17">IF(ROUND(SUM(G12:N12),6)=$G$11,"OK","ERROR")</f>
        <v>OK</v>
      </c>
      <c r="P12" s="2">
        <f t="shared" ref="P12:P75" si="18">I12</f>
        <v>0.13805504560628409</v>
      </c>
      <c r="Q12" s="2">
        <f t="shared" ref="Q12:Q75" si="19">J12</f>
        <v>0.13875802043266453</v>
      </c>
      <c r="R12" s="2">
        <f t="shared" si="1"/>
        <v>0.27681306603894862</v>
      </c>
      <c r="S12" s="56">
        <f t="shared" si="2"/>
        <v>2.1213302006068284</v>
      </c>
      <c r="T12" s="56">
        <f t="shared" si="3"/>
        <v>197.92411034850866</v>
      </c>
      <c r="U12" s="56">
        <f t="shared" si="4"/>
        <v>4069.247897738253</v>
      </c>
      <c r="V12" s="56">
        <f t="shared" si="5"/>
        <v>33.139330721712284</v>
      </c>
      <c r="W12" s="56">
        <f t="shared" si="6"/>
        <v>6.0106156936505197</v>
      </c>
      <c r="X12" s="56">
        <f t="shared" si="7"/>
        <v>4308.4432847027319</v>
      </c>
      <c r="Z12" s="119"/>
    </row>
    <row r="13" spans="2:26" x14ac:dyDescent="0.2">
      <c r="B13" s="119"/>
      <c r="C13" s="2">
        <f t="shared" ref="C13:D28" si="20">C12+1</f>
        <v>2</v>
      </c>
      <c r="D13" s="2">
        <f t="shared" si="20"/>
        <v>2</v>
      </c>
      <c r="E13" s="2">
        <f t="shared" si="8"/>
        <v>5.4757015742642025E-3</v>
      </c>
      <c r="F13" s="2">
        <f t="shared" ref="F13:F76" si="21">F12+1/365.25</f>
        <v>62.035475701574271</v>
      </c>
      <c r="G13" s="2">
        <f t="shared" si="9"/>
        <v>8.1205293566851286E-2</v>
      </c>
      <c r="H13" s="2">
        <f t="shared" si="10"/>
        <v>8.1646111589966985E-2</v>
      </c>
      <c r="I13" s="2">
        <f t="shared" si="11"/>
        <v>7.8023578696133397E-2</v>
      </c>
      <c r="J13" s="2">
        <f t="shared" si="12"/>
        <v>7.8725799683211237E-2</v>
      </c>
      <c r="K13" s="2">
        <f t="shared" si="13"/>
        <v>7.0363751069318706E-2</v>
      </c>
      <c r="L13" s="2">
        <f t="shared" si="14"/>
        <v>0.12448654380961879</v>
      </c>
      <c r="M13" s="2">
        <f t="shared" si="15"/>
        <v>0.24439624882696104</v>
      </c>
      <c r="N13" s="2">
        <f t="shared" si="16"/>
        <v>0.2411526727579385</v>
      </c>
      <c r="O13" s="2" t="str">
        <f t="shared" si="17"/>
        <v>OK</v>
      </c>
      <c r="P13" s="2">
        <f t="shared" si="18"/>
        <v>7.8023578696133397E-2</v>
      </c>
      <c r="Q13" s="2">
        <f t="shared" si="19"/>
        <v>7.8725799683211237E-2</v>
      </c>
      <c r="R13" s="2">
        <f t="shared" si="1"/>
        <v>0.15674937837934463</v>
      </c>
      <c r="S13" s="56">
        <f t="shared" si="2"/>
        <v>1.2006387080549468</v>
      </c>
      <c r="T13" s="56">
        <f t="shared" si="3"/>
        <v>112.0773730350152</v>
      </c>
      <c r="U13" s="56">
        <f t="shared" si="4"/>
        <v>2363.4201555306558</v>
      </c>
      <c r="V13" s="56">
        <f t="shared" si="5"/>
        <v>18.766721057187315</v>
      </c>
      <c r="W13" s="56">
        <f t="shared" si="6"/>
        <v>4.7004011090241162</v>
      </c>
      <c r="X13" s="56">
        <f t="shared" si="7"/>
        <v>2500.1652894399372</v>
      </c>
      <c r="Z13" s="119"/>
    </row>
    <row r="14" spans="2:26" x14ac:dyDescent="0.2">
      <c r="B14" s="119"/>
      <c r="C14" s="2">
        <f t="shared" si="20"/>
        <v>3</v>
      </c>
      <c r="D14" s="2">
        <f t="shared" si="20"/>
        <v>3</v>
      </c>
      <c r="E14" s="2">
        <f t="shared" si="8"/>
        <v>8.2135523613963042E-3</v>
      </c>
      <c r="F14" s="2">
        <f t="shared" si="21"/>
        <v>62.038213552361405</v>
      </c>
      <c r="G14" s="2">
        <f t="shared" si="9"/>
        <v>6.3518952924749267E-2</v>
      </c>
      <c r="H14" s="2">
        <f t="shared" si="10"/>
        <v>6.3866759059231254E-2</v>
      </c>
      <c r="I14" s="2">
        <f t="shared" si="11"/>
        <v>6.1042503550764071E-2</v>
      </c>
      <c r="J14" s="2">
        <f t="shared" si="12"/>
        <v>6.1504992405091032E-2</v>
      </c>
      <c r="K14" s="2">
        <f t="shared" si="13"/>
        <v>3.9810674881775858E-2</v>
      </c>
      <c r="L14" s="2">
        <f t="shared" si="14"/>
        <v>8.7915993146784194E-2</v>
      </c>
      <c r="M14" s="2">
        <f t="shared" si="15"/>
        <v>0.31330218025564793</v>
      </c>
      <c r="N14" s="2">
        <f t="shared" si="16"/>
        <v>0.30903794377595639</v>
      </c>
      <c r="O14" s="2" t="str">
        <f t="shared" si="17"/>
        <v>OK</v>
      </c>
      <c r="P14" s="2">
        <f t="shared" si="18"/>
        <v>6.1042503550764071E-2</v>
      </c>
      <c r="Q14" s="2">
        <f t="shared" si="19"/>
        <v>6.1504992405091032E-2</v>
      </c>
      <c r="R14" s="2">
        <f t="shared" si="1"/>
        <v>0.1225474959558551</v>
      </c>
      <c r="S14" s="56">
        <f t="shared" si="2"/>
        <v>0.93878680081368548</v>
      </c>
      <c r="T14" s="56">
        <f t="shared" si="3"/>
        <v>87.62268508339595</v>
      </c>
      <c r="U14" s="56">
        <f t="shared" si="4"/>
        <v>1826.1686528023072</v>
      </c>
      <c r="V14" s="56">
        <f t="shared" si="5"/>
        <v>14.671002356354993</v>
      </c>
      <c r="W14" s="56">
        <f t="shared" si="6"/>
        <v>3.5772892081310879</v>
      </c>
      <c r="X14" s="56">
        <f t="shared" si="7"/>
        <v>1932.978416251003</v>
      </c>
      <c r="Z14" s="119"/>
    </row>
    <row r="15" spans="2:26" x14ac:dyDescent="0.2">
      <c r="B15" s="119"/>
      <c r="C15" s="2">
        <f t="shared" si="20"/>
        <v>4</v>
      </c>
      <c r="D15" s="2">
        <f t="shared" si="20"/>
        <v>4</v>
      </c>
      <c r="E15" s="2">
        <f t="shared" si="8"/>
        <v>1.0951403148528405E-2</v>
      </c>
      <c r="F15" s="2">
        <f t="shared" si="21"/>
        <v>62.04095140314854</v>
      </c>
      <c r="G15" s="2">
        <f t="shared" si="9"/>
        <v>4.8340952366308428E-2</v>
      </c>
      <c r="H15" s="2">
        <f t="shared" si="10"/>
        <v>4.8605489067207006E-2</v>
      </c>
      <c r="I15" s="2">
        <f t="shared" si="11"/>
        <v>4.6455595484493774E-2</v>
      </c>
      <c r="J15" s="2">
        <f t="shared" si="12"/>
        <v>4.681222825873594E-2</v>
      </c>
      <c r="K15" s="2">
        <f t="shared" si="13"/>
        <v>3.1132607689919961E-2</v>
      </c>
      <c r="L15" s="2">
        <f t="shared" si="14"/>
        <v>5.2206575249554563E-2</v>
      </c>
      <c r="M15" s="2">
        <f t="shared" si="15"/>
        <v>0.36574223916746385</v>
      </c>
      <c r="N15" s="2">
        <f t="shared" si="16"/>
        <v>0.36070431271631648</v>
      </c>
      <c r="O15" s="2" t="str">
        <f t="shared" si="17"/>
        <v>OK</v>
      </c>
      <c r="P15" s="2">
        <f t="shared" si="18"/>
        <v>4.6455595484493774E-2</v>
      </c>
      <c r="Q15" s="2">
        <f t="shared" si="19"/>
        <v>4.681222825873594E-2</v>
      </c>
      <c r="R15" s="2">
        <f t="shared" si="1"/>
        <v>9.3267823743229714E-2</v>
      </c>
      <c r="S15" s="56">
        <f t="shared" si="2"/>
        <v>0.71448058837048933</v>
      </c>
      <c r="T15" s="56">
        <f t="shared" si="3"/>
        <v>66.687426654646671</v>
      </c>
      <c r="U15" s="56">
        <f t="shared" si="4"/>
        <v>1383.7690541797895</v>
      </c>
      <c r="V15" s="56">
        <f t="shared" si="5"/>
        <v>11.165781281481843</v>
      </c>
      <c r="W15" s="56">
        <f t="shared" si="6"/>
        <v>2.5690308979090499</v>
      </c>
      <c r="X15" s="56">
        <f t="shared" si="7"/>
        <v>1464.9057736021975</v>
      </c>
      <c r="Z15" s="119"/>
    </row>
    <row r="16" spans="2:26" x14ac:dyDescent="0.2">
      <c r="B16" s="119"/>
      <c r="C16" s="2">
        <f t="shared" si="20"/>
        <v>5</v>
      </c>
      <c r="D16" s="2">
        <f t="shared" si="20"/>
        <v>5</v>
      </c>
      <c r="E16" s="2">
        <f t="shared" si="8"/>
        <v>1.3689253935660506E-2</v>
      </c>
      <c r="F16" s="2">
        <f t="shared" si="21"/>
        <v>62.043689253935675</v>
      </c>
      <c r="G16" s="2">
        <f t="shared" si="9"/>
        <v>3.4714729526293175E-2</v>
      </c>
      <c r="H16" s="2">
        <f t="shared" si="10"/>
        <v>3.4904433704302393E-2</v>
      </c>
      <c r="I16" s="2">
        <f t="shared" si="11"/>
        <v>3.3359724769167605E-2</v>
      </c>
      <c r="J16" s="2">
        <f t="shared" si="12"/>
        <v>3.3623512651221849E-2</v>
      </c>
      <c r="K16" s="2">
        <f t="shared" si="13"/>
        <v>2.3693795258518262E-2</v>
      </c>
      <c r="L16" s="2">
        <f t="shared" si="14"/>
        <v>3.8493583573522221E-2</v>
      </c>
      <c r="M16" s="2">
        <f t="shared" si="15"/>
        <v>0.40339938743976955</v>
      </c>
      <c r="N16" s="2">
        <f t="shared" si="16"/>
        <v>0.39781083307720494</v>
      </c>
      <c r="O16" s="2" t="str">
        <f t="shared" si="17"/>
        <v>OK</v>
      </c>
      <c r="P16" s="2">
        <f t="shared" si="18"/>
        <v>3.3359724769167605E-2</v>
      </c>
      <c r="Q16" s="2">
        <f t="shared" si="19"/>
        <v>3.3623512651221849E-2</v>
      </c>
      <c r="R16" s="2">
        <f t="shared" si="1"/>
        <v>6.6983237420389447E-2</v>
      </c>
      <c r="S16" s="56">
        <f t="shared" si="2"/>
        <v>0.51311609913263256</v>
      </c>
      <c r="T16" s="56">
        <f t="shared" si="3"/>
        <v>47.893684587952656</v>
      </c>
      <c r="U16" s="56">
        <f t="shared" si="4"/>
        <v>995.77429672201947</v>
      </c>
      <c r="V16" s="56">
        <f t="shared" si="5"/>
        <v>8.0191402825234466</v>
      </c>
      <c r="W16" s="56">
        <f t="shared" si="6"/>
        <v>1.8554054168107423</v>
      </c>
      <c r="X16" s="56">
        <f t="shared" si="7"/>
        <v>1054.055643108439</v>
      </c>
      <c r="Z16" s="119"/>
    </row>
    <row r="17" spans="2:26" x14ac:dyDescent="0.2">
      <c r="B17" s="119"/>
      <c r="C17" s="2">
        <f t="shared" si="20"/>
        <v>6</v>
      </c>
      <c r="D17" s="2">
        <f t="shared" si="20"/>
        <v>6</v>
      </c>
      <c r="E17" s="2">
        <f t="shared" si="8"/>
        <v>1.6427104722792608E-2</v>
      </c>
      <c r="F17" s="2">
        <f t="shared" si="21"/>
        <v>62.04642710472281</v>
      </c>
      <c r="G17" s="2">
        <f t="shared" si="9"/>
        <v>2.5071764912899291E-2</v>
      </c>
      <c r="H17" s="2">
        <f t="shared" si="10"/>
        <v>2.5208792239901825E-2</v>
      </c>
      <c r="I17" s="2">
        <f t="shared" si="11"/>
        <v>2.409322657008689E-2</v>
      </c>
      <c r="J17" s="2">
        <f t="shared" si="12"/>
        <v>2.4283198520042008E-2</v>
      </c>
      <c r="K17" s="2">
        <f t="shared" si="13"/>
        <v>1.7015703390575239E-2</v>
      </c>
      <c r="L17" s="2">
        <f t="shared" si="14"/>
        <v>2.9121279038169998E-2</v>
      </c>
      <c r="M17" s="2">
        <f t="shared" si="15"/>
        <v>0.43059631122695241</v>
      </c>
      <c r="N17" s="2">
        <f t="shared" si="16"/>
        <v>0.42460972410137232</v>
      </c>
      <c r="O17" s="2" t="str">
        <f t="shared" si="17"/>
        <v>OK</v>
      </c>
      <c r="P17" s="2">
        <f t="shared" si="18"/>
        <v>2.409322657008689E-2</v>
      </c>
      <c r="Q17" s="2">
        <f t="shared" si="19"/>
        <v>2.4283198520042008E-2</v>
      </c>
      <c r="R17" s="2">
        <f t="shared" si="1"/>
        <v>4.8376425090128898E-2</v>
      </c>
      <c r="S17" s="56">
        <f t="shared" si="2"/>
        <v>0.37058186569403029</v>
      </c>
      <c r="T17" s="56">
        <f t="shared" si="3"/>
        <v>34.589627703693061</v>
      </c>
      <c r="U17" s="56">
        <f t="shared" si="4"/>
        <v>719.68710724853543</v>
      </c>
      <c r="V17" s="56">
        <f t="shared" si="5"/>
        <v>5.7915527587286268</v>
      </c>
      <c r="W17" s="56">
        <f t="shared" si="6"/>
        <v>1.3537967275775433</v>
      </c>
      <c r="X17" s="56">
        <f t="shared" si="7"/>
        <v>761.79266630422865</v>
      </c>
      <c r="Z17" s="119"/>
    </row>
    <row r="18" spans="2:26" x14ac:dyDescent="0.2">
      <c r="B18" s="119"/>
      <c r="C18" s="2">
        <f t="shared" si="20"/>
        <v>7</v>
      </c>
      <c r="D18" s="2">
        <f t="shared" si="20"/>
        <v>7</v>
      </c>
      <c r="E18" s="2">
        <f t="shared" si="8"/>
        <v>1.9164955509924708E-2</v>
      </c>
      <c r="F18" s="2">
        <f t="shared" si="21"/>
        <v>62.049164955509944</v>
      </c>
      <c r="G18" s="2">
        <f t="shared" si="9"/>
        <v>1.8293741824525367E-2</v>
      </c>
      <c r="H18" s="2">
        <f t="shared" si="10"/>
        <v>1.8393749664827139E-2</v>
      </c>
      <c r="I18" s="2">
        <f t="shared" si="11"/>
        <v>1.7579849257799603E-2</v>
      </c>
      <c r="J18" s="2">
        <f t="shared" si="12"/>
        <v>1.7717735946011795E-2</v>
      </c>
      <c r="K18" s="2">
        <f t="shared" si="13"/>
        <v>1.2289080784280978E-2</v>
      </c>
      <c r="L18" s="2">
        <f t="shared" si="14"/>
        <v>2.1121719379460668E-2</v>
      </c>
      <c r="M18" s="2">
        <f t="shared" si="15"/>
        <v>0.45044080397029856</v>
      </c>
      <c r="N18" s="2">
        <f t="shared" si="16"/>
        <v>0.44416331917279589</v>
      </c>
      <c r="O18" s="2" t="str">
        <f t="shared" si="17"/>
        <v>OK</v>
      </c>
      <c r="P18" s="2">
        <f t="shared" si="18"/>
        <v>1.7579849257799603E-2</v>
      </c>
      <c r="Q18" s="2">
        <f t="shared" si="19"/>
        <v>1.7717735946011795E-2</v>
      </c>
      <c r="R18" s="2">
        <f t="shared" si="1"/>
        <v>3.5297585203811398E-2</v>
      </c>
      <c r="S18" s="56">
        <f t="shared" si="2"/>
        <v>0.27039398035376055</v>
      </c>
      <c r="T18" s="56">
        <f t="shared" si="3"/>
        <v>25.238126396577186</v>
      </c>
      <c r="U18" s="56">
        <f t="shared" si="4"/>
        <v>524.91335835357586</v>
      </c>
      <c r="V18" s="56">
        <f t="shared" si="5"/>
        <v>4.2257660461803717</v>
      </c>
      <c r="W18" s="56">
        <f t="shared" si="6"/>
        <v>0.98647587906073431</v>
      </c>
      <c r="X18" s="56">
        <f t="shared" si="7"/>
        <v>555.63412065574801</v>
      </c>
      <c r="Z18" s="119"/>
    </row>
    <row r="19" spans="2:26" x14ac:dyDescent="0.2">
      <c r="B19" s="119"/>
      <c r="C19" s="2">
        <f t="shared" si="20"/>
        <v>8</v>
      </c>
      <c r="D19" s="2">
        <f t="shared" si="20"/>
        <v>8</v>
      </c>
      <c r="E19" s="2">
        <f t="shared" si="8"/>
        <v>2.190280629705681E-2</v>
      </c>
      <c r="F19" s="2">
        <f t="shared" si="21"/>
        <v>62.051902806297079</v>
      </c>
      <c r="G19" s="2">
        <f t="shared" si="9"/>
        <v>1.333015418780689E-2</v>
      </c>
      <c r="H19" s="2">
        <f t="shared" si="10"/>
        <v>1.3403024854436256E-2</v>
      </c>
      <c r="I19" s="2">
        <f t="shared" si="11"/>
        <v>1.2809950400730153E-2</v>
      </c>
      <c r="J19" s="2">
        <f t="shared" si="12"/>
        <v>1.2910492478808284E-2</v>
      </c>
      <c r="K19" s="2">
        <f t="shared" si="13"/>
        <v>8.9667288884457755E-3</v>
      </c>
      <c r="L19" s="2">
        <f t="shared" si="14"/>
        <v>1.5267182033581966E-2</v>
      </c>
      <c r="M19" s="2">
        <f t="shared" si="15"/>
        <v>0.4649009383671262</v>
      </c>
      <c r="N19" s="2">
        <f t="shared" si="16"/>
        <v>0.45841152878906449</v>
      </c>
      <c r="O19" s="2" t="str">
        <f t="shared" si="17"/>
        <v>OK</v>
      </c>
      <c r="P19" s="2">
        <f t="shared" si="18"/>
        <v>1.2809950400730153E-2</v>
      </c>
      <c r="Q19" s="2">
        <f t="shared" si="19"/>
        <v>1.2910492478808284E-2</v>
      </c>
      <c r="R19" s="2">
        <f t="shared" si="1"/>
        <v>2.5720442879538438E-2</v>
      </c>
      <c r="S19" s="56">
        <f t="shared" si="2"/>
        <v>0.1970290474596256</v>
      </c>
      <c r="T19" s="56">
        <f t="shared" si="3"/>
        <v>18.390373863298777</v>
      </c>
      <c r="U19" s="56">
        <f t="shared" si="4"/>
        <v>382.44530847499425</v>
      </c>
      <c r="V19" s="56">
        <f t="shared" si="5"/>
        <v>3.0792077983362756</v>
      </c>
      <c r="W19" s="56">
        <f t="shared" si="6"/>
        <v>0.71752787526465023</v>
      </c>
      <c r="X19" s="56">
        <f t="shared" si="7"/>
        <v>404.82944705935353</v>
      </c>
      <c r="Z19" s="119"/>
    </row>
    <row r="20" spans="2:26" x14ac:dyDescent="0.2">
      <c r="B20" s="119"/>
      <c r="C20" s="2">
        <f t="shared" si="20"/>
        <v>9</v>
      </c>
      <c r="D20" s="2">
        <f t="shared" si="20"/>
        <v>9</v>
      </c>
      <c r="E20" s="2">
        <f t="shared" si="8"/>
        <v>2.4640657084188913E-2</v>
      </c>
      <c r="F20" s="2">
        <f t="shared" si="21"/>
        <v>62.054640657084214</v>
      </c>
      <c r="G20" s="2">
        <f t="shared" si="9"/>
        <v>9.6958738102689915E-3</v>
      </c>
      <c r="H20" s="2">
        <f t="shared" si="10"/>
        <v>9.7488749720754456E-3</v>
      </c>
      <c r="I20" s="2">
        <f t="shared" si="11"/>
        <v>9.3174867616893225E-3</v>
      </c>
      <c r="J20" s="2">
        <f t="shared" si="12"/>
        <v>9.3906849801036717E-3</v>
      </c>
      <c r="K20" s="2">
        <f t="shared" si="13"/>
        <v>6.5338182478522598E-3</v>
      </c>
      <c r="L20" s="2">
        <f t="shared" si="14"/>
        <v>1.1119357330793589E-2</v>
      </c>
      <c r="M20" s="2">
        <f t="shared" si="15"/>
        <v>0.47541870809987918</v>
      </c>
      <c r="N20" s="2">
        <f t="shared" si="16"/>
        <v>0.46877519579733756</v>
      </c>
      <c r="O20" s="2" t="str">
        <f t="shared" si="17"/>
        <v>OK</v>
      </c>
      <c r="P20" s="2">
        <f t="shared" si="18"/>
        <v>9.3174867616893225E-3</v>
      </c>
      <c r="Q20" s="2">
        <f t="shared" si="19"/>
        <v>9.3906849801036717E-3</v>
      </c>
      <c r="R20" s="2">
        <f t="shared" si="1"/>
        <v>1.8708171741792994E-2</v>
      </c>
      <c r="S20" s="56">
        <f t="shared" si="2"/>
        <v>0.1433121057993671</v>
      </c>
      <c r="T20" s="56">
        <f t="shared" si="3"/>
        <v>13.376529877099408</v>
      </c>
      <c r="U20" s="56">
        <f t="shared" si="4"/>
        <v>278.19776386933165</v>
      </c>
      <c r="V20" s="56">
        <f t="shared" si="5"/>
        <v>2.2397113056040001</v>
      </c>
      <c r="W20" s="56">
        <f t="shared" si="6"/>
        <v>0.52205641748913678</v>
      </c>
      <c r="X20" s="56">
        <f t="shared" si="7"/>
        <v>294.47937357532351</v>
      </c>
      <c r="Z20" s="119"/>
    </row>
    <row r="21" spans="2:26" x14ac:dyDescent="0.2">
      <c r="B21" s="119"/>
      <c r="C21" s="2">
        <f t="shared" si="20"/>
        <v>10</v>
      </c>
      <c r="D21" s="2">
        <f t="shared" si="20"/>
        <v>10</v>
      </c>
      <c r="E21" s="2">
        <f t="shared" si="8"/>
        <v>2.7378507871321012E-2</v>
      </c>
      <c r="F21" s="2">
        <f t="shared" si="21"/>
        <v>62.057378507871348</v>
      </c>
      <c r="G21" s="2">
        <f t="shared" si="9"/>
        <v>7.0544912561355012E-3</v>
      </c>
      <c r="H21" s="2">
        <f t="shared" si="10"/>
        <v>7.0930539336108347E-3</v>
      </c>
      <c r="I21" s="2">
        <f t="shared" si="11"/>
        <v>6.7791867906838643E-3</v>
      </c>
      <c r="J21" s="2">
        <f t="shared" si="12"/>
        <v>6.8324362672634708E-3</v>
      </c>
      <c r="K21" s="2">
        <f t="shared" si="13"/>
        <v>4.7524696997261239E-3</v>
      </c>
      <c r="L21" s="2">
        <f t="shared" si="14"/>
        <v>8.1016154220947129E-3</v>
      </c>
      <c r="M21" s="2">
        <f t="shared" si="15"/>
        <v>0.48307119280242333</v>
      </c>
      <c r="N21" s="2">
        <f t="shared" si="16"/>
        <v>0.47631555382806218</v>
      </c>
      <c r="O21" s="2" t="str">
        <f t="shared" si="17"/>
        <v>OK</v>
      </c>
      <c r="P21" s="2">
        <f t="shared" si="18"/>
        <v>6.7791867906838643E-3</v>
      </c>
      <c r="Q21" s="2">
        <f t="shared" si="19"/>
        <v>6.8324362672634708E-3</v>
      </c>
      <c r="R21" s="2">
        <f t="shared" si="1"/>
        <v>1.3611623057947334E-2</v>
      </c>
      <c r="S21" s="56">
        <f t="shared" si="2"/>
        <v>0.10427050784133873</v>
      </c>
      <c r="T21" s="56">
        <f t="shared" si="3"/>
        <v>9.7324466026629235</v>
      </c>
      <c r="U21" s="56">
        <f t="shared" si="4"/>
        <v>202.41401536903243</v>
      </c>
      <c r="V21" s="56">
        <f t="shared" si="5"/>
        <v>1.6295608633063112</v>
      </c>
      <c r="W21" s="56">
        <f t="shared" si="6"/>
        <v>0.37995533686980354</v>
      </c>
      <c r="X21" s="56">
        <f t="shared" si="7"/>
        <v>214.26024867971282</v>
      </c>
      <c r="Z21" s="119"/>
    </row>
    <row r="22" spans="2:26" x14ac:dyDescent="0.2">
      <c r="B22" s="119"/>
      <c r="C22" s="2">
        <f t="shared" si="20"/>
        <v>11</v>
      </c>
      <c r="D22" s="2">
        <f t="shared" si="20"/>
        <v>11</v>
      </c>
      <c r="E22" s="2">
        <f t="shared" si="8"/>
        <v>3.0116358658453114E-2</v>
      </c>
      <c r="F22" s="2">
        <f t="shared" si="21"/>
        <v>62.060116358658483</v>
      </c>
      <c r="G22" s="2">
        <f t="shared" si="9"/>
        <v>5.1342959862347385E-3</v>
      </c>
      <c r="H22" s="2">
        <f t="shared" si="10"/>
        <v>5.162362322849964E-3</v>
      </c>
      <c r="I22" s="2">
        <f t="shared" si="11"/>
        <v>4.9339288280176594E-3</v>
      </c>
      <c r="J22" s="2">
        <f t="shared" si="12"/>
        <v>4.9726778225871772E-3</v>
      </c>
      <c r="K22" s="2">
        <f t="shared" si="13"/>
        <v>3.4577852529416924E-3</v>
      </c>
      <c r="L22" s="2">
        <f t="shared" si="14"/>
        <v>5.8947740063233691E-3</v>
      </c>
      <c r="M22" s="2">
        <f t="shared" si="15"/>
        <v>0.48864071259411546</v>
      </c>
      <c r="N22" s="2">
        <f t="shared" si="16"/>
        <v>0.48180346318692996</v>
      </c>
      <c r="O22" s="2" t="str">
        <f t="shared" si="17"/>
        <v>OK</v>
      </c>
      <c r="P22" s="2">
        <f t="shared" si="18"/>
        <v>4.9339288280176594E-3</v>
      </c>
      <c r="Q22" s="2">
        <f t="shared" si="19"/>
        <v>4.9726778225871772E-3</v>
      </c>
      <c r="R22" s="2">
        <f t="shared" si="1"/>
        <v>9.9066066506048357E-3</v>
      </c>
      <c r="S22" s="56">
        <f t="shared" si="2"/>
        <v>7.5888600574409243E-2</v>
      </c>
      <c r="T22" s="56">
        <f t="shared" si="3"/>
        <v>7.0833228212489638</v>
      </c>
      <c r="U22" s="56">
        <f t="shared" si="4"/>
        <v>147.31592875200144</v>
      </c>
      <c r="V22" s="56">
        <f t="shared" si="5"/>
        <v>1.1860023978190541</v>
      </c>
      <c r="W22" s="56">
        <f t="shared" si="6"/>
        <v>0.27651649468820672</v>
      </c>
      <c r="X22" s="56">
        <f t="shared" si="7"/>
        <v>155.93765906633209</v>
      </c>
      <c r="Z22" s="119"/>
    </row>
    <row r="23" spans="2:26" x14ac:dyDescent="0.2">
      <c r="B23" s="119"/>
      <c r="C23" s="2">
        <f t="shared" si="20"/>
        <v>12</v>
      </c>
      <c r="D23" s="2">
        <f t="shared" si="20"/>
        <v>12</v>
      </c>
      <c r="E23" s="2">
        <f t="shared" si="8"/>
        <v>3.2854209445585217E-2</v>
      </c>
      <c r="F23" s="2">
        <f t="shared" si="21"/>
        <v>62.062854209445618</v>
      </c>
      <c r="G23" s="2">
        <f t="shared" si="9"/>
        <v>3.7365377802200707E-3</v>
      </c>
      <c r="H23" s="2">
        <f t="shared" si="10"/>
        <v>3.7569633209624392E-3</v>
      </c>
      <c r="I23" s="2">
        <f t="shared" si="11"/>
        <v>3.5907183541544906E-3</v>
      </c>
      <c r="J23" s="2">
        <f t="shared" si="12"/>
        <v>3.6189192176476542E-3</v>
      </c>
      <c r="K23" s="2">
        <f t="shared" si="13"/>
        <v>2.5165938327580042E-3</v>
      </c>
      <c r="L23" s="2">
        <f t="shared" si="14"/>
        <v>4.2889313124641858E-3</v>
      </c>
      <c r="M23" s="2">
        <f t="shared" si="15"/>
        <v>0.4926939889326693</v>
      </c>
      <c r="N23" s="2">
        <f t="shared" si="16"/>
        <v>0.48579734724912388</v>
      </c>
      <c r="O23" s="2" t="str">
        <f t="shared" si="17"/>
        <v>OK</v>
      </c>
      <c r="P23" s="2">
        <f t="shared" si="18"/>
        <v>3.5907183541544906E-3</v>
      </c>
      <c r="Q23" s="2">
        <f t="shared" si="19"/>
        <v>3.6189192176476542E-3</v>
      </c>
      <c r="R23" s="2">
        <f t="shared" si="1"/>
        <v>7.2096375718021452E-3</v>
      </c>
      <c r="S23" s="56">
        <f t="shared" si="2"/>
        <v>5.5228728984585918E-2</v>
      </c>
      <c r="T23" s="56">
        <f t="shared" si="3"/>
        <v>5.1549629602142515</v>
      </c>
      <c r="U23" s="56">
        <f t="shared" si="4"/>
        <v>107.21039297065714</v>
      </c>
      <c r="V23" s="56">
        <f t="shared" si="5"/>
        <v>0.8631257746681531</v>
      </c>
      <c r="W23" s="56">
        <f t="shared" si="6"/>
        <v>0.20122680034180504</v>
      </c>
      <c r="X23" s="56">
        <f t="shared" si="7"/>
        <v>113.48493723486592</v>
      </c>
      <c r="Z23" s="119"/>
    </row>
    <row r="24" spans="2:26" x14ac:dyDescent="0.2">
      <c r="B24" s="119"/>
      <c r="C24" s="2">
        <f t="shared" si="20"/>
        <v>13</v>
      </c>
      <c r="D24" s="2">
        <f t="shared" si="20"/>
        <v>13</v>
      </c>
      <c r="E24" s="2">
        <f t="shared" si="8"/>
        <v>3.5592060232717319E-2</v>
      </c>
      <c r="F24" s="2">
        <f t="shared" si="21"/>
        <v>62.065592060232753</v>
      </c>
      <c r="G24" s="2">
        <f t="shared" si="9"/>
        <v>2.7191561033369865E-3</v>
      </c>
      <c r="H24" s="2">
        <f t="shared" si="10"/>
        <v>2.7340201733952862E-3</v>
      </c>
      <c r="I24" s="2">
        <f t="shared" si="11"/>
        <v>2.6130401986345668E-3</v>
      </c>
      <c r="J24" s="2">
        <f t="shared" si="12"/>
        <v>2.6335631283928023E-3</v>
      </c>
      <c r="K24" s="2">
        <f t="shared" si="13"/>
        <v>1.831477643980704E-3</v>
      </c>
      <c r="L24" s="2">
        <f t="shared" si="14"/>
        <v>3.1213207240846832E-3</v>
      </c>
      <c r="M24" s="2">
        <f t="shared" si="15"/>
        <v>0.49564364216566875</v>
      </c>
      <c r="N24" s="2">
        <f t="shared" si="16"/>
        <v>0.48870377986250624</v>
      </c>
      <c r="O24" s="2" t="str">
        <f t="shared" si="17"/>
        <v>OK</v>
      </c>
      <c r="P24" s="2">
        <f t="shared" si="18"/>
        <v>2.6130401986345668E-3</v>
      </c>
      <c r="Q24" s="2">
        <f t="shared" si="19"/>
        <v>2.6335631283928023E-3</v>
      </c>
      <c r="R24" s="2">
        <f t="shared" si="1"/>
        <v>5.2466033270273695E-3</v>
      </c>
      <c r="S24" s="56">
        <f t="shared" si="2"/>
        <v>4.0191094843471623E-2</v>
      </c>
      <c r="T24" s="56">
        <f t="shared" si="3"/>
        <v>3.7513738448578393</v>
      </c>
      <c r="U24" s="56">
        <f t="shared" si="4"/>
        <v>78.019430838673742</v>
      </c>
      <c r="V24" s="56">
        <f t="shared" si="5"/>
        <v>0.62811459797524205</v>
      </c>
      <c r="W24" s="56">
        <f t="shared" si="6"/>
        <v>0.14643876523171553</v>
      </c>
      <c r="X24" s="56">
        <f t="shared" si="7"/>
        <v>82.585549141582021</v>
      </c>
      <c r="Z24" s="119"/>
    </row>
    <row r="25" spans="2:26" x14ac:dyDescent="0.2">
      <c r="B25" s="119"/>
      <c r="C25" s="2">
        <f t="shared" si="20"/>
        <v>14</v>
      </c>
      <c r="D25" s="2">
        <f t="shared" si="20"/>
        <v>14</v>
      </c>
      <c r="E25" s="2">
        <f t="shared" si="8"/>
        <v>3.8329911019849415E-2</v>
      </c>
      <c r="F25" s="2">
        <f t="shared" si="21"/>
        <v>62.068329911019887</v>
      </c>
      <c r="G25" s="2">
        <f t="shared" si="9"/>
        <v>1.9788112960039237E-3</v>
      </c>
      <c r="H25" s="2">
        <f t="shared" si="10"/>
        <v>1.9896283280411362E-3</v>
      </c>
      <c r="I25" s="2">
        <f t="shared" si="11"/>
        <v>1.9015875890107574E-3</v>
      </c>
      <c r="J25" s="2">
        <f t="shared" si="12"/>
        <v>1.9165226440510498E-3</v>
      </c>
      <c r="K25" s="2">
        <f t="shared" si="13"/>
        <v>1.3328043472102598E-3</v>
      </c>
      <c r="L25" s="2">
        <f t="shared" si="14"/>
        <v>2.2715748245589556E-3</v>
      </c>
      <c r="M25" s="2">
        <f t="shared" si="15"/>
        <v>0.49779019313761175</v>
      </c>
      <c r="N25" s="2">
        <f t="shared" si="16"/>
        <v>0.49081887783351219</v>
      </c>
      <c r="O25" s="2" t="str">
        <f t="shared" si="17"/>
        <v>OK</v>
      </c>
      <c r="P25" s="2">
        <f t="shared" si="18"/>
        <v>1.9015875890107574E-3</v>
      </c>
      <c r="Q25" s="2">
        <f t="shared" si="19"/>
        <v>1.9165226440510498E-3</v>
      </c>
      <c r="R25" s="2">
        <f t="shared" si="1"/>
        <v>3.8181102330618073E-3</v>
      </c>
      <c r="S25" s="56">
        <f t="shared" si="2"/>
        <v>2.9248262472437662E-2</v>
      </c>
      <c r="T25" s="56">
        <f t="shared" si="3"/>
        <v>2.729986997741523</v>
      </c>
      <c r="U25" s="56">
        <f t="shared" si="4"/>
        <v>56.777101547283856</v>
      </c>
      <c r="V25" s="56">
        <f t="shared" si="5"/>
        <v>0.45709778675422758</v>
      </c>
      <c r="W25" s="56">
        <f t="shared" si="6"/>
        <v>0.10656887785112563</v>
      </c>
      <c r="X25" s="56">
        <f t="shared" si="7"/>
        <v>60.100003472103168</v>
      </c>
      <c r="Z25" s="119"/>
    </row>
    <row r="26" spans="2:26" x14ac:dyDescent="0.2">
      <c r="B26" s="119"/>
      <c r="C26" s="2">
        <f t="shared" si="20"/>
        <v>15</v>
      </c>
      <c r="D26" s="2">
        <f t="shared" si="20"/>
        <v>15</v>
      </c>
      <c r="E26" s="2">
        <f t="shared" si="8"/>
        <v>4.1067761806981518E-2</v>
      </c>
      <c r="F26" s="2">
        <f t="shared" si="21"/>
        <v>62.071067761807022</v>
      </c>
      <c r="G26" s="2">
        <f t="shared" si="9"/>
        <v>1.4400538020242779E-3</v>
      </c>
      <c r="H26" s="2">
        <f t="shared" si="10"/>
        <v>1.4479257561375754E-3</v>
      </c>
      <c r="I26" s="2">
        <f t="shared" si="11"/>
        <v>1.383855276011947E-3</v>
      </c>
      <c r="J26" s="2">
        <f t="shared" si="12"/>
        <v>1.3947240124495643E-3</v>
      </c>
      <c r="K26" s="2">
        <f t="shared" si="13"/>
        <v>9.6992161366880056E-4</v>
      </c>
      <c r="L26" s="2">
        <f t="shared" si="14"/>
        <v>1.6530898174110498E-3</v>
      </c>
      <c r="M26" s="2">
        <f t="shared" si="15"/>
        <v>0.49935231728339419</v>
      </c>
      <c r="N26" s="2">
        <f t="shared" si="16"/>
        <v>0.4923581124389026</v>
      </c>
      <c r="O26" s="2" t="str">
        <f t="shared" si="17"/>
        <v>OK</v>
      </c>
      <c r="P26" s="2">
        <f t="shared" si="18"/>
        <v>1.383855276011947E-3</v>
      </c>
      <c r="Q26" s="2">
        <f t="shared" si="19"/>
        <v>1.3947240124495643E-3</v>
      </c>
      <c r="R26" s="2">
        <f t="shared" si="1"/>
        <v>2.7785792884615114E-3</v>
      </c>
      <c r="S26" s="56">
        <f t="shared" si="2"/>
        <v>2.1285036745938745E-2</v>
      </c>
      <c r="T26" s="56">
        <f t="shared" si="3"/>
        <v>1.9867119770428652</v>
      </c>
      <c r="U26" s="56">
        <f t="shared" si="4"/>
        <v>41.31876645350868</v>
      </c>
      <c r="V26" s="56">
        <f t="shared" si="5"/>
        <v>0.33264687592006709</v>
      </c>
      <c r="W26" s="56">
        <f t="shared" si="6"/>
        <v>7.7553897799851543E-2</v>
      </c>
      <c r="X26" s="56">
        <f t="shared" si="7"/>
        <v>43.736964241017404</v>
      </c>
      <c r="Z26" s="119"/>
    </row>
    <row r="27" spans="2:26" x14ac:dyDescent="0.2">
      <c r="B27" s="119"/>
      <c r="C27" s="2">
        <f t="shared" si="20"/>
        <v>16</v>
      </c>
      <c r="D27" s="2">
        <f t="shared" si="20"/>
        <v>16</v>
      </c>
      <c r="E27" s="2">
        <f t="shared" si="8"/>
        <v>4.380561259411362E-2</v>
      </c>
      <c r="F27" s="2">
        <f t="shared" si="21"/>
        <v>62.073805612594157</v>
      </c>
      <c r="G27" s="2">
        <f t="shared" si="9"/>
        <v>1.0479774907309856E-3</v>
      </c>
      <c r="H27" s="2">
        <f t="shared" si="10"/>
        <v>1.0537061865629571E-3</v>
      </c>
      <c r="I27" s="2">
        <f t="shared" si="11"/>
        <v>1.0070798574179811E-3</v>
      </c>
      <c r="J27" s="2">
        <f t="shared" si="12"/>
        <v>1.0149894270165495E-3</v>
      </c>
      <c r="K27" s="2">
        <f t="shared" si="13"/>
        <v>7.0584764770913774E-4</v>
      </c>
      <c r="L27" s="2">
        <f t="shared" si="14"/>
        <v>1.2030024894248677E-3</v>
      </c>
      <c r="M27" s="2">
        <f t="shared" si="15"/>
        <v>0.50048912962884051</v>
      </c>
      <c r="N27" s="2">
        <f t="shared" si="16"/>
        <v>0.49347826727229704</v>
      </c>
      <c r="O27" s="2" t="str">
        <f t="shared" si="17"/>
        <v>OK</v>
      </c>
      <c r="P27" s="2">
        <f t="shared" si="18"/>
        <v>1.0070798574179811E-3</v>
      </c>
      <c r="Q27" s="2">
        <f t="shared" si="19"/>
        <v>1.0149894270165495E-3</v>
      </c>
      <c r="R27" s="2">
        <f t="shared" si="1"/>
        <v>2.0220692844345307E-3</v>
      </c>
      <c r="S27" s="56">
        <f t="shared" si="2"/>
        <v>1.5489865328423145E-2</v>
      </c>
      <c r="T27" s="56">
        <f t="shared" si="3"/>
        <v>1.4457997590635336</v>
      </c>
      <c r="U27" s="56">
        <f t="shared" si="4"/>
        <v>30.069108628956357</v>
      </c>
      <c r="V27" s="56">
        <f t="shared" si="5"/>
        <v>0.24207876070107384</v>
      </c>
      <c r="W27" s="56">
        <f t="shared" si="6"/>
        <v>5.6438591080272556E-2</v>
      </c>
      <c r="X27" s="56">
        <f t="shared" si="7"/>
        <v>31.828915605129659</v>
      </c>
      <c r="Z27" s="119"/>
    </row>
    <row r="28" spans="2:26" x14ac:dyDescent="0.2">
      <c r="B28" s="119"/>
      <c r="C28" s="2">
        <f t="shared" si="20"/>
        <v>17</v>
      </c>
      <c r="D28" s="2">
        <f t="shared" si="20"/>
        <v>17</v>
      </c>
      <c r="E28" s="2">
        <f t="shared" si="8"/>
        <v>4.6543463381245723E-2</v>
      </c>
      <c r="F28" s="2">
        <f t="shared" si="21"/>
        <v>62.076543463381292</v>
      </c>
      <c r="G28" s="2">
        <f t="shared" si="9"/>
        <v>7.6264861823841293E-4</v>
      </c>
      <c r="H28" s="2">
        <f t="shared" si="10"/>
        <v>7.6681758353135294E-4</v>
      </c>
      <c r="I28" s="2">
        <f t="shared" si="11"/>
        <v>7.3288602837086867E-4</v>
      </c>
      <c r="J28" s="2">
        <f t="shared" si="12"/>
        <v>7.386420941328316E-4</v>
      </c>
      <c r="K28" s="2">
        <f t="shared" si="13"/>
        <v>5.136700079470892E-4</v>
      </c>
      <c r="L28" s="2">
        <f t="shared" si="14"/>
        <v>8.7546751398537824E-4</v>
      </c>
      <c r="M28" s="2">
        <f t="shared" si="15"/>
        <v>0.50131642637070351</v>
      </c>
      <c r="N28" s="2">
        <f t="shared" si="16"/>
        <v>0.49429344178309065</v>
      </c>
      <c r="O28" s="2" t="str">
        <f t="shared" si="17"/>
        <v>OK</v>
      </c>
      <c r="P28" s="2">
        <f t="shared" si="18"/>
        <v>7.3288602837086867E-4</v>
      </c>
      <c r="Q28" s="2">
        <f t="shared" si="19"/>
        <v>7.386420941328316E-4</v>
      </c>
      <c r="R28" s="2">
        <f t="shared" si="1"/>
        <v>1.4715281225037003E-3</v>
      </c>
      <c r="S28" s="56">
        <f t="shared" si="2"/>
        <v>1.127249823063591E-2</v>
      </c>
      <c r="T28" s="56">
        <f t="shared" si="3"/>
        <v>1.0521573228713708</v>
      </c>
      <c r="U28" s="56">
        <f t="shared" si="4"/>
        <v>21.882307937245471</v>
      </c>
      <c r="V28" s="56">
        <f t="shared" si="5"/>
        <v>0.17616889148026288</v>
      </c>
      <c r="W28" s="56">
        <f t="shared" si="6"/>
        <v>4.1072289672686023E-2</v>
      </c>
      <c r="X28" s="56">
        <f t="shared" si="7"/>
        <v>23.162978939500427</v>
      </c>
      <c r="Z28" s="119"/>
    </row>
    <row r="29" spans="2:26" x14ac:dyDescent="0.2">
      <c r="B29" s="119"/>
      <c r="C29" s="2">
        <f t="shared" ref="C29:D44" si="22">C28+1</f>
        <v>18</v>
      </c>
      <c r="D29" s="2">
        <f t="shared" si="22"/>
        <v>18</v>
      </c>
      <c r="E29" s="2">
        <f t="shared" si="8"/>
        <v>4.9281314168377825E-2</v>
      </c>
      <c r="F29" s="2">
        <f t="shared" si="21"/>
        <v>62.079281314168426</v>
      </c>
      <c r="G29" s="2">
        <f t="shared" si="9"/>
        <v>5.5500543825869866E-4</v>
      </c>
      <c r="H29" s="2">
        <f t="shared" si="10"/>
        <v>5.5803933667828787E-4</v>
      </c>
      <c r="I29" s="2">
        <f t="shared" si="11"/>
        <v>5.3334618559246661E-4</v>
      </c>
      <c r="J29" s="2">
        <f t="shared" si="12"/>
        <v>5.375350701080691E-4</v>
      </c>
      <c r="K29" s="2">
        <f t="shared" si="13"/>
        <v>3.738150157654825E-4</v>
      </c>
      <c r="L29" s="2">
        <f t="shared" si="14"/>
        <v>6.3710839145566037E-4</v>
      </c>
      <c r="M29" s="2">
        <f t="shared" si="15"/>
        <v>0.50191847845594095</v>
      </c>
      <c r="N29" s="2">
        <f t="shared" si="16"/>
        <v>0.49488667210620046</v>
      </c>
      <c r="O29" s="2" t="str">
        <f t="shared" si="17"/>
        <v>OK</v>
      </c>
      <c r="P29" s="2">
        <f t="shared" si="18"/>
        <v>5.3334618559246661E-4</v>
      </c>
      <c r="Q29" s="2">
        <f t="shared" si="19"/>
        <v>5.375350701080691E-4</v>
      </c>
      <c r="R29" s="2">
        <f t="shared" si="1"/>
        <v>1.0708812557005357E-3</v>
      </c>
      <c r="S29" s="56">
        <f t="shared" si="2"/>
        <v>8.2033818298739274E-3</v>
      </c>
      <c r="T29" s="56">
        <f t="shared" si="3"/>
        <v>0.76569080663844002</v>
      </c>
      <c r="U29" s="56">
        <f t="shared" si="4"/>
        <v>15.924502760223367</v>
      </c>
      <c r="V29" s="56">
        <f t="shared" si="5"/>
        <v>0.1282041170821395</v>
      </c>
      <c r="W29" s="56">
        <f t="shared" si="6"/>
        <v>2.9889715756248519E-2</v>
      </c>
      <c r="X29" s="56">
        <f t="shared" si="7"/>
        <v>16.856490781530066</v>
      </c>
      <c r="Z29" s="119"/>
    </row>
    <row r="30" spans="2:26" x14ac:dyDescent="0.2">
      <c r="B30" s="119"/>
      <c r="C30" s="2">
        <f t="shared" si="22"/>
        <v>19</v>
      </c>
      <c r="D30" s="2">
        <f t="shared" si="22"/>
        <v>19</v>
      </c>
      <c r="E30" s="2">
        <f t="shared" si="8"/>
        <v>5.2019164955509921E-2</v>
      </c>
      <c r="F30" s="2">
        <f t="shared" si="21"/>
        <v>62.082019164955561</v>
      </c>
      <c r="G30" s="2">
        <f t="shared" si="9"/>
        <v>4.0389651826131423E-4</v>
      </c>
      <c r="H30" s="2">
        <f t="shared" si="10"/>
        <v>4.0610439035099899E-4</v>
      </c>
      <c r="I30" s="2">
        <f t="shared" si="11"/>
        <v>3.881343363024794E-4</v>
      </c>
      <c r="J30" s="2">
        <f t="shared" si="12"/>
        <v>3.9118273099192195E-4</v>
      </c>
      <c r="K30" s="2">
        <f t="shared" si="13"/>
        <v>2.7203794987869928E-4</v>
      </c>
      <c r="L30" s="2">
        <f t="shared" si="14"/>
        <v>4.6364545345131322E-4</v>
      </c>
      <c r="M30" s="2">
        <f t="shared" si="15"/>
        <v>0.50235661243502738</v>
      </c>
      <c r="N30" s="2">
        <f t="shared" si="16"/>
        <v>0.49531838618573598</v>
      </c>
      <c r="O30" s="2" t="str">
        <f t="shared" si="17"/>
        <v>OK</v>
      </c>
      <c r="P30" s="2">
        <f t="shared" si="18"/>
        <v>3.881343363024794E-4</v>
      </c>
      <c r="Q30" s="2">
        <f t="shared" si="19"/>
        <v>3.9118273099192195E-4</v>
      </c>
      <c r="R30" s="2">
        <f t="shared" si="1"/>
        <v>7.7931706729440135E-4</v>
      </c>
      <c r="S30" s="56">
        <f t="shared" si="2"/>
        <v>5.9698826888330489E-3</v>
      </c>
      <c r="T30" s="56">
        <f t="shared" si="3"/>
        <v>0.55721949628616996</v>
      </c>
      <c r="U30" s="56">
        <f t="shared" si="4"/>
        <v>11.588807376027471</v>
      </c>
      <c r="V30" s="56">
        <f t="shared" si="5"/>
        <v>9.3298538939548606E-2</v>
      </c>
      <c r="W30" s="56">
        <f t="shared" si="6"/>
        <v>2.175177054551811E-2</v>
      </c>
      <c r="X30" s="56">
        <f t="shared" si="7"/>
        <v>12.26704706448754</v>
      </c>
      <c r="Z30" s="119"/>
    </row>
    <row r="31" spans="2:26" x14ac:dyDescent="0.2">
      <c r="B31" s="119"/>
      <c r="C31" s="2">
        <f t="shared" si="22"/>
        <v>20</v>
      </c>
      <c r="D31" s="2">
        <f t="shared" si="22"/>
        <v>20</v>
      </c>
      <c r="E31" s="2">
        <f t="shared" si="8"/>
        <v>5.4757015742642023E-2</v>
      </c>
      <c r="F31" s="2">
        <f t="shared" si="21"/>
        <v>62.084757015742696</v>
      </c>
      <c r="G31" s="2">
        <f t="shared" si="9"/>
        <v>2.9392933878751211E-4</v>
      </c>
      <c r="H31" s="2">
        <f t="shared" si="10"/>
        <v>2.9553608297214131E-4</v>
      </c>
      <c r="I31" s="2">
        <f t="shared" si="11"/>
        <v>2.8245865875474577E-4</v>
      </c>
      <c r="J31" s="2">
        <f t="shared" si="12"/>
        <v>2.8467708015603605E-4</v>
      </c>
      <c r="K31" s="2">
        <f t="shared" si="13"/>
        <v>1.9797135883063E-4</v>
      </c>
      <c r="L31" s="2">
        <f t="shared" si="14"/>
        <v>3.3741061577533975E-4</v>
      </c>
      <c r="M31" s="2">
        <f t="shared" si="15"/>
        <v>0.50267545754743548</v>
      </c>
      <c r="N31" s="2">
        <f t="shared" si="16"/>
        <v>0.49563255931728822</v>
      </c>
      <c r="O31" s="2" t="str">
        <f t="shared" si="17"/>
        <v>OK</v>
      </c>
      <c r="P31" s="2">
        <f t="shared" si="18"/>
        <v>2.8245865875474577E-4</v>
      </c>
      <c r="Q31" s="2">
        <f t="shared" si="19"/>
        <v>2.8467708015603605E-4</v>
      </c>
      <c r="R31" s="2">
        <f t="shared" si="1"/>
        <v>5.6713573891078181E-4</v>
      </c>
      <c r="S31" s="56">
        <f t="shared" si="2"/>
        <v>4.3444882345209761E-3</v>
      </c>
      <c r="T31" s="56">
        <f t="shared" si="3"/>
        <v>0.40550772467859808</v>
      </c>
      <c r="U31" s="56">
        <f t="shared" si="4"/>
        <v>8.4335722912425783</v>
      </c>
      <c r="V31" s="56">
        <f t="shared" si="5"/>
        <v>6.7896544349259319E-2</v>
      </c>
      <c r="W31" s="56">
        <f t="shared" si="6"/>
        <v>1.5829508169211259E-2</v>
      </c>
      <c r="X31" s="56">
        <f t="shared" si="7"/>
        <v>8.9271505566741691</v>
      </c>
      <c r="Z31" s="119"/>
    </row>
    <row r="32" spans="2:26" x14ac:dyDescent="0.2">
      <c r="B32" s="119"/>
      <c r="C32" s="2">
        <f t="shared" si="22"/>
        <v>21</v>
      </c>
      <c r="D32" s="2">
        <f t="shared" si="22"/>
        <v>21</v>
      </c>
      <c r="E32" s="2">
        <f t="shared" si="8"/>
        <v>5.7494866529774126E-2</v>
      </c>
      <c r="F32" s="2">
        <f t="shared" si="21"/>
        <v>62.087494866529831</v>
      </c>
      <c r="G32" s="2">
        <f t="shared" si="9"/>
        <v>2.1390244346428813E-4</v>
      </c>
      <c r="H32" s="2">
        <f t="shared" si="10"/>
        <v>2.1507172621821989E-4</v>
      </c>
      <c r="I32" s="2">
        <f t="shared" si="11"/>
        <v>2.0555483686283534E-4</v>
      </c>
      <c r="J32" s="2">
        <f t="shared" si="12"/>
        <v>2.0716925811032754E-4</v>
      </c>
      <c r="K32" s="2">
        <f t="shared" si="13"/>
        <v>1.4407054275743879E-4</v>
      </c>
      <c r="L32" s="2">
        <f t="shared" si="14"/>
        <v>2.4554527827892508E-4</v>
      </c>
      <c r="M32" s="2">
        <f t="shared" si="15"/>
        <v>0.50290749205242968</v>
      </c>
      <c r="N32" s="2">
        <f t="shared" si="16"/>
        <v>0.49586119386187832</v>
      </c>
      <c r="O32" s="2" t="str">
        <f t="shared" si="17"/>
        <v>OK</v>
      </c>
      <c r="P32" s="2">
        <f t="shared" si="18"/>
        <v>2.0555483686283534E-4</v>
      </c>
      <c r="Q32" s="2">
        <f t="shared" si="19"/>
        <v>2.0716925811032754E-4</v>
      </c>
      <c r="R32" s="2">
        <f t="shared" si="1"/>
        <v>4.1272409497316285E-4</v>
      </c>
      <c r="S32" s="56">
        <f t="shared" si="2"/>
        <v>3.1616328361303921E-3</v>
      </c>
      <c r="T32" s="56">
        <f t="shared" si="3"/>
        <v>0.29510185514676118</v>
      </c>
      <c r="U32" s="56">
        <f t="shared" si="4"/>
        <v>6.1373993250740337</v>
      </c>
      <c r="V32" s="56">
        <f t="shared" si="5"/>
        <v>4.9410639986126617E-2</v>
      </c>
      <c r="W32" s="56">
        <f t="shared" si="6"/>
        <v>1.1519675287253336E-2</v>
      </c>
      <c r="X32" s="56">
        <f t="shared" si="7"/>
        <v>6.4965931283303053</v>
      </c>
      <c r="Z32" s="119"/>
    </row>
    <row r="33" spans="2:26" x14ac:dyDescent="0.2">
      <c r="B33" s="119"/>
      <c r="C33" s="2">
        <f t="shared" si="22"/>
        <v>22</v>
      </c>
      <c r="D33" s="2">
        <f t="shared" si="22"/>
        <v>22</v>
      </c>
      <c r="E33" s="2">
        <f t="shared" si="8"/>
        <v>6.0232717316906229E-2</v>
      </c>
      <c r="F33" s="2">
        <f t="shared" si="21"/>
        <v>62.090232717316965</v>
      </c>
      <c r="G33" s="2">
        <f t="shared" si="9"/>
        <v>1.5566413470018229E-4</v>
      </c>
      <c r="H33" s="2">
        <f t="shared" si="10"/>
        <v>1.5651506181090768E-4</v>
      </c>
      <c r="I33" s="2">
        <f t="shared" si="11"/>
        <v>1.4958929545550039E-4</v>
      </c>
      <c r="J33" s="2">
        <f t="shared" si="12"/>
        <v>1.5076416508318834E-4</v>
      </c>
      <c r="K33" s="2">
        <f t="shared" si="13"/>
        <v>1.0484506669235168E-4</v>
      </c>
      <c r="L33" s="2">
        <f t="shared" si="14"/>
        <v>1.7869171572470777E-4</v>
      </c>
      <c r="M33" s="2">
        <f t="shared" si="15"/>
        <v>0.5030763515093668</v>
      </c>
      <c r="N33" s="2">
        <f t="shared" si="16"/>
        <v>0.49602757905116646</v>
      </c>
      <c r="O33" s="2" t="str">
        <f t="shared" si="17"/>
        <v>OK</v>
      </c>
      <c r="P33" s="2">
        <f t="shared" si="18"/>
        <v>1.4958929545550039E-4</v>
      </c>
      <c r="Q33" s="2">
        <f t="shared" si="19"/>
        <v>1.5076416508318834E-4</v>
      </c>
      <c r="R33" s="2">
        <f t="shared" si="1"/>
        <v>3.0035346053868873E-4</v>
      </c>
      <c r="S33" s="56">
        <f t="shared" si="2"/>
        <v>2.3008285071235627E-3</v>
      </c>
      <c r="T33" s="56">
        <f t="shared" si="3"/>
        <v>0.21475572781976782</v>
      </c>
      <c r="U33" s="56">
        <f t="shared" si="4"/>
        <v>4.4663957078614382</v>
      </c>
      <c r="V33" s="56">
        <f t="shared" si="5"/>
        <v>3.5957815131147111E-2</v>
      </c>
      <c r="W33" s="56">
        <f t="shared" si="6"/>
        <v>8.3832623443862737E-3</v>
      </c>
      <c r="X33" s="56">
        <f t="shared" si="7"/>
        <v>4.7277933416638636</v>
      </c>
      <c r="Z33" s="119"/>
    </row>
    <row r="34" spans="2:26" x14ac:dyDescent="0.2">
      <c r="B34" s="119"/>
      <c r="C34" s="2">
        <f t="shared" si="22"/>
        <v>23</v>
      </c>
      <c r="D34" s="2">
        <f t="shared" si="22"/>
        <v>23</v>
      </c>
      <c r="E34" s="2">
        <f t="shared" si="8"/>
        <v>6.2970568104038324E-2</v>
      </c>
      <c r="F34" s="2">
        <f t="shared" si="21"/>
        <v>62.0929705681041</v>
      </c>
      <c r="G34" s="2">
        <f t="shared" si="9"/>
        <v>1.1328212352082533E-4</v>
      </c>
      <c r="H34" s="2">
        <f t="shared" si="10"/>
        <v>1.1390137233024887E-4</v>
      </c>
      <c r="I34" s="2">
        <f t="shared" si="11"/>
        <v>1.0886125489277243E-4</v>
      </c>
      <c r="J34" s="2">
        <f t="shared" si="12"/>
        <v>1.097162477657461E-4</v>
      </c>
      <c r="K34" s="2">
        <f t="shared" si="13"/>
        <v>7.6299346186603089E-5</v>
      </c>
      <c r="L34" s="2">
        <f t="shared" si="14"/>
        <v>1.3004008099393253E-4</v>
      </c>
      <c r="M34" s="2">
        <f t="shared" si="15"/>
        <v>0.50319923632092178</v>
      </c>
      <c r="N34" s="2">
        <f t="shared" si="16"/>
        <v>0.49614866325338824</v>
      </c>
      <c r="O34" s="2" t="str">
        <f t="shared" si="17"/>
        <v>OK</v>
      </c>
      <c r="P34" s="2">
        <f t="shared" si="18"/>
        <v>1.0886125489277243E-4</v>
      </c>
      <c r="Q34" s="2">
        <f t="shared" si="19"/>
        <v>1.097162477657461E-4</v>
      </c>
      <c r="R34" s="2">
        <f t="shared" si="1"/>
        <v>2.1857750265851853E-4</v>
      </c>
      <c r="S34" s="56">
        <f t="shared" si="2"/>
        <v>1.6743917257755969E-3</v>
      </c>
      <c r="T34" s="56">
        <f t="shared" si="3"/>
        <v>0.15628510017586733</v>
      </c>
      <c r="U34" s="56">
        <f t="shared" si="4"/>
        <v>3.2503491634618022</v>
      </c>
      <c r="V34" s="56">
        <f t="shared" si="5"/>
        <v>2.616773390363333E-2</v>
      </c>
      <c r="W34" s="56">
        <f t="shared" si="6"/>
        <v>6.1007871774613649E-3</v>
      </c>
      <c r="X34" s="56">
        <f t="shared" si="7"/>
        <v>3.4405771764445401</v>
      </c>
      <c r="Z34" s="119"/>
    </row>
    <row r="35" spans="2:26" x14ac:dyDescent="0.2">
      <c r="B35" s="119"/>
      <c r="C35" s="2">
        <f t="shared" si="22"/>
        <v>24</v>
      </c>
      <c r="D35" s="2">
        <f t="shared" si="22"/>
        <v>24</v>
      </c>
      <c r="E35" s="2">
        <f t="shared" si="8"/>
        <v>6.5708418891170434E-2</v>
      </c>
      <c r="F35" s="2">
        <f t="shared" si="21"/>
        <v>62.095708418891235</v>
      </c>
      <c r="G35" s="2">
        <f t="shared" si="9"/>
        <v>8.24392817758552E-5</v>
      </c>
      <c r="H35" s="2">
        <f t="shared" si="10"/>
        <v>8.2889930346859066E-5</v>
      </c>
      <c r="I35" s="2">
        <f t="shared" si="11"/>
        <v>7.9222064237789819E-5</v>
      </c>
      <c r="J35" s="2">
        <f t="shared" si="12"/>
        <v>7.9844271840460329E-5</v>
      </c>
      <c r="K35" s="2">
        <f t="shared" si="13"/>
        <v>5.5525648061904048E-5</v>
      </c>
      <c r="L35" s="2">
        <f t="shared" si="14"/>
        <v>9.4634620920147102E-5</v>
      </c>
      <c r="M35" s="2">
        <f t="shared" si="15"/>
        <v>0.50328866380772086</v>
      </c>
      <c r="N35" s="2">
        <f t="shared" si="16"/>
        <v>0.49623678037509628</v>
      </c>
      <c r="O35" s="2" t="str">
        <f t="shared" si="17"/>
        <v>OK</v>
      </c>
      <c r="P35" s="2">
        <f t="shared" si="18"/>
        <v>7.9222064237789819E-5</v>
      </c>
      <c r="Q35" s="2">
        <f t="shared" si="19"/>
        <v>7.9844271840460329E-5</v>
      </c>
      <c r="R35" s="2">
        <f t="shared" si="1"/>
        <v>1.5906633607825016E-4</v>
      </c>
      <c r="S35" s="56">
        <f t="shared" si="2"/>
        <v>1.2185122152969777E-3</v>
      </c>
      <c r="T35" s="56">
        <f t="shared" si="3"/>
        <v>0.11373402095930965</v>
      </c>
      <c r="U35" s="56">
        <f t="shared" si="4"/>
        <v>2.3653904272386597</v>
      </c>
      <c r="V35" s="56">
        <f t="shared" si="5"/>
        <v>1.9043156339960114E-2</v>
      </c>
      <c r="W35" s="56">
        <f t="shared" si="6"/>
        <v>4.4397518062961449E-3</v>
      </c>
      <c r="X35" s="56">
        <f t="shared" si="7"/>
        <v>2.5038258685595225</v>
      </c>
      <c r="Z35" s="119"/>
    </row>
    <row r="36" spans="2:26" x14ac:dyDescent="0.2">
      <c r="B36" s="119"/>
      <c r="C36" s="2">
        <f t="shared" si="22"/>
        <v>25</v>
      </c>
      <c r="D36" s="2">
        <f t="shared" si="22"/>
        <v>25</v>
      </c>
      <c r="E36" s="2">
        <f t="shared" si="8"/>
        <v>6.8446269678302529E-2</v>
      </c>
      <c r="F36" s="2">
        <f t="shared" si="21"/>
        <v>62.098446269678369</v>
      </c>
      <c r="G36" s="2">
        <f t="shared" si="9"/>
        <v>5.9993889235469072E-5</v>
      </c>
      <c r="H36" s="2">
        <f t="shared" si="10"/>
        <v>6.0321841637159922E-5</v>
      </c>
      <c r="I36" s="2">
        <f t="shared" si="11"/>
        <v>5.7652609829937128E-5</v>
      </c>
      <c r="J36" s="2">
        <f t="shared" si="12"/>
        <v>5.8105411615894994E-5</v>
      </c>
      <c r="K36" s="2">
        <f t="shared" si="13"/>
        <v>4.0407916131019768E-5</v>
      </c>
      <c r="L36" s="2">
        <f t="shared" si="14"/>
        <v>6.8868855483903801E-5</v>
      </c>
      <c r="M36" s="2">
        <f t="shared" si="15"/>
        <v>0.50335374325312665</v>
      </c>
      <c r="N36" s="2">
        <f t="shared" si="16"/>
        <v>0.4963009062229401</v>
      </c>
      <c r="O36" s="2" t="str">
        <f t="shared" si="17"/>
        <v>OK</v>
      </c>
      <c r="P36" s="2">
        <f t="shared" si="18"/>
        <v>5.7652609829937128E-5</v>
      </c>
      <c r="Q36" s="2">
        <f t="shared" si="19"/>
        <v>5.8105411615894994E-5</v>
      </c>
      <c r="R36" s="2">
        <f t="shared" si="1"/>
        <v>1.1575802144583213E-4</v>
      </c>
      <c r="S36" s="56">
        <f t="shared" si="2"/>
        <v>8.8675307816796418E-4</v>
      </c>
      <c r="T36" s="56">
        <f t="shared" si="3"/>
        <v>8.2768142913984433E-2</v>
      </c>
      <c r="U36" s="56">
        <f t="shared" si="4"/>
        <v>1.7213756384938099</v>
      </c>
      <c r="V36" s="56">
        <f t="shared" si="5"/>
        <v>1.3858357175672485E-2</v>
      </c>
      <c r="W36" s="56">
        <f t="shared" si="6"/>
        <v>3.2309594715652329E-3</v>
      </c>
      <c r="X36" s="56">
        <f t="shared" si="7"/>
        <v>1.8221198511332</v>
      </c>
      <c r="Z36" s="119"/>
    </row>
    <row r="37" spans="2:26" x14ac:dyDescent="0.2">
      <c r="B37" s="119"/>
      <c r="C37" s="2">
        <f t="shared" si="22"/>
        <v>26</v>
      </c>
      <c r="D37" s="2">
        <f t="shared" si="22"/>
        <v>26</v>
      </c>
      <c r="E37" s="2">
        <f t="shared" si="8"/>
        <v>7.1184120465434639E-2</v>
      </c>
      <c r="F37" s="2">
        <f t="shared" si="21"/>
        <v>62.101184120465504</v>
      </c>
      <c r="G37" s="2">
        <f t="shared" si="9"/>
        <v>4.3659608266069291E-5</v>
      </c>
      <c r="H37" s="2">
        <f t="shared" si="10"/>
        <v>4.3898270462677013E-5</v>
      </c>
      <c r="I37" s="2">
        <f t="shared" si="11"/>
        <v>4.1955779042983552E-5</v>
      </c>
      <c r="J37" s="2">
        <f t="shared" si="12"/>
        <v>4.2285298413074503E-5</v>
      </c>
      <c r="K37" s="2">
        <f t="shared" si="13"/>
        <v>2.9406224707220458E-5</v>
      </c>
      <c r="L37" s="2">
        <f t="shared" si="14"/>
        <v>5.0118225262102452E-5</v>
      </c>
      <c r="M37" s="2">
        <f t="shared" si="15"/>
        <v>0.50340110379482184</v>
      </c>
      <c r="N37" s="2">
        <f t="shared" si="16"/>
        <v>0.49634757279902419</v>
      </c>
      <c r="O37" s="2" t="str">
        <f t="shared" si="17"/>
        <v>OK</v>
      </c>
      <c r="P37" s="2">
        <f t="shared" si="18"/>
        <v>4.1955779042983552E-5</v>
      </c>
      <c r="Q37" s="2">
        <f t="shared" si="19"/>
        <v>4.2285298413074503E-5</v>
      </c>
      <c r="R37" s="2">
        <f t="shared" si="1"/>
        <v>8.4241077456058056E-5</v>
      </c>
      <c r="S37" s="56">
        <f t="shared" si="2"/>
        <v>6.4532059039484934E-4</v>
      </c>
      <c r="T37" s="56">
        <f t="shared" si="3"/>
        <v>6.0233212791856068E-2</v>
      </c>
      <c r="U37" s="56">
        <f t="shared" si="4"/>
        <v>1.2527040172437005</v>
      </c>
      <c r="V37" s="56">
        <f t="shared" si="5"/>
        <v>1.0085201229840442E-2</v>
      </c>
      <c r="W37" s="56">
        <f t="shared" si="6"/>
        <v>2.3512798833325329E-3</v>
      </c>
      <c r="X37" s="56">
        <f t="shared" si="7"/>
        <v>1.3260190317391245</v>
      </c>
      <c r="Z37" s="119"/>
    </row>
    <row r="38" spans="2:26" x14ac:dyDescent="0.2">
      <c r="B38" s="119"/>
      <c r="C38" s="2">
        <f t="shared" si="22"/>
        <v>27</v>
      </c>
      <c r="D38" s="2">
        <f t="shared" si="22"/>
        <v>27</v>
      </c>
      <c r="E38" s="2">
        <f t="shared" si="8"/>
        <v>7.3921971252566734E-2</v>
      </c>
      <c r="F38" s="2">
        <f t="shared" si="21"/>
        <v>62.103921971252639</v>
      </c>
      <c r="G38" s="2">
        <f t="shared" si="9"/>
        <v>3.1772592486426593E-5</v>
      </c>
      <c r="H38" s="2">
        <f t="shared" si="10"/>
        <v>3.1946275142225093E-5</v>
      </c>
      <c r="I38" s="2">
        <f t="shared" si="11"/>
        <v>3.0532657596459299E-5</v>
      </c>
      <c r="J38" s="2">
        <f t="shared" si="12"/>
        <v>3.0772460129668514E-5</v>
      </c>
      <c r="K38" s="2">
        <f t="shared" si="13"/>
        <v>2.1399917019242499E-5</v>
      </c>
      <c r="L38" s="2">
        <f t="shared" si="14"/>
        <v>3.6472749291907315E-5</v>
      </c>
      <c r="M38" s="2">
        <f t="shared" si="15"/>
        <v>0.50343556968333936</v>
      </c>
      <c r="N38" s="2">
        <f t="shared" si="16"/>
        <v>0.49638153366499488</v>
      </c>
      <c r="O38" s="2" t="str">
        <f t="shared" si="17"/>
        <v>OK</v>
      </c>
      <c r="P38" s="2">
        <f t="shared" si="18"/>
        <v>3.0532657596459299E-5</v>
      </c>
      <c r="Q38" s="2">
        <f t="shared" si="19"/>
        <v>3.0772460129668514E-5</v>
      </c>
      <c r="R38" s="2">
        <f t="shared" si="1"/>
        <v>6.1305117726127807E-5</v>
      </c>
      <c r="S38" s="56">
        <f t="shared" si="2"/>
        <v>4.6962189895885135E-4</v>
      </c>
      <c r="T38" s="56">
        <f t="shared" si="3"/>
        <v>4.3833772225358641E-2</v>
      </c>
      <c r="U38" s="56">
        <f t="shared" si="4"/>
        <v>0.91163562445996571</v>
      </c>
      <c r="V38" s="56">
        <f t="shared" si="5"/>
        <v>7.339346401516989E-3</v>
      </c>
      <c r="W38" s="56">
        <f t="shared" si="6"/>
        <v>1.7111069135051296E-3</v>
      </c>
      <c r="X38" s="56">
        <f t="shared" si="7"/>
        <v>0.9649894718993054</v>
      </c>
      <c r="Z38" s="119"/>
    </row>
    <row r="39" spans="2:26" x14ac:dyDescent="0.2">
      <c r="B39" s="119"/>
      <c r="C39" s="2">
        <f t="shared" si="22"/>
        <v>28</v>
      </c>
      <c r="D39" s="2">
        <f t="shared" si="22"/>
        <v>28</v>
      </c>
      <c r="E39" s="2">
        <f t="shared" si="8"/>
        <v>7.665982203969883E-2</v>
      </c>
      <c r="F39" s="2">
        <f t="shared" si="21"/>
        <v>62.106659822039774</v>
      </c>
      <c r="G39" s="2">
        <f t="shared" si="9"/>
        <v>2.3122003913224542E-5</v>
      </c>
      <c r="H39" s="2">
        <f t="shared" si="10"/>
        <v>2.3248398731297229E-5</v>
      </c>
      <c r="I39" s="2">
        <f t="shared" si="11"/>
        <v>2.2219660820187136E-5</v>
      </c>
      <c r="J39" s="2">
        <f t="shared" si="12"/>
        <v>2.2394173337980555E-5</v>
      </c>
      <c r="K39" s="2">
        <f t="shared" si="13"/>
        <v>1.5573452664806814E-5</v>
      </c>
      <c r="L39" s="2">
        <f t="shared" si="14"/>
        <v>2.6542469018929395E-5</v>
      </c>
      <c r="M39" s="2">
        <f t="shared" si="15"/>
        <v>0.50346065169103249</v>
      </c>
      <c r="N39" s="2">
        <f t="shared" si="16"/>
        <v>0.49640624815048123</v>
      </c>
      <c r="O39" s="2" t="str">
        <f t="shared" si="17"/>
        <v>OK</v>
      </c>
      <c r="P39" s="2">
        <f t="shared" si="18"/>
        <v>2.2219660820187136E-5</v>
      </c>
      <c r="Q39" s="2">
        <f t="shared" si="19"/>
        <v>2.2394173337980555E-5</v>
      </c>
      <c r="R39" s="2">
        <f t="shared" si="1"/>
        <v>4.4613834158167691E-5</v>
      </c>
      <c r="S39" s="56">
        <f t="shared" si="2"/>
        <v>3.4175994263303653E-4</v>
      </c>
      <c r="T39" s="56">
        <f t="shared" si="3"/>
        <v>3.1899337561431478E-2</v>
      </c>
      <c r="U39" s="56">
        <f t="shared" si="4"/>
        <v>0.66342847173128905</v>
      </c>
      <c r="V39" s="56">
        <f t="shared" si="5"/>
        <v>5.3410937835468852E-3</v>
      </c>
      <c r="W39" s="56">
        <f t="shared" si="6"/>
        <v>1.2452311143808317E-3</v>
      </c>
      <c r="X39" s="56">
        <f t="shared" si="7"/>
        <v>0.70225589413328127</v>
      </c>
      <c r="Z39" s="119"/>
    </row>
    <row r="40" spans="2:26" x14ac:dyDescent="0.2">
      <c r="B40" s="119"/>
      <c r="C40" s="2">
        <f t="shared" si="22"/>
        <v>29</v>
      </c>
      <c r="D40" s="2">
        <f t="shared" si="22"/>
        <v>29</v>
      </c>
      <c r="E40" s="2">
        <f t="shared" si="8"/>
        <v>7.939767282683094E-2</v>
      </c>
      <c r="F40" s="2">
        <f t="shared" si="21"/>
        <v>62.109397672826908</v>
      </c>
      <c r="G40" s="2">
        <f t="shared" si="9"/>
        <v>1.6826674284543796E-5</v>
      </c>
      <c r="H40" s="2">
        <f t="shared" si="10"/>
        <v>1.6918656123269505E-5</v>
      </c>
      <c r="I40" s="2">
        <f t="shared" si="11"/>
        <v>1.6170008306264486E-5</v>
      </c>
      <c r="J40" s="2">
        <f t="shared" si="12"/>
        <v>1.6297007043335828E-5</v>
      </c>
      <c r="K40" s="2">
        <f t="shared" si="13"/>
        <v>1.1333334968241683E-5</v>
      </c>
      <c r="L40" s="2">
        <f t="shared" si="14"/>
        <v>1.9315863911008344E-5</v>
      </c>
      <c r="M40" s="2">
        <f t="shared" si="15"/>
        <v>0.50347890472720702</v>
      </c>
      <c r="N40" s="2">
        <f t="shared" si="16"/>
        <v>0.49642423372815653</v>
      </c>
      <c r="O40" s="2" t="str">
        <f t="shared" si="17"/>
        <v>OK</v>
      </c>
      <c r="P40" s="2">
        <f t="shared" si="18"/>
        <v>1.6170008306264486E-5</v>
      </c>
      <c r="Q40" s="2">
        <f t="shared" si="19"/>
        <v>1.6297007043335828E-5</v>
      </c>
      <c r="R40" s="2">
        <f t="shared" si="1"/>
        <v>3.2467015349600313E-5</v>
      </c>
      <c r="S40" s="56">
        <f t="shared" si="2"/>
        <v>2.4871041713221117E-4</v>
      </c>
      <c r="T40" s="56">
        <f t="shared" si="3"/>
        <v>2.321424064511772E-2</v>
      </c>
      <c r="U40" s="56">
        <f t="shared" si="4"/>
        <v>0.48279962441162788</v>
      </c>
      <c r="V40" s="56">
        <f t="shared" si="5"/>
        <v>3.8868969037561553E-3</v>
      </c>
      <c r="W40" s="56">
        <f t="shared" si="6"/>
        <v>9.0619733695264815E-4</v>
      </c>
      <c r="X40" s="56">
        <f t="shared" si="7"/>
        <v>0.5110556697145866</v>
      </c>
      <c r="Z40" s="119"/>
    </row>
    <row r="41" spans="2:26" x14ac:dyDescent="0.2">
      <c r="B41" s="119"/>
      <c r="C41" s="2">
        <f t="shared" si="22"/>
        <v>30</v>
      </c>
      <c r="D41" s="2">
        <f t="shared" si="22"/>
        <v>30</v>
      </c>
      <c r="E41" s="2">
        <f t="shared" si="8"/>
        <v>8.2135523613963035E-2</v>
      </c>
      <c r="F41" s="2">
        <f t="shared" si="21"/>
        <v>62.112135523614043</v>
      </c>
      <c r="G41" s="2">
        <f t="shared" si="9"/>
        <v>1.2245347269535081E-5</v>
      </c>
      <c r="H41" s="2">
        <f t="shared" si="10"/>
        <v>1.231228560438607E-5</v>
      </c>
      <c r="I41" s="2">
        <f t="shared" si="11"/>
        <v>1.1767468943245574E-5</v>
      </c>
      <c r="J41" s="2">
        <f t="shared" si="12"/>
        <v>1.1859890274514834E-5</v>
      </c>
      <c r="K41" s="2">
        <f t="shared" si="13"/>
        <v>8.2476560761745372E-6</v>
      </c>
      <c r="L41" s="2">
        <f t="shared" si="14"/>
        <v>1.4056815827505455E-5</v>
      </c>
      <c r="M41" s="2">
        <f t="shared" si="15"/>
        <v>0.50349218808688345</v>
      </c>
      <c r="N41" s="2">
        <f t="shared" si="16"/>
        <v>0.49643732244912137</v>
      </c>
      <c r="O41" s="2" t="str">
        <f t="shared" si="17"/>
        <v>OK</v>
      </c>
      <c r="P41" s="2">
        <f t="shared" si="18"/>
        <v>1.1767468943245574E-5</v>
      </c>
      <c r="Q41" s="2">
        <f t="shared" si="19"/>
        <v>1.1859890274514834E-5</v>
      </c>
      <c r="R41" s="2">
        <f t="shared" si="1"/>
        <v>2.3627359217760408E-5</v>
      </c>
      <c r="S41" s="56">
        <f t="shared" si="2"/>
        <v>1.8099509004772685E-4</v>
      </c>
      <c r="T41" s="56">
        <f t="shared" si="3"/>
        <v>1.689379811429087E-2</v>
      </c>
      <c r="U41" s="56">
        <f t="shared" si="4"/>
        <v>0.35134982484036437</v>
      </c>
      <c r="V41" s="56">
        <f t="shared" si="5"/>
        <v>2.8286280213489839E-3</v>
      </c>
      <c r="W41" s="56">
        <f t="shared" si="6"/>
        <v>6.594708436216182E-4</v>
      </c>
      <c r="X41" s="56">
        <f t="shared" si="7"/>
        <v>0.37191271690967354</v>
      </c>
      <c r="Z41" s="119"/>
    </row>
    <row r="42" spans="2:26" x14ac:dyDescent="0.2">
      <c r="B42" s="119"/>
      <c r="C42" s="2">
        <f t="shared" si="22"/>
        <v>31</v>
      </c>
      <c r="D42" s="2">
        <f t="shared" si="22"/>
        <v>31</v>
      </c>
      <c r="E42" s="2">
        <f t="shared" si="8"/>
        <v>8.4873374401095145E-2</v>
      </c>
      <c r="F42" s="2">
        <f t="shared" si="21"/>
        <v>62.114873374401178</v>
      </c>
      <c r="G42" s="2">
        <f t="shared" si="9"/>
        <v>8.9113586687818507E-6</v>
      </c>
      <c r="H42" s="2">
        <f t="shared" si="10"/>
        <v>8.9600719880057416E-6</v>
      </c>
      <c r="I42" s="2">
        <f t="shared" si="11"/>
        <v>8.5635902411605832E-6</v>
      </c>
      <c r="J42" s="2">
        <f t="shared" si="12"/>
        <v>8.6308484097903387E-6</v>
      </c>
      <c r="K42" s="2">
        <f t="shared" si="13"/>
        <v>6.0021018476132469E-6</v>
      </c>
      <c r="L42" s="2">
        <f t="shared" si="14"/>
        <v>1.0229626389528677E-5</v>
      </c>
      <c r="M42" s="2">
        <f t="shared" si="15"/>
        <v>0.50350185484273757</v>
      </c>
      <c r="N42" s="2">
        <f t="shared" si="16"/>
        <v>0.49644684755971774</v>
      </c>
      <c r="O42" s="2" t="str">
        <f t="shared" si="17"/>
        <v>OK</v>
      </c>
      <c r="P42" s="2">
        <f t="shared" si="18"/>
        <v>8.5635902411605832E-6</v>
      </c>
      <c r="Q42" s="2">
        <f t="shared" si="19"/>
        <v>8.6308484097903387E-6</v>
      </c>
      <c r="R42" s="2">
        <f t="shared" si="1"/>
        <v>1.7194438650950922E-5</v>
      </c>
      <c r="S42" s="56">
        <f t="shared" si="2"/>
        <v>1.3171632696089232E-4</v>
      </c>
      <c r="T42" s="56">
        <f t="shared" si="3"/>
        <v>1.2294195579816418E-2</v>
      </c>
      <c r="U42" s="56">
        <f t="shared" si="4"/>
        <v>0.25568930292030434</v>
      </c>
      <c r="V42" s="56">
        <f t="shared" si="5"/>
        <v>2.0584895049500971E-3</v>
      </c>
      <c r="W42" s="56">
        <f t="shared" si="6"/>
        <v>4.7991952287957149E-4</v>
      </c>
      <c r="X42" s="56">
        <f t="shared" si="7"/>
        <v>0.27065362385491132</v>
      </c>
      <c r="Z42" s="119"/>
    </row>
    <row r="43" spans="2:26" x14ac:dyDescent="0.2">
      <c r="B43" s="119"/>
      <c r="C43" s="2">
        <f t="shared" si="22"/>
        <v>32</v>
      </c>
      <c r="D43" s="2">
        <f t="shared" si="22"/>
        <v>32</v>
      </c>
      <c r="E43" s="2">
        <f t="shared" si="8"/>
        <v>8.761122518822724E-2</v>
      </c>
      <c r="F43" s="2">
        <f t="shared" si="21"/>
        <v>62.117611225188313</v>
      </c>
      <c r="G43" s="2">
        <f t="shared" si="9"/>
        <v>6.4851009591932029E-6</v>
      </c>
      <c r="H43" s="2">
        <f t="shared" si="10"/>
        <v>6.5205513102525764E-6</v>
      </c>
      <c r="I43" s="2">
        <f t="shared" si="11"/>
        <v>6.2320179617099204E-6</v>
      </c>
      <c r="J43" s="2">
        <f t="shared" si="12"/>
        <v>6.2809640349303169E-6</v>
      </c>
      <c r="K43" s="2">
        <f t="shared" si="13"/>
        <v>4.3679351147278989E-6</v>
      </c>
      <c r="L43" s="2">
        <f t="shared" si="14"/>
        <v>7.4444495364175292E-6</v>
      </c>
      <c r="M43" s="2">
        <f t="shared" si="15"/>
        <v>0.50350888967210439</v>
      </c>
      <c r="N43" s="2">
        <f t="shared" si="16"/>
        <v>0.49645377930897855</v>
      </c>
      <c r="O43" s="2" t="str">
        <f t="shared" si="17"/>
        <v>OK</v>
      </c>
      <c r="P43" s="2">
        <f t="shared" si="18"/>
        <v>6.2320179617099204E-6</v>
      </c>
      <c r="Q43" s="2">
        <f t="shared" si="19"/>
        <v>6.2809640349303169E-6</v>
      </c>
      <c r="R43" s="2">
        <f t="shared" ref="R43:R74" si="23">SUM(P43:Q43)</f>
        <v>1.2512981996640238E-5</v>
      </c>
      <c r="S43" s="56">
        <f t="shared" ref="S43:S74" si="24">CHG4_cost_perpatient*(G43+H43+J43)</f>
        <v>9.5854483032749182E-5</v>
      </c>
      <c r="T43" s="56">
        <f t="shared" ref="T43:T74" si="25">treatment_cost*(I43+J43)</f>
        <v>8.9469072574177369E-3</v>
      </c>
      <c r="U43" s="56">
        <f t="shared" ref="U43:U74" si="26">ICU_Cost_without*(G44+H44+K44+L44)+ICU_cost_with*(I43+J43)</f>
        <v>0.18607386429556169</v>
      </c>
      <c r="V43" s="56">
        <f t="shared" ref="V43:V74" si="27">Resource_cost*(H43+J43)</f>
        <v>1.4980333256933021E-3</v>
      </c>
      <c r="W43" s="56">
        <f t="shared" ref="W43:W74" si="28">IF(Incl_AE="Yes",Adverse_Event_Cost*K45,0)</f>
        <v>3.4925387629859808E-4</v>
      </c>
      <c r="X43" s="56">
        <f t="shared" ref="X43:X74" si="29">SUM(S43:W43)</f>
        <v>0.19696391323800411</v>
      </c>
      <c r="Z43" s="119"/>
    </row>
    <row r="44" spans="2:26" x14ac:dyDescent="0.2">
      <c r="B44" s="119"/>
      <c r="C44" s="2">
        <f t="shared" si="22"/>
        <v>33</v>
      </c>
      <c r="D44" s="2">
        <f t="shared" si="22"/>
        <v>33</v>
      </c>
      <c r="E44" s="2">
        <f t="shared" si="8"/>
        <v>9.0349075975359336E-2</v>
      </c>
      <c r="F44" s="2">
        <f t="shared" si="21"/>
        <v>62.120349075975447</v>
      </c>
      <c r="G44" s="2">
        <f t="shared" ref="G44:G75" si="30">G43*tp_CHG4_1_1+H43*tp_CHG4_2_1+I43*tp_CHG4_3_1+J43*tp_CHG4_4_1+L43*tp_CHG4_6_1</f>
        <v>4.7194301131907378E-6</v>
      </c>
      <c r="H44" s="2">
        <f t="shared" ref="H44:H75" si="31">G43*tp_CHG4_1_2+J43*tp_CHG4_4_2+H43*tp_CHG4_2_2+I43*tp_CHG4_3_2+L43*tp_CHG4_6_2</f>
        <v>4.7452285479977728E-6</v>
      </c>
      <c r="I44" s="2">
        <f t="shared" ref="I44:I75" si="32">G43*tp_CHG4_1_3+H43*tp_CHG4_2_3+I43*tp_CHG4_3_3+J43*tp_CHG4_4_3+L43*tp_CHG4_6_3</f>
        <v>4.5352529466400746E-6</v>
      </c>
      <c r="J44" s="2">
        <f t="shared" ref="J44:J75" si="33">G43*tp_CHG4_1_4+H43*tp_CHG4_2_4+I43*tp_CHG4_3_4+J43*tp_CHG4_4_4+L43*tp_CHG4_6_4</f>
        <v>4.5708726807556133E-6</v>
      </c>
      <c r="K44" s="2">
        <f t="shared" ref="K44:K75" si="34">G43*tp_CHG4_1_5+H43*tp_chg4_2_5+I43*tp_CHG4_3_5+J43*tp_CHG4_4_5</f>
        <v>3.1786960052958766E-6</v>
      </c>
      <c r="L44" s="2">
        <f t="shared" ref="L44:L75" si="35">K43*tp_CHG4_5_6+L43*tp_CHG4_6_6</f>
        <v>5.4175809350545443E-6</v>
      </c>
      <c r="M44" s="2">
        <f t="shared" ref="M44:M75" si="36">G43*tp_CHG4_1_7+H43*tp_CHG4_2_7+I43*tp_CHG4_3_7+J43*tp_CHG4_4_7+L43*tp_CHG4_6_7+M43</f>
        <v>0.5035140091584106</v>
      </c>
      <c r="N44" s="2">
        <f t="shared" ref="N44:N75" si="37">G43*tp_CHG4_1_8+H43*tp_CHG4_2_8+I43*tp_CHG4_3_8+J43*tp_CHG4_4_8+L43*tp_CHG4_6_8+N43</f>
        <v>0.4964588237803606</v>
      </c>
      <c r="O44" s="2" t="str">
        <f t="shared" si="17"/>
        <v>OK</v>
      </c>
      <c r="P44" s="2">
        <f t="shared" si="18"/>
        <v>4.5352529466400746E-6</v>
      </c>
      <c r="Q44" s="2">
        <f t="shared" si="19"/>
        <v>4.5708726807556133E-6</v>
      </c>
      <c r="R44" s="2">
        <f t="shared" si="23"/>
        <v>9.106125627395687E-6</v>
      </c>
      <c r="S44" s="56">
        <f t="shared" si="24"/>
        <v>6.9756590769462295E-5</v>
      </c>
      <c r="T44" s="56">
        <f t="shared" si="25"/>
        <v>6.5109708848441897E-3</v>
      </c>
      <c r="U44" s="56">
        <f t="shared" si="26"/>
        <v>0.13541232495223554</v>
      </c>
      <c r="V44" s="56">
        <f t="shared" si="27"/>
        <v>1.0901701657887214E-3</v>
      </c>
      <c r="W44" s="56">
        <f t="shared" si="28"/>
        <v>2.5416400936935103E-4</v>
      </c>
      <c r="X44" s="56">
        <f t="shared" si="29"/>
        <v>0.14333738660300724</v>
      </c>
      <c r="Z44" s="119"/>
    </row>
    <row r="45" spans="2:26" x14ac:dyDescent="0.2">
      <c r="B45" s="119"/>
      <c r="C45" s="2">
        <f t="shared" ref="C45:D60" si="38">C44+1</f>
        <v>34</v>
      </c>
      <c r="D45" s="2">
        <f t="shared" si="38"/>
        <v>34</v>
      </c>
      <c r="E45" s="2">
        <f t="shared" si="8"/>
        <v>9.3086926762491445E-2</v>
      </c>
      <c r="F45" s="2">
        <f t="shared" si="21"/>
        <v>62.123086926762582</v>
      </c>
      <c r="G45" s="2">
        <f t="shared" si="30"/>
        <v>3.4344909560330154E-6</v>
      </c>
      <c r="H45" s="2">
        <f t="shared" si="31"/>
        <v>3.4532653607597481E-6</v>
      </c>
      <c r="I45" s="2">
        <f t="shared" si="32"/>
        <v>3.3004589230004571E-6</v>
      </c>
      <c r="J45" s="2">
        <f t="shared" si="33"/>
        <v>3.3263806236596402E-6</v>
      </c>
      <c r="K45" s="2">
        <f t="shared" si="34"/>
        <v>2.3132459683308918E-6</v>
      </c>
      <c r="L45" s="2">
        <f t="shared" si="35"/>
        <v>3.9425592240527927E-6</v>
      </c>
      <c r="M45" s="2">
        <f t="shared" si="36"/>
        <v>0.50351773478396211</v>
      </c>
      <c r="N45" s="2">
        <f t="shared" si="37"/>
        <v>0.49646249481498217</v>
      </c>
      <c r="O45" s="2" t="str">
        <f t="shared" si="17"/>
        <v>OK</v>
      </c>
      <c r="P45" s="2">
        <f t="shared" si="18"/>
        <v>3.3004589230004571E-6</v>
      </c>
      <c r="Q45" s="2">
        <f t="shared" si="19"/>
        <v>3.3263806236596402E-6</v>
      </c>
      <c r="R45" s="2">
        <f t="shared" si="23"/>
        <v>6.6268395466600978E-6</v>
      </c>
      <c r="S45" s="56">
        <f t="shared" si="24"/>
        <v>5.0764260594048446E-5</v>
      </c>
      <c r="T45" s="56">
        <f t="shared" si="25"/>
        <v>4.7382565442574366E-3</v>
      </c>
      <c r="U45" s="56">
        <f t="shared" si="26"/>
        <v>9.8544187376348846E-2</v>
      </c>
      <c r="V45" s="56">
        <f t="shared" si="27"/>
        <v>7.9335417309675678E-4</v>
      </c>
      <c r="W45" s="56">
        <f t="shared" si="28"/>
        <v>1.8496385593006891E-4</v>
      </c>
      <c r="X45" s="56">
        <f t="shared" si="29"/>
        <v>0.10431152621022716</v>
      </c>
      <c r="Z45" s="119"/>
    </row>
    <row r="46" spans="2:26" x14ac:dyDescent="0.2">
      <c r="B46" s="119"/>
      <c r="C46" s="2">
        <f t="shared" si="38"/>
        <v>35</v>
      </c>
      <c r="D46" s="2">
        <f t="shared" si="38"/>
        <v>35</v>
      </c>
      <c r="E46" s="2">
        <f t="shared" si="8"/>
        <v>9.5824777549623541E-2</v>
      </c>
      <c r="F46" s="2">
        <f t="shared" si="21"/>
        <v>62.125824777549717</v>
      </c>
      <c r="G46" s="2">
        <f t="shared" si="30"/>
        <v>2.4993967161639344E-6</v>
      </c>
      <c r="H46" s="2">
        <f t="shared" si="31"/>
        <v>2.5130594935951868E-6</v>
      </c>
      <c r="I46" s="2">
        <f t="shared" si="32"/>
        <v>2.401857014499007E-6</v>
      </c>
      <c r="J46" s="2">
        <f t="shared" si="33"/>
        <v>2.4207211240087832E-6</v>
      </c>
      <c r="K46" s="2">
        <f t="shared" si="34"/>
        <v>1.6834283307017551E-6</v>
      </c>
      <c r="L46" s="2">
        <f t="shared" si="35"/>
        <v>2.8691353985262549E-6</v>
      </c>
      <c r="M46" s="2">
        <f t="shared" si="36"/>
        <v>0.50352044604929613</v>
      </c>
      <c r="N46" s="2">
        <f t="shared" si="37"/>
        <v>0.4964651663526265</v>
      </c>
      <c r="O46" s="2" t="str">
        <f t="shared" si="17"/>
        <v>OK</v>
      </c>
      <c r="P46" s="2">
        <f t="shared" si="18"/>
        <v>2.401857014499007E-6</v>
      </c>
      <c r="Q46" s="2">
        <f t="shared" si="19"/>
        <v>2.4207211240087832E-6</v>
      </c>
      <c r="R46" s="2">
        <f t="shared" si="23"/>
        <v>4.8225781385077898E-6</v>
      </c>
      <c r="S46" s="56">
        <f t="shared" si="24"/>
        <v>3.6942891348826488E-5</v>
      </c>
      <c r="T46" s="56">
        <f t="shared" si="25"/>
        <v>3.4481915948144548E-3</v>
      </c>
      <c r="U46" s="56">
        <f t="shared" si="26"/>
        <v>7.1713980755382128E-2</v>
      </c>
      <c r="V46" s="56">
        <f t="shared" si="27"/>
        <v>5.7735100787201655E-4</v>
      </c>
      <c r="W46" s="56">
        <f t="shared" si="28"/>
        <v>1.3460453384175937E-4</v>
      </c>
      <c r="X46" s="56">
        <f t="shared" si="29"/>
        <v>7.5911070783259177E-2</v>
      </c>
      <c r="Z46" s="119"/>
    </row>
    <row r="47" spans="2:26" x14ac:dyDescent="0.2">
      <c r="B47" s="119"/>
      <c r="C47" s="2">
        <f t="shared" si="38"/>
        <v>36</v>
      </c>
      <c r="D47" s="2">
        <f t="shared" si="38"/>
        <v>36</v>
      </c>
      <c r="E47" s="2">
        <f t="shared" si="8"/>
        <v>9.856262833675565E-2</v>
      </c>
      <c r="F47" s="2">
        <f t="shared" si="21"/>
        <v>62.128562628336852</v>
      </c>
      <c r="G47" s="2">
        <f t="shared" si="30"/>
        <v>1.8188966064378976E-6</v>
      </c>
      <c r="H47" s="2">
        <f t="shared" si="31"/>
        <v>1.8288394775889658E-6</v>
      </c>
      <c r="I47" s="2">
        <f t="shared" si="32"/>
        <v>1.7479136243430834E-6</v>
      </c>
      <c r="J47" s="2">
        <f t="shared" si="33"/>
        <v>1.761641683017766E-6</v>
      </c>
      <c r="K47" s="2">
        <f t="shared" si="34"/>
        <v>1.2250884615847722E-6</v>
      </c>
      <c r="L47" s="2">
        <f t="shared" si="35"/>
        <v>2.0879681108805271E-6</v>
      </c>
      <c r="M47" s="2">
        <f t="shared" si="36"/>
        <v>0.50352241912995332</v>
      </c>
      <c r="N47" s="2">
        <f t="shared" si="37"/>
        <v>0.49646711052208298</v>
      </c>
      <c r="O47" s="2" t="str">
        <f t="shared" si="17"/>
        <v>OK</v>
      </c>
      <c r="P47" s="2">
        <f t="shared" si="18"/>
        <v>1.7479136243430834E-6</v>
      </c>
      <c r="Q47" s="2">
        <f t="shared" si="19"/>
        <v>1.761641683017766E-6</v>
      </c>
      <c r="R47" s="2">
        <f t="shared" si="23"/>
        <v>3.5095553073608496E-6</v>
      </c>
      <c r="S47" s="56">
        <f t="shared" si="24"/>
        <v>2.6884607502211804E-5</v>
      </c>
      <c r="T47" s="56">
        <f t="shared" si="25"/>
        <v>2.509367140316081E-3</v>
      </c>
      <c r="U47" s="56">
        <f t="shared" si="26"/>
        <v>5.2188720336608645E-2</v>
      </c>
      <c r="V47" s="56">
        <f t="shared" si="27"/>
        <v>4.2015810541419973E-4</v>
      </c>
      <c r="W47" s="56">
        <f t="shared" si="28"/>
        <v>9.7956330114610027E-5</v>
      </c>
      <c r="X47" s="56">
        <f t="shared" si="29"/>
        <v>5.5243086519955749E-2</v>
      </c>
      <c r="Z47" s="119"/>
    </row>
    <row r="48" spans="2:26" x14ac:dyDescent="0.2">
      <c r="B48" s="119"/>
      <c r="C48" s="2">
        <f t="shared" si="38"/>
        <v>37</v>
      </c>
      <c r="D48" s="2">
        <f t="shared" si="38"/>
        <v>37</v>
      </c>
      <c r="E48" s="2">
        <f t="shared" si="8"/>
        <v>0.10130047912388775</v>
      </c>
      <c r="F48" s="2">
        <f t="shared" si="21"/>
        <v>62.131300479123986</v>
      </c>
      <c r="G48" s="2">
        <f t="shared" si="30"/>
        <v>1.3236733662629335E-6</v>
      </c>
      <c r="H48" s="2">
        <f t="shared" si="31"/>
        <v>1.3309091341896371E-6</v>
      </c>
      <c r="I48" s="2">
        <f t="shared" si="32"/>
        <v>1.2720166186917614E-6</v>
      </c>
      <c r="J48" s="2">
        <f t="shared" si="33"/>
        <v>1.2820069972398633E-6</v>
      </c>
      <c r="K48" s="2">
        <f t="shared" si="34"/>
        <v>8.9153883853331145E-7</v>
      </c>
      <c r="L48" s="2">
        <f t="shared" si="35"/>
        <v>1.5194859170097621E-6</v>
      </c>
      <c r="M48" s="2">
        <f t="shared" si="36"/>
        <v>0.50352385500833485</v>
      </c>
      <c r="N48" s="2">
        <f t="shared" si="37"/>
        <v>0.49646852536079339</v>
      </c>
      <c r="O48" s="2" t="str">
        <f t="shared" si="17"/>
        <v>OK</v>
      </c>
      <c r="P48" s="2">
        <f t="shared" si="18"/>
        <v>1.2720166186917614E-6</v>
      </c>
      <c r="Q48" s="2">
        <f t="shared" si="19"/>
        <v>1.2820069972398633E-6</v>
      </c>
      <c r="R48" s="2">
        <f t="shared" si="23"/>
        <v>2.5540236159316247E-6</v>
      </c>
      <c r="S48" s="56">
        <f t="shared" si="24"/>
        <v>1.9564849803531392E-5</v>
      </c>
      <c r="T48" s="56">
        <f t="shared" si="25"/>
        <v>1.826152425627271E-3</v>
      </c>
      <c r="U48" s="56">
        <f t="shared" si="26"/>
        <v>3.7979519497922824E-2</v>
      </c>
      <c r="V48" s="56">
        <f t="shared" si="27"/>
        <v>3.0576344569988007E-4</v>
      </c>
      <c r="W48" s="56">
        <f t="shared" si="28"/>
        <v>7.1286176889131335E-5</v>
      </c>
      <c r="X48" s="56">
        <f t="shared" si="29"/>
        <v>4.0202286395942637E-2</v>
      </c>
      <c r="Z48" s="119"/>
    </row>
    <row r="49" spans="2:26" x14ac:dyDescent="0.2">
      <c r="B49" s="119"/>
      <c r="C49" s="2">
        <f t="shared" si="38"/>
        <v>38</v>
      </c>
      <c r="D49" s="2">
        <f t="shared" si="38"/>
        <v>38</v>
      </c>
      <c r="E49" s="2">
        <f t="shared" si="8"/>
        <v>0.10403832991101984</v>
      </c>
      <c r="F49" s="2">
        <f t="shared" si="21"/>
        <v>62.134038329911121</v>
      </c>
      <c r="G49" s="2">
        <f t="shared" si="30"/>
        <v>9.6328245066398047E-7</v>
      </c>
      <c r="H49" s="2">
        <f t="shared" si="31"/>
        <v>9.6854816684330446E-7</v>
      </c>
      <c r="I49" s="2">
        <f t="shared" si="32"/>
        <v>9.2569006597003245E-7</v>
      </c>
      <c r="J49" s="2">
        <f t="shared" si="33"/>
        <v>9.3296040665690915E-7</v>
      </c>
      <c r="K49" s="2">
        <f t="shared" si="34"/>
        <v>6.4880335219638376E-7</v>
      </c>
      <c r="L49" s="2">
        <f t="shared" si="35"/>
        <v>1.1057819513426995E-6</v>
      </c>
      <c r="M49" s="2">
        <f t="shared" si="36"/>
        <v>0.50352489994621863</v>
      </c>
      <c r="N49" s="2">
        <f t="shared" si="37"/>
        <v>0.49646955498738787</v>
      </c>
      <c r="O49" s="2" t="str">
        <f t="shared" si="17"/>
        <v>OK</v>
      </c>
      <c r="P49" s="2">
        <f t="shared" si="18"/>
        <v>9.2569006597003245E-7</v>
      </c>
      <c r="Q49" s="2">
        <f t="shared" si="19"/>
        <v>9.3296040665690915E-7</v>
      </c>
      <c r="R49" s="2">
        <f t="shared" si="23"/>
        <v>1.8586504726269416E-6</v>
      </c>
      <c r="S49" s="56">
        <f t="shared" si="24"/>
        <v>1.4238011390096043E-5</v>
      </c>
      <c r="T49" s="56">
        <f t="shared" si="25"/>
        <v>1.3289536744329894E-3</v>
      </c>
      <c r="U49" s="56">
        <f t="shared" si="26"/>
        <v>2.7638997315695999E-2</v>
      </c>
      <c r="V49" s="56">
        <f t="shared" si="27"/>
        <v>2.2251453327099498E-4</v>
      </c>
      <c r="W49" s="56">
        <f t="shared" si="28"/>
        <v>5.1877392808845196E-5</v>
      </c>
      <c r="X49" s="56">
        <f t="shared" si="29"/>
        <v>2.9256580927598926E-2</v>
      </c>
      <c r="Z49" s="119"/>
    </row>
    <row r="50" spans="2:26" x14ac:dyDescent="0.2">
      <c r="B50" s="119"/>
      <c r="C50" s="2">
        <f t="shared" si="38"/>
        <v>39</v>
      </c>
      <c r="D50" s="2">
        <f t="shared" si="38"/>
        <v>39</v>
      </c>
      <c r="E50" s="2">
        <f t="shared" si="8"/>
        <v>0.10677618069815195</v>
      </c>
      <c r="F50" s="2">
        <f t="shared" si="21"/>
        <v>62.136776180698256</v>
      </c>
      <c r="G50" s="2">
        <f t="shared" si="30"/>
        <v>7.0101363629982294E-7</v>
      </c>
      <c r="H50" s="2">
        <f t="shared" si="31"/>
        <v>7.0484567833904644E-7</v>
      </c>
      <c r="I50" s="2">
        <f t="shared" si="32"/>
        <v>6.73656370242166E-7</v>
      </c>
      <c r="J50" s="2">
        <f t="shared" si="33"/>
        <v>6.7894724620334724E-7</v>
      </c>
      <c r="K50" s="2">
        <f t="shared" si="34"/>
        <v>4.7215642395768532E-7</v>
      </c>
      <c r="L50" s="2">
        <f t="shared" si="35"/>
        <v>8.0471540422139586E-7</v>
      </c>
      <c r="M50" s="2">
        <f t="shared" si="36"/>
        <v>0.5035256603833107</v>
      </c>
      <c r="N50" s="2">
        <f t="shared" si="37"/>
        <v>0.49647030428193023</v>
      </c>
      <c r="O50" s="2" t="str">
        <f t="shared" si="17"/>
        <v>OK</v>
      </c>
      <c r="P50" s="2">
        <f t="shared" si="18"/>
        <v>6.73656370242166E-7</v>
      </c>
      <c r="Q50" s="2">
        <f t="shared" si="19"/>
        <v>6.7894724620334724E-7</v>
      </c>
      <c r="R50" s="2">
        <f t="shared" si="23"/>
        <v>1.3526036164455132E-6</v>
      </c>
      <c r="S50" s="56">
        <f t="shared" si="24"/>
        <v>1.0361488607385816E-5</v>
      </c>
      <c r="T50" s="56">
        <f t="shared" si="25"/>
        <v>9.6712511179470641E-4</v>
      </c>
      <c r="U50" s="56">
        <f t="shared" si="26"/>
        <v>2.0113845112201396E-2</v>
      </c>
      <c r="V50" s="56">
        <f t="shared" si="27"/>
        <v>1.619314480299509E-4</v>
      </c>
      <c r="W50" s="56">
        <f t="shared" si="28"/>
        <v>3.7752955791539075E-5</v>
      </c>
      <c r="X50" s="56">
        <f t="shared" si="29"/>
        <v>2.1291016116424977E-2</v>
      </c>
      <c r="Z50" s="119"/>
    </row>
    <row r="51" spans="2:26" x14ac:dyDescent="0.2">
      <c r="B51" s="119"/>
      <c r="C51" s="2">
        <f t="shared" si="38"/>
        <v>40</v>
      </c>
      <c r="D51" s="2">
        <f t="shared" si="38"/>
        <v>40</v>
      </c>
      <c r="E51" s="2">
        <f t="shared" si="8"/>
        <v>0.10951403148528405</v>
      </c>
      <c r="F51" s="2">
        <f t="shared" si="21"/>
        <v>62.13951403148539</v>
      </c>
      <c r="G51" s="2">
        <f t="shared" si="30"/>
        <v>5.1015163614739083E-7</v>
      </c>
      <c r="H51" s="2">
        <f t="shared" si="31"/>
        <v>5.1294034440478531E-7</v>
      </c>
      <c r="I51" s="2">
        <f t="shared" si="32"/>
        <v>4.902428165222843E-7</v>
      </c>
      <c r="J51" s="2">
        <f t="shared" si="33"/>
        <v>4.9409316819660625E-7</v>
      </c>
      <c r="K51" s="2">
        <f t="shared" si="34"/>
        <v>3.4360440329080136E-7</v>
      </c>
      <c r="L51" s="2">
        <f t="shared" si="35"/>
        <v>5.8561896493689809E-7</v>
      </c>
      <c r="M51" s="2">
        <f t="shared" si="36"/>
        <v>0.50352621377943119</v>
      </c>
      <c r="N51" s="2">
        <f t="shared" si="37"/>
        <v>0.49647084956923554</v>
      </c>
      <c r="O51" s="2" t="str">
        <f t="shared" si="17"/>
        <v>OK</v>
      </c>
      <c r="P51" s="2">
        <f t="shared" si="18"/>
        <v>4.902428165222843E-7</v>
      </c>
      <c r="Q51" s="2">
        <f t="shared" si="19"/>
        <v>4.9409316819660625E-7</v>
      </c>
      <c r="R51" s="2">
        <f t="shared" si="23"/>
        <v>9.8433598471889055E-7</v>
      </c>
      <c r="S51" s="56">
        <f t="shared" si="24"/>
        <v>7.540410189281449E-6</v>
      </c>
      <c r="T51" s="56">
        <f t="shared" si="25"/>
        <v>7.0381007243385397E-4</v>
      </c>
      <c r="U51" s="56">
        <f t="shared" si="26"/>
        <v>1.4637534081884925E-2</v>
      </c>
      <c r="V51" s="56">
        <f t="shared" si="27"/>
        <v>1.1784306164461483E-4</v>
      </c>
      <c r="W51" s="56">
        <f t="shared" si="28"/>
        <v>2.7474119145688617E-5</v>
      </c>
      <c r="X51" s="56">
        <f t="shared" si="29"/>
        <v>1.5494201745298364E-2</v>
      </c>
      <c r="Z51" s="119"/>
    </row>
    <row r="52" spans="2:26" x14ac:dyDescent="0.2">
      <c r="B52" s="119"/>
      <c r="C52" s="2">
        <f t="shared" si="38"/>
        <v>41</v>
      </c>
      <c r="D52" s="2">
        <f t="shared" si="38"/>
        <v>41</v>
      </c>
      <c r="E52" s="2">
        <f t="shared" si="8"/>
        <v>0.11225188227241616</v>
      </c>
      <c r="F52" s="2">
        <f t="shared" si="21"/>
        <v>62.142251882272525</v>
      </c>
      <c r="G52" s="2">
        <f t="shared" si="30"/>
        <v>3.7125482071585407E-7</v>
      </c>
      <c r="H52" s="2">
        <f t="shared" si="31"/>
        <v>3.7328425924112562E-7</v>
      </c>
      <c r="I52" s="2">
        <f t="shared" si="32"/>
        <v>3.5676649070401478E-7</v>
      </c>
      <c r="J52" s="2">
        <f t="shared" si="33"/>
        <v>3.5956852351006151E-7</v>
      </c>
      <c r="K52" s="2">
        <f t="shared" si="34"/>
        <v>2.5005269434056873E-7</v>
      </c>
      <c r="L52" s="2">
        <f t="shared" si="35"/>
        <v>4.2617498098670955E-7</v>
      </c>
      <c r="M52" s="2">
        <f t="shared" si="36"/>
        <v>0.50352661650474451</v>
      </c>
      <c r="N52" s="2">
        <f t="shared" si="37"/>
        <v>0.49647124639348628</v>
      </c>
      <c r="O52" s="2" t="str">
        <f t="shared" si="17"/>
        <v>OK</v>
      </c>
      <c r="P52" s="2">
        <f t="shared" si="18"/>
        <v>3.5676649070401478E-7</v>
      </c>
      <c r="Q52" s="2">
        <f t="shared" si="19"/>
        <v>3.5956852351006151E-7</v>
      </c>
      <c r="R52" s="2">
        <f t="shared" si="23"/>
        <v>7.1633501421407634E-7</v>
      </c>
      <c r="S52" s="56">
        <f t="shared" si="24"/>
        <v>5.4874147892311946E-6</v>
      </c>
      <c r="T52" s="56">
        <f t="shared" si="25"/>
        <v>5.1218669851320667E-4</v>
      </c>
      <c r="U52" s="56">
        <f t="shared" si="26"/>
        <v>1.0652234955730599E-2</v>
      </c>
      <c r="V52" s="56">
        <f t="shared" si="27"/>
        <v>8.5758432637543915E-5</v>
      </c>
      <c r="W52" s="56">
        <f t="shared" si="28"/>
        <v>1.9993857620034647E-5</v>
      </c>
      <c r="X52" s="56">
        <f t="shared" si="29"/>
        <v>1.1275661359290616E-2</v>
      </c>
      <c r="Z52" s="119"/>
    </row>
    <row r="53" spans="2:26" x14ac:dyDescent="0.2">
      <c r="B53" s="119"/>
      <c r="C53" s="2">
        <f t="shared" si="38"/>
        <v>42</v>
      </c>
      <c r="D53" s="2">
        <f t="shared" si="38"/>
        <v>42</v>
      </c>
      <c r="E53" s="2">
        <f t="shared" si="8"/>
        <v>0.11498973305954825</v>
      </c>
      <c r="F53" s="2">
        <f t="shared" si="21"/>
        <v>62.14498973305966</v>
      </c>
      <c r="G53" s="2">
        <f t="shared" si="30"/>
        <v>2.7017485025754149E-7</v>
      </c>
      <c r="H53" s="2">
        <f t="shared" si="31"/>
        <v>2.7165174219019002E-7</v>
      </c>
      <c r="I53" s="2">
        <f t="shared" si="32"/>
        <v>2.5963119621452375E-7</v>
      </c>
      <c r="J53" s="2">
        <f t="shared" si="33"/>
        <v>2.616703314702779E-7</v>
      </c>
      <c r="K53" s="2">
        <f t="shared" si="34"/>
        <v>1.8197191115173278E-7</v>
      </c>
      <c r="L53" s="2">
        <f t="shared" si="35"/>
        <v>3.1014213216027298E-7</v>
      </c>
      <c r="M53" s="2">
        <f t="shared" si="36"/>
        <v>0.50352690958175017</v>
      </c>
      <c r="N53" s="2">
        <f t="shared" si="37"/>
        <v>0.49647153517608661</v>
      </c>
      <c r="O53" s="2" t="str">
        <f t="shared" si="17"/>
        <v>OK</v>
      </c>
      <c r="P53" s="2">
        <f t="shared" si="18"/>
        <v>2.5963119621452375E-7</v>
      </c>
      <c r="Q53" s="2">
        <f t="shared" si="19"/>
        <v>2.616703314702779E-7</v>
      </c>
      <c r="R53" s="2">
        <f t="shared" si="23"/>
        <v>5.213015276848017E-7</v>
      </c>
      <c r="S53" s="56">
        <f t="shared" si="24"/>
        <v>3.9933797118725061E-6</v>
      </c>
      <c r="T53" s="56">
        <f t="shared" si="25"/>
        <v>3.7273580530991008E-4</v>
      </c>
      <c r="U53" s="56">
        <f t="shared" si="26"/>
        <v>7.7519962664009713E-3</v>
      </c>
      <c r="V53" s="56">
        <f t="shared" si="27"/>
        <v>6.2409349059747962E-5</v>
      </c>
      <c r="W53" s="56">
        <f t="shared" si="28"/>
        <v>1.4550215073699609E-5</v>
      </c>
      <c r="X53" s="56">
        <f t="shared" si="29"/>
        <v>8.2056850155561994E-3</v>
      </c>
      <c r="Z53" s="119"/>
    </row>
    <row r="54" spans="2:26" x14ac:dyDescent="0.2">
      <c r="B54" s="119"/>
      <c r="C54" s="2">
        <f t="shared" si="38"/>
        <v>43</v>
      </c>
      <c r="D54" s="2">
        <f t="shared" si="38"/>
        <v>43</v>
      </c>
      <c r="E54" s="2">
        <f t="shared" si="8"/>
        <v>0.11772758384668035</v>
      </c>
      <c r="F54" s="2">
        <f t="shared" si="21"/>
        <v>62.147727583846795</v>
      </c>
      <c r="G54" s="2">
        <f t="shared" si="30"/>
        <v>1.9661549329093414E-7</v>
      </c>
      <c r="H54" s="2">
        <f t="shared" si="31"/>
        <v>1.97690278140813E-7</v>
      </c>
      <c r="I54" s="2">
        <f t="shared" si="32"/>
        <v>1.8894251507412093E-7</v>
      </c>
      <c r="J54" s="2">
        <f t="shared" si="33"/>
        <v>1.9042646364970029E-7</v>
      </c>
      <c r="K54" s="2">
        <f t="shared" si="34"/>
        <v>1.3242719313839347E-7</v>
      </c>
      <c r="L54" s="2">
        <f t="shared" si="35"/>
        <v>2.2570105339881463E-7</v>
      </c>
      <c r="M54" s="2">
        <f t="shared" si="36"/>
        <v>0.50352712286392654</v>
      </c>
      <c r="N54" s="2">
        <f t="shared" si="37"/>
        <v>0.49647174533307703</v>
      </c>
      <c r="O54" s="2" t="str">
        <f t="shared" si="17"/>
        <v>OK</v>
      </c>
      <c r="P54" s="2">
        <f t="shared" si="18"/>
        <v>1.8894251507412093E-7</v>
      </c>
      <c r="Q54" s="2">
        <f t="shared" si="19"/>
        <v>1.9042646364970029E-7</v>
      </c>
      <c r="R54" s="2">
        <f t="shared" si="23"/>
        <v>3.7936897872382125E-7</v>
      </c>
      <c r="S54" s="56">
        <f t="shared" si="24"/>
        <v>2.9061192083547935E-6</v>
      </c>
      <c r="T54" s="56">
        <f t="shared" si="25"/>
        <v>2.7125261347731944E-4</v>
      </c>
      <c r="U54" s="56">
        <f t="shared" si="26"/>
        <v>5.6413932253687338E-3</v>
      </c>
      <c r="V54" s="56">
        <f t="shared" si="27"/>
        <v>4.5417421124325864E-5</v>
      </c>
      <c r="W54" s="56">
        <f t="shared" si="28"/>
        <v>1.0588689922387694E-5</v>
      </c>
      <c r="X54" s="56">
        <f t="shared" si="29"/>
        <v>5.9715580691011225E-3</v>
      </c>
      <c r="Z54" s="119"/>
    </row>
    <row r="55" spans="2:26" x14ac:dyDescent="0.2">
      <c r="B55" s="119"/>
      <c r="C55" s="2">
        <f t="shared" si="38"/>
        <v>44</v>
      </c>
      <c r="D55" s="2">
        <f t="shared" si="38"/>
        <v>44</v>
      </c>
      <c r="E55" s="2">
        <f t="shared" si="8"/>
        <v>0.12046543463381246</v>
      </c>
      <c r="F55" s="2">
        <f t="shared" si="21"/>
        <v>62.150465434633929</v>
      </c>
      <c r="G55" s="2">
        <f t="shared" si="30"/>
        <v>1.4308382947260762E-7</v>
      </c>
      <c r="H55" s="2">
        <f t="shared" si="31"/>
        <v>1.4386598722429735E-7</v>
      </c>
      <c r="I55" s="2">
        <f t="shared" si="32"/>
        <v>1.374999403886635E-7</v>
      </c>
      <c r="J55" s="2">
        <f t="shared" si="33"/>
        <v>1.3857986059932627E-7</v>
      </c>
      <c r="K55" s="2">
        <f t="shared" si="34"/>
        <v>9.6371804700619995E-8</v>
      </c>
      <c r="L55" s="2">
        <f t="shared" si="35"/>
        <v>1.6425038788025647E-7</v>
      </c>
      <c r="M55" s="2">
        <f t="shared" si="36"/>
        <v>0.50352727807667219</v>
      </c>
      <c r="N55" s="2">
        <f t="shared" si="37"/>
        <v>0.49647189827151783</v>
      </c>
      <c r="O55" s="2" t="str">
        <f t="shared" si="17"/>
        <v>OK</v>
      </c>
      <c r="P55" s="2">
        <f t="shared" si="18"/>
        <v>1.374999403886635E-7</v>
      </c>
      <c r="Q55" s="2">
        <f t="shared" si="19"/>
        <v>1.3857986059932627E-7</v>
      </c>
      <c r="R55" s="2">
        <f t="shared" si="23"/>
        <v>2.760798009879898E-7</v>
      </c>
      <c r="S55" s="56">
        <f t="shared" si="24"/>
        <v>2.114882496162269E-6</v>
      </c>
      <c r="T55" s="56">
        <f t="shared" si="25"/>
        <v>1.9739981850442259E-4</v>
      </c>
      <c r="U55" s="56">
        <f t="shared" si="26"/>
        <v>4.1054350943349749E-3</v>
      </c>
      <c r="V55" s="56">
        <f t="shared" si="27"/>
        <v>3.3051813112320434E-5</v>
      </c>
      <c r="W55" s="56">
        <f t="shared" si="28"/>
        <v>7.7057523689212686E-6</v>
      </c>
      <c r="X55" s="56">
        <f t="shared" si="29"/>
        <v>4.3457073608168017E-3</v>
      </c>
      <c r="Z55" s="119"/>
    </row>
    <row r="56" spans="2:26" x14ac:dyDescent="0.2">
      <c r="B56" s="119"/>
      <c r="C56" s="2">
        <f t="shared" si="38"/>
        <v>45</v>
      </c>
      <c r="D56" s="2">
        <f t="shared" si="38"/>
        <v>45</v>
      </c>
      <c r="E56" s="2">
        <f t="shared" si="8"/>
        <v>0.12320328542094455</v>
      </c>
      <c r="F56" s="2">
        <f t="shared" si="21"/>
        <v>62.153203285421064</v>
      </c>
      <c r="G56" s="2">
        <f t="shared" si="30"/>
        <v>1.0412700400091133E-7</v>
      </c>
      <c r="H56" s="2">
        <f t="shared" si="31"/>
        <v>1.0469620698939532E-7</v>
      </c>
      <c r="I56" s="2">
        <f t="shared" si="32"/>
        <v>1.000634166400782E-7</v>
      </c>
      <c r="J56" s="2">
        <f t="shared" si="33"/>
        <v>1.0084931156972064E-7</v>
      </c>
      <c r="K56" s="2">
        <f t="shared" si="34"/>
        <v>7.0133063467927497E-8</v>
      </c>
      <c r="L56" s="2">
        <f t="shared" si="35"/>
        <v>1.1953063360827184E-7</v>
      </c>
      <c r="M56" s="2">
        <f t="shared" si="36"/>
        <v>0.50352739103030397</v>
      </c>
      <c r="N56" s="2">
        <f t="shared" si="37"/>
        <v>0.49647200957006005</v>
      </c>
      <c r="O56" s="2" t="str">
        <f t="shared" si="17"/>
        <v>OK</v>
      </c>
      <c r="P56" s="2">
        <f t="shared" si="18"/>
        <v>1.000634166400782E-7</v>
      </c>
      <c r="Q56" s="2">
        <f t="shared" si="19"/>
        <v>1.0084931156972064E-7</v>
      </c>
      <c r="R56" s="2">
        <f t="shared" si="23"/>
        <v>2.0091272820979885E-7</v>
      </c>
      <c r="S56" s="56">
        <f t="shared" si="24"/>
        <v>1.5390724371233357E-6</v>
      </c>
      <c r="T56" s="56">
        <f t="shared" si="25"/>
        <v>1.4365460979728827E-4</v>
      </c>
      <c r="U56" s="56">
        <f t="shared" si="26"/>
        <v>2.9876657485962731E-3</v>
      </c>
      <c r="V56" s="56">
        <f t="shared" si="27"/>
        <v>2.4052936581787748E-5</v>
      </c>
      <c r="W56" s="56">
        <f t="shared" si="28"/>
        <v>5.6077399571019045E-6</v>
      </c>
      <c r="X56" s="56">
        <f t="shared" si="29"/>
        <v>3.1625201073695744E-3</v>
      </c>
      <c r="Z56" s="119"/>
    </row>
    <row r="57" spans="2:26" x14ac:dyDescent="0.2">
      <c r="B57" s="119"/>
      <c r="C57" s="2">
        <f t="shared" si="38"/>
        <v>46</v>
      </c>
      <c r="D57" s="2">
        <f t="shared" si="38"/>
        <v>46</v>
      </c>
      <c r="E57" s="2">
        <f t="shared" si="8"/>
        <v>0.12594113620807665</v>
      </c>
      <c r="F57" s="2">
        <f t="shared" si="21"/>
        <v>62.155941136208199</v>
      </c>
      <c r="G57" s="2">
        <f t="shared" si="30"/>
        <v>7.5776787650777212E-8</v>
      </c>
      <c r="H57" s="2">
        <f t="shared" si="31"/>
        <v>7.6191016163374791E-8</v>
      </c>
      <c r="I57" s="2">
        <f t="shared" si="32"/>
        <v>7.281957593133179E-8</v>
      </c>
      <c r="J57" s="2">
        <f t="shared" si="33"/>
        <v>7.3391498592227879E-8</v>
      </c>
      <c r="K57" s="2">
        <f t="shared" si="34"/>
        <v>5.1038232672680272E-8</v>
      </c>
      <c r="L57" s="2">
        <f t="shared" si="35"/>
        <v>8.6986536562769002E-8</v>
      </c>
      <c r="M57" s="2">
        <f t="shared" si="36"/>
        <v>0.50352747323053104</v>
      </c>
      <c r="N57" s="2">
        <f t="shared" si="37"/>
        <v>0.49647209056582176</v>
      </c>
      <c r="O57" s="2" t="str">
        <f t="shared" si="17"/>
        <v>OK</v>
      </c>
      <c r="P57" s="2">
        <f t="shared" si="18"/>
        <v>7.281957593133179E-8</v>
      </c>
      <c r="Q57" s="2">
        <f t="shared" si="19"/>
        <v>7.3391498592227879E-8</v>
      </c>
      <c r="R57" s="2">
        <f t="shared" si="23"/>
        <v>1.4621107452355966E-7</v>
      </c>
      <c r="S57" s="56">
        <f t="shared" si="24"/>
        <v>1.1200357329597081E-6</v>
      </c>
      <c r="T57" s="56">
        <f t="shared" si="25"/>
        <v>1.0454238039509039E-4</v>
      </c>
      <c r="U57" s="56">
        <f t="shared" si="26"/>
        <v>2.1742267068482896E-3</v>
      </c>
      <c r="V57" s="56">
        <f t="shared" si="27"/>
        <v>1.7504145876700626E-5</v>
      </c>
      <c r="W57" s="56">
        <f t="shared" si="28"/>
        <v>4.0809444582345844E-6</v>
      </c>
      <c r="X57" s="56">
        <f t="shared" si="29"/>
        <v>2.3014742133112753E-3</v>
      </c>
      <c r="Z57" s="119"/>
    </row>
    <row r="58" spans="2:26" x14ac:dyDescent="0.2">
      <c r="B58" s="119"/>
      <c r="C58" s="2">
        <f t="shared" si="38"/>
        <v>47</v>
      </c>
      <c r="D58" s="2">
        <f t="shared" si="38"/>
        <v>47</v>
      </c>
      <c r="E58" s="2">
        <f t="shared" si="8"/>
        <v>0.12867898699520877</v>
      </c>
      <c r="F58" s="2">
        <f t="shared" si="21"/>
        <v>62.158678986995334</v>
      </c>
      <c r="G58" s="2">
        <f t="shared" si="30"/>
        <v>5.514536408462041E-8</v>
      </c>
      <c r="H58" s="2">
        <f t="shared" si="31"/>
        <v>5.5446812362511215E-8</v>
      </c>
      <c r="I58" s="2">
        <f t="shared" si="32"/>
        <v>5.299329981797884E-8</v>
      </c>
      <c r="J58" s="2">
        <f t="shared" si="33"/>
        <v>5.3409507529352259E-8</v>
      </c>
      <c r="K58" s="2">
        <f t="shared" si="34"/>
        <v>3.714227021527291E-8</v>
      </c>
      <c r="L58" s="2">
        <f t="shared" si="35"/>
        <v>6.3303082354466137E-8</v>
      </c>
      <c r="M58" s="2">
        <f t="shared" si="36"/>
        <v>0.50352753305045195</v>
      </c>
      <c r="N58" s="2">
        <f t="shared" si="37"/>
        <v>0.49647214950921204</v>
      </c>
      <c r="O58" s="2" t="str">
        <f t="shared" si="17"/>
        <v>OK</v>
      </c>
      <c r="P58" s="2">
        <f t="shared" si="18"/>
        <v>5.299329981797884E-8</v>
      </c>
      <c r="Q58" s="2">
        <f t="shared" si="19"/>
        <v>5.3409507529352259E-8</v>
      </c>
      <c r="R58" s="2">
        <f t="shared" si="23"/>
        <v>1.0640280734733109E-7</v>
      </c>
      <c r="S58" s="56">
        <f t="shared" si="24"/>
        <v>8.1508836936312481E-7</v>
      </c>
      <c r="T58" s="56">
        <f t="shared" si="25"/>
        <v>7.6079071281415206E-5</v>
      </c>
      <c r="U58" s="56">
        <f t="shared" si="26"/>
        <v>1.5822592520577034E-3</v>
      </c>
      <c r="V58" s="56">
        <f t="shared" si="27"/>
        <v>1.2738366553745863E-5</v>
      </c>
      <c r="W58" s="56">
        <f t="shared" si="28"/>
        <v>2.9698430737866198E-6</v>
      </c>
      <c r="X58" s="56">
        <f t="shared" si="29"/>
        <v>1.6748616213360143E-3</v>
      </c>
      <c r="Z58" s="119"/>
    </row>
    <row r="59" spans="2:26" x14ac:dyDescent="0.2">
      <c r="B59" s="119"/>
      <c r="C59" s="2">
        <f t="shared" si="38"/>
        <v>48</v>
      </c>
      <c r="D59" s="2">
        <f t="shared" si="38"/>
        <v>48</v>
      </c>
      <c r="E59" s="2">
        <f t="shared" si="8"/>
        <v>0.13141683778234087</v>
      </c>
      <c r="F59" s="2">
        <f t="shared" si="21"/>
        <v>62.161416837782468</v>
      </c>
      <c r="G59" s="2">
        <f t="shared" si="30"/>
        <v>4.0131170432297319E-8</v>
      </c>
      <c r="H59" s="2">
        <f t="shared" si="31"/>
        <v>4.035054467013886E-8</v>
      </c>
      <c r="I59" s="2">
        <f t="shared" si="32"/>
        <v>3.8565039547145787E-8</v>
      </c>
      <c r="J59" s="2">
        <f t="shared" si="33"/>
        <v>3.8867928155782632E-8</v>
      </c>
      <c r="K59" s="2">
        <f t="shared" si="34"/>
        <v>2.702970233298837E-8</v>
      </c>
      <c r="L59" s="2">
        <f t="shared" si="35"/>
        <v>4.6067821457458419E-8</v>
      </c>
      <c r="M59" s="2">
        <f t="shared" si="36"/>
        <v>0.50352757658345748</v>
      </c>
      <c r="N59" s="2">
        <f t="shared" si="37"/>
        <v>0.49647219240433621</v>
      </c>
      <c r="O59" s="2" t="str">
        <f t="shared" si="17"/>
        <v>OK</v>
      </c>
      <c r="P59" s="2">
        <f t="shared" si="18"/>
        <v>3.8565039547145787E-8</v>
      </c>
      <c r="Q59" s="2">
        <f t="shared" si="19"/>
        <v>3.8867928155782632E-8</v>
      </c>
      <c r="R59" s="2">
        <f t="shared" si="23"/>
        <v>7.7432967702928412E-8</v>
      </c>
      <c r="S59" s="56">
        <f t="shared" si="24"/>
        <v>5.9316772699334743E-7</v>
      </c>
      <c r="T59" s="56">
        <f t="shared" si="25"/>
        <v>5.5365346237270845E-5</v>
      </c>
      <c r="U59" s="56">
        <f t="shared" si="26"/>
        <v>1.1514642575388492E-3</v>
      </c>
      <c r="V59" s="56">
        <f t="shared" si="27"/>
        <v>9.2701456900893322E-6</v>
      </c>
      <c r="W59" s="56">
        <f t="shared" si="28"/>
        <v>2.1612565358789211E-6</v>
      </c>
      <c r="X59" s="56">
        <f t="shared" si="29"/>
        <v>1.2188541737290818E-3</v>
      </c>
      <c r="Z59" s="119"/>
    </row>
    <row r="60" spans="2:26" x14ac:dyDescent="0.2">
      <c r="B60" s="119"/>
      <c r="C60" s="2">
        <f t="shared" si="38"/>
        <v>49</v>
      </c>
      <c r="D60" s="2">
        <f t="shared" si="38"/>
        <v>49</v>
      </c>
      <c r="E60" s="2">
        <f t="shared" si="8"/>
        <v>0.13415468856947296</v>
      </c>
      <c r="F60" s="2">
        <f t="shared" si="21"/>
        <v>62.164154688569603</v>
      </c>
      <c r="G60" s="2">
        <f t="shared" si="30"/>
        <v>2.9204827404798154E-8</v>
      </c>
      <c r="H60" s="2">
        <f t="shared" si="31"/>
        <v>2.9364473552274219E-8</v>
      </c>
      <c r="I60" s="2">
        <f t="shared" si="32"/>
        <v>2.8065100312329303E-8</v>
      </c>
      <c r="J60" s="2">
        <f t="shared" si="33"/>
        <v>2.8285522728192854E-8</v>
      </c>
      <c r="K60" s="2">
        <f t="shared" si="34"/>
        <v>1.9670440282067952E-8</v>
      </c>
      <c r="L60" s="2">
        <f t="shared" si="35"/>
        <v>3.3525131714009476E-8</v>
      </c>
      <c r="M60" s="2">
        <f t="shared" si="36"/>
        <v>0.50352760826391685</v>
      </c>
      <c r="N60" s="2">
        <f t="shared" si="37"/>
        <v>0.49647222362058746</v>
      </c>
      <c r="O60" s="2" t="str">
        <f t="shared" si="17"/>
        <v>OK</v>
      </c>
      <c r="P60" s="2">
        <f t="shared" si="18"/>
        <v>2.8065100312329303E-8</v>
      </c>
      <c r="Q60" s="2">
        <f t="shared" si="19"/>
        <v>2.8285522728192854E-8</v>
      </c>
      <c r="R60" s="2">
        <f t="shared" si="23"/>
        <v>5.6350623040522157E-8</v>
      </c>
      <c r="S60" s="56">
        <f t="shared" si="24"/>
        <v>4.3166847371576817E-7</v>
      </c>
      <c r="T60" s="56">
        <f t="shared" si="25"/>
        <v>4.0291258980203749E-5</v>
      </c>
      <c r="U60" s="56">
        <f t="shared" si="26"/>
        <v>8.3795998327405613E-4</v>
      </c>
      <c r="V60" s="56">
        <f t="shared" si="27"/>
        <v>6.7462025647402571E-6</v>
      </c>
      <c r="W60" s="56">
        <f t="shared" si="28"/>
        <v>1.572820414353975E-6</v>
      </c>
      <c r="X60" s="56">
        <f t="shared" si="29"/>
        <v>8.8700193370706989E-4</v>
      </c>
      <c r="Z60" s="119"/>
    </row>
    <row r="61" spans="2:26" x14ac:dyDescent="0.2">
      <c r="B61" s="119"/>
      <c r="C61" s="2">
        <f t="shared" ref="C61:D76" si="39">C60+1</f>
        <v>50</v>
      </c>
      <c r="D61" s="2">
        <f t="shared" si="39"/>
        <v>50</v>
      </c>
      <c r="E61" s="2">
        <f t="shared" si="8"/>
        <v>0.13689253935660506</v>
      </c>
      <c r="F61" s="2">
        <f t="shared" si="21"/>
        <v>62.166892539356738</v>
      </c>
      <c r="G61" s="2">
        <f t="shared" si="30"/>
        <v>2.1253353305081361E-8</v>
      </c>
      <c r="H61" s="2">
        <f t="shared" si="31"/>
        <v>2.1369533275230623E-8</v>
      </c>
      <c r="I61" s="2">
        <f t="shared" si="32"/>
        <v>2.0423934858881813E-8</v>
      </c>
      <c r="J61" s="2">
        <f t="shared" si="33"/>
        <v>2.0584343801409507E-8</v>
      </c>
      <c r="K61" s="2">
        <f t="shared" si="34"/>
        <v>1.4314853198297263E-8</v>
      </c>
      <c r="L61" s="2">
        <f t="shared" si="35"/>
        <v>2.4397386741623708E-8</v>
      </c>
      <c r="M61" s="2">
        <f t="shared" si="36"/>
        <v>0.50352763131887235</v>
      </c>
      <c r="N61" s="2">
        <f t="shared" si="37"/>
        <v>0.4964722463377228</v>
      </c>
      <c r="O61" s="2" t="str">
        <f t="shared" si="17"/>
        <v>OK</v>
      </c>
      <c r="P61" s="2">
        <f t="shared" si="18"/>
        <v>2.0423934858881813E-8</v>
      </c>
      <c r="Q61" s="2">
        <f t="shared" si="19"/>
        <v>2.0584343801409507E-8</v>
      </c>
      <c r="R61" s="2">
        <f t="shared" si="23"/>
        <v>4.1008278660291321E-8</v>
      </c>
      <c r="S61" s="56">
        <f t="shared" si="24"/>
        <v>3.1413993499715578E-7</v>
      </c>
      <c r="T61" s="56">
        <f t="shared" si="25"/>
        <v>2.9321329324894895E-5</v>
      </c>
      <c r="U61" s="56">
        <f t="shared" si="26"/>
        <v>6.0981218389661175E-4</v>
      </c>
      <c r="V61" s="56">
        <f t="shared" si="27"/>
        <v>4.9094426955084285E-6</v>
      </c>
      <c r="W61" s="56">
        <f t="shared" si="28"/>
        <v>1.1445952920172895E-6</v>
      </c>
      <c r="X61" s="56">
        <f t="shared" si="29"/>
        <v>6.4550169114402953E-4</v>
      </c>
      <c r="Z61" s="119"/>
    </row>
    <row r="62" spans="2:26" x14ac:dyDescent="0.2">
      <c r="B62" s="119"/>
      <c r="C62" s="2">
        <f t="shared" si="39"/>
        <v>51</v>
      </c>
      <c r="D62" s="2">
        <f t="shared" si="39"/>
        <v>51</v>
      </c>
      <c r="E62" s="2">
        <f t="shared" si="8"/>
        <v>0.13963039014373715</v>
      </c>
      <c r="F62" s="2">
        <f t="shared" si="21"/>
        <v>62.169630390143872</v>
      </c>
      <c r="G62" s="2">
        <f t="shared" si="30"/>
        <v>1.5466793227355305E-8</v>
      </c>
      <c r="H62" s="2">
        <f t="shared" si="31"/>
        <v>1.5551341371342984E-8</v>
      </c>
      <c r="I62" s="2">
        <f t="shared" si="32"/>
        <v>1.4863197012575606E-8</v>
      </c>
      <c r="J62" s="2">
        <f t="shared" si="33"/>
        <v>1.4979932094813259E-8</v>
      </c>
      <c r="K62" s="2">
        <f t="shared" si="34"/>
        <v>1.0417409023406906E-8</v>
      </c>
      <c r="L62" s="2">
        <f t="shared" si="35"/>
        <v>1.7754814057050239E-8</v>
      </c>
      <c r="M62" s="2">
        <f t="shared" si="36"/>
        <v>0.50352764809675321</v>
      </c>
      <c r="N62" s="2">
        <f t="shared" si="37"/>
        <v>0.49647226286976032</v>
      </c>
      <c r="O62" s="2" t="str">
        <f t="shared" si="17"/>
        <v>OK</v>
      </c>
      <c r="P62" s="2">
        <f t="shared" si="18"/>
        <v>1.4863197012575606E-8</v>
      </c>
      <c r="Q62" s="2">
        <f t="shared" si="19"/>
        <v>1.4979932094813259E-8</v>
      </c>
      <c r="R62" s="2">
        <f t="shared" si="23"/>
        <v>2.9843129107388865E-8</v>
      </c>
      <c r="S62" s="56">
        <f t="shared" si="24"/>
        <v>2.2861039146675239E-7</v>
      </c>
      <c r="T62" s="56">
        <f t="shared" si="25"/>
        <v>2.1338135743074111E-5</v>
      </c>
      <c r="U62" s="56">
        <f t="shared" si="26"/>
        <v>4.437812151551563E-4</v>
      </c>
      <c r="V62" s="56">
        <f t="shared" si="27"/>
        <v>3.572769621009603E-6</v>
      </c>
      <c r="W62" s="56">
        <f t="shared" si="28"/>
        <v>8.3296120176966176E-7</v>
      </c>
      <c r="X62" s="56">
        <f t="shared" si="29"/>
        <v>4.6975369211247638E-4</v>
      </c>
      <c r="Z62" s="119"/>
    </row>
    <row r="63" spans="2:26" x14ac:dyDescent="0.2">
      <c r="B63" s="119"/>
      <c r="C63" s="2">
        <f t="shared" si="39"/>
        <v>52</v>
      </c>
      <c r="D63" s="2">
        <f t="shared" si="39"/>
        <v>52</v>
      </c>
      <c r="E63" s="2">
        <f t="shared" si="8"/>
        <v>0.14236824093086928</v>
      </c>
      <c r="F63" s="2">
        <f t="shared" si="21"/>
        <v>62.172368240931007</v>
      </c>
      <c r="G63" s="2">
        <f t="shared" si="30"/>
        <v>1.1255715241912891E-8</v>
      </c>
      <c r="H63" s="2">
        <f t="shared" si="31"/>
        <v>1.1317243822464055E-8</v>
      </c>
      <c r="I63" s="2">
        <f t="shared" si="32"/>
        <v>1.0816457600410269E-8</v>
      </c>
      <c r="J63" s="2">
        <f t="shared" si="33"/>
        <v>1.0901409718479864E-8</v>
      </c>
      <c r="K63" s="2">
        <f t="shared" si="34"/>
        <v>7.581105391557089E-9</v>
      </c>
      <c r="L63" s="2">
        <f t="shared" si="35"/>
        <v>1.292078637514967E-8</v>
      </c>
      <c r="M63" s="2">
        <f t="shared" si="36"/>
        <v>0.5035276603065918</v>
      </c>
      <c r="N63" s="2">
        <f t="shared" si="37"/>
        <v>0.49647227490069035</v>
      </c>
      <c r="O63" s="2" t="str">
        <f t="shared" si="17"/>
        <v>OK</v>
      </c>
      <c r="P63" s="2">
        <f t="shared" si="18"/>
        <v>1.0816457600410269E-8</v>
      </c>
      <c r="Q63" s="2">
        <f t="shared" si="19"/>
        <v>1.0901409718479864E-8</v>
      </c>
      <c r="R63" s="2">
        <f t="shared" si="23"/>
        <v>2.1717867318890134E-8</v>
      </c>
      <c r="S63" s="56">
        <f t="shared" si="24"/>
        <v>1.6636761285079835E-7</v>
      </c>
      <c r="T63" s="56">
        <f t="shared" si="25"/>
        <v>1.5528492311679634E-5</v>
      </c>
      <c r="U63" s="56">
        <f t="shared" si="26"/>
        <v>3.2295479186092619E-4</v>
      </c>
      <c r="V63" s="56">
        <f t="shared" si="27"/>
        <v>2.6000268373612574E-6</v>
      </c>
      <c r="W63" s="56">
        <f t="shared" si="28"/>
        <v>6.0617439936410177E-7</v>
      </c>
      <c r="X63" s="56">
        <f t="shared" si="29"/>
        <v>3.4185585302218198E-4</v>
      </c>
      <c r="Z63" s="119"/>
    </row>
    <row r="64" spans="2:26" x14ac:dyDescent="0.2">
      <c r="B64" s="119"/>
      <c r="C64" s="2">
        <f t="shared" si="39"/>
        <v>53</v>
      </c>
      <c r="D64" s="2">
        <f t="shared" si="39"/>
        <v>53</v>
      </c>
      <c r="E64" s="2">
        <f t="shared" si="8"/>
        <v>0.14510609171800137</v>
      </c>
      <c r="F64" s="2">
        <f t="shared" si="21"/>
        <v>62.175106091718142</v>
      </c>
      <c r="G64" s="2">
        <f t="shared" si="30"/>
        <v>8.1911695426921594E-9</v>
      </c>
      <c r="H64" s="2">
        <f t="shared" si="31"/>
        <v>8.2359459984023282E-9</v>
      </c>
      <c r="I64" s="2">
        <f t="shared" si="32"/>
        <v>7.8715067103318424E-9</v>
      </c>
      <c r="J64" s="2">
        <f t="shared" si="33"/>
        <v>7.933329276660432E-9</v>
      </c>
      <c r="K64" s="2">
        <f t="shared" si="34"/>
        <v>5.5170300819291406E-9</v>
      </c>
      <c r="L64" s="2">
        <f t="shared" si="35"/>
        <v>9.402898842861193E-9</v>
      </c>
      <c r="M64" s="2">
        <f t="shared" si="36"/>
        <v>0.50352766919210956</v>
      </c>
      <c r="N64" s="2">
        <f t="shared" si="37"/>
        <v>0.49647228365601026</v>
      </c>
      <c r="O64" s="2" t="str">
        <f t="shared" si="17"/>
        <v>OK</v>
      </c>
      <c r="P64" s="2">
        <f t="shared" si="18"/>
        <v>7.8715067103318424E-9</v>
      </c>
      <c r="Q64" s="2">
        <f t="shared" si="19"/>
        <v>7.933329276660432E-9</v>
      </c>
      <c r="R64" s="2">
        <f t="shared" si="23"/>
        <v>1.5804835986992276E-8</v>
      </c>
      <c r="S64" s="56">
        <f t="shared" si="24"/>
        <v>1.2107141074424194E-7</v>
      </c>
      <c r="T64" s="56">
        <f t="shared" si="25"/>
        <v>1.1300615779059347E-5</v>
      </c>
      <c r="U64" s="56">
        <f t="shared" si="26"/>
        <v>2.3502526475679812E-4</v>
      </c>
      <c r="V64" s="56">
        <f t="shared" si="27"/>
        <v>1.8921285926878443E-6</v>
      </c>
      <c r="W64" s="56">
        <f t="shared" si="28"/>
        <v>4.4113387473962981E-7</v>
      </c>
      <c r="X64" s="56">
        <f t="shared" si="29"/>
        <v>2.4878021441402922E-4</v>
      </c>
      <c r="Z64" s="119"/>
    </row>
    <row r="65" spans="2:26" x14ac:dyDescent="0.2">
      <c r="B65" s="119"/>
      <c r="C65" s="2">
        <f t="shared" si="39"/>
        <v>54</v>
      </c>
      <c r="D65" s="2">
        <f t="shared" si="39"/>
        <v>54</v>
      </c>
      <c r="E65" s="2">
        <f t="shared" si="8"/>
        <v>0.14784394250513347</v>
      </c>
      <c r="F65" s="2">
        <f t="shared" si="21"/>
        <v>62.177843942505277</v>
      </c>
      <c r="G65" s="2">
        <f t="shared" si="30"/>
        <v>5.9609946622747849E-9</v>
      </c>
      <c r="H65" s="2">
        <f t="shared" si="31"/>
        <v>5.9935800228991452E-9</v>
      </c>
      <c r="I65" s="2">
        <f t="shared" si="32"/>
        <v>5.7283650692116666E-9</v>
      </c>
      <c r="J65" s="2">
        <f t="shared" si="33"/>
        <v>5.7733554684424614E-9</v>
      </c>
      <c r="K65" s="2">
        <f t="shared" si="34"/>
        <v>4.0149317748317772E-9</v>
      </c>
      <c r="L65" s="2">
        <f t="shared" si="35"/>
        <v>6.8428115814317995E-9</v>
      </c>
      <c r="M65" s="2">
        <f t="shared" si="36"/>
        <v>0.50352767565840528</v>
      </c>
      <c r="N65" s="2">
        <f t="shared" si="37"/>
        <v>0.49647229002755644</v>
      </c>
      <c r="O65" s="2" t="str">
        <f t="shared" si="17"/>
        <v>OK</v>
      </c>
      <c r="P65" s="2">
        <f t="shared" si="18"/>
        <v>5.7283650692116666E-9</v>
      </c>
      <c r="Q65" s="2">
        <f t="shared" si="19"/>
        <v>5.7733554684424614E-9</v>
      </c>
      <c r="R65" s="2">
        <f t="shared" si="23"/>
        <v>1.1501720537654128E-8</v>
      </c>
      <c r="S65" s="56">
        <f t="shared" si="24"/>
        <v>8.8107812863473463E-8</v>
      </c>
      <c r="T65" s="56">
        <f t="shared" si="25"/>
        <v>8.2238452016280774E-6</v>
      </c>
      <c r="U65" s="56">
        <f t="shared" si="26"/>
        <v>1.7103593588352654E-4</v>
      </c>
      <c r="V65" s="56">
        <f t="shared" si="27"/>
        <v>1.3769667911967946E-6</v>
      </c>
      <c r="W65" s="56">
        <f t="shared" si="28"/>
        <v>3.2102823155669514E-7</v>
      </c>
      <c r="X65" s="56">
        <f t="shared" si="29"/>
        <v>1.8104588392077158E-4</v>
      </c>
      <c r="Z65" s="119"/>
    </row>
    <row r="66" spans="2:26" x14ac:dyDescent="0.2">
      <c r="B66" s="119"/>
      <c r="C66" s="2">
        <f t="shared" si="39"/>
        <v>55</v>
      </c>
      <c r="D66" s="2">
        <f t="shared" si="39"/>
        <v>55</v>
      </c>
      <c r="E66" s="2">
        <f t="shared" si="8"/>
        <v>0.15058179329226556</v>
      </c>
      <c r="F66" s="2">
        <f t="shared" si="21"/>
        <v>62.180581793292411</v>
      </c>
      <c r="G66" s="2">
        <f t="shared" si="30"/>
        <v>4.338020007822941E-9</v>
      </c>
      <c r="H66" s="2">
        <f t="shared" si="31"/>
        <v>4.3617334909510501E-9</v>
      </c>
      <c r="I66" s="2">
        <f t="shared" si="32"/>
        <v>4.1687274842939213E-9</v>
      </c>
      <c r="J66" s="2">
        <f t="shared" si="33"/>
        <v>4.2014685389468118E-9</v>
      </c>
      <c r="K66" s="2">
        <f t="shared" si="34"/>
        <v>2.921803382829711E-9</v>
      </c>
      <c r="L66" s="2">
        <f t="shared" si="35"/>
        <v>4.9797483862677759E-9</v>
      </c>
      <c r="M66" s="2">
        <f t="shared" si="36"/>
        <v>0.50352768036415019</v>
      </c>
      <c r="N66" s="2">
        <f t="shared" si="37"/>
        <v>0.49647229466434883</v>
      </c>
      <c r="O66" s="2" t="str">
        <f t="shared" si="17"/>
        <v>OK</v>
      </c>
      <c r="P66" s="2">
        <f t="shared" si="18"/>
        <v>4.1687274842939213E-9</v>
      </c>
      <c r="Q66" s="2">
        <f t="shared" si="19"/>
        <v>4.2014685389468118E-9</v>
      </c>
      <c r="R66" s="2">
        <f t="shared" si="23"/>
        <v>8.3701960232407323E-9</v>
      </c>
      <c r="S66" s="56">
        <f t="shared" si="24"/>
        <v>6.4119073527472384E-8</v>
      </c>
      <c r="T66" s="56">
        <f t="shared" si="25"/>
        <v>5.984773858577356E-6</v>
      </c>
      <c r="U66" s="56">
        <f t="shared" si="26"/>
        <v>1.2446870932716458E-4</v>
      </c>
      <c r="V66" s="56">
        <f t="shared" si="27"/>
        <v>1.0020659015386477E-6</v>
      </c>
      <c r="W66" s="56">
        <f t="shared" si="28"/>
        <v>2.3362324082966332E-7</v>
      </c>
      <c r="X66" s="56">
        <f t="shared" si="29"/>
        <v>1.3175329140163773E-4</v>
      </c>
      <c r="Z66" s="119"/>
    </row>
    <row r="67" spans="2:26" x14ac:dyDescent="0.2">
      <c r="B67" s="119"/>
      <c r="C67" s="2">
        <f t="shared" si="39"/>
        <v>56</v>
      </c>
      <c r="D67" s="2">
        <f t="shared" si="39"/>
        <v>56</v>
      </c>
      <c r="E67" s="2">
        <f t="shared" si="8"/>
        <v>0.15331964407939766</v>
      </c>
      <c r="F67" s="2">
        <f t="shared" si="21"/>
        <v>62.183319644079546</v>
      </c>
      <c r="G67" s="2">
        <f t="shared" si="30"/>
        <v>3.1569257572679696E-9</v>
      </c>
      <c r="H67" s="2">
        <f t="shared" si="31"/>
        <v>3.1741828712385517E-9</v>
      </c>
      <c r="I67" s="2">
        <f t="shared" si="32"/>
        <v>3.0337257888312472E-9</v>
      </c>
      <c r="J67" s="2">
        <f t="shared" si="33"/>
        <v>3.0575525758371701E-9</v>
      </c>
      <c r="K67" s="2">
        <f t="shared" si="34"/>
        <v>2.1262964071843627E-9</v>
      </c>
      <c r="L67" s="2">
        <f t="shared" si="35"/>
        <v>3.6239334804755458E-9</v>
      </c>
      <c r="M67" s="2">
        <f t="shared" si="36"/>
        <v>0.50352768378868196</v>
      </c>
      <c r="N67" s="2">
        <f t="shared" si="37"/>
        <v>0.49647229803870152</v>
      </c>
      <c r="O67" s="2" t="str">
        <f t="shared" si="17"/>
        <v>OK</v>
      </c>
      <c r="P67" s="2">
        <f t="shared" si="18"/>
        <v>3.0337257888312472E-9</v>
      </c>
      <c r="Q67" s="2">
        <f t="shared" si="19"/>
        <v>3.0575525758371701E-9</v>
      </c>
      <c r="R67" s="2">
        <f t="shared" si="23"/>
        <v>6.0912783646684169E-9</v>
      </c>
      <c r="S67" s="56">
        <f t="shared" si="24"/>
        <v>4.6661646185588139E-8</v>
      </c>
      <c r="T67" s="56">
        <f t="shared" si="25"/>
        <v>4.3553249435215648E-6</v>
      </c>
      <c r="U67" s="56">
        <f t="shared" si="26"/>
        <v>9.0580143415711019E-5</v>
      </c>
      <c r="V67" s="56">
        <f t="shared" si="27"/>
        <v>7.2923768201680084E-7</v>
      </c>
      <c r="W67" s="56">
        <f t="shared" si="28"/>
        <v>1.7001563504584114E-7</v>
      </c>
      <c r="X67" s="56">
        <f t="shared" si="29"/>
        <v>9.5881383322480798E-5</v>
      </c>
      <c r="Z67" s="119"/>
    </row>
    <row r="68" spans="2:26" x14ac:dyDescent="0.2">
      <c r="B68" s="119"/>
      <c r="C68" s="2">
        <f t="shared" si="39"/>
        <v>57</v>
      </c>
      <c r="D68" s="2">
        <f t="shared" si="39"/>
        <v>57</v>
      </c>
      <c r="E68" s="2">
        <f t="shared" si="8"/>
        <v>0.15605749486652978</v>
      </c>
      <c r="F68" s="2">
        <f t="shared" si="21"/>
        <v>62.186057494866681</v>
      </c>
      <c r="G68" s="2">
        <f t="shared" si="30"/>
        <v>2.2974030131095509E-9</v>
      </c>
      <c r="H68" s="2">
        <f t="shared" si="31"/>
        <v>2.309961606083211E-9</v>
      </c>
      <c r="I68" s="2">
        <f t="shared" si="32"/>
        <v>2.207746175900154E-9</v>
      </c>
      <c r="J68" s="2">
        <f t="shared" si="33"/>
        <v>2.2250857449838114E-9</v>
      </c>
      <c r="K68" s="2">
        <f t="shared" si="34"/>
        <v>1.5473787311542143E-9</v>
      </c>
      <c r="L68" s="2">
        <f t="shared" si="35"/>
        <v>2.6372605304972953E-9</v>
      </c>
      <c r="M68" s="2">
        <f t="shared" si="36"/>
        <v>0.503527686280831</v>
      </c>
      <c r="N68" s="2">
        <f t="shared" si="37"/>
        <v>0.49647230049433355</v>
      </c>
      <c r="O68" s="2" t="str">
        <f t="shared" si="17"/>
        <v>OK</v>
      </c>
      <c r="P68" s="2">
        <f t="shared" si="18"/>
        <v>2.207746175900154E-9</v>
      </c>
      <c r="Q68" s="2">
        <f t="shared" si="19"/>
        <v>2.2250857449838114E-9</v>
      </c>
      <c r="R68" s="2">
        <f t="shared" si="23"/>
        <v>4.4328319208839655E-9</v>
      </c>
      <c r="S68" s="56">
        <f t="shared" si="24"/>
        <v>3.3957278309957572E-8</v>
      </c>
      <c r="T68" s="56">
        <f t="shared" si="25"/>
        <v>3.1695191517512441E-6</v>
      </c>
      <c r="U68" s="56">
        <f t="shared" si="26"/>
        <v>6.5918273159277751E-5</v>
      </c>
      <c r="V68" s="56">
        <f t="shared" si="27"/>
        <v>5.3069124102186292E-7</v>
      </c>
      <c r="W68" s="56">
        <f t="shared" si="28"/>
        <v>1.2372620145748154E-7</v>
      </c>
      <c r="X68" s="56">
        <f t="shared" si="29"/>
        <v>6.9776167031818299E-5</v>
      </c>
      <c r="Z68" s="119"/>
    </row>
    <row r="69" spans="2:26" x14ac:dyDescent="0.2">
      <c r="B69" s="119"/>
      <c r="C69" s="2">
        <f t="shared" si="39"/>
        <v>58</v>
      </c>
      <c r="D69" s="2">
        <f t="shared" si="39"/>
        <v>58</v>
      </c>
      <c r="E69" s="2">
        <f t="shared" si="8"/>
        <v>0.15879534565366188</v>
      </c>
      <c r="F69" s="2">
        <f t="shared" si="21"/>
        <v>62.188795345653816</v>
      </c>
      <c r="G69" s="2">
        <f t="shared" si="30"/>
        <v>1.6718988694914772E-9</v>
      </c>
      <c r="H69" s="2">
        <f t="shared" si="31"/>
        <v>1.6810381877892475E-9</v>
      </c>
      <c r="I69" s="2">
        <f t="shared" si="32"/>
        <v>1.6066525178861113E-9</v>
      </c>
      <c r="J69" s="2">
        <f t="shared" si="33"/>
        <v>1.6192711162700312E-9</v>
      </c>
      <c r="K69" s="2">
        <f t="shared" si="34"/>
        <v>1.126080507655591E-9</v>
      </c>
      <c r="L69" s="2">
        <f t="shared" si="35"/>
        <v>1.9192248266119378E-9</v>
      </c>
      <c r="M69" s="2">
        <f t="shared" si="36"/>
        <v>0.50352768809445325</v>
      </c>
      <c r="N69" s="2">
        <f t="shared" si="37"/>
        <v>0.49647230228138112</v>
      </c>
      <c r="O69" s="2" t="str">
        <f t="shared" si="17"/>
        <v>OK</v>
      </c>
      <c r="P69" s="2">
        <f t="shared" si="18"/>
        <v>1.6066525178861113E-9</v>
      </c>
      <c r="Q69" s="2">
        <f t="shared" si="19"/>
        <v>1.6192711162700312E-9</v>
      </c>
      <c r="R69" s="2">
        <f t="shared" si="23"/>
        <v>3.2259236341561427E-9</v>
      </c>
      <c r="S69" s="56">
        <f t="shared" si="24"/>
        <v>2.4711874622547256E-8</v>
      </c>
      <c r="T69" s="56">
        <f t="shared" si="25"/>
        <v>2.3065676576579836E-6</v>
      </c>
      <c r="U69" s="56">
        <f t="shared" si="26"/>
        <v>4.7970985388697047E-5</v>
      </c>
      <c r="V69" s="56">
        <f t="shared" si="27"/>
        <v>3.8620219476101677E-7</v>
      </c>
      <c r="W69" s="56">
        <f t="shared" si="28"/>
        <v>9.0039795004558124E-8</v>
      </c>
      <c r="X69" s="56">
        <f t="shared" si="29"/>
        <v>5.0778506910743152E-5</v>
      </c>
      <c r="Z69" s="119"/>
    </row>
    <row r="70" spans="2:26" x14ac:dyDescent="0.2">
      <c r="B70" s="119"/>
      <c r="C70" s="2">
        <f t="shared" si="39"/>
        <v>59</v>
      </c>
      <c r="D70" s="2">
        <f t="shared" si="39"/>
        <v>59</v>
      </c>
      <c r="E70" s="2">
        <f t="shared" si="8"/>
        <v>0.16153319644079397</v>
      </c>
      <c r="F70" s="2">
        <f t="shared" si="21"/>
        <v>62.19153319644095</v>
      </c>
      <c r="G70" s="2">
        <f t="shared" si="30"/>
        <v>1.2166980777236356E-9</v>
      </c>
      <c r="H70" s="2">
        <f t="shared" si="31"/>
        <v>1.2233490727135324E-9</v>
      </c>
      <c r="I70" s="2">
        <f t="shared" si="32"/>
        <v>1.1692160726661918E-9</v>
      </c>
      <c r="J70" s="2">
        <f t="shared" si="33"/>
        <v>1.178399058956476E-9</v>
      </c>
      <c r="K70" s="2">
        <f t="shared" si="34"/>
        <v>8.1948735897126448E-10</v>
      </c>
      <c r="L70" s="2">
        <f t="shared" si="35"/>
        <v>1.3966856487967299E-9</v>
      </c>
      <c r="M70" s="2">
        <f t="shared" si="36"/>
        <v>0.50352768941428827</v>
      </c>
      <c r="N70" s="2">
        <f t="shared" si="37"/>
        <v>0.49647230358187683</v>
      </c>
      <c r="O70" s="2" t="str">
        <f t="shared" si="17"/>
        <v>OK</v>
      </c>
      <c r="P70" s="2">
        <f t="shared" si="18"/>
        <v>1.1692160726661918E-9</v>
      </c>
      <c r="Q70" s="2">
        <f t="shared" si="19"/>
        <v>1.178399058956476E-9</v>
      </c>
      <c r="R70" s="2">
        <f t="shared" si="23"/>
        <v>2.3476151316226676E-9</v>
      </c>
      <c r="S70" s="56">
        <f t="shared" si="24"/>
        <v>1.7983677660686411E-8</v>
      </c>
      <c r="T70" s="56">
        <f t="shared" si="25"/>
        <v>1.6785682952615235E-6</v>
      </c>
      <c r="U70" s="56">
        <f t="shared" si="26"/>
        <v>3.4910129299081895E-5</v>
      </c>
      <c r="V70" s="56">
        <f t="shared" si="27"/>
        <v>2.8105256636802436E-7</v>
      </c>
      <c r="W70" s="56">
        <f t="shared" si="28"/>
        <v>6.5525043111008892E-8</v>
      </c>
      <c r="X70" s="56">
        <f t="shared" si="29"/>
        <v>3.6953258881483142E-5</v>
      </c>
      <c r="Z70" s="119"/>
    </row>
    <row r="71" spans="2:26" x14ac:dyDescent="0.2">
      <c r="B71" s="119"/>
      <c r="C71" s="2">
        <f t="shared" si="39"/>
        <v>60</v>
      </c>
      <c r="D71" s="2">
        <f t="shared" si="39"/>
        <v>60</v>
      </c>
      <c r="E71" s="2">
        <f t="shared" si="8"/>
        <v>0.16427104722792607</v>
      </c>
      <c r="F71" s="2">
        <f t="shared" si="21"/>
        <v>62.194271047228085</v>
      </c>
      <c r="G71" s="2">
        <f t="shared" si="30"/>
        <v>8.8543286878748431E-10</v>
      </c>
      <c r="H71" s="2">
        <f t="shared" si="31"/>
        <v>8.9027302566947201E-10</v>
      </c>
      <c r="I71" s="2">
        <f t="shared" si="32"/>
        <v>8.5087858722532995E-10</v>
      </c>
      <c r="J71" s="2">
        <f t="shared" si="33"/>
        <v>8.5756136090921278E-10</v>
      </c>
      <c r="K71" s="2">
        <f t="shared" si="34"/>
        <v>5.9636902241726128E-10</v>
      </c>
      <c r="L71" s="2">
        <f t="shared" si="35"/>
        <v>1.0164159896776777E-9</v>
      </c>
      <c r="M71" s="2">
        <f t="shared" si="36"/>
        <v>0.5035276903747774</v>
      </c>
      <c r="N71" s="2">
        <f t="shared" si="37"/>
        <v>0.49647230452829211</v>
      </c>
      <c r="O71" s="2" t="str">
        <f t="shared" si="17"/>
        <v>OK</v>
      </c>
      <c r="P71" s="2">
        <f t="shared" si="18"/>
        <v>8.5087858722532995E-10</v>
      </c>
      <c r="Q71" s="2">
        <f t="shared" si="19"/>
        <v>8.5756136090921278E-10</v>
      </c>
      <c r="R71" s="2">
        <f t="shared" si="23"/>
        <v>1.7084399481345426E-9</v>
      </c>
      <c r="S71" s="56">
        <f t="shared" si="24"/>
        <v>1.3087338259169859E-8</v>
      </c>
      <c r="T71" s="56">
        <f t="shared" si="25"/>
        <v>1.2215516473156794E-6</v>
      </c>
      <c r="U71" s="56">
        <f t="shared" si="26"/>
        <v>2.540529692695808E-5</v>
      </c>
      <c r="V71" s="56">
        <f t="shared" si="27"/>
        <v>2.0453157991743767E-7</v>
      </c>
      <c r="W71" s="56">
        <f t="shared" si="28"/>
        <v>4.7684818412594362E-8</v>
      </c>
      <c r="X71" s="56">
        <f t="shared" si="29"/>
        <v>2.689215231086296E-5</v>
      </c>
      <c r="Z71" s="119"/>
    </row>
    <row r="72" spans="2:26" x14ac:dyDescent="0.2">
      <c r="B72" s="119"/>
      <c r="C72" s="2">
        <f t="shared" si="39"/>
        <v>61</v>
      </c>
      <c r="D72" s="2">
        <f t="shared" si="39"/>
        <v>61</v>
      </c>
      <c r="E72" s="2">
        <f t="shared" si="8"/>
        <v>0.16700889801505817</v>
      </c>
      <c r="F72" s="2">
        <f t="shared" si="21"/>
        <v>62.19700889801522</v>
      </c>
      <c r="G72" s="2">
        <f t="shared" si="30"/>
        <v>6.4435982885419862E-10</v>
      </c>
      <c r="H72" s="2">
        <f t="shared" si="31"/>
        <v>6.4788217681534444E-10</v>
      </c>
      <c r="I72" s="2">
        <f t="shared" si="32"/>
        <v>6.1921349451486036E-10</v>
      </c>
      <c r="J72" s="2">
        <f t="shared" si="33"/>
        <v>6.2407677784103152E-10</v>
      </c>
      <c r="K72" s="2">
        <f t="shared" si="34"/>
        <v>4.3399816605516549E-10</v>
      </c>
      <c r="L72" s="2">
        <f t="shared" si="35"/>
        <v>7.3968073271354141E-10</v>
      </c>
      <c r="M72" s="2">
        <f t="shared" si="36"/>
        <v>0.50352769107375828</v>
      </c>
      <c r="N72" s="2">
        <f t="shared" si="37"/>
        <v>0.49647230521703095</v>
      </c>
      <c r="O72" s="2" t="str">
        <f t="shared" si="17"/>
        <v>OK</v>
      </c>
      <c r="P72" s="2">
        <f t="shared" si="18"/>
        <v>6.1921349451486036E-10</v>
      </c>
      <c r="Q72" s="2">
        <f t="shared" si="19"/>
        <v>6.2407677784103152E-10</v>
      </c>
      <c r="R72" s="2">
        <f t="shared" si="23"/>
        <v>1.2432902723558918E-9</v>
      </c>
      <c r="S72" s="56">
        <f t="shared" si="24"/>
        <v>9.524104354047556E-9</v>
      </c>
      <c r="T72" s="56">
        <f t="shared" si="25"/>
        <v>8.8896497763718614E-7</v>
      </c>
      <c r="U72" s="56">
        <f t="shared" si="26"/>
        <v>1.8488304824579379E-5</v>
      </c>
      <c r="V72" s="56">
        <f t="shared" si="27"/>
        <v>1.4884463687388912E-7</v>
      </c>
      <c r="W72" s="56">
        <f t="shared" si="28"/>
        <v>3.4701875788007971E-8</v>
      </c>
      <c r="X72" s="56">
        <f t="shared" si="29"/>
        <v>1.957034041923251E-5</v>
      </c>
      <c r="Z72" s="119"/>
    </row>
    <row r="73" spans="2:26" x14ac:dyDescent="0.2">
      <c r="B73" s="119"/>
      <c r="C73" s="2">
        <f t="shared" si="39"/>
        <v>62</v>
      </c>
      <c r="D73" s="2">
        <f t="shared" si="39"/>
        <v>62</v>
      </c>
      <c r="E73" s="2">
        <f t="shared" si="8"/>
        <v>0.16974674880219029</v>
      </c>
      <c r="F73" s="2">
        <f t="shared" si="21"/>
        <v>62.199746748802355</v>
      </c>
      <c r="G73" s="2">
        <f t="shared" si="30"/>
        <v>4.6892271981001594E-10</v>
      </c>
      <c r="H73" s="2">
        <f t="shared" si="31"/>
        <v>4.714860530783155E-10</v>
      </c>
      <c r="I73" s="2">
        <f t="shared" si="32"/>
        <v>4.5062287093113329E-10</v>
      </c>
      <c r="J73" s="2">
        <f t="shared" si="33"/>
        <v>4.5416204879790085E-10</v>
      </c>
      <c r="K73" s="2">
        <f t="shared" si="34"/>
        <v>3.1583533191544812E-10</v>
      </c>
      <c r="L73" s="2">
        <f t="shared" si="35"/>
        <v>5.3829100673745259E-10</v>
      </c>
      <c r="M73" s="2">
        <f t="shared" si="36"/>
        <v>0.5035276915824306</v>
      </c>
      <c r="N73" s="2">
        <f t="shared" si="37"/>
        <v>0.4964723057182498</v>
      </c>
      <c r="O73" s="2" t="str">
        <f t="shared" si="17"/>
        <v>OK</v>
      </c>
      <c r="P73" s="2">
        <f t="shared" si="18"/>
        <v>4.5062287093113329E-10</v>
      </c>
      <c r="Q73" s="2">
        <f t="shared" si="19"/>
        <v>4.5416204879790085E-10</v>
      </c>
      <c r="R73" s="2">
        <f t="shared" si="23"/>
        <v>9.0478491972903409E-10</v>
      </c>
      <c r="S73" s="56">
        <f t="shared" si="24"/>
        <v>6.9310169837805745E-9</v>
      </c>
      <c r="T73" s="56">
        <f t="shared" si="25"/>
        <v>6.469302654554567E-7</v>
      </c>
      <c r="U73" s="56">
        <f t="shared" si="26"/>
        <v>1.3454572732187031E-5</v>
      </c>
      <c r="V73" s="56">
        <f t="shared" si="27"/>
        <v>1.0831934088155483E-7</v>
      </c>
      <c r="W73" s="56">
        <f t="shared" si="28"/>
        <v>2.525374371328798E-8</v>
      </c>
      <c r="X73" s="56">
        <f t="shared" si="29"/>
        <v>1.424200709922111E-5</v>
      </c>
      <c r="Z73" s="119"/>
    </row>
    <row r="74" spans="2:26" x14ac:dyDescent="0.2">
      <c r="B74" s="119"/>
      <c r="C74" s="2">
        <f t="shared" si="39"/>
        <v>63</v>
      </c>
      <c r="D74" s="2">
        <f t="shared" si="39"/>
        <v>63</v>
      </c>
      <c r="E74" s="2">
        <f t="shared" si="8"/>
        <v>0.17248459958932238</v>
      </c>
      <c r="F74" s="2">
        <f t="shared" si="21"/>
        <v>62.202484599589489</v>
      </c>
      <c r="G74" s="2">
        <f t="shared" si="30"/>
        <v>3.4125112601297436E-10</v>
      </c>
      <c r="H74" s="2">
        <f t="shared" si="31"/>
        <v>3.4311655143852875E-10</v>
      </c>
      <c r="I74" s="2">
        <f t="shared" si="32"/>
        <v>3.2793369912797272E-10</v>
      </c>
      <c r="J74" s="2">
        <f t="shared" si="33"/>
        <v>3.3050928009509664E-10</v>
      </c>
      <c r="K74" s="2">
        <f t="shared" si="34"/>
        <v>2.2984418987950698E-10</v>
      </c>
      <c r="L74" s="2">
        <f t="shared" si="35"/>
        <v>3.917328045999483E-10</v>
      </c>
      <c r="M74" s="2">
        <f t="shared" si="36"/>
        <v>0.50352769195260882</v>
      </c>
      <c r="N74" s="2">
        <f t="shared" si="37"/>
        <v>0.49647230608300391</v>
      </c>
      <c r="O74" s="2" t="str">
        <f t="shared" si="17"/>
        <v>OK</v>
      </c>
      <c r="P74" s="2">
        <f t="shared" si="18"/>
        <v>3.2793369912797272E-10</v>
      </c>
      <c r="Q74" s="2">
        <f t="shared" si="19"/>
        <v>3.3050928009509664E-10</v>
      </c>
      <c r="R74" s="2">
        <f t="shared" si="23"/>
        <v>6.5844297922306936E-10</v>
      </c>
      <c r="S74" s="56">
        <f t="shared" si="24"/>
        <v>5.0439384790066E-9</v>
      </c>
      <c r="T74" s="56">
        <f t="shared" si="25"/>
        <v>4.707933145742868E-7</v>
      </c>
      <c r="U74" s="56">
        <f t="shared" si="26"/>
        <v>9.7913534595689595E-6</v>
      </c>
      <c r="V74" s="56">
        <f t="shared" si="27"/>
        <v>7.8827694806064847E-8</v>
      </c>
      <c r="W74" s="56">
        <f t="shared" si="28"/>
        <v>1.8378014359581734E-8</v>
      </c>
      <c r="X74" s="56">
        <f t="shared" si="29"/>
        <v>1.0364396421787899E-5</v>
      </c>
      <c r="Z74" s="119"/>
    </row>
    <row r="75" spans="2:26" x14ac:dyDescent="0.2">
      <c r="B75" s="119"/>
      <c r="C75" s="2">
        <f t="shared" si="39"/>
        <v>64</v>
      </c>
      <c r="D75" s="2">
        <f t="shared" si="39"/>
        <v>64</v>
      </c>
      <c r="E75" s="2">
        <f t="shared" si="8"/>
        <v>0.17522245037645448</v>
      </c>
      <c r="F75" s="2">
        <f t="shared" si="21"/>
        <v>62.205222450376624</v>
      </c>
      <c r="G75" s="2">
        <f t="shared" si="30"/>
        <v>2.4834013385468627E-10</v>
      </c>
      <c r="H75" s="2">
        <f t="shared" si="31"/>
        <v>2.4969766783645109E-10</v>
      </c>
      <c r="I75" s="2">
        <f t="shared" si="32"/>
        <v>2.3864858612600406E-10</v>
      </c>
      <c r="J75" s="2">
        <f t="shared" si="33"/>
        <v>2.4052292462153418E-10</v>
      </c>
      <c r="K75" s="2">
        <f t="shared" si="34"/>
        <v>1.6726549021915471E-10</v>
      </c>
      <c r="L75" s="2">
        <f t="shared" si="35"/>
        <v>2.8507738059719723E-10</v>
      </c>
      <c r="M75" s="2">
        <f t="shared" si="36"/>
        <v>0.50352769222200022</v>
      </c>
      <c r="N75" s="2">
        <f t="shared" si="37"/>
        <v>0.49647230634844797</v>
      </c>
      <c r="O75" s="2" t="str">
        <f t="shared" si="17"/>
        <v>OK</v>
      </c>
      <c r="P75" s="2">
        <f t="shared" si="18"/>
        <v>2.3864858612600406E-10</v>
      </c>
      <c r="Q75" s="2">
        <f t="shared" si="19"/>
        <v>2.4052292462153418E-10</v>
      </c>
      <c r="R75" s="2">
        <f t="shared" ref="R75:R106" si="40">SUM(P75:Q75)</f>
        <v>4.7917151074753823E-10</v>
      </c>
      <c r="S75" s="56">
        <f t="shared" ref="S75:S111" si="41">CHG4_cost_perpatient*(G75+H75+J75)</f>
        <v>3.6706468097739774E-9</v>
      </c>
      <c r="T75" s="56">
        <f t="shared" ref="T75:T111" si="42">treatment_cost*(I75+J75)</f>
        <v>3.4261242189959729E-7</v>
      </c>
      <c r="U75" s="56">
        <f t="shared" ref="U75:U111" si="43">ICU_Cost_without*(G76+H76+K76+L76)+ICU_cost_with*(I75+J75)</f>
        <v>7.1255033124065114E-6</v>
      </c>
      <c r="V75" s="56">
        <f t="shared" ref="V75:V111" si="44">Resource_cost*(H75+J75)</f>
        <v>5.7365613729433439E-8</v>
      </c>
      <c r="W75" s="56">
        <f t="shared" ref="W75:W106" si="45">IF(Incl_AE="Yes",Adverse_Event_Cost*K77,0)</f>
        <v>1.3374310582841423E-8</v>
      </c>
      <c r="X75" s="56">
        <f t="shared" ref="X75:X106" si="46">SUM(S75:W75)</f>
        <v>7.5425263054281576E-6</v>
      </c>
      <c r="Z75" s="119"/>
    </row>
    <row r="76" spans="2:26" x14ac:dyDescent="0.2">
      <c r="B76" s="119"/>
      <c r="C76" s="2">
        <f t="shared" si="39"/>
        <v>65</v>
      </c>
      <c r="D76" s="2">
        <f t="shared" si="39"/>
        <v>65</v>
      </c>
      <c r="E76" s="2">
        <f t="shared" ref="E76:E111" si="47">D76*(1/365.25)</f>
        <v>0.17796030116358658</v>
      </c>
      <c r="F76" s="2">
        <f t="shared" si="21"/>
        <v>62.207960301163759</v>
      </c>
      <c r="G76" s="2">
        <f t="shared" ref="G76:G111" si="48">G75*tp_CHG4_1_1+H75*tp_CHG4_2_1+I75*tp_CHG4_3_1+J75*tp_CHG4_4_1+L75*tp_CHG4_6_1</f>
        <v>1.8072562222291008E-10</v>
      </c>
      <c r="H76" s="2">
        <f t="shared" ref="H76:H111" si="49">G75*tp_CHG4_1_2+J75*tp_CHG4_4_2+H75*tp_CHG4_2_2+I75*tp_CHG4_3_2+L75*tp_CHG4_6_2</f>
        <v>1.8171354620336003E-10</v>
      </c>
      <c r="I76" s="2">
        <f t="shared" ref="I76:I111" si="50">G75*tp_CHG4_1_3+H75*tp_CHG4_2_3+I75*tp_CHG4_3_3+J75*tp_CHG4_4_3+L75*tp_CHG4_6_3</f>
        <v>1.7367275095968528E-10</v>
      </c>
      <c r="J76" s="2">
        <f t="shared" ref="J76:J111" si="51">G75*tp_CHG4_1_4+H75*tp_CHG4_2_4+I75*tp_CHG4_3_4+J75*tp_CHG4_4_4+L75*tp_CHG4_6_4</f>
        <v>1.7503677128778593E-10</v>
      </c>
      <c r="K76" s="2">
        <f t="shared" ref="K76:K111" si="52">G75*tp_CHG4_1_5+H75*tp_chg4_2_5+I75*tp_CHG4_3_5+J75*tp_CHG4_4_5</f>
        <v>1.2172482686171502E-10</v>
      </c>
      <c r="L76" s="2">
        <f t="shared" ref="L76:L111" si="53">K75*tp_CHG4_5_6+L75*tp_CHG4_6_6</f>
        <v>2.0746057510081194E-10</v>
      </c>
      <c r="M76" s="2">
        <f t="shared" ref="M76:M111" si="54">G75*tp_CHG4_1_7+H75*tp_CHG4_2_7+I75*tp_CHG4_3_7+J75*tp_CHG4_4_7+L75*tp_CHG4_6_7+M75</f>
        <v>0.50352769241804562</v>
      </c>
      <c r="N76" s="2">
        <f t="shared" ref="N76:N111" si="55">G75*tp_CHG4_1_8+H75*tp_CHG4_2_8+I75*tp_CHG4_3_8+J75*tp_CHG4_4_8+L75*tp_CHG4_6_8+N75</f>
        <v>0.49647230654162072</v>
      </c>
      <c r="O76" s="2" t="str">
        <f t="shared" ref="O76:O111" si="56">IF(ROUND(SUM(G76:N76),6)=$G$11,"OK","ERROR")</f>
        <v>OK</v>
      </c>
      <c r="P76" s="2">
        <f t="shared" ref="P76:P111" si="57">I76</f>
        <v>1.7367275095968528E-10</v>
      </c>
      <c r="Q76" s="2">
        <f t="shared" ref="Q76:Q111" si="58">J76</f>
        <v>1.7503677128778593E-10</v>
      </c>
      <c r="R76" s="2">
        <f t="shared" si="40"/>
        <v>3.4870952224747119E-10</v>
      </c>
      <c r="S76" s="56">
        <f t="shared" si="41"/>
        <v>2.6712554203788587E-9</v>
      </c>
      <c r="T76" s="56">
        <f t="shared" si="42"/>
        <v>2.4933079550216438E-7</v>
      </c>
      <c r="U76" s="56">
        <f t="shared" si="43"/>
        <v>5.1854728424185928E-6</v>
      </c>
      <c r="V76" s="56">
        <f t="shared" si="44"/>
        <v>4.17469221528139E-8</v>
      </c>
      <c r="W76" s="56">
        <f t="shared" si="45"/>
        <v>9.7329439441342866E-9</v>
      </c>
      <c r="X76" s="56">
        <f t="shared" si="46"/>
        <v>5.4889547594380839E-6</v>
      </c>
      <c r="Z76" s="119"/>
    </row>
    <row r="77" spans="2:26" x14ac:dyDescent="0.2">
      <c r="B77" s="119"/>
      <c r="C77" s="2">
        <f t="shared" ref="C77:D92" si="59">C76+1</f>
        <v>66</v>
      </c>
      <c r="D77" s="2">
        <f t="shared" si="59"/>
        <v>66</v>
      </c>
      <c r="E77" s="2">
        <f t="shared" si="47"/>
        <v>0.18069815195071867</v>
      </c>
      <c r="F77" s="2">
        <f t="shared" ref="F77:F111" si="60">F76+1/365.25</f>
        <v>62.210698151950893</v>
      </c>
      <c r="G77" s="2">
        <f t="shared" si="48"/>
        <v>1.3152022599363546E-10</v>
      </c>
      <c r="H77" s="2">
        <f t="shared" si="49"/>
        <v>1.3223917211524871E-10</v>
      </c>
      <c r="I77" s="2">
        <f t="shared" si="50"/>
        <v>1.2638760998139543E-10</v>
      </c>
      <c r="J77" s="2">
        <f t="shared" si="51"/>
        <v>1.2738025429826182E-10</v>
      </c>
      <c r="K77" s="2">
        <f t="shared" si="52"/>
        <v>8.8583326154731888E-11</v>
      </c>
      <c r="L77" s="2">
        <f t="shared" si="53"/>
        <v>1.509761670006827E-10</v>
      </c>
      <c r="M77" s="2">
        <f t="shared" si="54"/>
        <v>0.5035276925607145</v>
      </c>
      <c r="N77" s="2">
        <f t="shared" si="55"/>
        <v>0.49647230668219916</v>
      </c>
      <c r="O77" s="2" t="str">
        <f t="shared" si="56"/>
        <v>OK</v>
      </c>
      <c r="P77" s="2">
        <f t="shared" si="57"/>
        <v>1.2638760998139543E-10</v>
      </c>
      <c r="Q77" s="2">
        <f t="shared" si="58"/>
        <v>1.2738025429826182E-10</v>
      </c>
      <c r="R77" s="2">
        <f t="shared" si="40"/>
        <v>2.5376786427965725E-10</v>
      </c>
      <c r="S77" s="56">
        <f t="shared" si="41"/>
        <v>1.9439640724635156E-9</v>
      </c>
      <c r="T77" s="56">
        <f t="shared" si="42"/>
        <v>1.8144656063859774E-7</v>
      </c>
      <c r="U77" s="56">
        <f t="shared" si="43"/>
        <v>3.7736462142460829E-6</v>
      </c>
      <c r="V77" s="56">
        <f t="shared" si="44"/>
        <v>3.0380665278908999E-8</v>
      </c>
      <c r="W77" s="56">
        <f t="shared" si="45"/>
        <v>7.0829967072242574E-9</v>
      </c>
      <c r="X77" s="56">
        <f t="shared" si="46"/>
        <v>3.9945004009432773E-6</v>
      </c>
      <c r="Z77" s="119"/>
    </row>
    <row r="78" spans="2:26" x14ac:dyDescent="0.2">
      <c r="B78" s="119"/>
      <c r="C78" s="2">
        <f t="shared" si="59"/>
        <v>67</v>
      </c>
      <c r="D78" s="2">
        <f t="shared" si="59"/>
        <v>67</v>
      </c>
      <c r="E78" s="2">
        <f t="shared" si="47"/>
        <v>0.1834360027378508</v>
      </c>
      <c r="F78" s="2">
        <f t="shared" si="60"/>
        <v>62.213436002738028</v>
      </c>
      <c r="G78" s="2">
        <f t="shared" si="48"/>
        <v>9.5711773641491859E-11</v>
      </c>
      <c r="H78" s="2">
        <f t="shared" si="49"/>
        <v>9.6234975361473749E-11</v>
      </c>
      <c r="I78" s="2">
        <f t="shared" si="50"/>
        <v>9.1976593153161608E-11</v>
      </c>
      <c r="J78" s="2">
        <f t="shared" si="51"/>
        <v>9.2698974425278849E-11</v>
      </c>
      <c r="K78" s="2">
        <f t="shared" si="52"/>
        <v>6.4465120838086406E-11</v>
      </c>
      <c r="L78" s="2">
        <f t="shared" si="53"/>
        <v>1.0987052836974818E-10</v>
      </c>
      <c r="M78" s="2">
        <f t="shared" si="54"/>
        <v>0.50352769266453956</v>
      </c>
      <c r="N78" s="2">
        <f t="shared" si="55"/>
        <v>0.49647230678450288</v>
      </c>
      <c r="O78" s="2" t="str">
        <f t="shared" si="56"/>
        <v>OK</v>
      </c>
      <c r="P78" s="2">
        <f t="shared" si="57"/>
        <v>9.1976593153161608E-11</v>
      </c>
      <c r="Q78" s="2">
        <f t="shared" si="58"/>
        <v>9.2698974425278849E-11</v>
      </c>
      <c r="R78" s="2">
        <f t="shared" si="40"/>
        <v>1.8467556757844046E-10</v>
      </c>
      <c r="S78" s="56">
        <f t="shared" si="41"/>
        <v>1.414689245438375E-9</v>
      </c>
      <c r="T78" s="56">
        <f t="shared" si="42"/>
        <v>1.3204487757426072E-7</v>
      </c>
      <c r="U78" s="56">
        <f t="shared" si="43"/>
        <v>2.7462116152269404E-6</v>
      </c>
      <c r="V78" s="56">
        <f t="shared" si="44"/>
        <v>2.2109050804045786E-8</v>
      </c>
      <c r="W78" s="56">
        <f t="shared" si="45"/>
        <v>5.1545393297764449E-9</v>
      </c>
      <c r="X78" s="56">
        <f t="shared" si="46"/>
        <v>2.9069347721804616E-6</v>
      </c>
      <c r="Z78" s="119"/>
    </row>
    <row r="79" spans="2:26" x14ac:dyDescent="0.2">
      <c r="B79" s="119"/>
      <c r="C79" s="2">
        <f t="shared" si="59"/>
        <v>68</v>
      </c>
      <c r="D79" s="2">
        <f t="shared" si="59"/>
        <v>68</v>
      </c>
      <c r="E79" s="2">
        <f t="shared" si="47"/>
        <v>0.18617385352498289</v>
      </c>
      <c r="F79" s="2">
        <f t="shared" si="60"/>
        <v>62.216173853525163</v>
      </c>
      <c r="G79" s="2">
        <f t="shared" si="48"/>
        <v>6.9652736257033828E-11</v>
      </c>
      <c r="H79" s="2">
        <f t="shared" si="49"/>
        <v>7.0033488070782776E-11</v>
      </c>
      <c r="I79" s="2">
        <f t="shared" si="50"/>
        <v>6.6934517468187754E-11</v>
      </c>
      <c r="J79" s="2">
        <f t="shared" si="51"/>
        <v>6.7460219064861438E-11</v>
      </c>
      <c r="K79" s="2">
        <f t="shared" si="52"/>
        <v>4.6913476667268886E-11</v>
      </c>
      <c r="L79" s="2">
        <f t="shared" si="53"/>
        <v>7.9956547076685631E-11</v>
      </c>
      <c r="M79" s="2">
        <f t="shared" si="54"/>
        <v>0.50352769274009657</v>
      </c>
      <c r="N79" s="2">
        <f t="shared" si="55"/>
        <v>0.49647230685895283</v>
      </c>
      <c r="O79" s="2" t="str">
        <f t="shared" si="56"/>
        <v>OK</v>
      </c>
      <c r="P79" s="2">
        <f t="shared" si="57"/>
        <v>6.6934517468187754E-11</v>
      </c>
      <c r="Q79" s="2">
        <f t="shared" si="58"/>
        <v>6.7460219064861438E-11</v>
      </c>
      <c r="R79" s="2">
        <f t="shared" si="40"/>
        <v>1.3439473653304918E-10</v>
      </c>
      <c r="S79" s="56">
        <f t="shared" si="41"/>
        <v>1.0295178236616099E-9</v>
      </c>
      <c r="T79" s="56">
        <f t="shared" si="42"/>
        <v>9.6093580568495492E-8</v>
      </c>
      <c r="U79" s="56">
        <f t="shared" si="43"/>
        <v>1.9985122630564536E-6</v>
      </c>
      <c r="V79" s="56">
        <f t="shared" si="44"/>
        <v>1.6089513609013087E-8</v>
      </c>
      <c r="W79" s="56">
        <f t="shared" si="45"/>
        <v>3.7511348374781878E-9</v>
      </c>
      <c r="X79" s="56">
        <f t="shared" si="46"/>
        <v>2.1154760098951021E-6</v>
      </c>
      <c r="Z79" s="119"/>
    </row>
    <row r="80" spans="2:26" x14ac:dyDescent="0.2">
      <c r="B80" s="119"/>
      <c r="C80" s="2">
        <f t="shared" si="59"/>
        <v>69</v>
      </c>
      <c r="D80" s="2">
        <f t="shared" si="59"/>
        <v>69</v>
      </c>
      <c r="E80" s="2">
        <f t="shared" si="47"/>
        <v>0.18891170431211499</v>
      </c>
      <c r="F80" s="2">
        <f t="shared" si="60"/>
        <v>62.218911704312298</v>
      </c>
      <c r="G80" s="2">
        <f t="shared" si="48"/>
        <v>5.0688682107848303E-11</v>
      </c>
      <c r="H80" s="2">
        <f t="shared" si="49"/>
        <v>5.0965768245252673E-11</v>
      </c>
      <c r="I80" s="2">
        <f t="shared" si="50"/>
        <v>4.8710541183435083E-11</v>
      </c>
      <c r="J80" s="2">
        <f t="shared" si="51"/>
        <v>4.9093112243085158E-11</v>
      </c>
      <c r="K80" s="2">
        <f t="shared" si="52"/>
        <v>3.4140543977854315E-11</v>
      </c>
      <c r="L80" s="2">
        <f t="shared" si="53"/>
        <v>5.818711819526039E-11</v>
      </c>
      <c r="M80" s="2">
        <f t="shared" si="54"/>
        <v>0.50352769279508203</v>
      </c>
      <c r="N80" s="2">
        <f t="shared" si="55"/>
        <v>0.4964723069131326</v>
      </c>
      <c r="O80" s="2" t="str">
        <f t="shared" si="56"/>
        <v>OK</v>
      </c>
      <c r="P80" s="2">
        <f t="shared" si="57"/>
        <v>4.8710541183435083E-11</v>
      </c>
      <c r="Q80" s="2">
        <f t="shared" si="58"/>
        <v>4.9093112243085158E-11</v>
      </c>
      <c r="R80" s="2">
        <f t="shared" si="40"/>
        <v>9.7803653426520247E-11</v>
      </c>
      <c r="S80" s="56">
        <f t="shared" si="41"/>
        <v>7.4921538610304508E-10</v>
      </c>
      <c r="T80" s="56">
        <f t="shared" si="42"/>
        <v>6.9930590236496245E-8</v>
      </c>
      <c r="U80" s="56">
        <f t="shared" si="43"/>
        <v>1.454385832264776E-6</v>
      </c>
      <c r="V80" s="56">
        <f t="shared" si="44"/>
        <v>1.1708890194745291E-8</v>
      </c>
      <c r="W80" s="56">
        <f t="shared" si="45"/>
        <v>2.7298293152324785E-9</v>
      </c>
      <c r="X80" s="56">
        <f t="shared" si="46"/>
        <v>1.539504357397353E-6</v>
      </c>
      <c r="Z80" s="119"/>
    </row>
    <row r="81" spans="2:26" x14ac:dyDescent="0.2">
      <c r="B81" s="119"/>
      <c r="C81" s="2">
        <f t="shared" si="59"/>
        <v>70</v>
      </c>
      <c r="D81" s="2">
        <f t="shared" si="59"/>
        <v>70</v>
      </c>
      <c r="E81" s="2">
        <f t="shared" si="47"/>
        <v>0.19164955509924708</v>
      </c>
      <c r="F81" s="2">
        <f t="shared" si="60"/>
        <v>62.221649555099432</v>
      </c>
      <c r="G81" s="2">
        <f t="shared" si="48"/>
        <v>3.6887890295494853E-11</v>
      </c>
      <c r="H81" s="2">
        <f t="shared" si="49"/>
        <v>3.7089535369186606E-11</v>
      </c>
      <c r="I81" s="2">
        <f t="shared" si="50"/>
        <v>3.5448329384174861E-11</v>
      </c>
      <c r="J81" s="2">
        <f t="shared" si="51"/>
        <v>3.5726739449139208E-11</v>
      </c>
      <c r="K81" s="2">
        <f t="shared" si="52"/>
        <v>2.4845243326786245E-11</v>
      </c>
      <c r="L81" s="2">
        <f t="shared" si="53"/>
        <v>4.2344759092985441E-11</v>
      </c>
      <c r="M81" s="2">
        <f t="shared" si="54"/>
        <v>0.5035276928350968</v>
      </c>
      <c r="N81" s="2">
        <f t="shared" si="55"/>
        <v>0.49647230695256106</v>
      </c>
      <c r="O81" s="2" t="str">
        <f t="shared" si="56"/>
        <v>OK</v>
      </c>
      <c r="P81" s="2">
        <f t="shared" si="57"/>
        <v>3.5448329384174861E-11</v>
      </c>
      <c r="Q81" s="2">
        <f t="shared" si="58"/>
        <v>3.5726739449139208E-11</v>
      </c>
      <c r="R81" s="2">
        <f t="shared" si="40"/>
        <v>7.1175068833314069E-11</v>
      </c>
      <c r="S81" s="56">
        <f t="shared" si="41"/>
        <v>5.4522970061568872E-10</v>
      </c>
      <c r="T81" s="56">
        <f t="shared" si="42"/>
        <v>5.0890885966507893E-8</v>
      </c>
      <c r="U81" s="56">
        <f t="shared" si="43"/>
        <v>1.0584063896898663E-6</v>
      </c>
      <c r="V81" s="56">
        <f t="shared" si="44"/>
        <v>8.5209604792404877E-9</v>
      </c>
      <c r="W81" s="56">
        <f t="shared" si="45"/>
        <v>1.9865903021797081E-9</v>
      </c>
      <c r="X81" s="56">
        <f t="shared" si="46"/>
        <v>1.12035005613841E-6</v>
      </c>
      <c r="Z81" s="119"/>
    </row>
    <row r="82" spans="2:26" x14ac:dyDescent="0.2">
      <c r="B82" s="119"/>
      <c r="C82" s="2">
        <f t="shared" si="59"/>
        <v>71</v>
      </c>
      <c r="D82" s="2">
        <f t="shared" si="59"/>
        <v>71</v>
      </c>
      <c r="E82" s="2">
        <f t="shared" si="47"/>
        <v>0.19438740588637918</v>
      </c>
      <c r="F82" s="2">
        <f t="shared" si="60"/>
        <v>62.224387405886567</v>
      </c>
      <c r="G82" s="2">
        <f t="shared" si="48"/>
        <v>2.6844581351657968E-11</v>
      </c>
      <c r="H82" s="2">
        <f t="shared" si="49"/>
        <v>2.699132537907502E-11</v>
      </c>
      <c r="I82" s="2">
        <f t="shared" si="50"/>
        <v>2.5796963564762845E-11</v>
      </c>
      <c r="J82" s="2">
        <f t="shared" si="51"/>
        <v>2.5999572105890734E-11</v>
      </c>
      <c r="K82" s="2">
        <f t="shared" si="52"/>
        <v>1.8080734635266116E-11</v>
      </c>
      <c r="L82" s="2">
        <f t="shared" si="53"/>
        <v>3.0815731698997035E-11</v>
      </c>
      <c r="M82" s="2">
        <f t="shared" si="54"/>
        <v>0.50352769286421695</v>
      </c>
      <c r="N82" s="2">
        <f t="shared" si="55"/>
        <v>0.4964723069812545</v>
      </c>
      <c r="O82" s="2" t="str">
        <f t="shared" si="56"/>
        <v>OK</v>
      </c>
      <c r="P82" s="2">
        <f t="shared" si="57"/>
        <v>2.5796963564762845E-11</v>
      </c>
      <c r="Q82" s="2">
        <f t="shared" si="58"/>
        <v>2.5999572105890734E-11</v>
      </c>
      <c r="R82" s="2">
        <f t="shared" si="40"/>
        <v>5.1796535670653576E-11</v>
      </c>
      <c r="S82" s="56">
        <f t="shared" si="41"/>
        <v>3.9678232981801989E-10</v>
      </c>
      <c r="T82" s="56">
        <f t="shared" si="42"/>
        <v>3.7035040969874013E-8</v>
      </c>
      <c r="U82" s="56">
        <f t="shared" si="43"/>
        <v>7.7023858517097831E-7</v>
      </c>
      <c r="V82" s="56">
        <f t="shared" si="44"/>
        <v>6.2009948236906922E-9</v>
      </c>
      <c r="W82" s="56">
        <f t="shared" si="45"/>
        <v>1.4457098129515712E-9</v>
      </c>
      <c r="X82" s="56">
        <f t="shared" si="46"/>
        <v>8.1531711310731249E-7</v>
      </c>
      <c r="Z82" s="119"/>
    </row>
    <row r="83" spans="2:26" x14ac:dyDescent="0.2">
      <c r="B83" s="119"/>
      <c r="C83" s="2">
        <f t="shared" si="59"/>
        <v>72</v>
      </c>
      <c r="D83" s="2">
        <f t="shared" si="59"/>
        <v>72</v>
      </c>
      <c r="E83" s="2">
        <f t="shared" si="47"/>
        <v>0.1971252566735113</v>
      </c>
      <c r="F83" s="2">
        <f t="shared" si="60"/>
        <v>62.227125256673702</v>
      </c>
      <c r="G83" s="2">
        <f t="shared" si="48"/>
        <v>1.9535721402690085E-11</v>
      </c>
      <c r="H83" s="2">
        <f t="shared" si="49"/>
        <v>1.9642512058114151E-11</v>
      </c>
      <c r="I83" s="2">
        <f t="shared" si="50"/>
        <v>1.8773334053333196E-11</v>
      </c>
      <c r="J83" s="2">
        <f t="shared" si="51"/>
        <v>1.8920779229006815E-11</v>
      </c>
      <c r="K83" s="2">
        <f t="shared" si="52"/>
        <v>1.3157969944229088E-11</v>
      </c>
      <c r="L83" s="2">
        <f t="shared" si="53"/>
        <v>2.2425663541013677E-11</v>
      </c>
      <c r="M83" s="2">
        <f t="shared" si="54"/>
        <v>0.50352769288540866</v>
      </c>
      <c r="N83" s="2">
        <f t="shared" si="55"/>
        <v>0.49647230700213568</v>
      </c>
      <c r="O83" s="2" t="str">
        <f t="shared" si="56"/>
        <v>OK</v>
      </c>
      <c r="P83" s="2">
        <f t="shared" si="57"/>
        <v>1.8773334053333196E-11</v>
      </c>
      <c r="Q83" s="2">
        <f t="shared" si="58"/>
        <v>1.8920779229006815E-11</v>
      </c>
      <c r="R83" s="2">
        <f t="shared" si="40"/>
        <v>3.7694113282340011E-11</v>
      </c>
      <c r="S83" s="56">
        <f t="shared" si="41"/>
        <v>2.8875209306836089E-10</v>
      </c>
      <c r="T83" s="56">
        <f t="shared" si="42"/>
        <v>2.6951667938005932E-8</v>
      </c>
      <c r="U83" s="56">
        <f t="shared" si="43"/>
        <v>5.6052900272080697E-7</v>
      </c>
      <c r="V83" s="56">
        <f t="shared" si="44"/>
        <v>4.5126763464188959E-9</v>
      </c>
      <c r="W83" s="56">
        <f t="shared" si="45"/>
        <v>1.0520925532412057E-9</v>
      </c>
      <c r="X83" s="56">
        <f t="shared" si="46"/>
        <v>5.9333419165154128E-7</v>
      </c>
      <c r="Z83" s="119"/>
    </row>
    <row r="84" spans="2:26" x14ac:dyDescent="0.2">
      <c r="B84" s="119"/>
      <c r="C84" s="2">
        <f t="shared" si="59"/>
        <v>73</v>
      </c>
      <c r="D84" s="2">
        <f t="shared" si="59"/>
        <v>73</v>
      </c>
      <c r="E84" s="2">
        <f t="shared" si="47"/>
        <v>0.1998631074606434</v>
      </c>
      <c r="F84" s="2">
        <f t="shared" si="60"/>
        <v>62.229863107460837</v>
      </c>
      <c r="G84" s="2">
        <f t="shared" si="48"/>
        <v>1.4216813655019152E-11</v>
      </c>
      <c r="H84" s="2">
        <f t="shared" si="49"/>
        <v>1.4294528873053141E-11</v>
      </c>
      <c r="I84" s="2">
        <f t="shared" si="50"/>
        <v>1.3661998265541987E-11</v>
      </c>
      <c r="J84" s="2">
        <f t="shared" si="51"/>
        <v>1.3769299170569981E-11</v>
      </c>
      <c r="K84" s="2">
        <f t="shared" si="52"/>
        <v>9.5755054507323562E-12</v>
      </c>
      <c r="L84" s="2">
        <f t="shared" si="53"/>
        <v>1.6319923543179031E-11</v>
      </c>
      <c r="M84" s="2">
        <f t="shared" si="54"/>
        <v>0.50352769290083066</v>
      </c>
      <c r="N84" s="2">
        <f t="shared" si="55"/>
        <v>0.49647230701733164</v>
      </c>
      <c r="O84" s="2" t="str">
        <f t="shared" si="56"/>
        <v>OK</v>
      </c>
      <c r="P84" s="2">
        <f t="shared" si="57"/>
        <v>1.3661998265541987E-11</v>
      </c>
      <c r="Q84" s="2">
        <f t="shared" si="58"/>
        <v>1.3769299170569981E-11</v>
      </c>
      <c r="R84" s="2">
        <f t="shared" si="40"/>
        <v>2.7431297436111967E-11</v>
      </c>
      <c r="S84" s="56">
        <f t="shared" si="41"/>
        <v>2.1013478924225209E-10</v>
      </c>
      <c r="T84" s="56">
        <f t="shared" si="42"/>
        <v>1.9613651979794417E-8</v>
      </c>
      <c r="U84" s="56">
        <f t="shared" si="43"/>
        <v>4.0791615603292268E-7</v>
      </c>
      <c r="V84" s="56">
        <f t="shared" si="44"/>
        <v>3.2840291576647776E-9</v>
      </c>
      <c r="W84" s="56">
        <f t="shared" si="45"/>
        <v>7.6564379010871302E-10</v>
      </c>
      <c r="X84" s="56">
        <f t="shared" si="46"/>
        <v>4.3178961574973285E-7</v>
      </c>
      <c r="Z84" s="119"/>
    </row>
    <row r="85" spans="2:26" x14ac:dyDescent="0.2">
      <c r="B85" s="119"/>
      <c r="C85" s="2">
        <f t="shared" si="59"/>
        <v>74</v>
      </c>
      <c r="D85" s="2">
        <f t="shared" si="59"/>
        <v>74</v>
      </c>
      <c r="E85" s="2">
        <f t="shared" si="47"/>
        <v>0.20260095824777549</v>
      </c>
      <c r="F85" s="2">
        <f t="shared" si="60"/>
        <v>62.232600958247971</v>
      </c>
      <c r="G85" s="2">
        <f t="shared" si="48"/>
        <v>1.0346062289448253E-11</v>
      </c>
      <c r="H85" s="2">
        <f t="shared" si="49"/>
        <v>1.0402618315723088E-11</v>
      </c>
      <c r="I85" s="2">
        <f t="shared" si="50"/>
        <v>9.9423041254908393E-12</v>
      </c>
      <c r="J85" s="2">
        <f t="shared" si="51"/>
        <v>1.0020390669640052E-11</v>
      </c>
      <c r="K85" s="2">
        <f t="shared" si="52"/>
        <v>6.9684233225672649E-12</v>
      </c>
      <c r="L85" s="2">
        <f t="shared" si="53"/>
        <v>1.187656739646109E-11</v>
      </c>
      <c r="M85" s="2">
        <f t="shared" si="54"/>
        <v>0.50352769291205368</v>
      </c>
      <c r="N85" s="2">
        <f t="shared" si="55"/>
        <v>0.49647230702839029</v>
      </c>
      <c r="O85" s="2" t="str">
        <f t="shared" si="56"/>
        <v>OK</v>
      </c>
      <c r="P85" s="2">
        <f t="shared" si="57"/>
        <v>9.9423041254908393E-12</v>
      </c>
      <c r="Q85" s="2">
        <f t="shared" si="58"/>
        <v>1.0020390669640052E-11</v>
      </c>
      <c r="R85" s="2">
        <f t="shared" si="40"/>
        <v>1.9962694795130891E-11</v>
      </c>
      <c r="S85" s="56">
        <f t="shared" si="41"/>
        <v>1.529222842358126E-10</v>
      </c>
      <c r="T85" s="56">
        <f t="shared" si="42"/>
        <v>1.4273526405466538E-8</v>
      </c>
      <c r="U85" s="56">
        <f t="shared" si="43"/>
        <v>2.9685455979082578E-7</v>
      </c>
      <c r="V85" s="56">
        <f t="shared" si="44"/>
        <v>2.3899005114671944E-9</v>
      </c>
      <c r="W85" s="56">
        <f t="shared" si="45"/>
        <v>5.5718521296066871E-10</v>
      </c>
      <c r="X85" s="56">
        <f t="shared" si="46"/>
        <v>3.1422809420495598E-7</v>
      </c>
      <c r="Z85" s="119"/>
    </row>
    <row r="86" spans="2:26" x14ac:dyDescent="0.2">
      <c r="B86" s="119"/>
      <c r="C86" s="2">
        <f t="shared" si="59"/>
        <v>75</v>
      </c>
      <c r="D86" s="2">
        <f t="shared" si="59"/>
        <v>75</v>
      </c>
      <c r="E86" s="2">
        <f t="shared" si="47"/>
        <v>0.20533880903490759</v>
      </c>
      <c r="F86" s="2">
        <f t="shared" si="60"/>
        <v>62.235338809035106</v>
      </c>
      <c r="G86" s="2">
        <f t="shared" si="48"/>
        <v>7.5291839292943892E-12</v>
      </c>
      <c r="H86" s="2">
        <f t="shared" si="49"/>
        <v>7.5703416869243162E-12</v>
      </c>
      <c r="I86" s="2">
        <f t="shared" si="50"/>
        <v>7.2353552827676828E-12</v>
      </c>
      <c r="J86" s="2">
        <f t="shared" si="51"/>
        <v>7.2921815357762326E-12</v>
      </c>
      <c r="K86" s="2">
        <f t="shared" si="52"/>
        <v>5.0711603530846003E-12</v>
      </c>
      <c r="L86" s="2">
        <f t="shared" si="53"/>
        <v>8.6429849226613621E-12</v>
      </c>
      <c r="M86" s="2">
        <f t="shared" si="54"/>
        <v>0.50352769292022115</v>
      </c>
      <c r="N86" s="2">
        <f t="shared" si="55"/>
        <v>0.49647230703643802</v>
      </c>
      <c r="O86" s="2" t="str">
        <f t="shared" si="56"/>
        <v>OK</v>
      </c>
      <c r="P86" s="2">
        <f t="shared" si="57"/>
        <v>7.2353552827676828E-12</v>
      </c>
      <c r="Q86" s="2">
        <f t="shared" si="58"/>
        <v>7.2921815357762326E-12</v>
      </c>
      <c r="R86" s="2">
        <f t="shared" si="40"/>
        <v>1.4527536818543916E-11</v>
      </c>
      <c r="S86" s="56">
        <f t="shared" si="41"/>
        <v>1.1128678454541484E-10</v>
      </c>
      <c r="T86" s="56">
        <f t="shared" si="42"/>
        <v>1.0387334100627085E-8</v>
      </c>
      <c r="U86" s="56">
        <f t="shared" si="43"/>
        <v>2.1603123182375895E-7</v>
      </c>
      <c r="V86" s="56">
        <f t="shared" si="44"/>
        <v>1.739212467520418E-9</v>
      </c>
      <c r="W86" s="56">
        <f t="shared" si="45"/>
        <v>4.0548276568395397E-10</v>
      </c>
      <c r="X86" s="56">
        <f t="shared" si="46"/>
        <v>2.2867454794213582E-7</v>
      </c>
      <c r="Z86" s="119"/>
    </row>
    <row r="87" spans="2:26" x14ac:dyDescent="0.2">
      <c r="B87" s="119"/>
      <c r="C87" s="2">
        <f t="shared" si="59"/>
        <v>76</v>
      </c>
      <c r="D87" s="2">
        <f t="shared" si="59"/>
        <v>76</v>
      </c>
      <c r="E87" s="2">
        <f t="shared" si="47"/>
        <v>0.20807665982203968</v>
      </c>
      <c r="F87" s="2">
        <f t="shared" si="60"/>
        <v>62.238076659822241</v>
      </c>
      <c r="G87" s="2">
        <f t="shared" si="48"/>
        <v>5.4792450552864455E-12</v>
      </c>
      <c r="H87" s="2">
        <f t="shared" si="49"/>
        <v>5.5091969653603957E-12</v>
      </c>
      <c r="I87" s="2">
        <f t="shared" si="50"/>
        <v>5.2654158841967371E-12</v>
      </c>
      <c r="J87" s="2">
        <f t="shared" si="51"/>
        <v>5.3067702950773244E-12</v>
      </c>
      <c r="K87" s="2">
        <f t="shared" si="52"/>
        <v>3.6904571000176757E-12</v>
      </c>
      <c r="L87" s="2">
        <f t="shared" si="53"/>
        <v>6.2897961910788009E-12</v>
      </c>
      <c r="M87" s="2">
        <f t="shared" si="54"/>
        <v>0.50352769292616484</v>
      </c>
      <c r="N87" s="2">
        <f t="shared" si="55"/>
        <v>0.49647230704229461</v>
      </c>
      <c r="O87" s="2" t="str">
        <f t="shared" si="56"/>
        <v>OK</v>
      </c>
      <c r="P87" s="2">
        <f t="shared" si="57"/>
        <v>5.2654158841967371E-12</v>
      </c>
      <c r="Q87" s="2">
        <f t="shared" si="58"/>
        <v>5.3067702950773244E-12</v>
      </c>
      <c r="R87" s="2">
        <f t="shared" si="40"/>
        <v>1.0572186179274061E-11</v>
      </c>
      <c r="S87" s="56">
        <f t="shared" si="41"/>
        <v>8.0987205209149094E-11</v>
      </c>
      <c r="T87" s="56">
        <f t="shared" si="42"/>
        <v>7.5592188400427467E-9</v>
      </c>
      <c r="U87" s="56">
        <f t="shared" si="43"/>
        <v>1.5721332748324854E-7</v>
      </c>
      <c r="V87" s="56">
        <f t="shared" si="44"/>
        <v>1.2656844888164219E-9</v>
      </c>
      <c r="W87" s="56">
        <f t="shared" si="45"/>
        <v>2.9508369827882416E-10</v>
      </c>
      <c r="X87" s="56">
        <f t="shared" si="46"/>
        <v>1.6641430171559567E-7</v>
      </c>
      <c r="Z87" s="119"/>
    </row>
    <row r="88" spans="2:26" x14ac:dyDescent="0.2">
      <c r="B88" s="119"/>
      <c r="C88" s="2">
        <f t="shared" si="59"/>
        <v>77</v>
      </c>
      <c r="D88" s="2">
        <f t="shared" si="59"/>
        <v>77</v>
      </c>
      <c r="E88" s="2">
        <f t="shared" si="47"/>
        <v>0.21081451060917181</v>
      </c>
      <c r="F88" s="2">
        <f t="shared" si="60"/>
        <v>62.240814510609376</v>
      </c>
      <c r="G88" s="2">
        <f t="shared" si="48"/>
        <v>3.9874343166291246E-12</v>
      </c>
      <c r="H88" s="2">
        <f t="shared" si="49"/>
        <v>4.0092313475836405E-12</v>
      </c>
      <c r="I88" s="2">
        <f t="shared" si="50"/>
        <v>3.8318235041729757E-12</v>
      </c>
      <c r="J88" s="2">
        <f t="shared" si="51"/>
        <v>3.8619185255537289E-12</v>
      </c>
      <c r="K88" s="2">
        <f t="shared" si="52"/>
        <v>2.6856720471847524E-12</v>
      </c>
      <c r="L88" s="2">
        <f t="shared" si="53"/>
        <v>4.5773001433314476E-12</v>
      </c>
      <c r="M88" s="2">
        <f t="shared" si="54"/>
        <v>0.50352769293049027</v>
      </c>
      <c r="N88" s="2">
        <f t="shared" si="55"/>
        <v>0.49647230704655665</v>
      </c>
      <c r="O88" s="2" t="str">
        <f t="shared" si="56"/>
        <v>OK</v>
      </c>
      <c r="P88" s="2">
        <f t="shared" si="57"/>
        <v>3.8318235041729757E-12</v>
      </c>
      <c r="Q88" s="2">
        <f t="shared" si="58"/>
        <v>3.8619185255537289E-12</v>
      </c>
      <c r="R88" s="2">
        <f t="shared" si="40"/>
        <v>7.6937420297267045E-12</v>
      </c>
      <c r="S88" s="56">
        <f t="shared" si="41"/>
        <v>5.8937163423139476E-11</v>
      </c>
      <c r="T88" s="56">
        <f t="shared" si="42"/>
        <v>5.5011024886748911E-9</v>
      </c>
      <c r="U88" s="56">
        <f t="shared" si="43"/>
        <v>1.1440952370497432E-7</v>
      </c>
      <c r="V88" s="56">
        <f t="shared" si="44"/>
        <v>9.2108195815453506E-10</v>
      </c>
      <c r="W88" s="56">
        <f t="shared" si="45"/>
        <v>2.1474251524114503E-10</v>
      </c>
      <c r="X88" s="56">
        <f t="shared" si="46"/>
        <v>1.2110538783046803E-7</v>
      </c>
      <c r="Z88" s="119"/>
    </row>
    <row r="89" spans="2:26" x14ac:dyDescent="0.2">
      <c r="B89" s="119"/>
      <c r="C89" s="2">
        <f t="shared" si="59"/>
        <v>78</v>
      </c>
      <c r="D89" s="2">
        <f t="shared" si="59"/>
        <v>78</v>
      </c>
      <c r="E89" s="2">
        <f t="shared" si="47"/>
        <v>0.2135523613963039</v>
      </c>
      <c r="F89" s="2">
        <f t="shared" si="60"/>
        <v>62.24355236139651</v>
      </c>
      <c r="G89" s="2">
        <f t="shared" si="48"/>
        <v>2.9017925405784518E-12</v>
      </c>
      <c r="H89" s="2">
        <f t="shared" si="49"/>
        <v>2.9176549866548155E-12</v>
      </c>
      <c r="I89" s="2">
        <f t="shared" si="50"/>
        <v>2.78854922195237E-12</v>
      </c>
      <c r="J89" s="2">
        <f t="shared" si="51"/>
        <v>2.8104503999070814E-12</v>
      </c>
      <c r="K89" s="2">
        <f t="shared" si="52"/>
        <v>1.9544555456273952E-12</v>
      </c>
      <c r="L89" s="2">
        <f t="shared" si="53"/>
        <v>3.3310581083468363E-12</v>
      </c>
      <c r="M89" s="2">
        <f t="shared" si="54"/>
        <v>0.50352769293363808</v>
      </c>
      <c r="N89" s="2">
        <f t="shared" si="55"/>
        <v>0.49647230704965828</v>
      </c>
      <c r="O89" s="2" t="str">
        <f t="shared" si="56"/>
        <v>OK</v>
      </c>
      <c r="P89" s="2">
        <f t="shared" si="57"/>
        <v>2.78854922195237E-12</v>
      </c>
      <c r="Q89" s="2">
        <f t="shared" si="58"/>
        <v>2.8104503999070814E-12</v>
      </c>
      <c r="R89" s="2">
        <f t="shared" si="40"/>
        <v>5.5989996218594509E-12</v>
      </c>
      <c r="S89" s="56">
        <f t="shared" si="41"/>
        <v>4.2890592697887526E-11</v>
      </c>
      <c r="T89" s="56">
        <f t="shared" si="42"/>
        <v>4.0033407196257259E-9</v>
      </c>
      <c r="U89" s="56">
        <f t="shared" si="43"/>
        <v>8.325972946405452E-8</v>
      </c>
      <c r="V89" s="56">
        <f t="shared" si="44"/>
        <v>6.7030289233547312E-10</v>
      </c>
      <c r="W89" s="56">
        <f t="shared" si="45"/>
        <v>1.5627548428148011E-10</v>
      </c>
      <c r="X89" s="56">
        <f t="shared" si="46"/>
        <v>8.8132539152995082E-8</v>
      </c>
      <c r="Z89" s="119"/>
    </row>
    <row r="90" spans="2:26" x14ac:dyDescent="0.2">
      <c r="B90" s="119"/>
      <c r="C90" s="2">
        <f t="shared" si="59"/>
        <v>79</v>
      </c>
      <c r="D90" s="2">
        <f t="shared" si="59"/>
        <v>79</v>
      </c>
      <c r="E90" s="2">
        <f t="shared" si="47"/>
        <v>0.216290212183436</v>
      </c>
      <c r="F90" s="2">
        <f t="shared" si="60"/>
        <v>62.246290212183645</v>
      </c>
      <c r="G90" s="2">
        <f t="shared" si="48"/>
        <v>2.1117338318127174E-12</v>
      </c>
      <c r="H90" s="2">
        <f t="shared" si="49"/>
        <v>2.1232774771858239E-12</v>
      </c>
      <c r="I90" s="2">
        <f t="shared" si="50"/>
        <v>2.0293227897325783E-12</v>
      </c>
      <c r="J90" s="2">
        <f t="shared" si="51"/>
        <v>2.0452610271485086E-12</v>
      </c>
      <c r="K90" s="2">
        <f t="shared" si="52"/>
        <v>1.422324249841999E-12</v>
      </c>
      <c r="L90" s="2">
        <f t="shared" si="53"/>
        <v>2.4241250898411393E-12</v>
      </c>
      <c r="M90" s="2">
        <f t="shared" si="54"/>
        <v>0.50352769293592881</v>
      </c>
      <c r="N90" s="2">
        <f t="shared" si="55"/>
        <v>0.49647230705191547</v>
      </c>
      <c r="O90" s="2" t="str">
        <f t="shared" si="56"/>
        <v>OK</v>
      </c>
      <c r="P90" s="2">
        <f t="shared" si="57"/>
        <v>2.0293227897325783E-12</v>
      </c>
      <c r="Q90" s="2">
        <f t="shared" si="58"/>
        <v>2.0452610271485086E-12</v>
      </c>
      <c r="R90" s="2">
        <f t="shared" si="40"/>
        <v>4.0745838168810874E-12</v>
      </c>
      <c r="S90" s="56">
        <f t="shared" si="41"/>
        <v>3.1212953510650839E-11</v>
      </c>
      <c r="T90" s="56">
        <f t="shared" si="42"/>
        <v>2.9133681749081462E-9</v>
      </c>
      <c r="U90" s="56">
        <f t="shared" si="43"/>
        <v>6.0590957168071407E-8</v>
      </c>
      <c r="V90" s="56">
        <f t="shared" si="44"/>
        <v>4.8780237577720354E-10</v>
      </c>
      <c r="W90" s="56">
        <f t="shared" si="45"/>
        <v>1.1372702308150964E-10</v>
      </c>
      <c r="X90" s="56">
        <f t="shared" si="46"/>
        <v>6.4137067695348926E-8</v>
      </c>
      <c r="Z90" s="119"/>
    </row>
    <row r="91" spans="2:26" x14ac:dyDescent="0.2">
      <c r="B91" s="119"/>
      <c r="C91" s="2">
        <f t="shared" si="59"/>
        <v>80</v>
      </c>
      <c r="D91" s="2">
        <f t="shared" si="59"/>
        <v>80</v>
      </c>
      <c r="E91" s="2">
        <f t="shared" si="47"/>
        <v>0.21902806297056809</v>
      </c>
      <c r="F91" s="2">
        <f t="shared" si="60"/>
        <v>62.24902806297078</v>
      </c>
      <c r="G91" s="2">
        <f t="shared" si="48"/>
        <v>1.536781046219613E-12</v>
      </c>
      <c r="H91" s="2">
        <f t="shared" si="49"/>
        <v>1.5451817523817352E-12</v>
      </c>
      <c r="I91" s="2">
        <f t="shared" si="50"/>
        <v>1.4768077079323492E-12</v>
      </c>
      <c r="J91" s="2">
        <f t="shared" si="51"/>
        <v>1.4884065092594676E-12</v>
      </c>
      <c r="K91" s="2">
        <f t="shared" si="52"/>
        <v>1.0350740779009146E-12</v>
      </c>
      <c r="L91" s="2">
        <f t="shared" si="53"/>
        <v>1.7641188655558125E-12</v>
      </c>
      <c r="M91" s="2">
        <f t="shared" si="54"/>
        <v>0.50352769293759581</v>
      </c>
      <c r="N91" s="2">
        <f t="shared" si="55"/>
        <v>0.4964723070535581</v>
      </c>
      <c r="O91" s="2" t="str">
        <f t="shared" si="56"/>
        <v>OK</v>
      </c>
      <c r="P91" s="2">
        <f t="shared" si="57"/>
        <v>1.4768077079323492E-12</v>
      </c>
      <c r="Q91" s="2">
        <f t="shared" si="58"/>
        <v>1.4884065092594676E-12</v>
      </c>
      <c r="R91" s="2">
        <f t="shared" si="40"/>
        <v>2.965214217191817E-12</v>
      </c>
      <c r="S91" s="56">
        <f t="shared" si="41"/>
        <v>2.2714735460068252E-11</v>
      </c>
      <c r="T91" s="56">
        <f t="shared" si="42"/>
        <v>2.1201578174343211E-9</v>
      </c>
      <c r="U91" s="56">
        <f t="shared" si="43"/>
        <v>4.4094115056283577E-8</v>
      </c>
      <c r="V91" s="56">
        <f t="shared" si="44"/>
        <v>3.5499049837725355E-10</v>
      </c>
      <c r="W91" s="56">
        <f t="shared" si="45"/>
        <v>8.2763050381504975E-11</v>
      </c>
      <c r="X91" s="56">
        <f t="shared" si="46"/>
        <v>4.6674741157936724E-8</v>
      </c>
      <c r="Z91" s="119"/>
    </row>
    <row r="92" spans="2:26" x14ac:dyDescent="0.2">
      <c r="B92" s="119"/>
      <c r="C92" s="2">
        <f t="shared" si="59"/>
        <v>81</v>
      </c>
      <c r="D92" s="2">
        <f t="shared" si="59"/>
        <v>81</v>
      </c>
      <c r="E92" s="2">
        <f t="shared" si="47"/>
        <v>0.22176591375770019</v>
      </c>
      <c r="F92" s="2">
        <f t="shared" si="60"/>
        <v>62.251765913757914</v>
      </c>
      <c r="G92" s="2">
        <f t="shared" si="48"/>
        <v>1.1183682093081604E-12</v>
      </c>
      <c r="H92" s="2">
        <f t="shared" si="49"/>
        <v>1.1244816909460084E-12</v>
      </c>
      <c r="I92" s="2">
        <f t="shared" si="50"/>
        <v>1.0747235566677901E-12</v>
      </c>
      <c r="J92" s="2">
        <f t="shared" si="51"/>
        <v>1.0831644017069972E-12</v>
      </c>
      <c r="K92" s="2">
        <f t="shared" si="52"/>
        <v>7.5325886264081085E-13</v>
      </c>
      <c r="L92" s="2">
        <f t="shared" si="53"/>
        <v>1.2838097278279784E-12</v>
      </c>
      <c r="M92" s="2">
        <f t="shared" si="54"/>
        <v>0.50352769293880895</v>
      </c>
      <c r="N92" s="2">
        <f t="shared" si="55"/>
        <v>0.49647230705475348</v>
      </c>
      <c r="O92" s="2" t="str">
        <f t="shared" si="56"/>
        <v>OK</v>
      </c>
      <c r="P92" s="2">
        <f t="shared" si="57"/>
        <v>1.0747235566677901E-12</v>
      </c>
      <c r="Q92" s="2">
        <f t="shared" si="58"/>
        <v>1.0831644017069972E-12</v>
      </c>
      <c r="R92" s="2">
        <f t="shared" si="40"/>
        <v>2.1578879583747871E-12</v>
      </c>
      <c r="S92" s="56">
        <f t="shared" si="41"/>
        <v>1.6530291080746993E-11</v>
      </c>
      <c r="T92" s="56">
        <f t="shared" si="42"/>
        <v>1.5429114691175564E-9</v>
      </c>
      <c r="U92" s="56">
        <f t="shared" si="43"/>
        <v>3.2088797957153314E-8</v>
      </c>
      <c r="V92" s="56">
        <f t="shared" si="44"/>
        <v>2.5833874576225469E-10</v>
      </c>
      <c r="W92" s="56">
        <f t="shared" si="45"/>
        <v>6.0229506786106979E-11</v>
      </c>
      <c r="X92" s="56">
        <f t="shared" si="46"/>
        <v>3.3966807969899977E-8</v>
      </c>
      <c r="Z92" s="119"/>
    </row>
    <row r="93" spans="2:26" x14ac:dyDescent="0.2">
      <c r="B93" s="119"/>
      <c r="C93" s="2">
        <f t="shared" ref="C93:D108" si="61">C92+1</f>
        <v>82</v>
      </c>
      <c r="D93" s="2">
        <f t="shared" si="61"/>
        <v>82</v>
      </c>
      <c r="E93" s="2">
        <f t="shared" si="47"/>
        <v>0.22450376454483231</v>
      </c>
      <c r="F93" s="2">
        <f t="shared" si="60"/>
        <v>62.254503764545049</v>
      </c>
      <c r="G93" s="2">
        <f t="shared" si="48"/>
        <v>8.1387485528137082E-13</v>
      </c>
      <c r="H93" s="2">
        <f t="shared" si="49"/>
        <v>8.1832384528471406E-13</v>
      </c>
      <c r="I93" s="2">
        <f t="shared" si="50"/>
        <v>7.8211314652047807E-13</v>
      </c>
      <c r="J93" s="2">
        <f t="shared" si="51"/>
        <v>7.8825583859412593E-13</v>
      </c>
      <c r="K93" s="2">
        <f t="shared" si="52"/>
        <v>5.4817227700029779E-13</v>
      </c>
      <c r="L93" s="2">
        <f t="shared" si="53"/>
        <v>9.3427231545787462E-13</v>
      </c>
      <c r="M93" s="2">
        <f t="shared" si="54"/>
        <v>0.5035276929396918</v>
      </c>
      <c r="N93" s="2">
        <f t="shared" si="55"/>
        <v>0.4964723070556234</v>
      </c>
      <c r="O93" s="2" t="str">
        <f t="shared" si="56"/>
        <v>OK</v>
      </c>
      <c r="P93" s="2">
        <f t="shared" si="57"/>
        <v>7.8211314652047807E-13</v>
      </c>
      <c r="Q93" s="2">
        <f t="shared" si="58"/>
        <v>7.8825583859412593E-13</v>
      </c>
      <c r="R93" s="2">
        <f t="shared" si="40"/>
        <v>1.5703689851146039E-12</v>
      </c>
      <c r="S93" s="56">
        <f t="shared" si="41"/>
        <v>1.2029659059626248E-11</v>
      </c>
      <c r="T93" s="56">
        <f t="shared" si="42"/>
        <v>1.122829528046793E-9</v>
      </c>
      <c r="U93" s="56">
        <f t="shared" si="43"/>
        <v>2.3352117465577123E-8</v>
      </c>
      <c r="V93" s="56">
        <f t="shared" si="44"/>
        <v>1.8800195460750184E-10</v>
      </c>
      <c r="W93" s="56">
        <f t="shared" si="45"/>
        <v>4.383107523195356E-11</v>
      </c>
      <c r="X93" s="56">
        <f t="shared" si="46"/>
        <v>2.4718809682522999E-8</v>
      </c>
      <c r="Z93" s="119"/>
    </row>
    <row r="94" spans="2:26" x14ac:dyDescent="0.2">
      <c r="B94" s="119"/>
      <c r="C94" s="2">
        <f t="shared" si="61"/>
        <v>83</v>
      </c>
      <c r="D94" s="2">
        <f t="shared" si="61"/>
        <v>83</v>
      </c>
      <c r="E94" s="2">
        <f t="shared" si="47"/>
        <v>0.22724161533196441</v>
      </c>
      <c r="F94" s="2">
        <f t="shared" si="60"/>
        <v>62.257241615332184</v>
      </c>
      <c r="G94" s="2">
        <f t="shared" si="48"/>
        <v>5.9228461122749391E-13</v>
      </c>
      <c r="H94" s="2">
        <f t="shared" si="49"/>
        <v>5.9552229365174603E-13</v>
      </c>
      <c r="I94" s="2">
        <f t="shared" si="50"/>
        <v>5.691705277743779E-13</v>
      </c>
      <c r="J94" s="2">
        <f t="shared" si="51"/>
        <v>5.736407752124475E-13</v>
      </c>
      <c r="K94" s="2">
        <f t="shared" si="52"/>
        <v>3.9892374345017199E-13</v>
      </c>
      <c r="L94" s="2">
        <f t="shared" si="53"/>
        <v>6.7990196717684958E-13</v>
      </c>
      <c r="M94" s="2">
        <f t="shared" si="54"/>
        <v>0.50352769294033428</v>
      </c>
      <c r="N94" s="2">
        <f t="shared" si="55"/>
        <v>0.4964723070562565</v>
      </c>
      <c r="O94" s="2" t="str">
        <f t="shared" si="56"/>
        <v>OK</v>
      </c>
      <c r="P94" s="2">
        <f t="shared" si="57"/>
        <v>5.691705277743779E-13</v>
      </c>
      <c r="Q94" s="2">
        <f t="shared" si="58"/>
        <v>5.736407752124475E-13</v>
      </c>
      <c r="R94" s="2">
        <f t="shared" si="40"/>
        <v>1.1428113029868254E-12</v>
      </c>
      <c r="S94" s="56">
        <f t="shared" si="41"/>
        <v>8.7543949700556865E-12</v>
      </c>
      <c r="T94" s="56">
        <f t="shared" si="42"/>
        <v>8.1712150974861006E-10</v>
      </c>
      <c r="U94" s="56">
        <f t="shared" si="43"/>
        <v>1.6994135799485365E-8</v>
      </c>
      <c r="V94" s="56">
        <f t="shared" si="44"/>
        <v>1.3681546231848793E-10</v>
      </c>
      <c r="W94" s="56">
        <f t="shared" si="45"/>
        <v>3.1897374866638017E-11</v>
      </c>
      <c r="X94" s="56">
        <f t="shared" si="46"/>
        <v>1.7988724541389156E-8</v>
      </c>
      <c r="Z94" s="119"/>
    </row>
    <row r="95" spans="2:26" x14ac:dyDescent="0.2">
      <c r="B95" s="119"/>
      <c r="C95" s="2">
        <f t="shared" si="61"/>
        <v>84</v>
      </c>
      <c r="D95" s="2">
        <f t="shared" si="61"/>
        <v>84</v>
      </c>
      <c r="E95" s="2">
        <f t="shared" si="47"/>
        <v>0.2299794661190965</v>
      </c>
      <c r="F95" s="2">
        <f t="shared" si="60"/>
        <v>62.259979466119319</v>
      </c>
      <c r="G95" s="2">
        <f t="shared" si="48"/>
        <v>4.3102580012209066E-13</v>
      </c>
      <c r="H95" s="2">
        <f t="shared" si="49"/>
        <v>4.3338197252806E-13</v>
      </c>
      <c r="I95" s="2">
        <f t="shared" si="50"/>
        <v>4.1420488982725699E-13</v>
      </c>
      <c r="J95" s="2">
        <f t="shared" si="51"/>
        <v>4.1745804201492647E-13</v>
      </c>
      <c r="K95" s="2">
        <f t="shared" si="52"/>
        <v>2.903104731219602E-13</v>
      </c>
      <c r="L95" s="2">
        <f t="shared" si="53"/>
        <v>4.9478795135270484E-13</v>
      </c>
      <c r="M95" s="2">
        <f t="shared" si="54"/>
        <v>0.5035276929408018</v>
      </c>
      <c r="N95" s="2">
        <f t="shared" si="55"/>
        <v>0.49647230705671719</v>
      </c>
      <c r="O95" s="2" t="str">
        <f t="shared" si="56"/>
        <v>OK</v>
      </c>
      <c r="P95" s="2">
        <f t="shared" si="57"/>
        <v>4.1420488982725699E-13</v>
      </c>
      <c r="Q95" s="2">
        <f t="shared" si="58"/>
        <v>4.1745804201492647E-13</v>
      </c>
      <c r="R95" s="2">
        <f t="shared" si="40"/>
        <v>8.3166293184218346E-13</v>
      </c>
      <c r="S95" s="56">
        <f t="shared" si="41"/>
        <v>6.3708730988854328E-12</v>
      </c>
      <c r="T95" s="56">
        <f t="shared" si="42"/>
        <v>5.9464731289647954E-10</v>
      </c>
      <c r="U95" s="56">
        <f t="shared" si="43"/>
        <v>1.2367214750313982E-8</v>
      </c>
      <c r="V95" s="56">
        <f t="shared" si="44"/>
        <v>9.9565298501820284E-11</v>
      </c>
      <c r="W95" s="56">
        <f t="shared" si="45"/>
        <v>2.3212812325468543E-11</v>
      </c>
      <c r="X95" s="56">
        <f t="shared" si="46"/>
        <v>1.3091011047136636E-8</v>
      </c>
      <c r="Z95" s="119"/>
    </row>
    <row r="96" spans="2:26" x14ac:dyDescent="0.2">
      <c r="B96" s="119"/>
      <c r="C96" s="2">
        <f t="shared" si="61"/>
        <v>85</v>
      </c>
      <c r="D96" s="2">
        <f t="shared" si="61"/>
        <v>85</v>
      </c>
      <c r="E96" s="2">
        <f t="shared" si="47"/>
        <v>0.2327173169062286</v>
      </c>
      <c r="F96" s="2">
        <f t="shared" si="60"/>
        <v>62.262717316906453</v>
      </c>
      <c r="G96" s="2">
        <f t="shared" si="48"/>
        <v>3.1367223940844542E-13</v>
      </c>
      <c r="H96" s="2">
        <f t="shared" si="49"/>
        <v>3.1538690677824874E-13</v>
      </c>
      <c r="I96" s="2">
        <f t="shared" si="50"/>
        <v>3.0143108679165413E-13</v>
      </c>
      <c r="J96" s="2">
        <f t="shared" si="51"/>
        <v>3.037985170743744E-13</v>
      </c>
      <c r="K96" s="2">
        <f t="shared" si="52"/>
        <v>2.1126887578909799E-13</v>
      </c>
      <c r="L96" s="2">
        <f t="shared" si="53"/>
        <v>3.6007414101234349E-13</v>
      </c>
      <c r="M96" s="2">
        <f t="shared" si="54"/>
        <v>0.50352769294114208</v>
      </c>
      <c r="N96" s="2">
        <f t="shared" si="55"/>
        <v>0.49647230705705248</v>
      </c>
      <c r="O96" s="2" t="str">
        <f t="shared" si="56"/>
        <v>OK</v>
      </c>
      <c r="P96" s="2">
        <f t="shared" si="57"/>
        <v>3.0143108679165413E-13</v>
      </c>
      <c r="Q96" s="2">
        <f t="shared" si="58"/>
        <v>3.037985170743744E-13</v>
      </c>
      <c r="R96" s="2">
        <f t="shared" si="40"/>
        <v>6.0522960386602853E-13</v>
      </c>
      <c r="S96" s="56">
        <f t="shared" si="41"/>
        <v>4.6363025864075107E-12</v>
      </c>
      <c r="T96" s="56">
        <f t="shared" si="42"/>
        <v>4.3274521906024904E-10</v>
      </c>
      <c r="U96" s="56">
        <f t="shared" si="43"/>
        <v>9.0000458090381634E-9</v>
      </c>
      <c r="V96" s="56">
        <f t="shared" si="44"/>
        <v>7.2457078299233951E-11</v>
      </c>
      <c r="W96" s="56">
        <f t="shared" si="45"/>
        <v>1.6892758677172528E-11</v>
      </c>
      <c r="X96" s="56">
        <f t="shared" si="46"/>
        <v>9.5267771676612251E-9</v>
      </c>
      <c r="Z96" s="119"/>
    </row>
    <row r="97" spans="2:26" x14ac:dyDescent="0.2">
      <c r="B97" s="119"/>
      <c r="C97" s="2">
        <f t="shared" si="61"/>
        <v>86</v>
      </c>
      <c r="D97" s="2">
        <f t="shared" si="61"/>
        <v>86</v>
      </c>
      <c r="E97" s="2">
        <f t="shared" si="47"/>
        <v>0.2354551676933607</v>
      </c>
      <c r="F97" s="2">
        <f t="shared" si="60"/>
        <v>62.265455167693588</v>
      </c>
      <c r="G97" s="2">
        <f t="shared" si="48"/>
        <v>2.2827003336607559E-13</v>
      </c>
      <c r="H97" s="2">
        <f t="shared" si="49"/>
        <v>2.2951785554649838E-13</v>
      </c>
      <c r="I97" s="2">
        <f t="shared" si="50"/>
        <v>2.1936172728982251E-13</v>
      </c>
      <c r="J97" s="2">
        <f t="shared" si="51"/>
        <v>2.2108458740217284E-13</v>
      </c>
      <c r="K97" s="2">
        <f t="shared" si="52"/>
        <v>1.5374759786374713E-13</v>
      </c>
      <c r="L97" s="2">
        <f t="shared" si="53"/>
        <v>2.6203828664646455E-13</v>
      </c>
      <c r="M97" s="2">
        <f t="shared" si="54"/>
        <v>0.50352769294138966</v>
      </c>
      <c r="N97" s="2">
        <f t="shared" si="55"/>
        <v>0.49647230705729645</v>
      </c>
      <c r="O97" s="2" t="str">
        <f t="shared" si="56"/>
        <v>OK</v>
      </c>
      <c r="P97" s="2">
        <f t="shared" si="57"/>
        <v>2.1936172728982251E-13</v>
      </c>
      <c r="Q97" s="2">
        <f t="shared" si="58"/>
        <v>2.2108458740217284E-13</v>
      </c>
      <c r="R97" s="2">
        <f t="shared" si="40"/>
        <v>4.4044631469199535E-13</v>
      </c>
      <c r="S97" s="56">
        <f t="shared" si="41"/>
        <v>3.3739962072842912E-12</v>
      </c>
      <c r="T97" s="56">
        <f t="shared" si="42"/>
        <v>3.1492351946792357E-10</v>
      </c>
      <c r="U97" s="56">
        <f t="shared" si="43"/>
        <v>6.5496416291088471E-9</v>
      </c>
      <c r="V97" s="56">
        <f t="shared" si="44"/>
        <v>5.2729497873853505E-11</v>
      </c>
      <c r="W97" s="56">
        <f t="shared" si="45"/>
        <v>1.229343914576399E-11</v>
      </c>
      <c r="X97" s="56">
        <f t="shared" si="46"/>
        <v>6.9329620818036721E-9</v>
      </c>
      <c r="Z97" s="119"/>
    </row>
    <row r="98" spans="2:26" x14ac:dyDescent="0.2">
      <c r="B98" s="119"/>
      <c r="C98" s="2">
        <f t="shared" si="61"/>
        <v>87</v>
      </c>
      <c r="D98" s="2">
        <f t="shared" si="61"/>
        <v>87</v>
      </c>
      <c r="E98" s="2">
        <f t="shared" si="47"/>
        <v>0.23819301848049282</v>
      </c>
      <c r="F98" s="2">
        <f t="shared" si="60"/>
        <v>62.268193018480723</v>
      </c>
      <c r="G98" s="2">
        <f t="shared" si="48"/>
        <v>1.6611992260207109E-13</v>
      </c>
      <c r="H98" s="2">
        <f t="shared" si="49"/>
        <v>1.6702800554653954E-13</v>
      </c>
      <c r="I98" s="2">
        <f t="shared" si="50"/>
        <v>1.5963704311902704E-13</v>
      </c>
      <c r="J98" s="2">
        <f t="shared" si="51"/>
        <v>1.6089082743884114E-13</v>
      </c>
      <c r="K98" s="2">
        <f t="shared" si="52"/>
        <v>1.1188739354333373E-13</v>
      </c>
      <c r="L98" s="2">
        <f t="shared" si="53"/>
        <v>1.9069423723560555E-13</v>
      </c>
      <c r="M98" s="2">
        <f t="shared" si="54"/>
        <v>0.50352769294156985</v>
      </c>
      <c r="N98" s="2">
        <f t="shared" si="55"/>
        <v>0.49647230705747403</v>
      </c>
      <c r="O98" s="2" t="str">
        <f t="shared" si="56"/>
        <v>OK</v>
      </c>
      <c r="P98" s="2">
        <f t="shared" si="57"/>
        <v>1.5963704311902704E-13</v>
      </c>
      <c r="Q98" s="2">
        <f t="shared" si="58"/>
        <v>1.6089082743884114E-13</v>
      </c>
      <c r="R98" s="2">
        <f t="shared" si="40"/>
        <v>3.2052787055786819E-13</v>
      </c>
      <c r="S98" s="56">
        <f t="shared" si="41"/>
        <v>2.4553726152696355E-12</v>
      </c>
      <c r="T98" s="56">
        <f t="shared" si="42"/>
        <v>2.2918063272758133E-10</v>
      </c>
      <c r="U98" s="56">
        <f t="shared" si="43"/>
        <v>4.7663985695135132E-9</v>
      </c>
      <c r="V98" s="56">
        <f t="shared" si="44"/>
        <v>3.8373061835949252E-11</v>
      </c>
      <c r="W98" s="56">
        <f t="shared" si="45"/>
        <v>8.9463567744459134E-12</v>
      </c>
      <c r="X98" s="56">
        <f t="shared" si="46"/>
        <v>5.0453539934667598E-9</v>
      </c>
      <c r="Z98" s="119"/>
    </row>
    <row r="99" spans="2:26" x14ac:dyDescent="0.2">
      <c r="B99" s="119"/>
      <c r="C99" s="2">
        <f t="shared" si="61"/>
        <v>88</v>
      </c>
      <c r="D99" s="2">
        <f t="shared" si="61"/>
        <v>88</v>
      </c>
      <c r="E99" s="2">
        <f t="shared" si="47"/>
        <v>0.24093086926762491</v>
      </c>
      <c r="F99" s="2">
        <f t="shared" si="60"/>
        <v>62.270930869267858</v>
      </c>
      <c r="G99" s="2">
        <f t="shared" si="48"/>
        <v>1.2089115806568789E-13</v>
      </c>
      <c r="H99" s="2">
        <f t="shared" si="49"/>
        <v>1.2155200113048669E-13</v>
      </c>
      <c r="I99" s="2">
        <f t="shared" si="50"/>
        <v>1.1617334459678302E-13</v>
      </c>
      <c r="J99" s="2">
        <f t="shared" si="51"/>
        <v>1.1708576639431784E-13</v>
      </c>
      <c r="K99" s="2">
        <f t="shared" si="52"/>
        <v>8.1424288950615906E-14</v>
      </c>
      <c r="L99" s="2">
        <f t="shared" si="53"/>
        <v>1.3877472861029347E-13</v>
      </c>
      <c r="M99" s="2">
        <f t="shared" si="54"/>
        <v>0.50352769294170097</v>
      </c>
      <c r="N99" s="2">
        <f t="shared" si="55"/>
        <v>0.49647230705760326</v>
      </c>
      <c r="O99" s="2" t="str">
        <f t="shared" si="56"/>
        <v>OK</v>
      </c>
      <c r="P99" s="2">
        <f t="shared" si="57"/>
        <v>1.1617334459678302E-13</v>
      </c>
      <c r="Q99" s="2">
        <f t="shared" si="58"/>
        <v>1.1708576639431784E-13</v>
      </c>
      <c r="R99" s="2">
        <f t="shared" si="40"/>
        <v>2.3325911099110084E-13</v>
      </c>
      <c r="S99" s="56">
        <f t="shared" si="41"/>
        <v>1.7868587601847473E-12</v>
      </c>
      <c r="T99" s="56">
        <f t="shared" si="42"/>
        <v>1.6678259694974701E-10</v>
      </c>
      <c r="U99" s="56">
        <f t="shared" si="43"/>
        <v>3.4686715105894395E-9</v>
      </c>
      <c r="V99" s="56">
        <f t="shared" si="44"/>
        <v>2.7925391555752629E-11</v>
      </c>
      <c r="W99" s="56">
        <f t="shared" si="45"/>
        <v>6.5105702795342785E-12</v>
      </c>
      <c r="X99" s="56">
        <f t="shared" si="46"/>
        <v>3.6716769281346577E-9</v>
      </c>
      <c r="Z99" s="119"/>
    </row>
    <row r="100" spans="2:26" x14ac:dyDescent="0.2">
      <c r="B100" s="119"/>
      <c r="C100" s="2">
        <f t="shared" si="61"/>
        <v>89</v>
      </c>
      <c r="D100" s="2">
        <f t="shared" si="61"/>
        <v>89</v>
      </c>
      <c r="E100" s="2">
        <f t="shared" si="47"/>
        <v>0.24366872005475701</v>
      </c>
      <c r="F100" s="2">
        <f t="shared" si="60"/>
        <v>62.273668720054992</v>
      </c>
      <c r="G100" s="2">
        <f t="shared" si="48"/>
        <v>8.7976636814788195E-14</v>
      </c>
      <c r="H100" s="2">
        <f t="shared" si="49"/>
        <v>8.8457554950023403E-14</v>
      </c>
      <c r="I100" s="2">
        <f t="shared" si="50"/>
        <v>8.4543322346179725E-14</v>
      </c>
      <c r="J100" s="2">
        <f t="shared" si="51"/>
        <v>8.5207322942981039E-14</v>
      </c>
      <c r="K100" s="2">
        <f t="shared" si="52"/>
        <v>5.9255244233977434E-14</v>
      </c>
      <c r="L100" s="2">
        <f t="shared" si="53"/>
        <v>1.0099112369644678E-13</v>
      </c>
      <c r="M100" s="2">
        <f t="shared" si="54"/>
        <v>0.50352769294179645</v>
      </c>
      <c r="N100" s="2">
        <f t="shared" si="55"/>
        <v>0.49647230705769729</v>
      </c>
      <c r="O100" s="2" t="str">
        <f t="shared" si="56"/>
        <v>OK</v>
      </c>
      <c r="P100" s="2">
        <f t="shared" si="57"/>
        <v>8.4543322346179725E-14</v>
      </c>
      <c r="Q100" s="2">
        <f t="shared" si="58"/>
        <v>8.5207322942981039E-14</v>
      </c>
      <c r="R100" s="2">
        <f t="shared" si="40"/>
        <v>1.6975064528916075E-13</v>
      </c>
      <c r="S100" s="56">
        <f t="shared" si="41"/>
        <v>1.3003583280977296E-12</v>
      </c>
      <c r="T100" s="56">
        <f t="shared" si="42"/>
        <v>1.2137340888820283E-10</v>
      </c>
      <c r="U100" s="56">
        <f t="shared" si="43"/>
        <v>2.5242710765589314E-9</v>
      </c>
      <c r="V100" s="56">
        <f t="shared" si="44"/>
        <v>2.032226401103938E-11</v>
      </c>
      <c r="W100" s="56">
        <f t="shared" si="45"/>
        <v>4.7379650100507293E-12</v>
      </c>
      <c r="X100" s="56">
        <f t="shared" si="46"/>
        <v>2.672005072796322E-9</v>
      </c>
      <c r="Z100" s="119"/>
    </row>
    <row r="101" spans="2:26" x14ac:dyDescent="0.2">
      <c r="B101" s="119"/>
      <c r="C101" s="2">
        <f t="shared" si="61"/>
        <v>90</v>
      </c>
      <c r="D101" s="2">
        <f t="shared" si="61"/>
        <v>90</v>
      </c>
      <c r="E101" s="2">
        <f t="shared" si="47"/>
        <v>0.24640657084188911</v>
      </c>
      <c r="F101" s="2">
        <f t="shared" si="60"/>
        <v>62.276406570842127</v>
      </c>
      <c r="G101" s="2">
        <f t="shared" si="48"/>
        <v>6.4023612223447888E-14</v>
      </c>
      <c r="H101" s="2">
        <f t="shared" si="49"/>
        <v>6.4373592824165136E-14</v>
      </c>
      <c r="I101" s="2">
        <f t="shared" si="50"/>
        <v>6.152507167748339E-14</v>
      </c>
      <c r="J101" s="2">
        <f t="shared" si="51"/>
        <v>6.2008287656917133E-14</v>
      </c>
      <c r="K101" s="2">
        <f t="shared" si="52"/>
        <v>4.3122070999697162E-14</v>
      </c>
      <c r="L101" s="2">
        <f t="shared" si="53"/>
        <v>7.3494700134578393E-14</v>
      </c>
      <c r="M101" s="2">
        <f t="shared" si="54"/>
        <v>0.50352769294186595</v>
      </c>
      <c r="N101" s="2">
        <f t="shared" si="55"/>
        <v>0.49647230705776574</v>
      </c>
      <c r="O101" s="2" t="str">
        <f t="shared" si="56"/>
        <v>OK</v>
      </c>
      <c r="P101" s="2">
        <f t="shared" si="57"/>
        <v>6.152507167748339E-14</v>
      </c>
      <c r="Q101" s="2">
        <f t="shared" si="58"/>
        <v>6.2008287656917133E-14</v>
      </c>
      <c r="R101" s="2">
        <f t="shared" si="40"/>
        <v>1.2353335933440052E-13</v>
      </c>
      <c r="S101" s="56">
        <f t="shared" si="41"/>
        <v>9.4631529874151484E-13</v>
      </c>
      <c r="T101" s="56">
        <f t="shared" si="42"/>
        <v>8.8327587257689718E-11</v>
      </c>
      <c r="U101" s="56">
        <f t="shared" si="43"/>
        <v>1.8369985305611097E-9</v>
      </c>
      <c r="V101" s="56">
        <f t="shared" si="44"/>
        <v>1.4789207653896248E-11</v>
      </c>
      <c r="W101" s="56">
        <f t="shared" si="45"/>
        <v>3.4479794353853145E-12</v>
      </c>
      <c r="X101" s="56">
        <f t="shared" si="46"/>
        <v>1.9445096202068223E-9</v>
      </c>
      <c r="Z101" s="119"/>
    </row>
    <row r="102" spans="2:26" x14ac:dyDescent="0.2">
      <c r="B102" s="119"/>
      <c r="C102" s="2">
        <f t="shared" si="61"/>
        <v>91</v>
      </c>
      <c r="D102" s="2">
        <f t="shared" si="61"/>
        <v>91</v>
      </c>
      <c r="E102" s="2">
        <f t="shared" si="47"/>
        <v>0.2491444216290212</v>
      </c>
      <c r="F102" s="2">
        <f t="shared" si="60"/>
        <v>62.279144421629262</v>
      </c>
      <c r="G102" s="2">
        <f t="shared" si="48"/>
        <v>4.6592175724651161E-14</v>
      </c>
      <c r="H102" s="2">
        <f t="shared" si="49"/>
        <v>4.6846868596273686E-14</v>
      </c>
      <c r="I102" s="2">
        <f t="shared" si="50"/>
        <v>4.4773902182595222E-14</v>
      </c>
      <c r="J102" s="2">
        <f t="shared" si="51"/>
        <v>4.5125555003247713E-14</v>
      </c>
      <c r="K102" s="2">
        <f t="shared" si="52"/>
        <v>3.1381408200097554E-14</v>
      </c>
      <c r="L102" s="2">
        <f t="shared" si="53"/>
        <v>5.3484610826858631E-14</v>
      </c>
      <c r="M102" s="2">
        <f t="shared" si="54"/>
        <v>0.50352769294191646</v>
      </c>
      <c r="N102" s="2">
        <f t="shared" si="55"/>
        <v>0.49647230705781553</v>
      </c>
      <c r="O102" s="2" t="str">
        <f t="shared" si="56"/>
        <v>OK</v>
      </c>
      <c r="P102" s="2">
        <f t="shared" si="57"/>
        <v>4.4773902182595222E-14</v>
      </c>
      <c r="Q102" s="2">
        <f t="shared" si="58"/>
        <v>4.5125555003247713E-14</v>
      </c>
      <c r="R102" s="2">
        <f t="shared" si="40"/>
        <v>8.9899457185842935E-14</v>
      </c>
      <c r="S102" s="56">
        <f t="shared" si="41"/>
        <v>6.886660586411376E-13</v>
      </c>
      <c r="T102" s="56">
        <f t="shared" si="42"/>
        <v>6.4279010882449558E-11</v>
      </c>
      <c r="U102" s="56">
        <f t="shared" si="43"/>
        <v>1.3368467565234151E-9</v>
      </c>
      <c r="V102" s="56">
        <f t="shared" si="44"/>
        <v>1.0762613009615994E-11</v>
      </c>
      <c r="W102" s="56">
        <f t="shared" si="45"/>
        <v>2.5092127446320546E-12</v>
      </c>
      <c r="X102" s="56">
        <f t="shared" si="46"/>
        <v>1.4150862592187538E-9</v>
      </c>
      <c r="Z102" s="119"/>
    </row>
    <row r="103" spans="2:26" x14ac:dyDescent="0.2">
      <c r="B103" s="119"/>
      <c r="C103" s="2">
        <f t="shared" si="61"/>
        <v>92</v>
      </c>
      <c r="D103" s="2">
        <f t="shared" si="61"/>
        <v>92</v>
      </c>
      <c r="E103" s="2">
        <f t="shared" si="47"/>
        <v>0.2518822724161533</v>
      </c>
      <c r="F103" s="2">
        <f t="shared" si="60"/>
        <v>62.281882272416397</v>
      </c>
      <c r="G103" s="2">
        <f t="shared" si="48"/>
        <v>3.3906722275843903E-14</v>
      </c>
      <c r="H103" s="2">
        <f t="shared" si="49"/>
        <v>3.4092071002951598E-14</v>
      </c>
      <c r="I103" s="2">
        <f t="shared" si="50"/>
        <v>3.2583502334874571E-14</v>
      </c>
      <c r="J103" s="2">
        <f t="shared" si="51"/>
        <v>3.283941213822537E-14</v>
      </c>
      <c r="K103" s="2">
        <f t="shared" si="52"/>
        <v>2.2837325707943529E-14</v>
      </c>
      <c r="L103" s="2">
        <f t="shared" si="53"/>
        <v>3.8922583398018964E-14</v>
      </c>
      <c r="M103" s="2">
        <f t="shared" si="54"/>
        <v>0.50352769294195321</v>
      </c>
      <c r="N103" s="2">
        <f t="shared" si="55"/>
        <v>0.49647230705785178</v>
      </c>
      <c r="O103" s="2" t="str">
        <f t="shared" si="56"/>
        <v>OK</v>
      </c>
      <c r="P103" s="2">
        <f t="shared" si="57"/>
        <v>3.2583502334874571E-14</v>
      </c>
      <c r="Q103" s="2">
        <f t="shared" si="58"/>
        <v>3.283941213822537E-14</v>
      </c>
      <c r="R103" s="2">
        <f t="shared" si="40"/>
        <v>6.5422914473099934E-14</v>
      </c>
      <c r="S103" s="56">
        <f t="shared" si="41"/>
        <v>5.0116588092259371E-13</v>
      </c>
      <c r="T103" s="56">
        <f t="shared" si="42"/>
        <v>4.6778038077411184E-11</v>
      </c>
      <c r="U103" s="56">
        <f t="shared" si="43"/>
        <v>9.7286917800706593E-10</v>
      </c>
      <c r="V103" s="56">
        <f t="shared" si="44"/>
        <v>7.832322157180527E-12</v>
      </c>
      <c r="W103" s="56">
        <f t="shared" si="45"/>
        <v>1.8260400665992747E-12</v>
      </c>
      <c r="X103" s="56">
        <f t="shared" si="46"/>
        <v>1.0298067441891796E-9</v>
      </c>
      <c r="Z103" s="119"/>
    </row>
    <row r="104" spans="2:26" x14ac:dyDescent="0.2">
      <c r="B104" s="119"/>
      <c r="C104" s="2">
        <f t="shared" si="61"/>
        <v>93</v>
      </c>
      <c r="D104" s="2">
        <f t="shared" si="61"/>
        <v>93</v>
      </c>
      <c r="E104" s="2">
        <f t="shared" si="47"/>
        <v>0.25462012320328542</v>
      </c>
      <c r="F104" s="2">
        <f t="shared" si="60"/>
        <v>62.284620123203531</v>
      </c>
      <c r="G104" s="2">
        <f t="shared" si="48"/>
        <v>2.4675083264740944E-14</v>
      </c>
      <c r="H104" s="2">
        <f t="shared" si="49"/>
        <v>2.4809967882522313E-14</v>
      </c>
      <c r="I104" s="2">
        <f t="shared" si="50"/>
        <v>2.3712130787195073E-14</v>
      </c>
      <c r="J104" s="2">
        <f t="shared" si="51"/>
        <v>2.3898365117207059E-14</v>
      </c>
      <c r="K104" s="2">
        <f t="shared" si="52"/>
        <v>1.6619504203418031E-14</v>
      </c>
      <c r="L104" s="2">
        <f t="shared" si="53"/>
        <v>2.8325297220167171E-14</v>
      </c>
      <c r="M104" s="2">
        <f t="shared" si="54"/>
        <v>0.50352769294197997</v>
      </c>
      <c r="N104" s="2">
        <f t="shared" si="55"/>
        <v>0.49647230705787815</v>
      </c>
      <c r="O104" s="2" t="str">
        <f t="shared" si="56"/>
        <v>OK</v>
      </c>
      <c r="P104" s="2">
        <f t="shared" si="57"/>
        <v>2.3712130787195073E-14</v>
      </c>
      <c r="Q104" s="2">
        <f t="shared" si="58"/>
        <v>2.3898365117207059E-14</v>
      </c>
      <c r="R104" s="2">
        <f t="shared" si="40"/>
        <v>4.7610495904402135E-14</v>
      </c>
      <c r="S104" s="56">
        <f t="shared" si="41"/>
        <v>3.6471557883441744E-13</v>
      </c>
      <c r="T104" s="56">
        <f t="shared" si="42"/>
        <v>3.4041980676606572E-11</v>
      </c>
      <c r="U104" s="56">
        <f t="shared" si="43"/>
        <v>7.0799022617785496E-10</v>
      </c>
      <c r="V104" s="56">
        <f t="shared" si="44"/>
        <v>5.6998491276283305E-12</v>
      </c>
      <c r="W104" s="56">
        <f t="shared" si="45"/>
        <v>1.3288719069194893E-12</v>
      </c>
      <c r="X104" s="56">
        <f t="shared" si="46"/>
        <v>7.4942564346784375E-10</v>
      </c>
      <c r="Z104" s="119"/>
    </row>
    <row r="105" spans="2:26" x14ac:dyDescent="0.2">
      <c r="B105" s="119"/>
      <c r="C105" s="2">
        <f t="shared" si="61"/>
        <v>94</v>
      </c>
      <c r="D105" s="2">
        <f t="shared" si="61"/>
        <v>94</v>
      </c>
      <c r="E105" s="2">
        <f t="shared" si="47"/>
        <v>0.25735797399041754</v>
      </c>
      <c r="F105" s="2">
        <f t="shared" si="60"/>
        <v>62.287357973990666</v>
      </c>
      <c r="G105" s="2">
        <f t="shared" si="48"/>
        <v>1.7956903329333823E-14</v>
      </c>
      <c r="H105" s="2">
        <f t="shared" si="49"/>
        <v>1.8055063486125479E-14</v>
      </c>
      <c r="I105" s="2">
        <f t="shared" si="50"/>
        <v>1.7256129825775181E-14</v>
      </c>
      <c r="J105" s="2">
        <f t="shared" si="51"/>
        <v>1.7391658927126065E-14</v>
      </c>
      <c r="K105" s="2">
        <f t="shared" si="52"/>
        <v>1.2094582504962739E-14</v>
      </c>
      <c r="L105" s="2">
        <f t="shared" si="53"/>
        <v>2.0613289061682518E-14</v>
      </c>
      <c r="M105" s="2">
        <f t="shared" si="54"/>
        <v>0.50352769294199939</v>
      </c>
      <c r="N105" s="2">
        <f t="shared" si="55"/>
        <v>0.49647230705789736</v>
      </c>
      <c r="O105" s="2" t="str">
        <f t="shared" si="56"/>
        <v>OK</v>
      </c>
      <c r="P105" s="2">
        <f t="shared" si="57"/>
        <v>1.7256129825775181E-14</v>
      </c>
      <c r="Q105" s="2">
        <f t="shared" si="58"/>
        <v>1.7391658927126065E-14</v>
      </c>
      <c r="R105" s="2">
        <f t="shared" si="40"/>
        <v>3.4647788752901246E-14</v>
      </c>
      <c r="S105" s="56">
        <f t="shared" si="41"/>
        <v>2.6541601994064926E-13</v>
      </c>
      <c r="T105" s="56">
        <f t="shared" si="42"/>
        <v>2.4773515436211921E-11</v>
      </c>
      <c r="U105" s="56">
        <f t="shared" si="43"/>
        <v>5.1522873958263026E-10</v>
      </c>
      <c r="V105" s="56">
        <f t="shared" si="44"/>
        <v>4.1479754567986953E-12</v>
      </c>
      <c r="W105" s="56">
        <f t="shared" si="45"/>
        <v>9.6706560677420605E-13</v>
      </c>
      <c r="X105" s="56">
        <f t="shared" si="46"/>
        <v>5.4538271210235574E-10</v>
      </c>
      <c r="Z105" s="119"/>
    </row>
    <row r="106" spans="2:26" x14ac:dyDescent="0.2">
      <c r="B106" s="119"/>
      <c r="C106" s="2">
        <f t="shared" si="61"/>
        <v>95</v>
      </c>
      <c r="D106" s="2">
        <f t="shared" si="61"/>
        <v>95</v>
      </c>
      <c r="E106" s="2">
        <f t="shared" si="47"/>
        <v>0.26009582477754961</v>
      </c>
      <c r="F106" s="2">
        <f t="shared" si="60"/>
        <v>62.290095824777801</v>
      </c>
      <c r="G106" s="2">
        <f t="shared" si="48"/>
        <v>1.3067853661097887E-14</v>
      </c>
      <c r="H106" s="2">
        <f t="shared" si="49"/>
        <v>1.3139288169641925E-14</v>
      </c>
      <c r="I106" s="2">
        <f t="shared" si="50"/>
        <v>1.255787677777193E-14</v>
      </c>
      <c r="J106" s="2">
        <f t="shared" si="51"/>
        <v>1.2656505947333709E-14</v>
      </c>
      <c r="K106" s="2">
        <f t="shared" si="52"/>
        <v>8.8016419851602141E-15</v>
      </c>
      <c r="L106" s="2">
        <f t="shared" si="53"/>
        <v>1.5000996552225144E-14</v>
      </c>
      <c r="M106" s="2">
        <f t="shared" si="54"/>
        <v>0.5035276929420136</v>
      </c>
      <c r="N106" s="2">
        <f t="shared" si="55"/>
        <v>0.49647230705791134</v>
      </c>
      <c r="O106" s="2" t="str">
        <f t="shared" si="56"/>
        <v>OK</v>
      </c>
      <c r="P106" s="2">
        <f t="shared" si="57"/>
        <v>1.255787677777193E-14</v>
      </c>
      <c r="Q106" s="2">
        <f t="shared" si="58"/>
        <v>1.2656505947333709E-14</v>
      </c>
      <c r="R106" s="2">
        <f t="shared" si="40"/>
        <v>2.5214382725105641E-14</v>
      </c>
      <c r="S106" s="56">
        <f t="shared" si="41"/>
        <v>1.9315232945702538E-13</v>
      </c>
      <c r="T106" s="56">
        <f t="shared" si="42"/>
        <v>1.8028535792277784E-11</v>
      </c>
      <c r="U106" s="56">
        <f t="shared" si="43"/>
        <v>3.7494960280033472E-10</v>
      </c>
      <c r="V106" s="56">
        <f t="shared" si="44"/>
        <v>3.0186238275684888E-12</v>
      </c>
      <c r="W106" s="56">
        <f t="shared" si="45"/>
        <v>7.0376676859210967E-13</v>
      </c>
      <c r="X106" s="56">
        <f t="shared" si="46"/>
        <v>3.9689368151823016E-10</v>
      </c>
      <c r="Z106" s="119"/>
    </row>
    <row r="107" spans="2:26" x14ac:dyDescent="0.2">
      <c r="B107" s="119"/>
      <c r="C107" s="2">
        <f t="shared" si="61"/>
        <v>96</v>
      </c>
      <c r="D107" s="2">
        <f t="shared" si="61"/>
        <v>96</v>
      </c>
      <c r="E107" s="2">
        <f t="shared" si="47"/>
        <v>0.26283367556468173</v>
      </c>
      <c r="F107" s="2">
        <f t="shared" si="60"/>
        <v>62.292833675564935</v>
      </c>
      <c r="G107" s="2">
        <f t="shared" si="48"/>
        <v>9.5099247445915125E-15</v>
      </c>
      <c r="H107" s="2">
        <f t="shared" si="49"/>
        <v>9.5619100834266895E-15</v>
      </c>
      <c r="I107" s="2">
        <f t="shared" si="50"/>
        <v>9.1387970974899186E-15</v>
      </c>
      <c r="J107" s="2">
        <f t="shared" si="51"/>
        <v>9.2105729226926729E-15</v>
      </c>
      <c r="K107" s="2">
        <f t="shared" si="52"/>
        <v>6.4052563702093386E-15</v>
      </c>
      <c r="L107" s="2">
        <f t="shared" si="53"/>
        <v>1.0916739045695171E-14</v>
      </c>
      <c r="M107" s="2">
        <f t="shared" si="54"/>
        <v>0.50352769294202393</v>
      </c>
      <c r="N107" s="2">
        <f t="shared" si="55"/>
        <v>0.4964723070579215</v>
      </c>
      <c r="O107" s="2" t="str">
        <f t="shared" si="56"/>
        <v>OK</v>
      </c>
      <c r="P107" s="2">
        <f t="shared" si="57"/>
        <v>9.1387970974899186E-15</v>
      </c>
      <c r="Q107" s="2">
        <f t="shared" si="58"/>
        <v>9.2105729226926729E-15</v>
      </c>
      <c r="R107" s="2">
        <f>SUM(P107:Q107)</f>
        <v>1.8349370020182592E-14</v>
      </c>
      <c r="S107" s="56">
        <f t="shared" si="41"/>
        <v>1.4056356652103305E-13</v>
      </c>
      <c r="T107" s="56">
        <f t="shared" si="42"/>
        <v>1.3119983058130755E-11</v>
      </c>
      <c r="U107" s="56">
        <f t="shared" si="43"/>
        <v>2.7286366974407087E-10</v>
      </c>
      <c r="V107" s="56">
        <f t="shared" si="44"/>
        <v>2.1967559613760878E-12</v>
      </c>
      <c r="W107" s="56">
        <f t="shared" ref="W107:W111" si="62">IF(Incl_AE="Yes",Adverse_Event_Cost*K109,0)</f>
        <v>5.1215518482420952E-13</v>
      </c>
      <c r="X107" s="56">
        <f>SUM(S107:W107)</f>
        <v>2.8883312751492301E-10</v>
      </c>
      <c r="Z107" s="119"/>
    </row>
    <row r="108" spans="2:26" x14ac:dyDescent="0.2">
      <c r="B108" s="119"/>
      <c r="C108" s="2">
        <f t="shared" si="61"/>
        <v>97</v>
      </c>
      <c r="D108" s="2">
        <f t="shared" si="61"/>
        <v>97</v>
      </c>
      <c r="E108" s="2">
        <f t="shared" si="47"/>
        <v>0.2655715263518138</v>
      </c>
      <c r="F108" s="2">
        <f t="shared" si="60"/>
        <v>62.29557152635207</v>
      </c>
      <c r="G108" s="2">
        <f t="shared" si="48"/>
        <v>6.9206979962611395E-15</v>
      </c>
      <c r="H108" s="2">
        <f t="shared" si="49"/>
        <v>6.9585295080737003E-15</v>
      </c>
      <c r="I108" s="2">
        <f t="shared" si="50"/>
        <v>6.6506156945989896E-15</v>
      </c>
      <c r="J108" s="2">
        <f t="shared" si="51"/>
        <v>6.7028494212584143E-15</v>
      </c>
      <c r="K108" s="2">
        <f t="shared" si="52"/>
        <v>4.6613244707385716E-15</v>
      </c>
      <c r="L108" s="2">
        <f t="shared" si="53"/>
        <v>7.944484953176518E-15</v>
      </c>
      <c r="M108" s="2">
        <f t="shared" si="54"/>
        <v>0.50352769294203148</v>
      </c>
      <c r="N108" s="2">
        <f t="shared" si="55"/>
        <v>0.49647230705792889</v>
      </c>
      <c r="O108" s="2" t="str">
        <f t="shared" si="56"/>
        <v>OK</v>
      </c>
      <c r="P108" s="2">
        <f t="shared" si="57"/>
        <v>6.6506156945989896E-15</v>
      </c>
      <c r="Q108" s="2">
        <f t="shared" si="58"/>
        <v>6.7028494212584143E-15</v>
      </c>
      <c r="R108" s="2">
        <f>SUM(P108:Q108)</f>
        <v>1.3353465115857403E-14</v>
      </c>
      <c r="S108" s="56">
        <f t="shared" si="41"/>
        <v>1.0229292232019847E-13</v>
      </c>
      <c r="T108" s="56">
        <f t="shared" si="42"/>
        <v>9.5478610924892016E-12</v>
      </c>
      <c r="U108" s="56">
        <f t="shared" si="43"/>
        <v>1.9857223933598722E-10</v>
      </c>
      <c r="V108" s="56">
        <f t="shared" si="44"/>
        <v>1.5986545623104438E-12</v>
      </c>
      <c r="W108" s="56">
        <f t="shared" si="62"/>
        <v>3.7271287171893486E-13</v>
      </c>
      <c r="X108" s="56">
        <f>SUM(S108:W108)</f>
        <v>2.1019376078482599E-10</v>
      </c>
      <c r="Z108" s="119"/>
    </row>
    <row r="109" spans="2:26" x14ac:dyDescent="0.2">
      <c r="B109" s="119"/>
      <c r="C109" s="2">
        <f t="shared" ref="C109:D111" si="63">C108+1</f>
        <v>98</v>
      </c>
      <c r="D109" s="2">
        <f t="shared" si="63"/>
        <v>98</v>
      </c>
      <c r="E109" s="2">
        <f t="shared" si="47"/>
        <v>0.26830937713894593</v>
      </c>
      <c r="F109" s="2">
        <f t="shared" si="60"/>
        <v>62.298309377139205</v>
      </c>
      <c r="G109" s="2">
        <f t="shared" si="48"/>
        <v>5.0364289983148833E-15</v>
      </c>
      <c r="H109" s="2">
        <f t="shared" si="49"/>
        <v>5.0639602853679818E-15</v>
      </c>
      <c r="I109" s="2">
        <f t="shared" si="50"/>
        <v>4.8398808558070409E-15</v>
      </c>
      <c r="J109" s="2">
        <f t="shared" si="51"/>
        <v>4.877893127947755E-15</v>
      </c>
      <c r="K109" s="2">
        <f t="shared" si="52"/>
        <v>3.3922054896291525E-15</v>
      </c>
      <c r="L109" s="2">
        <f t="shared" si="53"/>
        <v>5.7814738363775741E-15</v>
      </c>
      <c r="M109" s="2">
        <f t="shared" si="54"/>
        <v>0.50352769294203692</v>
      </c>
      <c r="N109" s="2">
        <f t="shared" si="55"/>
        <v>0.49647230705793427</v>
      </c>
      <c r="O109" s="2" t="str">
        <f t="shared" si="56"/>
        <v>OK</v>
      </c>
      <c r="P109" s="2">
        <f t="shared" si="57"/>
        <v>4.8398808558070409E-15</v>
      </c>
      <c r="Q109" s="2">
        <f t="shared" si="58"/>
        <v>4.877893127947755E-15</v>
      </c>
      <c r="R109" s="2">
        <f>SUM(P109:Q109)</f>
        <v>9.7177739837547967E-15</v>
      </c>
      <c r="S109" s="56">
        <f t="shared" si="41"/>
        <v>7.444206358580418E-14</v>
      </c>
      <c r="T109" s="56">
        <f t="shared" si="42"/>
        <v>6.9483055761245175E-12</v>
      </c>
      <c r="U109" s="56">
        <f t="shared" si="43"/>
        <v>1.4450782059734208E-10</v>
      </c>
      <c r="V109" s="56">
        <f t="shared" si="44"/>
        <v>1.1633956864262075E-12</v>
      </c>
      <c r="W109" s="56">
        <f t="shared" si="62"/>
        <v>2.7123592391758346E-13</v>
      </c>
      <c r="X109" s="56">
        <f>SUM(S109:W109)</f>
        <v>1.529651998473962E-10</v>
      </c>
      <c r="Z109" s="119"/>
    </row>
    <row r="110" spans="2:26" x14ac:dyDescent="0.2">
      <c r="B110" s="119"/>
      <c r="C110" s="2">
        <f t="shared" si="63"/>
        <v>99</v>
      </c>
      <c r="D110" s="2">
        <f t="shared" si="63"/>
        <v>99</v>
      </c>
      <c r="E110" s="2">
        <f t="shared" si="47"/>
        <v>0.27104722792607805</v>
      </c>
      <c r="F110" s="2">
        <f t="shared" si="60"/>
        <v>62.30104722792634</v>
      </c>
      <c r="G110" s="2">
        <f t="shared" si="48"/>
        <v>3.6651819034396045E-15</v>
      </c>
      <c r="H110" s="2">
        <f t="shared" si="49"/>
        <v>3.6852173641041309E-15</v>
      </c>
      <c r="I110" s="2">
        <f t="shared" si="50"/>
        <v>3.5221470874389331E-15</v>
      </c>
      <c r="J110" s="2">
        <f t="shared" si="51"/>
        <v>3.5498099199747202E-15</v>
      </c>
      <c r="K110" s="2">
        <f t="shared" si="52"/>
        <v>2.4686241337855E-15</v>
      </c>
      <c r="L110" s="2">
        <f t="shared" si="53"/>
        <v>4.2073765533854533E-15</v>
      </c>
      <c r="M110" s="2">
        <f t="shared" si="54"/>
        <v>0.50352769294204092</v>
      </c>
      <c r="N110" s="2">
        <f t="shared" si="55"/>
        <v>0.49647230705793821</v>
      </c>
      <c r="O110" s="2" t="str">
        <f t="shared" si="56"/>
        <v>OK</v>
      </c>
      <c r="P110" s="2">
        <f t="shared" si="57"/>
        <v>3.5221470874389331E-15</v>
      </c>
      <c r="Q110" s="2">
        <f t="shared" si="58"/>
        <v>3.5498099199747202E-15</v>
      </c>
      <c r="R110" s="2">
        <f>SUM(P110:Q110)</f>
        <v>7.0719570074136529E-15</v>
      </c>
      <c r="S110" s="56">
        <f t="shared" si="41"/>
        <v>5.4174039661966724E-14</v>
      </c>
      <c r="T110" s="56">
        <f t="shared" si="42"/>
        <v>5.056519979870836E-12</v>
      </c>
      <c r="U110" s="56">
        <f t="shared" si="43"/>
        <v>1.0516329112076977E-10</v>
      </c>
      <c r="V110" s="56">
        <f t="shared" si="44"/>
        <v>8.4664289278290709E-13</v>
      </c>
      <c r="W110" s="56">
        <f t="shared" si="62"/>
        <v>0</v>
      </c>
      <c r="X110" s="56">
        <f>SUM(S110:W110)</f>
        <v>1.1112062803308549E-10</v>
      </c>
      <c r="Z110" s="119"/>
    </row>
    <row r="111" spans="2:26" x14ac:dyDescent="0.2">
      <c r="B111" s="119"/>
      <c r="C111" s="2">
        <f t="shared" si="63"/>
        <v>100</v>
      </c>
      <c r="D111" s="2">
        <f t="shared" si="63"/>
        <v>100</v>
      </c>
      <c r="E111" s="2">
        <f t="shared" si="47"/>
        <v>0.27378507871321012</v>
      </c>
      <c r="F111" s="2">
        <f t="shared" si="60"/>
        <v>62.303785078713474</v>
      </c>
      <c r="G111" s="2">
        <f t="shared" si="48"/>
        <v>2.6672784208406067E-15</v>
      </c>
      <c r="H111" s="2">
        <f t="shared" si="49"/>
        <v>2.6818589118748825E-15</v>
      </c>
      <c r="I111" s="2">
        <f t="shared" si="50"/>
        <v>2.5631870856221654E-15</v>
      </c>
      <c r="J111" s="2">
        <f t="shared" si="51"/>
        <v>2.5833182764404954E-15</v>
      </c>
      <c r="K111" s="2">
        <f t="shared" si="52"/>
        <v>1.7965023441355373E-15</v>
      </c>
      <c r="L111" s="2">
        <f t="shared" si="53"/>
        <v>3.0618520403214331E-15</v>
      </c>
      <c r="M111" s="2">
        <f t="shared" si="54"/>
        <v>0.5035276929420438</v>
      </c>
      <c r="N111" s="2">
        <f t="shared" si="55"/>
        <v>0.49647230705794104</v>
      </c>
      <c r="O111" s="2" t="str">
        <f t="shared" si="56"/>
        <v>OK</v>
      </c>
      <c r="P111" s="2">
        <f t="shared" si="57"/>
        <v>2.5631870856221654E-15</v>
      </c>
      <c r="Q111" s="2">
        <f t="shared" si="58"/>
        <v>2.5833182764404954E-15</v>
      </c>
      <c r="R111" s="2">
        <f>SUM(P111:Q111)</f>
        <v>5.1465053620626608E-15</v>
      </c>
      <c r="S111" s="56">
        <f t="shared" si="41"/>
        <v>3.9424304377505239E-14</v>
      </c>
      <c r="T111" s="56">
        <f t="shared" si="42"/>
        <v>3.6798027989284228E-12</v>
      </c>
      <c r="U111" s="56">
        <f t="shared" si="43"/>
        <v>6.817099961633792E-11</v>
      </c>
      <c r="V111" s="56">
        <f t="shared" si="44"/>
        <v>6.1613103457666547E-13</v>
      </c>
      <c r="W111" s="56">
        <f t="shared" si="62"/>
        <v>0</v>
      </c>
      <c r="X111" s="56">
        <f>SUM(S111:W111)</f>
        <v>7.2506357754220517E-11</v>
      </c>
      <c r="Z111" s="119"/>
    </row>
    <row r="112" spans="2:26" x14ac:dyDescent="0.2">
      <c r="B112" s="119"/>
      <c r="C112" s="1"/>
      <c r="D112" s="1"/>
      <c r="E112" s="1"/>
      <c r="F112" s="1"/>
      <c r="G112" s="1"/>
      <c r="H112" s="1"/>
      <c r="I112" s="1"/>
      <c r="J112" s="1"/>
      <c r="K112" s="1"/>
      <c r="L112" s="1"/>
      <c r="M112" s="1"/>
      <c r="N112" s="1"/>
      <c r="O112" s="1"/>
      <c r="P112" s="1"/>
      <c r="Q112" s="1"/>
      <c r="R112" s="1"/>
      <c r="S112" s="1"/>
      <c r="T112" s="1"/>
      <c r="U112" s="1"/>
      <c r="V112" s="1"/>
      <c r="W112" s="1"/>
      <c r="X112" s="1"/>
      <c r="Z112" s="119"/>
    </row>
    <row r="113" spans="1:26" ht="16" thickBot="1" x14ac:dyDescent="0.25">
      <c r="A113" s="93"/>
      <c r="B113" s="98"/>
      <c r="C113" s="95"/>
      <c r="D113" s="95"/>
      <c r="E113" s="95"/>
      <c r="F113" s="95"/>
      <c r="G113" s="95"/>
      <c r="H113" s="95"/>
      <c r="I113" s="95"/>
      <c r="J113" s="95"/>
      <c r="K113" s="95"/>
      <c r="L113" s="95"/>
      <c r="M113" s="95"/>
      <c r="N113" s="95"/>
      <c r="O113" s="95"/>
      <c r="P113" s="95"/>
      <c r="Q113" s="95"/>
      <c r="R113" s="95"/>
      <c r="S113" s="95"/>
      <c r="T113" s="95"/>
      <c r="U113" s="95"/>
      <c r="V113" s="95"/>
      <c r="W113" s="95"/>
      <c r="X113" s="95"/>
      <c r="Y113" s="95"/>
      <c r="Z113" s="94"/>
    </row>
  </sheetData>
  <mergeCells count="3">
    <mergeCell ref="P8:Q8"/>
    <mergeCell ref="S8:W8"/>
    <mergeCell ref="G8:N8"/>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2A0B3-8E4D-47DB-A5DF-3B4E0B0DAE9C}">
  <sheetPr codeName="Sheet12">
    <tabColor theme="2" tint="-0.499984740745262"/>
  </sheetPr>
  <dimension ref="A3:Z113"/>
  <sheetViews>
    <sheetView showGridLines="0" workbookViewId="0">
      <selection activeCell="G12" sqref="G12"/>
    </sheetView>
  </sheetViews>
  <sheetFormatPr baseColWidth="10" defaultColWidth="8.83203125" defaultRowHeight="15" x14ac:dyDescent="0.2"/>
  <cols>
    <col min="1" max="1" width="13" customWidth="1"/>
    <col min="2" max="2" width="8.33203125" customWidth="1"/>
    <col min="7" max="7" width="21.83203125" bestFit="1" customWidth="1"/>
    <col min="8" max="8" width="19.33203125" bestFit="1" customWidth="1"/>
    <col min="9" max="9" width="19.5" bestFit="1" customWidth="1"/>
    <col min="10" max="10" width="17.1640625" bestFit="1" customWidth="1"/>
    <col min="11" max="11" width="19.5" bestFit="1" customWidth="1"/>
    <col min="12" max="12" width="12.6640625" customWidth="1"/>
    <col min="13" max="13" width="10.83203125" customWidth="1"/>
    <col min="15" max="15" width="7.5" customWidth="1"/>
    <col min="16" max="16" width="19.5" bestFit="1" customWidth="1"/>
    <col min="17" max="17" width="17" bestFit="1" customWidth="1"/>
    <col min="18" max="18" width="17.6640625" bestFit="1" customWidth="1"/>
    <col min="19" max="19" width="21.83203125" bestFit="1" customWidth="1"/>
    <col min="20" max="20" width="19.1640625" bestFit="1" customWidth="1"/>
    <col min="21" max="21" width="20.5" bestFit="1" customWidth="1"/>
    <col min="22" max="22" width="18.6640625" bestFit="1" customWidth="1"/>
    <col min="23" max="23" width="19.33203125" bestFit="1" customWidth="1"/>
    <col min="24" max="24" width="11.83203125" bestFit="1" customWidth="1"/>
  </cols>
  <sheetData>
    <row r="3" spans="2:26" ht="26" x14ac:dyDescent="0.3">
      <c r="H3" s="96" t="s">
        <v>278</v>
      </c>
    </row>
    <row r="4" spans="2:26" ht="16" thickBot="1" x14ac:dyDescent="0.25"/>
    <row r="5" spans="2:26" ht="16" thickBot="1" x14ac:dyDescent="0.25">
      <c r="B5" s="90"/>
      <c r="C5" s="91"/>
      <c r="D5" s="91"/>
      <c r="E5" s="91"/>
      <c r="F5" s="91"/>
      <c r="G5" s="91"/>
      <c r="H5" s="91"/>
      <c r="I5" s="91"/>
      <c r="J5" s="91"/>
      <c r="K5" s="91"/>
      <c r="L5" s="91"/>
      <c r="M5" s="91"/>
      <c r="N5" s="91"/>
      <c r="O5" s="91"/>
      <c r="P5" s="91"/>
      <c r="Q5" s="91"/>
      <c r="R5" s="91"/>
      <c r="S5" s="91"/>
      <c r="T5" s="91"/>
      <c r="U5" s="91"/>
      <c r="V5" s="91"/>
      <c r="W5" s="91"/>
      <c r="X5" s="91"/>
      <c r="Y5" s="92"/>
    </row>
    <row r="6" spans="2:26" x14ac:dyDescent="0.2">
      <c r="B6" s="119"/>
      <c r="Z6" s="119"/>
    </row>
    <row r="7" spans="2:26" x14ac:dyDescent="0.2">
      <c r="B7" s="119"/>
      <c r="R7">
        <f>AVERAGE(R11:R111)</f>
        <v>8.810153159408007E-3</v>
      </c>
      <c r="Z7" s="119"/>
    </row>
    <row r="8" spans="2:26" x14ac:dyDescent="0.2">
      <c r="B8" s="119"/>
      <c r="C8" s="1"/>
      <c r="D8" s="1"/>
      <c r="E8" s="1"/>
      <c r="F8" s="1"/>
      <c r="G8" s="212" t="s">
        <v>115</v>
      </c>
      <c r="H8" s="214"/>
      <c r="I8" s="214"/>
      <c r="J8" s="214" t="s">
        <v>112</v>
      </c>
      <c r="K8" s="214"/>
      <c r="L8" s="214"/>
      <c r="M8" s="214"/>
      <c r="N8" s="213"/>
      <c r="O8" s="1"/>
      <c r="P8" s="212" t="s">
        <v>97</v>
      </c>
      <c r="Q8" s="213"/>
      <c r="R8" s="12"/>
      <c r="S8" s="212" t="s">
        <v>98</v>
      </c>
      <c r="T8" s="214"/>
      <c r="U8" s="214"/>
      <c r="V8" s="214"/>
      <c r="W8" s="213"/>
      <c r="X8" s="1"/>
      <c r="Z8" s="119"/>
    </row>
    <row r="9" spans="2:26" ht="30" customHeight="1" x14ac:dyDescent="0.2">
      <c r="B9" s="119"/>
      <c r="C9" s="101" t="s">
        <v>99</v>
      </c>
      <c r="D9" s="101" t="s">
        <v>100</v>
      </c>
      <c r="E9" s="101" t="s">
        <v>101</v>
      </c>
      <c r="F9" s="101" t="s">
        <v>31</v>
      </c>
      <c r="G9" s="101" t="s">
        <v>102</v>
      </c>
      <c r="H9" s="101" t="s">
        <v>103</v>
      </c>
      <c r="I9" s="101" t="s">
        <v>104</v>
      </c>
      <c r="J9" s="101" t="s">
        <v>105</v>
      </c>
      <c r="K9" s="101" t="s">
        <v>106</v>
      </c>
      <c r="L9" s="101" t="s">
        <v>107</v>
      </c>
      <c r="M9" s="101" t="s">
        <v>108</v>
      </c>
      <c r="N9" s="101" t="s">
        <v>109</v>
      </c>
      <c r="O9" s="101" t="s">
        <v>110</v>
      </c>
      <c r="P9" s="101" t="s">
        <v>60</v>
      </c>
      <c r="Q9" s="101" t="s">
        <v>61</v>
      </c>
      <c r="R9" s="101" t="s">
        <v>97</v>
      </c>
      <c r="S9" s="101" t="str">
        <f>"Drug Acquisition" &amp; "("&amp;c_currency&amp;")"</f>
        <v>Drug Acquisition(€)</v>
      </c>
      <c r="T9" s="101" t="str">
        <f>"Treatment Cost" &amp; "("&amp;c_currency&amp;")"</f>
        <v>Treatment Cost(€)</v>
      </c>
      <c r="U9" s="101" t="str">
        <f>"ICU Cost" &amp; "("&amp;c_currency&amp;")"</f>
        <v>ICU Cost(€)</v>
      </c>
      <c r="V9" s="101" t="str">
        <f>"Resource Use Cost" &amp; "("&amp;c_currency&amp;")"</f>
        <v>Resource Use Cost(€)</v>
      </c>
      <c r="W9" s="101" t="str">
        <f>"Adverse Event Cost" &amp; "("&amp;c_currency&amp;")"</f>
        <v>Adverse Event Cost(€)</v>
      </c>
      <c r="X9" s="101" t="s">
        <v>46</v>
      </c>
      <c r="Z9" s="119"/>
    </row>
    <row r="10" spans="2:26" x14ac:dyDescent="0.2">
      <c r="B10" s="119"/>
      <c r="C10" s="2"/>
      <c r="D10" s="2"/>
      <c r="E10" s="2"/>
      <c r="F10" s="2"/>
      <c r="G10" s="2"/>
      <c r="H10" s="2"/>
      <c r="I10" s="2"/>
      <c r="J10" s="2"/>
      <c r="K10" s="2"/>
      <c r="L10" s="2"/>
      <c r="M10" s="2"/>
      <c r="N10" s="2"/>
      <c r="O10" s="2"/>
      <c r="P10" s="10">
        <f t="shared" ref="P10:X10" si="0">SUM(P11:P111)</f>
        <v>0.44048939228876655</v>
      </c>
      <c r="Q10" s="10">
        <f t="shared" si="0"/>
        <v>0.44933607681144222</v>
      </c>
      <c r="R10" s="10">
        <f t="shared" si="0"/>
        <v>0.88982546910020865</v>
      </c>
      <c r="S10" s="61">
        <f t="shared" si="0"/>
        <v>8.6983438579607242</v>
      </c>
      <c r="T10" s="61">
        <f t="shared" si="0"/>
        <v>636.23410866133986</v>
      </c>
      <c r="U10" s="61">
        <f t="shared" si="0"/>
        <v>13699.845044071415</v>
      </c>
      <c r="V10" s="61">
        <f t="shared" si="0"/>
        <v>107.34643363851966</v>
      </c>
      <c r="W10" s="61">
        <f t="shared" si="0"/>
        <v>34.504361577876296</v>
      </c>
      <c r="X10" s="61">
        <f t="shared" si="0"/>
        <v>14486.628291807119</v>
      </c>
      <c r="Z10" s="119"/>
    </row>
    <row r="11" spans="2:26" x14ac:dyDescent="0.2">
      <c r="B11" s="119"/>
      <c r="C11" s="2">
        <v>0</v>
      </c>
      <c r="D11" s="2">
        <v>0</v>
      </c>
      <c r="E11" s="2">
        <f>D11*(1/365.25)</f>
        <v>0</v>
      </c>
      <c r="F11" s="11">
        <f>con_age</f>
        <v>62.03</v>
      </c>
      <c r="G11" s="2">
        <v>1</v>
      </c>
      <c r="H11" s="2"/>
      <c r="I11" s="2"/>
      <c r="J11" s="2"/>
      <c r="K11" s="2"/>
      <c r="L11" s="2"/>
      <c r="M11" s="2"/>
      <c r="N11" s="2"/>
      <c r="O11" s="2" t="str">
        <f>IF(ROUND(SUM(G11:N11),6)=1,"OK","ERROR")</f>
        <v>OK</v>
      </c>
      <c r="P11" s="2">
        <f>I11</f>
        <v>0</v>
      </c>
      <c r="Q11" s="2">
        <f>J11</f>
        <v>0</v>
      </c>
      <c r="R11" s="2">
        <f t="shared" ref="R11:R42" si="1">SUM(P11:Q11)</f>
        <v>0</v>
      </c>
      <c r="S11" s="56">
        <f t="shared" ref="S11:S42" si="2">PVI4_cost_perpatient*(G11+H11+J11)</f>
        <v>3.65</v>
      </c>
      <c r="T11" s="56">
        <f t="shared" ref="T11:T42" si="3">treatment_cost*(I11+J11)</f>
        <v>0</v>
      </c>
      <c r="U11" s="56">
        <f t="shared" ref="U11:U42" si="4">ICU_Cost_without*(G12+H12+K12+L12)+ICU_cost_with*(I11+J11)</f>
        <v>466.52567675624988</v>
      </c>
      <c r="V11" s="56">
        <f t="shared" ref="V11:V42" si="5">Resource_cost*(H11+J11)</f>
        <v>0</v>
      </c>
      <c r="W11" s="56">
        <f t="shared" ref="W11:W42" si="6">IF(Incl_AE="Yes",Adverse_Event_Cost*K13,0)</f>
        <v>10.686964117610968</v>
      </c>
      <c r="X11" s="56">
        <f t="shared" ref="X11:X42" si="7">SUM(S11:W11)</f>
        <v>480.86264087386081</v>
      </c>
      <c r="Z11" s="119"/>
    </row>
    <row r="12" spans="2:26" x14ac:dyDescent="0.2">
      <c r="B12" s="119"/>
      <c r="C12" s="2">
        <f>C11+1</f>
        <v>1</v>
      </c>
      <c r="D12" s="2">
        <f>D11+1</f>
        <v>1</v>
      </c>
      <c r="E12" s="2">
        <f t="shared" ref="E12:E75" si="8">D12*(1/365.25)</f>
        <v>2.7378507871321013E-3</v>
      </c>
      <c r="F12" s="2">
        <f>F11+1/365.25</f>
        <v>62.032737850787136</v>
      </c>
      <c r="G12" s="2">
        <f t="shared" ref="G12:G43" si="9">G11*tp_pvi4_1_1+H11*tp_pvi4_2_1+I11*tp_pvi4_3_1+J11*tp_pvi4_4_1+L11*tp_pvi4_6_1</f>
        <v>0.14426357673633072</v>
      </c>
      <c r="H12" s="2">
        <f t="shared" ref="H12:H43" si="10">G11*tp_pvi4_1_2+I11*tp_pvi4_3_2+J11*tp_pvi4_4_2+H11*tp_pvi4_2_2+L11*tp_pvi4_6_2</f>
        <v>0.14495238849333661</v>
      </c>
      <c r="I12" s="2">
        <f t="shared" ref="I12:I43" si="11">G11*tp_pvi4_1_3+H11*tp_pvi4_2_3+I11*tp_pvi4_3_3+J11*tp_pvi4_4_3+L11*tp_pvi4_6_3</f>
        <v>0.13643119024185349</v>
      </c>
      <c r="J12" s="2">
        <f t="shared" ref="J12:J43" si="12">G11*tp_pvi4_1_4+H11*tp_pvi4_2_4+I11*tp_pvi4_3_4+J11*tp_pvi4_4_4+L11*tp_pvi4_6_4</f>
        <v>0.13917184130307281</v>
      </c>
      <c r="K12" s="2">
        <f t="shared" ref="K12:K43" si="13">G11*tp_pvi4_1_5+H11*tp_pvi4_2_5+I11*tp_pvi4_3_5+J11*tp_pvi4_4_5</f>
        <v>0.12532244899825837</v>
      </c>
      <c r="L12" s="2">
        <f t="shared" ref="L12:L43" si="14">K11*tp_pvi4_5_6+L11*tp_pvi4_6_6</f>
        <v>0</v>
      </c>
      <c r="M12" s="2">
        <f t="shared" ref="M12:M43" si="15">G11*tp_pvi4_1_7+H11*tp_pvi4_2_7+I11*tp_pvi4_3_7+J11*tp_pvi4_4_7+L11*tp_pvi4_6_7+M11</f>
        <v>0.15586763131785591</v>
      </c>
      <c r="N12" s="2">
        <f t="shared" ref="N12:N43" si="16">G11*tp_pvi4_1_8+H11*tp_pvi4_2_8+I11*tp_pvi4_3_8+J11*tp_pvi4_4_8+L11*tp_pvi4_6_8+N11</f>
        <v>0.15399092290929212</v>
      </c>
      <c r="O12" s="2" t="str">
        <f t="shared" ref="O12:O75" si="17">IF(ROUND(SUM(G12:N12),6)=1,"OK","ERROR")</f>
        <v>OK</v>
      </c>
      <c r="P12" s="2">
        <f t="shared" ref="P12:P75" si="18">I12</f>
        <v>0.13643119024185349</v>
      </c>
      <c r="Q12" s="2">
        <f t="shared" ref="Q12:Q75" si="19">J12</f>
        <v>0.13917184130307281</v>
      </c>
      <c r="R12" s="2">
        <f t="shared" si="1"/>
        <v>0.27560303154492627</v>
      </c>
      <c r="S12" s="56">
        <f t="shared" si="2"/>
        <v>1.5636154938445013</v>
      </c>
      <c r="T12" s="56">
        <f t="shared" si="3"/>
        <v>197.05892358493773</v>
      </c>
      <c r="U12" s="56">
        <f t="shared" si="4"/>
        <v>4055.1977814037255</v>
      </c>
      <c r="V12" s="56">
        <f t="shared" si="5"/>
        <v>33.248217370775826</v>
      </c>
      <c r="W12" s="56">
        <f t="shared" si="6"/>
        <v>6.0361468454618583</v>
      </c>
      <c r="X12" s="56">
        <f t="shared" si="7"/>
        <v>4293.1046846987456</v>
      </c>
      <c r="Z12" s="119"/>
    </row>
    <row r="13" spans="2:26" x14ac:dyDescent="0.2">
      <c r="B13" s="119"/>
      <c r="C13" s="2">
        <f t="shared" ref="C13:D28" si="20">C12+1</f>
        <v>2</v>
      </c>
      <c r="D13" s="2">
        <f t="shared" si="20"/>
        <v>2</v>
      </c>
      <c r="E13" s="2">
        <f t="shared" si="8"/>
        <v>5.4757015742642025E-3</v>
      </c>
      <c r="F13" s="2">
        <f t="shared" ref="F13:F76" si="21">F12+1/365.25</f>
        <v>62.035475701574271</v>
      </c>
      <c r="G13" s="2">
        <f t="shared" si="9"/>
        <v>8.1481932557789155E-2</v>
      </c>
      <c r="H13" s="2">
        <f t="shared" si="10"/>
        <v>8.1871009896750307E-2</v>
      </c>
      <c r="I13" s="2">
        <f t="shared" si="11"/>
        <v>7.7058466932196035E-2</v>
      </c>
      <c r="J13" s="2">
        <f t="shared" si="12"/>
        <v>7.8606261900404789E-2</v>
      </c>
      <c r="K13" s="2">
        <f t="shared" si="13"/>
        <v>7.0783972165922415E-2</v>
      </c>
      <c r="L13" s="2">
        <f t="shared" si="14"/>
        <v>0.12532244899825837</v>
      </c>
      <c r="M13" s="2">
        <f t="shared" si="15"/>
        <v>0.24378835174187241</v>
      </c>
      <c r="N13" s="2">
        <f t="shared" si="16"/>
        <v>0.24108755580680655</v>
      </c>
      <c r="O13" s="2" t="str">
        <f t="shared" si="17"/>
        <v>OK</v>
      </c>
      <c r="P13" s="2">
        <f t="shared" si="18"/>
        <v>7.7058466932196035E-2</v>
      </c>
      <c r="Q13" s="2">
        <f t="shared" si="19"/>
        <v>7.8606261900404789E-2</v>
      </c>
      <c r="R13" s="2">
        <f t="shared" si="1"/>
        <v>0.15566472883260082</v>
      </c>
      <c r="S13" s="56">
        <f t="shared" si="2"/>
        <v>0.88315109589554652</v>
      </c>
      <c r="T13" s="56">
        <f t="shared" si="3"/>
        <v>111.30183776259791</v>
      </c>
      <c r="U13" s="56">
        <f t="shared" si="4"/>
        <v>2350.5071739091609</v>
      </c>
      <c r="V13" s="56">
        <f t="shared" si="5"/>
        <v>18.779050345703087</v>
      </c>
      <c r="W13" s="56">
        <f t="shared" si="6"/>
        <v>4.7250071731349852</v>
      </c>
      <c r="X13" s="56">
        <f t="shared" si="7"/>
        <v>2486.1962202864925</v>
      </c>
      <c r="Z13" s="119"/>
    </row>
    <row r="14" spans="2:26" x14ac:dyDescent="0.2">
      <c r="B14" s="119"/>
      <c r="C14" s="2">
        <f t="shared" si="20"/>
        <v>3</v>
      </c>
      <c r="D14" s="2">
        <f t="shared" si="20"/>
        <v>3</v>
      </c>
      <c r="E14" s="2">
        <f t="shared" si="8"/>
        <v>8.2135523613963042E-3</v>
      </c>
      <c r="F14" s="2">
        <f t="shared" si="21"/>
        <v>62.038213552361405</v>
      </c>
      <c r="G14" s="2">
        <f t="shared" si="9"/>
        <v>6.3782635811984081E-2</v>
      </c>
      <c r="H14" s="2">
        <f t="shared" si="10"/>
        <v>6.4087242051618573E-2</v>
      </c>
      <c r="I14" s="2">
        <f t="shared" si="11"/>
        <v>6.0320631007834163E-2</v>
      </c>
      <c r="J14" s="2">
        <f t="shared" si="12"/>
        <v>6.153184286900161E-2</v>
      </c>
      <c r="K14" s="2">
        <f t="shared" si="13"/>
        <v>3.9979777755079202E-2</v>
      </c>
      <c r="L14" s="2">
        <f t="shared" si="14"/>
        <v>8.8555025317650485E-2</v>
      </c>
      <c r="M14" s="2">
        <f t="shared" si="15"/>
        <v>0.31256462494043191</v>
      </c>
      <c r="N14" s="2">
        <f t="shared" si="16"/>
        <v>0.30917822024640007</v>
      </c>
      <c r="O14" s="2" t="str">
        <f t="shared" si="17"/>
        <v>OK</v>
      </c>
      <c r="P14" s="2">
        <f t="shared" si="18"/>
        <v>6.0320631007834163E-2</v>
      </c>
      <c r="Q14" s="2">
        <f t="shared" si="19"/>
        <v>6.153184286900161E-2</v>
      </c>
      <c r="R14" s="2">
        <f t="shared" si="1"/>
        <v>0.12185247387683577</v>
      </c>
      <c r="S14" s="56">
        <f t="shared" si="2"/>
        <v>0.69131628067400552</v>
      </c>
      <c r="T14" s="56">
        <f t="shared" si="3"/>
        <v>87.125737346676345</v>
      </c>
      <c r="U14" s="56">
        <f t="shared" si="4"/>
        <v>1818.0086463077471</v>
      </c>
      <c r="V14" s="56">
        <f t="shared" si="5"/>
        <v>14.699945317410974</v>
      </c>
      <c r="W14" s="56">
        <f t="shared" si="6"/>
        <v>3.5984516296710423</v>
      </c>
      <c r="X14" s="56">
        <f t="shared" si="7"/>
        <v>1924.1240968821794</v>
      </c>
      <c r="Z14" s="119"/>
    </row>
    <row r="15" spans="2:26" x14ac:dyDescent="0.2">
      <c r="B15" s="119"/>
      <c r="C15" s="2">
        <f t="shared" si="20"/>
        <v>4</v>
      </c>
      <c r="D15" s="2">
        <f t="shared" si="20"/>
        <v>4</v>
      </c>
      <c r="E15" s="2">
        <f t="shared" si="8"/>
        <v>1.0951403148528405E-2</v>
      </c>
      <c r="F15" s="2">
        <f t="shared" si="21"/>
        <v>62.04095140314854</v>
      </c>
      <c r="G15" s="2">
        <f t="shared" si="9"/>
        <v>4.8575331184570109E-2</v>
      </c>
      <c r="H15" s="2">
        <f t="shared" si="10"/>
        <v>4.8807309638504937E-2</v>
      </c>
      <c r="I15" s="2">
        <f t="shared" si="11"/>
        <v>4.593871770241343E-2</v>
      </c>
      <c r="J15" s="2">
        <f t="shared" si="12"/>
        <v>4.6861168322925043E-2</v>
      </c>
      <c r="K15" s="2">
        <f t="shared" si="13"/>
        <v>3.1295583343058583E-2</v>
      </c>
      <c r="L15" s="2">
        <f t="shared" si="14"/>
        <v>5.2537113446743368E-2</v>
      </c>
      <c r="M15" s="2">
        <f t="shared" si="15"/>
        <v>0.36494554850917332</v>
      </c>
      <c r="N15" s="2">
        <f t="shared" si="16"/>
        <v>0.36103922785261133</v>
      </c>
      <c r="O15" s="2" t="str">
        <f t="shared" si="17"/>
        <v>OK</v>
      </c>
      <c r="P15" s="2">
        <f t="shared" si="18"/>
        <v>4.593871770241343E-2</v>
      </c>
      <c r="Q15" s="2">
        <f t="shared" si="19"/>
        <v>4.6861168322925043E-2</v>
      </c>
      <c r="R15" s="2">
        <f t="shared" si="1"/>
        <v>9.2799886025338479E-2</v>
      </c>
      <c r="S15" s="56">
        <f t="shared" si="2"/>
        <v>0.52648990338290036</v>
      </c>
      <c r="T15" s="56">
        <f t="shared" si="3"/>
        <v>66.352846506977272</v>
      </c>
      <c r="U15" s="56">
        <f t="shared" si="4"/>
        <v>1378.3615076522603</v>
      </c>
      <c r="V15" s="56">
        <f t="shared" si="5"/>
        <v>11.195125291046535</v>
      </c>
      <c r="W15" s="56">
        <f t="shared" si="6"/>
        <v>2.5840205896453616</v>
      </c>
      <c r="X15" s="56">
        <f t="shared" si="7"/>
        <v>1459.0199899433123</v>
      </c>
      <c r="Z15" s="119"/>
    </row>
    <row r="16" spans="2:26" x14ac:dyDescent="0.2">
      <c r="B16" s="119"/>
      <c r="C16" s="2">
        <f t="shared" si="20"/>
        <v>5</v>
      </c>
      <c r="D16" s="2">
        <f t="shared" si="20"/>
        <v>5</v>
      </c>
      <c r="E16" s="2">
        <f t="shared" si="8"/>
        <v>1.3689253935660506E-2</v>
      </c>
      <c r="F16" s="2">
        <f t="shared" si="21"/>
        <v>62.043689253935675</v>
      </c>
      <c r="G16" s="2">
        <f t="shared" si="9"/>
        <v>3.4881593627094018E-2</v>
      </c>
      <c r="H16" s="2">
        <f t="shared" si="10"/>
        <v>3.5048171857584215E-2</v>
      </c>
      <c r="I16" s="2">
        <f t="shared" si="11"/>
        <v>3.2988207041879318E-2</v>
      </c>
      <c r="J16" s="2">
        <f t="shared" si="12"/>
        <v>3.365064523339515E-2</v>
      </c>
      <c r="K16" s="2">
        <f t="shared" si="13"/>
        <v>2.3833962310710305E-2</v>
      </c>
      <c r="L16" s="2">
        <f t="shared" si="14"/>
        <v>3.8745484322199354E-2</v>
      </c>
      <c r="M16" s="2">
        <f t="shared" si="15"/>
        <v>0.40256401478945092</v>
      </c>
      <c r="N16" s="2">
        <f t="shared" si="16"/>
        <v>0.39828792081768688</v>
      </c>
      <c r="O16" s="2" t="str">
        <f t="shared" si="17"/>
        <v>OK</v>
      </c>
      <c r="P16" s="2">
        <f t="shared" si="18"/>
        <v>3.2988207041879318E-2</v>
      </c>
      <c r="Q16" s="2">
        <f t="shared" si="19"/>
        <v>3.365064523339515E-2</v>
      </c>
      <c r="R16" s="2">
        <f t="shared" si="1"/>
        <v>6.6638852275274468E-2</v>
      </c>
      <c r="S16" s="56">
        <f t="shared" si="2"/>
        <v>0.37806849912096785</v>
      </c>
      <c r="T16" s="56">
        <f t="shared" si="3"/>
        <v>47.647445765343996</v>
      </c>
      <c r="U16" s="56">
        <f t="shared" si="4"/>
        <v>991.81031545015855</v>
      </c>
      <c r="V16" s="56">
        <f t="shared" si="5"/>
        <v>8.0391355759864034</v>
      </c>
      <c r="W16" s="56">
        <f t="shared" si="6"/>
        <v>1.8662633090759777</v>
      </c>
      <c r="X16" s="56">
        <f t="shared" si="7"/>
        <v>1049.7412285996859</v>
      </c>
      <c r="Z16" s="119"/>
    </row>
    <row r="17" spans="2:26" x14ac:dyDescent="0.2">
      <c r="B17" s="119"/>
      <c r="C17" s="2">
        <f t="shared" si="20"/>
        <v>6</v>
      </c>
      <c r="D17" s="2">
        <f t="shared" si="20"/>
        <v>6</v>
      </c>
      <c r="E17" s="2">
        <f t="shared" si="8"/>
        <v>1.6427104722792608E-2</v>
      </c>
      <c r="F17" s="2">
        <f t="shared" si="21"/>
        <v>62.04642710472281</v>
      </c>
      <c r="G17" s="2">
        <f t="shared" si="9"/>
        <v>2.5192614519477338E-2</v>
      </c>
      <c r="H17" s="2">
        <f t="shared" si="10"/>
        <v>2.5312922979254852E-2</v>
      </c>
      <c r="I17" s="2">
        <f t="shared" si="11"/>
        <v>2.3825153402582757E-2</v>
      </c>
      <c r="J17" s="2">
        <f t="shared" si="12"/>
        <v>2.4303585280284538E-2</v>
      </c>
      <c r="K17" s="2">
        <f t="shared" si="13"/>
        <v>1.7114986022290113E-2</v>
      </c>
      <c r="L17" s="2">
        <f t="shared" si="14"/>
        <v>2.9328173976561331E-2</v>
      </c>
      <c r="M17" s="2">
        <f t="shared" si="15"/>
        <v>0.42973298960805051</v>
      </c>
      <c r="N17" s="2">
        <f t="shared" si="16"/>
        <v>0.42518957421149878</v>
      </c>
      <c r="O17" s="2" t="str">
        <f t="shared" si="17"/>
        <v>OK</v>
      </c>
      <c r="P17" s="2">
        <f t="shared" si="18"/>
        <v>2.3825153402582757E-2</v>
      </c>
      <c r="Q17" s="2">
        <f t="shared" si="19"/>
        <v>2.4303585280284538E-2</v>
      </c>
      <c r="R17" s="2">
        <f t="shared" si="1"/>
        <v>4.8128738682867295E-2</v>
      </c>
      <c r="S17" s="56">
        <f t="shared" si="2"/>
        <v>0.27305329814341106</v>
      </c>
      <c r="T17" s="56">
        <f t="shared" si="3"/>
        <v>34.412529445636942</v>
      </c>
      <c r="U17" s="56">
        <f t="shared" si="4"/>
        <v>716.85116641261413</v>
      </c>
      <c r="V17" s="56">
        <f t="shared" si="5"/>
        <v>5.8061237965313</v>
      </c>
      <c r="W17" s="56">
        <f t="shared" si="6"/>
        <v>1.3619956271800358</v>
      </c>
      <c r="X17" s="56">
        <f t="shared" si="7"/>
        <v>758.70486858010588</v>
      </c>
      <c r="Z17" s="119"/>
    </row>
    <row r="18" spans="2:26" x14ac:dyDescent="0.2">
      <c r="B18" s="119"/>
      <c r="C18" s="2">
        <f t="shared" si="20"/>
        <v>7</v>
      </c>
      <c r="D18" s="2">
        <f t="shared" si="20"/>
        <v>7</v>
      </c>
      <c r="E18" s="2">
        <f t="shared" si="8"/>
        <v>1.9164955509924708E-2</v>
      </c>
      <c r="F18" s="2">
        <f t="shared" si="21"/>
        <v>62.049164955509944</v>
      </c>
      <c r="G18" s="2">
        <f t="shared" si="9"/>
        <v>1.8385523155947658E-2</v>
      </c>
      <c r="H18" s="2">
        <f t="shared" si="10"/>
        <v>1.8473324409091524E-2</v>
      </c>
      <c r="I18" s="2">
        <f t="shared" si="11"/>
        <v>1.7387557673584002E-2</v>
      </c>
      <c r="J18" s="2">
        <f t="shared" si="12"/>
        <v>1.7736713219214321E-2</v>
      </c>
      <c r="K18" s="2">
        <f t="shared" si="13"/>
        <v>1.2360996880884736E-2</v>
      </c>
      <c r="L18" s="2">
        <f t="shared" si="14"/>
        <v>2.1273798292132069E-2</v>
      </c>
      <c r="M18" s="2">
        <f t="shared" si="15"/>
        <v>0.44956046628878049</v>
      </c>
      <c r="N18" s="2">
        <f t="shared" si="16"/>
        <v>0.44482162008036541</v>
      </c>
      <c r="O18" s="2" t="str">
        <f t="shared" si="17"/>
        <v>OK</v>
      </c>
      <c r="P18" s="2">
        <f t="shared" si="18"/>
        <v>1.7387557673584002E-2</v>
      </c>
      <c r="Q18" s="2">
        <f t="shared" si="19"/>
        <v>1.7736713219214321E-2</v>
      </c>
      <c r="R18" s="2">
        <f t="shared" si="1"/>
        <v>3.512427089279832E-2</v>
      </c>
      <c r="S18" s="56">
        <f t="shared" si="2"/>
        <v>0.19927379686252528</v>
      </c>
      <c r="T18" s="56">
        <f t="shared" si="3"/>
        <v>25.114204931059728</v>
      </c>
      <c r="U18" s="56">
        <f t="shared" si="4"/>
        <v>522.94877535364196</v>
      </c>
      <c r="V18" s="56">
        <f t="shared" si="5"/>
        <v>4.2372986032643496</v>
      </c>
      <c r="W18" s="56">
        <f t="shared" si="6"/>
        <v>0.99261872757971958</v>
      </c>
      <c r="X18" s="56">
        <f t="shared" si="7"/>
        <v>553.49217141240831</v>
      </c>
      <c r="Z18" s="119"/>
    </row>
    <row r="19" spans="2:26" x14ac:dyDescent="0.2">
      <c r="B19" s="119"/>
      <c r="C19" s="2">
        <f t="shared" si="20"/>
        <v>8</v>
      </c>
      <c r="D19" s="2">
        <f t="shared" si="20"/>
        <v>8</v>
      </c>
      <c r="E19" s="2">
        <f t="shared" si="8"/>
        <v>2.190280629705681E-2</v>
      </c>
      <c r="F19" s="2">
        <f t="shared" si="21"/>
        <v>62.051902806297079</v>
      </c>
      <c r="G19" s="2">
        <f t="shared" si="9"/>
        <v>1.3399319706174726E-2</v>
      </c>
      <c r="H19" s="2">
        <f t="shared" si="10"/>
        <v>1.346330898803255E-2</v>
      </c>
      <c r="I19" s="2">
        <f t="shared" si="11"/>
        <v>1.2672004666572026E-2</v>
      </c>
      <c r="J19" s="2">
        <f t="shared" si="12"/>
        <v>1.2926468587605731E-2</v>
      </c>
      <c r="K19" s="2">
        <f t="shared" si="13"/>
        <v>9.0210334294610912E-3</v>
      </c>
      <c r="L19" s="2">
        <f t="shared" si="14"/>
        <v>1.537767747730266E-2</v>
      </c>
      <c r="M19" s="2">
        <f t="shared" si="15"/>
        <v>0.46401071515180986</v>
      </c>
      <c r="N19" s="2">
        <f t="shared" si="16"/>
        <v>0.45912947199304155</v>
      </c>
      <c r="O19" s="2" t="str">
        <f t="shared" si="17"/>
        <v>OK</v>
      </c>
      <c r="P19" s="2">
        <f t="shared" si="18"/>
        <v>1.2672004666572026E-2</v>
      </c>
      <c r="Q19" s="2">
        <f t="shared" si="19"/>
        <v>1.2926468587605731E-2</v>
      </c>
      <c r="R19" s="2">
        <f t="shared" si="1"/>
        <v>2.5598473254177759E-2</v>
      </c>
      <c r="S19" s="56">
        <f t="shared" si="2"/>
        <v>0.14523020507861747</v>
      </c>
      <c r="T19" s="56">
        <f t="shared" si="3"/>
        <v>18.303164361469641</v>
      </c>
      <c r="U19" s="56">
        <f t="shared" si="4"/>
        <v>381.07688436949383</v>
      </c>
      <c r="V19" s="56">
        <f t="shared" si="5"/>
        <v>3.0881317719011916</v>
      </c>
      <c r="W19" s="56">
        <f t="shared" si="6"/>
        <v>0.72208862713711264</v>
      </c>
      <c r="X19" s="56">
        <f t="shared" si="7"/>
        <v>403.33549933508039</v>
      </c>
      <c r="Z19" s="119"/>
    </row>
    <row r="20" spans="2:26" x14ac:dyDescent="0.2">
      <c r="B20" s="119"/>
      <c r="C20" s="2">
        <f t="shared" si="20"/>
        <v>9</v>
      </c>
      <c r="D20" s="2">
        <f t="shared" si="20"/>
        <v>9</v>
      </c>
      <c r="E20" s="2">
        <f t="shared" si="8"/>
        <v>2.4640657084188913E-2</v>
      </c>
      <c r="F20" s="2">
        <f t="shared" si="21"/>
        <v>62.054640657084214</v>
      </c>
      <c r="G20" s="2">
        <f t="shared" si="9"/>
        <v>9.7474450939297169E-3</v>
      </c>
      <c r="H20" s="2">
        <f t="shared" si="10"/>
        <v>9.7939945883139413E-3</v>
      </c>
      <c r="I20" s="2">
        <f t="shared" si="11"/>
        <v>9.2183533237901183E-3</v>
      </c>
      <c r="J20" s="2">
        <f t="shared" si="12"/>
        <v>9.4034654852798716E-3</v>
      </c>
      <c r="K20" s="2">
        <f t="shared" si="13"/>
        <v>6.5745047528130846E-3</v>
      </c>
      <c r="L20" s="2">
        <f t="shared" si="14"/>
        <v>1.1201628574095355E-2</v>
      </c>
      <c r="M20" s="2">
        <f t="shared" si="15"/>
        <v>0.47452270371983585</v>
      </c>
      <c r="N20" s="2">
        <f t="shared" si="16"/>
        <v>0.46953790446194227</v>
      </c>
      <c r="O20" s="2" t="str">
        <f t="shared" si="17"/>
        <v>OK</v>
      </c>
      <c r="P20" s="2">
        <f t="shared" si="18"/>
        <v>9.2183533237901183E-3</v>
      </c>
      <c r="Q20" s="2">
        <f t="shared" si="19"/>
        <v>9.4034654852798716E-3</v>
      </c>
      <c r="R20" s="2">
        <f t="shared" si="1"/>
        <v>1.862181880906999E-2</v>
      </c>
      <c r="S20" s="56">
        <f t="shared" si="2"/>
        <v>0.10564890386146088</v>
      </c>
      <c r="T20" s="56">
        <f t="shared" si="3"/>
        <v>13.314786666673132</v>
      </c>
      <c r="U20" s="56">
        <f t="shared" si="4"/>
        <v>277.23828823431444</v>
      </c>
      <c r="V20" s="56">
        <f t="shared" si="5"/>
        <v>2.2464867778119477</v>
      </c>
      <c r="W20" s="56">
        <f t="shared" si="6"/>
        <v>0.52544688376338466</v>
      </c>
      <c r="X20" s="56">
        <f t="shared" si="7"/>
        <v>293.43065746642435</v>
      </c>
      <c r="Z20" s="119"/>
    </row>
    <row r="21" spans="2:26" x14ac:dyDescent="0.2">
      <c r="B21" s="119"/>
      <c r="C21" s="2">
        <f t="shared" si="20"/>
        <v>10</v>
      </c>
      <c r="D21" s="2">
        <f t="shared" si="20"/>
        <v>10</v>
      </c>
      <c r="E21" s="2">
        <f t="shared" si="8"/>
        <v>2.7378507871321012E-2</v>
      </c>
      <c r="F21" s="2">
        <f t="shared" si="21"/>
        <v>62.057378507871348</v>
      </c>
      <c r="G21" s="2">
        <f t="shared" si="9"/>
        <v>7.0929861538432167E-3</v>
      </c>
      <c r="H21" s="2">
        <f t="shared" si="10"/>
        <v>7.1268591282679329E-3</v>
      </c>
      <c r="I21" s="2">
        <f t="shared" si="11"/>
        <v>6.7079785940829017E-3</v>
      </c>
      <c r="J21" s="2">
        <f t="shared" si="12"/>
        <v>6.8426803180442553E-3</v>
      </c>
      <c r="K21" s="2">
        <f t="shared" si="13"/>
        <v>4.7826773555246557E-3</v>
      </c>
      <c r="L21" s="2">
        <f t="shared" si="14"/>
        <v>8.1629251704425781E-3</v>
      </c>
      <c r="M21" s="2">
        <f t="shared" si="15"/>
        <v>0.48217202582016644</v>
      </c>
      <c r="N21" s="2">
        <f t="shared" si="16"/>
        <v>0.47711186745962825</v>
      </c>
      <c r="O21" s="2" t="str">
        <f t="shared" si="17"/>
        <v>OK</v>
      </c>
      <c r="P21" s="2">
        <f t="shared" si="18"/>
        <v>6.7079785940829017E-3</v>
      </c>
      <c r="Q21" s="2">
        <f t="shared" si="19"/>
        <v>6.8426803180442553E-3</v>
      </c>
      <c r="R21" s="2">
        <f t="shared" si="1"/>
        <v>1.3550658912127157E-2</v>
      </c>
      <c r="S21" s="56">
        <f t="shared" si="2"/>
        <v>7.687821844056722E-2</v>
      </c>
      <c r="T21" s="56">
        <f t="shared" si="3"/>
        <v>9.6888566287600391</v>
      </c>
      <c r="U21" s="56">
        <f t="shared" si="4"/>
        <v>201.74379595219881</v>
      </c>
      <c r="V21" s="56">
        <f t="shared" si="5"/>
        <v>1.6347155060074523</v>
      </c>
      <c r="W21" s="56">
        <f t="shared" si="6"/>
        <v>0.38247882391195615</v>
      </c>
      <c r="X21" s="56">
        <f t="shared" si="7"/>
        <v>213.52672512931881</v>
      </c>
      <c r="Z21" s="119"/>
    </row>
    <row r="22" spans="2:26" x14ac:dyDescent="0.2">
      <c r="B22" s="119"/>
      <c r="C22" s="2">
        <f t="shared" si="20"/>
        <v>11</v>
      </c>
      <c r="D22" s="2">
        <f t="shared" si="20"/>
        <v>11</v>
      </c>
      <c r="E22" s="2">
        <f t="shared" si="8"/>
        <v>3.0116358658453114E-2</v>
      </c>
      <c r="F22" s="2">
        <f t="shared" si="21"/>
        <v>62.060116358658483</v>
      </c>
      <c r="G22" s="2">
        <f t="shared" si="9"/>
        <v>5.1630661011636634E-3</v>
      </c>
      <c r="H22" s="2">
        <f t="shared" si="10"/>
        <v>5.1877226315126127E-3</v>
      </c>
      <c r="I22" s="2">
        <f t="shared" si="11"/>
        <v>4.8828147199107969E-3</v>
      </c>
      <c r="J22" s="2">
        <f t="shared" si="12"/>
        <v>4.9808656248251492E-3</v>
      </c>
      <c r="K22" s="2">
        <f t="shared" si="13"/>
        <v>3.4802416463331869E-3</v>
      </c>
      <c r="L22" s="2">
        <f t="shared" si="14"/>
        <v>5.9402016317980149E-3</v>
      </c>
      <c r="M22" s="2">
        <f t="shared" si="15"/>
        <v>0.48774005185716912</v>
      </c>
      <c r="N22" s="2">
        <f t="shared" si="16"/>
        <v>0.48262503578728766</v>
      </c>
      <c r="O22" s="2" t="str">
        <f t="shared" si="17"/>
        <v>OK</v>
      </c>
      <c r="P22" s="2">
        <f t="shared" si="18"/>
        <v>4.8828147199107969E-3</v>
      </c>
      <c r="Q22" s="2">
        <f t="shared" si="19"/>
        <v>4.9808656248251492E-3</v>
      </c>
      <c r="R22" s="2">
        <f t="shared" si="1"/>
        <v>9.8636803447359461E-3</v>
      </c>
      <c r="S22" s="56">
        <f t="shared" si="2"/>
        <v>5.5960538404880203E-2</v>
      </c>
      <c r="T22" s="56">
        <f t="shared" si="3"/>
        <v>7.0526300832896487</v>
      </c>
      <c r="U22" s="56">
        <f t="shared" si="4"/>
        <v>146.84955445000747</v>
      </c>
      <c r="V22" s="56">
        <f t="shared" si="5"/>
        <v>1.1899281977566449</v>
      </c>
      <c r="W22" s="56">
        <f t="shared" si="6"/>
        <v>0.27839303630443485</v>
      </c>
      <c r="X22" s="56">
        <f t="shared" si="7"/>
        <v>155.42646630576309</v>
      </c>
      <c r="Z22" s="119"/>
    </row>
    <row r="23" spans="2:26" x14ac:dyDescent="0.2">
      <c r="B23" s="119"/>
      <c r="C23" s="2">
        <f t="shared" si="20"/>
        <v>12</v>
      </c>
      <c r="D23" s="2">
        <f t="shared" si="20"/>
        <v>12</v>
      </c>
      <c r="E23" s="2">
        <f t="shared" si="8"/>
        <v>3.2854209445585217E-2</v>
      </c>
      <c r="F23" s="2">
        <f t="shared" si="21"/>
        <v>62.062854209445618</v>
      </c>
      <c r="G23" s="2">
        <f t="shared" si="9"/>
        <v>3.7580162863434527E-3</v>
      </c>
      <c r="H23" s="2">
        <f t="shared" si="10"/>
        <v>3.7759629169827856E-3</v>
      </c>
      <c r="I23" s="2">
        <f t="shared" si="11"/>
        <v>3.554031044418743E-3</v>
      </c>
      <c r="J23" s="2">
        <f t="shared" si="12"/>
        <v>3.6253988926208767E-3</v>
      </c>
      <c r="K23" s="2">
        <f t="shared" si="13"/>
        <v>2.5333078812555046E-3</v>
      </c>
      <c r="L23" s="2">
        <f t="shared" si="14"/>
        <v>4.3225778739960485E-3</v>
      </c>
      <c r="M23" s="2">
        <f t="shared" si="15"/>
        <v>0.49179282488524584</v>
      </c>
      <c r="N23" s="2">
        <f t="shared" si="16"/>
        <v>0.48663788021913695</v>
      </c>
      <c r="O23" s="2" t="str">
        <f t="shared" si="17"/>
        <v>OK</v>
      </c>
      <c r="P23" s="2">
        <f t="shared" si="18"/>
        <v>3.554031044418743E-3</v>
      </c>
      <c r="Q23" s="2">
        <f t="shared" si="19"/>
        <v>3.6253988926208767E-3</v>
      </c>
      <c r="R23" s="2">
        <f t="shared" si="1"/>
        <v>7.1794299370396197E-3</v>
      </c>
      <c r="S23" s="56">
        <f t="shared" si="2"/>
        <v>4.0731730050206971E-2</v>
      </c>
      <c r="T23" s="56">
        <f t="shared" si="3"/>
        <v>5.1333641992826982</v>
      </c>
      <c r="U23" s="56">
        <f t="shared" si="4"/>
        <v>106.88634386806309</v>
      </c>
      <c r="V23" s="56">
        <f t="shared" si="5"/>
        <v>0.86610735895982049</v>
      </c>
      <c r="W23" s="56">
        <f t="shared" si="6"/>
        <v>0.20262118477584418</v>
      </c>
      <c r="X23" s="56">
        <f t="shared" si="7"/>
        <v>113.12916834113167</v>
      </c>
      <c r="Z23" s="119"/>
    </row>
    <row r="24" spans="2:26" x14ac:dyDescent="0.2">
      <c r="B24" s="119"/>
      <c r="C24" s="2">
        <f t="shared" si="20"/>
        <v>13</v>
      </c>
      <c r="D24" s="2">
        <f t="shared" si="20"/>
        <v>13</v>
      </c>
      <c r="E24" s="2">
        <f t="shared" si="8"/>
        <v>3.5592060232717319E-2</v>
      </c>
      <c r="F24" s="2">
        <f t="shared" si="21"/>
        <v>62.065592060232753</v>
      </c>
      <c r="G24" s="2">
        <f t="shared" si="9"/>
        <v>2.7351751425843829E-3</v>
      </c>
      <c r="H24" s="2">
        <f t="shared" si="10"/>
        <v>2.7482371341196674E-3</v>
      </c>
      <c r="I24" s="2">
        <f t="shared" si="11"/>
        <v>2.5867097459428209E-3</v>
      </c>
      <c r="J24" s="2">
        <f t="shared" si="12"/>
        <v>2.6386529944565813E-3</v>
      </c>
      <c r="K24" s="2">
        <f t="shared" si="13"/>
        <v>1.8439067181377324E-3</v>
      </c>
      <c r="L24" s="2">
        <f t="shared" si="14"/>
        <v>3.1462608020233953E-3</v>
      </c>
      <c r="M24" s="2">
        <f t="shared" si="15"/>
        <v>0.4947425314268793</v>
      </c>
      <c r="N24" s="2">
        <f t="shared" si="16"/>
        <v>0.48955852603585637</v>
      </c>
      <c r="O24" s="2" t="str">
        <f t="shared" si="17"/>
        <v>OK</v>
      </c>
      <c r="P24" s="2">
        <f t="shared" si="18"/>
        <v>2.5867097459428209E-3</v>
      </c>
      <c r="Q24" s="2">
        <f t="shared" si="19"/>
        <v>2.6386529944565813E-3</v>
      </c>
      <c r="R24" s="2">
        <f t="shared" si="1"/>
        <v>5.2253627403994023E-3</v>
      </c>
      <c r="S24" s="56">
        <f t="shared" si="2"/>
        <v>2.9645538239736306E-2</v>
      </c>
      <c r="T24" s="56">
        <f t="shared" si="3"/>
        <v>3.7361866130129764</v>
      </c>
      <c r="U24" s="56">
        <f t="shared" si="4"/>
        <v>77.794671334012918</v>
      </c>
      <c r="V24" s="56">
        <f t="shared" si="5"/>
        <v>0.63037388284599261</v>
      </c>
      <c r="W24" s="56">
        <f t="shared" si="6"/>
        <v>0.14747453130051585</v>
      </c>
      <c r="X24" s="56">
        <f t="shared" si="7"/>
        <v>82.338351899412132</v>
      </c>
      <c r="Z24" s="119"/>
    </row>
    <row r="25" spans="2:26" x14ac:dyDescent="0.2">
      <c r="B25" s="119"/>
      <c r="C25" s="2">
        <f t="shared" si="20"/>
        <v>14</v>
      </c>
      <c r="D25" s="2">
        <f t="shared" si="20"/>
        <v>14</v>
      </c>
      <c r="E25" s="2">
        <f t="shared" si="8"/>
        <v>3.8329911019849415E-2</v>
      </c>
      <c r="F25" s="2">
        <f t="shared" si="21"/>
        <v>62.068329911019887</v>
      </c>
      <c r="G25" s="2">
        <f t="shared" si="9"/>
        <v>1.9907527071843876E-3</v>
      </c>
      <c r="H25" s="2">
        <f t="shared" si="10"/>
        <v>2.0002596651631259E-3</v>
      </c>
      <c r="I25" s="2">
        <f t="shared" si="11"/>
        <v>1.8826945854965066E-3</v>
      </c>
      <c r="J25" s="2">
        <f t="shared" si="12"/>
        <v>1.9205006330213778E-3</v>
      </c>
      <c r="K25" s="2">
        <f t="shared" si="13"/>
        <v>1.3420399044631352E-3</v>
      </c>
      <c r="L25" s="2">
        <f t="shared" si="14"/>
        <v>2.2900547817040085E-3</v>
      </c>
      <c r="M25" s="2">
        <f t="shared" si="15"/>
        <v>0.49688942726789787</v>
      </c>
      <c r="N25" s="2">
        <f t="shared" si="16"/>
        <v>0.49168427045506985</v>
      </c>
      <c r="O25" s="2" t="str">
        <f t="shared" si="17"/>
        <v>OK</v>
      </c>
      <c r="P25" s="2">
        <f t="shared" si="18"/>
        <v>1.8826945854965066E-3</v>
      </c>
      <c r="Q25" s="2">
        <f t="shared" si="19"/>
        <v>1.9205006330213778E-3</v>
      </c>
      <c r="R25" s="2">
        <f t="shared" si="1"/>
        <v>3.8031952185178844E-3</v>
      </c>
      <c r="S25" s="56">
        <f t="shared" si="2"/>
        <v>2.1577022469596453E-2</v>
      </c>
      <c r="T25" s="56">
        <f t="shared" si="3"/>
        <v>2.7193226131924724</v>
      </c>
      <c r="U25" s="56">
        <f t="shared" si="4"/>
        <v>56.621613455764212</v>
      </c>
      <c r="V25" s="56">
        <f t="shared" si="5"/>
        <v>0.4588073700935506</v>
      </c>
      <c r="W25" s="56">
        <f t="shared" si="6"/>
        <v>0.10733798775706135</v>
      </c>
      <c r="X25" s="56">
        <f t="shared" si="7"/>
        <v>59.928658449276895</v>
      </c>
      <c r="Z25" s="119"/>
    </row>
    <row r="26" spans="2:26" x14ac:dyDescent="0.2">
      <c r="B26" s="119"/>
      <c r="C26" s="2">
        <f t="shared" si="20"/>
        <v>15</v>
      </c>
      <c r="D26" s="2">
        <f t="shared" si="20"/>
        <v>15</v>
      </c>
      <c r="E26" s="2">
        <f t="shared" si="8"/>
        <v>4.1067761806981518E-2</v>
      </c>
      <c r="F26" s="2">
        <f t="shared" si="21"/>
        <v>62.071067761807022</v>
      </c>
      <c r="G26" s="2">
        <f t="shared" si="9"/>
        <v>1.4489511362139862E-3</v>
      </c>
      <c r="H26" s="2">
        <f t="shared" si="10"/>
        <v>1.4558706885867702E-3</v>
      </c>
      <c r="I26" s="2">
        <f t="shared" si="11"/>
        <v>1.3703020217945721E-3</v>
      </c>
      <c r="J26" s="2">
        <f t="shared" si="12"/>
        <v>1.3978188072077419E-3</v>
      </c>
      <c r="K26" s="2">
        <f t="shared" si="13"/>
        <v>9.7678190025510562E-4</v>
      </c>
      <c r="L26" s="2">
        <f t="shared" si="14"/>
        <v>1.6667757005741459E-3</v>
      </c>
      <c r="M26" s="2">
        <f t="shared" si="15"/>
        <v>0.49845202572603337</v>
      </c>
      <c r="N26" s="2">
        <f t="shared" si="16"/>
        <v>0.49323147401933459</v>
      </c>
      <c r="O26" s="2" t="str">
        <f t="shared" si="17"/>
        <v>OK</v>
      </c>
      <c r="P26" s="2">
        <f t="shared" si="18"/>
        <v>1.3703020217945721E-3</v>
      </c>
      <c r="Q26" s="2">
        <f t="shared" si="19"/>
        <v>1.3978188072077419E-3</v>
      </c>
      <c r="R26" s="2">
        <f t="shared" si="1"/>
        <v>2.7681208290023141E-3</v>
      </c>
      <c r="S26" s="56">
        <f t="shared" si="2"/>
        <v>1.5704638306831019E-2</v>
      </c>
      <c r="T26" s="56">
        <f t="shared" si="3"/>
        <v>1.9792340739449445</v>
      </c>
      <c r="U26" s="56">
        <f t="shared" si="4"/>
        <v>41.211502885986519</v>
      </c>
      <c r="V26" s="56">
        <f t="shared" si="5"/>
        <v>0.33393874479787378</v>
      </c>
      <c r="W26" s="56">
        <f t="shared" si="6"/>
        <v>7.8124764973769981E-2</v>
      </c>
      <c r="X26" s="56">
        <f t="shared" si="7"/>
        <v>43.618505108009941</v>
      </c>
      <c r="Z26" s="119"/>
    </row>
    <row r="27" spans="2:26" x14ac:dyDescent="0.2">
      <c r="B27" s="119"/>
      <c r="C27" s="2">
        <f t="shared" si="20"/>
        <v>16</v>
      </c>
      <c r="D27" s="2">
        <f t="shared" si="20"/>
        <v>16</v>
      </c>
      <c r="E27" s="2">
        <f t="shared" si="8"/>
        <v>4.380561259411362E-2</v>
      </c>
      <c r="F27" s="2">
        <f t="shared" si="21"/>
        <v>62.073805612594157</v>
      </c>
      <c r="G27" s="2">
        <f t="shared" si="9"/>
        <v>1.0546030286532849E-3</v>
      </c>
      <c r="H27" s="2">
        <f t="shared" si="10"/>
        <v>1.0596393481669133E-3</v>
      </c>
      <c r="I27" s="2">
        <f t="shared" si="11"/>
        <v>9.9735914216055087E-4</v>
      </c>
      <c r="J27" s="2">
        <f t="shared" si="12"/>
        <v>1.0173869295555657E-3</v>
      </c>
      <c r="K27" s="2">
        <f t="shared" si="13"/>
        <v>7.1094176551239467E-4</v>
      </c>
      <c r="L27" s="2">
        <f t="shared" si="14"/>
        <v>1.2131350820168473E-3</v>
      </c>
      <c r="M27" s="2">
        <f t="shared" si="15"/>
        <v>0.49958934570429991</v>
      </c>
      <c r="N27" s="2">
        <f t="shared" si="16"/>
        <v>0.49435758899963478</v>
      </c>
      <c r="O27" s="2" t="str">
        <f t="shared" si="17"/>
        <v>OK</v>
      </c>
      <c r="P27" s="2">
        <f t="shared" si="18"/>
        <v>9.9735914216055087E-4</v>
      </c>
      <c r="Q27" s="2">
        <f t="shared" si="19"/>
        <v>1.0173869295555657E-3</v>
      </c>
      <c r="R27" s="2">
        <f t="shared" si="1"/>
        <v>2.0147460717161165E-3</v>
      </c>
      <c r="S27" s="56">
        <f t="shared" si="2"/>
        <v>1.1430446968271536E-2</v>
      </c>
      <c r="T27" s="56">
        <f t="shared" si="3"/>
        <v>1.4405635887377404</v>
      </c>
      <c r="U27" s="56">
        <f t="shared" si="4"/>
        <v>29.995333446359453</v>
      </c>
      <c r="V27" s="56">
        <f t="shared" si="5"/>
        <v>0.24305361501908446</v>
      </c>
      <c r="W27" s="56">
        <f t="shared" si="6"/>
        <v>5.6862148504903738E-2</v>
      </c>
      <c r="X27" s="56">
        <f t="shared" si="7"/>
        <v>31.747243245589456</v>
      </c>
      <c r="Z27" s="119"/>
    </row>
    <row r="28" spans="2:26" x14ac:dyDescent="0.2">
      <c r="B28" s="119"/>
      <c r="C28" s="2">
        <f t="shared" si="20"/>
        <v>17</v>
      </c>
      <c r="D28" s="2">
        <f t="shared" si="20"/>
        <v>17</v>
      </c>
      <c r="E28" s="2">
        <f t="shared" si="8"/>
        <v>4.6543463381245723E-2</v>
      </c>
      <c r="F28" s="2">
        <f t="shared" si="21"/>
        <v>62.076543463381292</v>
      </c>
      <c r="G28" s="2">
        <f t="shared" si="9"/>
        <v>7.6757983272185621E-4</v>
      </c>
      <c r="H28" s="2">
        <f t="shared" si="10"/>
        <v>7.7124545588259865E-4</v>
      </c>
      <c r="I28" s="2">
        <f t="shared" si="11"/>
        <v>7.2591557454995779E-4</v>
      </c>
      <c r="J28" s="2">
        <f t="shared" si="12"/>
        <v>7.4049255309370033E-4</v>
      </c>
      <c r="K28" s="2">
        <f t="shared" si="13"/>
        <v>5.1745108606285578E-4</v>
      </c>
      <c r="L28" s="2">
        <f t="shared" si="14"/>
        <v>8.829675134535875E-4</v>
      </c>
      <c r="M28" s="2">
        <f t="shared" si="15"/>
        <v>0.50041713005322397</v>
      </c>
      <c r="N28" s="2">
        <f t="shared" si="16"/>
        <v>0.49517721793101172</v>
      </c>
      <c r="O28" s="2" t="str">
        <f t="shared" si="17"/>
        <v>OK</v>
      </c>
      <c r="P28" s="2">
        <f t="shared" si="18"/>
        <v>7.2591557454995779E-4</v>
      </c>
      <c r="Q28" s="2">
        <f t="shared" si="19"/>
        <v>7.4049255309370033E-4</v>
      </c>
      <c r="R28" s="2">
        <f t="shared" si="1"/>
        <v>1.466408127643658E-3</v>
      </c>
      <c r="S28" s="56">
        <f t="shared" si="2"/>
        <v>8.3195101221982658E-3</v>
      </c>
      <c r="T28" s="56">
        <f t="shared" si="3"/>
        <v>1.0484964753464918</v>
      </c>
      <c r="U28" s="56">
        <f t="shared" si="4"/>
        <v>21.831736197952676</v>
      </c>
      <c r="V28" s="56">
        <f t="shared" si="5"/>
        <v>0.1769035818104065</v>
      </c>
      <c r="W28" s="56">
        <f t="shared" si="6"/>
        <v>4.1386436648681864E-2</v>
      </c>
      <c r="X28" s="56">
        <f t="shared" si="7"/>
        <v>23.106842201880458</v>
      </c>
      <c r="Z28" s="119"/>
    </row>
    <row r="29" spans="2:26" x14ac:dyDescent="0.2">
      <c r="B29" s="119"/>
      <c r="C29" s="2">
        <f t="shared" ref="C29:D44" si="22">C28+1</f>
        <v>18</v>
      </c>
      <c r="D29" s="2">
        <f t="shared" si="22"/>
        <v>18</v>
      </c>
      <c r="E29" s="2">
        <f t="shared" si="8"/>
        <v>4.9281314168377825E-2</v>
      </c>
      <c r="F29" s="2">
        <f t="shared" si="21"/>
        <v>62.079281314168426</v>
      </c>
      <c r="G29" s="2">
        <f t="shared" si="9"/>
        <v>5.5867382705112809E-4</v>
      </c>
      <c r="H29" s="2">
        <f t="shared" si="10"/>
        <v>5.6134180715282605E-4</v>
      </c>
      <c r="I29" s="2">
        <f t="shared" si="11"/>
        <v>5.2834899363854524E-4</v>
      </c>
      <c r="J29" s="2">
        <f t="shared" si="12"/>
        <v>5.3895867362100921E-4</v>
      </c>
      <c r="K29" s="2">
        <f t="shared" si="13"/>
        <v>3.7662040339716342E-4</v>
      </c>
      <c r="L29" s="2">
        <f t="shared" si="14"/>
        <v>6.4265820368829372E-4</v>
      </c>
      <c r="M29" s="2">
        <f t="shared" si="15"/>
        <v>0.50101962301879233</v>
      </c>
      <c r="N29" s="2">
        <f t="shared" si="16"/>
        <v>0.49577377507265896</v>
      </c>
      <c r="O29" s="2" t="str">
        <f t="shared" si="17"/>
        <v>OK</v>
      </c>
      <c r="P29" s="2">
        <f t="shared" si="18"/>
        <v>5.2834899363854524E-4</v>
      </c>
      <c r="Q29" s="2">
        <f t="shared" si="19"/>
        <v>5.3895867362100921E-4</v>
      </c>
      <c r="R29" s="2">
        <f t="shared" si="1"/>
        <v>1.0673076672595544E-3</v>
      </c>
      <c r="S29" s="56">
        <f t="shared" si="2"/>
        <v>6.055256223561116E-3</v>
      </c>
      <c r="T29" s="56">
        <f t="shared" si="3"/>
        <v>0.76313565516725401</v>
      </c>
      <c r="U29" s="56">
        <f t="shared" si="4"/>
        <v>15.889968999643136</v>
      </c>
      <c r="V29" s="56">
        <f t="shared" si="5"/>
        <v>0.12875716226015418</v>
      </c>
      <c r="W29" s="56">
        <f t="shared" si="6"/>
        <v>3.0122633044994393E-2</v>
      </c>
      <c r="X29" s="56">
        <f t="shared" si="7"/>
        <v>16.818039706339096</v>
      </c>
      <c r="Z29" s="119"/>
    </row>
    <row r="30" spans="2:26" x14ac:dyDescent="0.2">
      <c r="B30" s="119"/>
      <c r="C30" s="2">
        <f t="shared" si="22"/>
        <v>19</v>
      </c>
      <c r="D30" s="2">
        <f t="shared" si="22"/>
        <v>19</v>
      </c>
      <c r="E30" s="2">
        <f t="shared" si="8"/>
        <v>5.2019164955509921E-2</v>
      </c>
      <c r="F30" s="2">
        <f t="shared" si="21"/>
        <v>62.082019164955561</v>
      </c>
      <c r="G30" s="2">
        <f t="shared" si="9"/>
        <v>4.0662419978096615E-4</v>
      </c>
      <c r="H30" s="2">
        <f t="shared" si="10"/>
        <v>4.0856605784103482E-4</v>
      </c>
      <c r="I30" s="2">
        <f t="shared" si="11"/>
        <v>3.8455262506047574E-4</v>
      </c>
      <c r="J30" s="2">
        <f t="shared" si="12"/>
        <v>3.9227475633427653E-4</v>
      </c>
      <c r="K30" s="2">
        <f t="shared" si="13"/>
        <v>2.7411866902027988E-4</v>
      </c>
      <c r="L30" s="2">
        <f t="shared" si="14"/>
        <v>4.6775102833649469E-4</v>
      </c>
      <c r="M30" s="2">
        <f t="shared" si="15"/>
        <v>0.50145814046493353</v>
      </c>
      <c r="N30" s="2">
        <f t="shared" si="16"/>
        <v>0.49620797219869323</v>
      </c>
      <c r="O30" s="2" t="str">
        <f t="shared" si="17"/>
        <v>OK</v>
      </c>
      <c r="P30" s="2">
        <f t="shared" si="18"/>
        <v>3.8455262506047574E-4</v>
      </c>
      <c r="Q30" s="2">
        <f t="shared" si="19"/>
        <v>3.9227475633427653E-4</v>
      </c>
      <c r="R30" s="2">
        <f t="shared" si="1"/>
        <v>7.7682738139475227E-4</v>
      </c>
      <c r="S30" s="56">
        <f t="shared" si="2"/>
        <v>4.4072473009404128E-3</v>
      </c>
      <c r="T30" s="56">
        <f t="shared" si="3"/>
        <v>0.55543934597106182</v>
      </c>
      <c r="U30" s="56">
        <f t="shared" si="4"/>
        <v>11.565327582090022</v>
      </c>
      <c r="V30" s="56">
        <f t="shared" si="5"/>
        <v>9.3714392074794928E-2</v>
      </c>
      <c r="W30" s="56">
        <f t="shared" si="6"/>
        <v>2.192440328683809E-2</v>
      </c>
      <c r="X30" s="56">
        <f t="shared" si="7"/>
        <v>12.240812970723658</v>
      </c>
      <c r="Z30" s="119"/>
    </row>
    <row r="31" spans="2:26" x14ac:dyDescent="0.2">
      <c r="B31" s="119"/>
      <c r="C31" s="2">
        <f t="shared" si="22"/>
        <v>20</v>
      </c>
      <c r="D31" s="2">
        <f t="shared" si="22"/>
        <v>20</v>
      </c>
      <c r="E31" s="2">
        <f t="shared" si="8"/>
        <v>5.4757015742642023E-2</v>
      </c>
      <c r="F31" s="2">
        <f t="shared" si="21"/>
        <v>62.084757015742696</v>
      </c>
      <c r="G31" s="2">
        <f t="shared" si="9"/>
        <v>2.9595662931850648E-4</v>
      </c>
      <c r="H31" s="2">
        <f t="shared" si="10"/>
        <v>2.9736998781108745E-4</v>
      </c>
      <c r="I31" s="2">
        <f t="shared" si="11"/>
        <v>2.798920939025703E-4</v>
      </c>
      <c r="J31" s="2">
        <f t="shared" si="12"/>
        <v>2.8551255609932151E-4</v>
      </c>
      <c r="K31" s="2">
        <f t="shared" si="13"/>
        <v>1.9951406176311028E-4</v>
      </c>
      <c r="L31" s="2">
        <f t="shared" si="14"/>
        <v>3.4044699609006796E-4</v>
      </c>
      <c r="M31" s="2">
        <f t="shared" si="15"/>
        <v>0.50177731021762539</v>
      </c>
      <c r="N31" s="2">
        <f t="shared" si="16"/>
        <v>0.49652399745739023</v>
      </c>
      <c r="O31" s="2" t="str">
        <f t="shared" si="17"/>
        <v>OK</v>
      </c>
      <c r="P31" s="2">
        <f t="shared" si="18"/>
        <v>2.798920939025703E-4</v>
      </c>
      <c r="Q31" s="2">
        <f t="shared" si="19"/>
        <v>2.8551255609932151E-4</v>
      </c>
      <c r="R31" s="2">
        <f t="shared" si="1"/>
        <v>5.6540465000189176E-4</v>
      </c>
      <c r="S31" s="56">
        <f t="shared" si="2"/>
        <v>3.207762982285541E-3</v>
      </c>
      <c r="T31" s="56">
        <f t="shared" si="3"/>
        <v>0.40426997879785265</v>
      </c>
      <c r="U31" s="56">
        <f t="shared" si="4"/>
        <v>8.4176873016737002</v>
      </c>
      <c r="V31" s="56">
        <f t="shared" si="5"/>
        <v>6.8208915288396052E-2</v>
      </c>
      <c r="W31" s="56">
        <f t="shared" si="6"/>
        <v>1.5957417638721223E-2</v>
      </c>
      <c r="X31" s="56">
        <f t="shared" si="7"/>
        <v>8.9093313763809565</v>
      </c>
      <c r="Z31" s="119"/>
    </row>
    <row r="32" spans="2:26" x14ac:dyDescent="0.2">
      <c r="B32" s="119"/>
      <c r="C32" s="2">
        <f t="shared" si="22"/>
        <v>21</v>
      </c>
      <c r="D32" s="2">
        <f t="shared" si="22"/>
        <v>21</v>
      </c>
      <c r="E32" s="2">
        <f t="shared" si="8"/>
        <v>5.7494866529774126E-2</v>
      </c>
      <c r="F32" s="2">
        <f t="shared" si="21"/>
        <v>62.087494866529831</v>
      </c>
      <c r="G32" s="2">
        <f t="shared" si="9"/>
        <v>2.1540853245575383E-4</v>
      </c>
      <c r="H32" s="2">
        <f t="shared" si="10"/>
        <v>2.1643722871917548E-4</v>
      </c>
      <c r="I32" s="2">
        <f t="shared" si="11"/>
        <v>2.037161503436125E-4</v>
      </c>
      <c r="J32" s="2">
        <f t="shared" si="12"/>
        <v>2.0780693728210541E-4</v>
      </c>
      <c r="K32" s="2">
        <f t="shared" si="13"/>
        <v>1.4521395739063511E-4</v>
      </c>
      <c r="L32" s="2">
        <f t="shared" si="14"/>
        <v>2.4779034196049802E-4</v>
      </c>
      <c r="M32" s="2">
        <f t="shared" si="15"/>
        <v>0.50200961414741507</v>
      </c>
      <c r="N32" s="2">
        <f t="shared" si="16"/>
        <v>0.49675401270443348</v>
      </c>
      <c r="O32" s="2" t="str">
        <f t="shared" si="17"/>
        <v>OK</v>
      </c>
      <c r="P32" s="2">
        <f t="shared" si="18"/>
        <v>2.037161503436125E-4</v>
      </c>
      <c r="Q32" s="2">
        <f t="shared" si="19"/>
        <v>2.0780693728210541E-4</v>
      </c>
      <c r="R32" s="2">
        <f t="shared" si="1"/>
        <v>4.1152308762571789E-4</v>
      </c>
      <c r="S32" s="56">
        <f t="shared" si="2"/>
        <v>2.3347323493681767E-3</v>
      </c>
      <c r="T32" s="56">
        <f t="shared" si="3"/>
        <v>0.29424312288326454</v>
      </c>
      <c r="U32" s="56">
        <f t="shared" si="4"/>
        <v>6.1267141676362957</v>
      </c>
      <c r="V32" s="56">
        <f t="shared" si="5"/>
        <v>4.9645052305469894E-2</v>
      </c>
      <c r="W32" s="56">
        <f t="shared" si="6"/>
        <v>1.1614417937890248E-2</v>
      </c>
      <c r="X32" s="56">
        <f t="shared" si="7"/>
        <v>6.4845514931122885</v>
      </c>
      <c r="Z32" s="119"/>
    </row>
    <row r="33" spans="2:26" x14ac:dyDescent="0.2">
      <c r="B33" s="119"/>
      <c r="C33" s="2">
        <f t="shared" si="22"/>
        <v>22</v>
      </c>
      <c r="D33" s="2">
        <f t="shared" si="22"/>
        <v>22</v>
      </c>
      <c r="E33" s="2">
        <f t="shared" si="8"/>
        <v>6.0232717316906229E-2</v>
      </c>
      <c r="F33" s="2">
        <f t="shared" si="21"/>
        <v>62.090232717316965</v>
      </c>
      <c r="G33" s="2">
        <f t="shared" si="9"/>
        <v>1.5678255592292158E-4</v>
      </c>
      <c r="H33" s="2">
        <f t="shared" si="10"/>
        <v>1.5753128034720601E-4</v>
      </c>
      <c r="I33" s="2">
        <f t="shared" si="11"/>
        <v>1.4827239371415434E-4</v>
      </c>
      <c r="J33" s="2">
        <f t="shared" si="12"/>
        <v>1.5124982466654079E-4</v>
      </c>
      <c r="K33" s="2">
        <f t="shared" si="13"/>
        <v>1.0569226148311845E-4</v>
      </c>
      <c r="L33" s="2">
        <f t="shared" si="14"/>
        <v>1.8035128013419306E-4</v>
      </c>
      <c r="M33" s="2">
        <f t="shared" si="15"/>
        <v>0.50217869381871105</v>
      </c>
      <c r="N33" s="2">
        <f t="shared" si="16"/>
        <v>0.49692142658502109</v>
      </c>
      <c r="O33" s="2" t="str">
        <f t="shared" si="17"/>
        <v>OK</v>
      </c>
      <c r="P33" s="2">
        <f t="shared" si="18"/>
        <v>1.4827239371415434E-4</v>
      </c>
      <c r="Q33" s="2">
        <f t="shared" si="19"/>
        <v>1.5124982466654079E-4</v>
      </c>
      <c r="R33" s="2">
        <f t="shared" si="1"/>
        <v>2.9952221838069513E-4</v>
      </c>
      <c r="S33" s="56">
        <f t="shared" si="2"/>
        <v>1.6993073624188395E-3</v>
      </c>
      <c r="T33" s="56">
        <f t="shared" si="3"/>
        <v>0.21416138136438082</v>
      </c>
      <c r="U33" s="56">
        <f t="shared" si="4"/>
        <v>4.4592565384185541</v>
      </c>
      <c r="V33" s="56">
        <f t="shared" si="5"/>
        <v>3.6133564908708643E-2</v>
      </c>
      <c r="W33" s="56">
        <f t="shared" si="6"/>
        <v>8.4534169754647993E-3</v>
      </c>
      <c r="X33" s="56">
        <f t="shared" si="7"/>
        <v>4.7197042090295271</v>
      </c>
      <c r="Z33" s="119"/>
    </row>
    <row r="34" spans="2:26" x14ac:dyDescent="0.2">
      <c r="B34" s="119"/>
      <c r="C34" s="2">
        <f t="shared" si="22"/>
        <v>23</v>
      </c>
      <c r="D34" s="2">
        <f t="shared" si="22"/>
        <v>23</v>
      </c>
      <c r="E34" s="2">
        <f t="shared" si="8"/>
        <v>6.2970568104038324E-2</v>
      </c>
      <c r="F34" s="2">
        <f t="shared" si="21"/>
        <v>62.0929705681041</v>
      </c>
      <c r="G34" s="2">
        <f t="shared" si="9"/>
        <v>1.1411233234269383E-4</v>
      </c>
      <c r="H34" s="2">
        <f t="shared" si="10"/>
        <v>1.1465728257541821E-4</v>
      </c>
      <c r="I34" s="2">
        <f t="shared" si="11"/>
        <v>1.0791831125063699E-4</v>
      </c>
      <c r="J34" s="2">
        <f t="shared" si="12"/>
        <v>1.1008539921755824E-4</v>
      </c>
      <c r="K34" s="2">
        <f t="shared" si="13"/>
        <v>7.6926864073984945E-5</v>
      </c>
      <c r="L34" s="2">
        <f t="shared" si="14"/>
        <v>1.3126654774121323E-4</v>
      </c>
      <c r="M34" s="2">
        <f t="shared" si="15"/>
        <v>0.50230175646129549</v>
      </c>
      <c r="N34" s="2">
        <f t="shared" si="16"/>
        <v>0.49704327680150323</v>
      </c>
      <c r="O34" s="2" t="str">
        <f t="shared" si="17"/>
        <v>OK</v>
      </c>
      <c r="P34" s="2">
        <f t="shared" si="18"/>
        <v>1.0791831125063699E-4</v>
      </c>
      <c r="Q34" s="2">
        <f t="shared" si="19"/>
        <v>1.1008539921755824E-4</v>
      </c>
      <c r="R34" s="2">
        <f t="shared" si="1"/>
        <v>2.1800371046819521E-4</v>
      </c>
      <c r="S34" s="56">
        <f t="shared" si="2"/>
        <v>1.2368208015951965E-3</v>
      </c>
      <c r="T34" s="56">
        <f t="shared" si="3"/>
        <v>0.15587483302186425</v>
      </c>
      <c r="U34" s="56">
        <f t="shared" si="4"/>
        <v>3.245617223392705</v>
      </c>
      <c r="V34" s="56">
        <f t="shared" si="5"/>
        <v>2.6299388623414105E-2</v>
      </c>
      <c r="W34" s="56">
        <f t="shared" si="6"/>
        <v>6.1527197201856577E-3</v>
      </c>
      <c r="X34" s="56">
        <f t="shared" si="7"/>
        <v>3.4351809855597644</v>
      </c>
      <c r="Z34" s="119"/>
    </row>
    <row r="35" spans="2:26" x14ac:dyDescent="0.2">
      <c r="B35" s="119"/>
      <c r="C35" s="2">
        <f t="shared" si="22"/>
        <v>24</v>
      </c>
      <c r="D35" s="2">
        <f t="shared" si="22"/>
        <v>24</v>
      </c>
      <c r="E35" s="2">
        <f t="shared" si="8"/>
        <v>6.5708418891170434E-2</v>
      </c>
      <c r="F35" s="2">
        <f t="shared" si="21"/>
        <v>62.095708418891235</v>
      </c>
      <c r="G35" s="2">
        <f t="shared" si="9"/>
        <v>8.3055313556527202E-5</v>
      </c>
      <c r="H35" s="2">
        <f t="shared" si="10"/>
        <v>8.3451949148161865E-5</v>
      </c>
      <c r="I35" s="2">
        <f t="shared" si="11"/>
        <v>7.8547068449131215E-5</v>
      </c>
      <c r="J35" s="2">
        <f t="shared" si="12"/>
        <v>8.0124357834973343E-5</v>
      </c>
      <c r="K35" s="2">
        <f t="shared" si="13"/>
        <v>5.5990309812324799E-5</v>
      </c>
      <c r="L35" s="2">
        <f t="shared" si="14"/>
        <v>9.5540806073996204E-5</v>
      </c>
      <c r="M35" s="2">
        <f t="shared" si="15"/>
        <v>0.50239132615246895</v>
      </c>
      <c r="N35" s="2">
        <f t="shared" si="16"/>
        <v>0.49713196404265614</v>
      </c>
      <c r="O35" s="2" t="str">
        <f t="shared" si="17"/>
        <v>OK</v>
      </c>
      <c r="P35" s="2">
        <f t="shared" si="18"/>
        <v>7.8547068449131215E-5</v>
      </c>
      <c r="Q35" s="2">
        <f t="shared" si="19"/>
        <v>8.0124357834973343E-5</v>
      </c>
      <c r="R35" s="2">
        <f t="shared" si="1"/>
        <v>1.5867142628410457E-4</v>
      </c>
      <c r="S35" s="56">
        <f t="shared" si="2"/>
        <v>9.002054149697677E-4</v>
      </c>
      <c r="T35" s="56">
        <f t="shared" si="3"/>
        <v>0.11345165650739761</v>
      </c>
      <c r="U35" s="56">
        <f t="shared" si="4"/>
        <v>2.3622841688959468</v>
      </c>
      <c r="V35" s="56">
        <f t="shared" si="5"/>
        <v>1.9141699443166484E-2</v>
      </c>
      <c r="W35" s="56">
        <f t="shared" si="6"/>
        <v>4.478184385418347E-3</v>
      </c>
      <c r="X35" s="56">
        <f t="shared" si="7"/>
        <v>2.5002559146468988</v>
      </c>
      <c r="Z35" s="119"/>
    </row>
    <row r="36" spans="2:26" x14ac:dyDescent="0.2">
      <c r="B36" s="119"/>
      <c r="C36" s="2">
        <f t="shared" si="22"/>
        <v>25</v>
      </c>
      <c r="D36" s="2">
        <f t="shared" si="22"/>
        <v>25</v>
      </c>
      <c r="E36" s="2">
        <f t="shared" si="8"/>
        <v>6.8446269678302529E-2</v>
      </c>
      <c r="F36" s="2">
        <f t="shared" si="21"/>
        <v>62.098446269678369</v>
      </c>
      <c r="G36" s="2">
        <f t="shared" si="9"/>
        <v>6.045082909833032E-5</v>
      </c>
      <c r="H36" s="2">
        <f t="shared" si="10"/>
        <v>6.0739515629480312E-5</v>
      </c>
      <c r="I36" s="2">
        <f t="shared" si="11"/>
        <v>5.716955613877088E-5</v>
      </c>
      <c r="J36" s="2">
        <f t="shared" si="12"/>
        <v>5.8317567590649547E-5</v>
      </c>
      <c r="K36" s="2">
        <f t="shared" si="13"/>
        <v>4.0751885813920103E-5</v>
      </c>
      <c r="L36" s="2">
        <f t="shared" si="14"/>
        <v>6.9538247603769706E-5</v>
      </c>
      <c r="M36" s="2">
        <f t="shared" si="15"/>
        <v>0.50245651839438188</v>
      </c>
      <c r="N36" s="2">
        <f t="shared" si="16"/>
        <v>0.49719651400374337</v>
      </c>
      <c r="O36" s="2" t="str">
        <f t="shared" si="17"/>
        <v>OK</v>
      </c>
      <c r="P36" s="2">
        <f t="shared" si="18"/>
        <v>5.716955613877088E-5</v>
      </c>
      <c r="Q36" s="2">
        <f t="shared" si="19"/>
        <v>5.8317567590649547E-5</v>
      </c>
      <c r="R36" s="2">
        <f t="shared" si="1"/>
        <v>1.1548712372942043E-4</v>
      </c>
      <c r="S36" s="56">
        <f t="shared" si="2"/>
        <v>6.5520387996237958E-4</v>
      </c>
      <c r="T36" s="56">
        <f t="shared" si="3"/>
        <v>8.2574448337772902E-2</v>
      </c>
      <c r="U36" s="56">
        <f t="shared" si="4"/>
        <v>1.7193606341969838</v>
      </c>
      <c r="V36" s="56">
        <f t="shared" si="5"/>
        <v>1.3932059878419596E-2</v>
      </c>
      <c r="W36" s="56">
        <f t="shared" si="6"/>
        <v>3.2593936204819867E-3</v>
      </c>
      <c r="X36" s="56">
        <f t="shared" si="7"/>
        <v>1.8197817399136207</v>
      </c>
      <c r="Z36" s="119"/>
    </row>
    <row r="37" spans="2:26" x14ac:dyDescent="0.2">
      <c r="B37" s="119"/>
      <c r="C37" s="2">
        <f t="shared" si="22"/>
        <v>26</v>
      </c>
      <c r="D37" s="2">
        <f t="shared" si="22"/>
        <v>26</v>
      </c>
      <c r="E37" s="2">
        <f t="shared" si="8"/>
        <v>7.1184120465434639E-2</v>
      </c>
      <c r="F37" s="2">
        <f t="shared" si="21"/>
        <v>62.101184120465504</v>
      </c>
      <c r="G37" s="2">
        <f t="shared" si="9"/>
        <v>4.3998422074247983E-5</v>
      </c>
      <c r="H37" s="2">
        <f t="shared" si="10"/>
        <v>4.4208539156745407E-5</v>
      </c>
      <c r="I37" s="2">
        <f t="shared" si="11"/>
        <v>4.1610186300332877E-5</v>
      </c>
      <c r="J37" s="2">
        <f t="shared" si="12"/>
        <v>4.2445752878313706E-5</v>
      </c>
      <c r="K37" s="2">
        <f t="shared" si="13"/>
        <v>2.966077881453402E-5</v>
      </c>
      <c r="L37" s="2">
        <f t="shared" si="14"/>
        <v>5.0612592368272485E-5</v>
      </c>
      <c r="M37" s="2">
        <f t="shared" si="15"/>
        <v>0.50250396779778017</v>
      </c>
      <c r="N37" s="2">
        <f t="shared" si="16"/>
        <v>0.49724349593062755</v>
      </c>
      <c r="O37" s="2" t="str">
        <f t="shared" si="17"/>
        <v>OK</v>
      </c>
      <c r="P37" s="2">
        <f t="shared" si="18"/>
        <v>4.1610186300332877E-5</v>
      </c>
      <c r="Q37" s="2">
        <f t="shared" si="19"/>
        <v>4.2445752878313706E-5</v>
      </c>
      <c r="R37" s="2">
        <f t="shared" si="1"/>
        <v>8.405593917864659E-5</v>
      </c>
      <c r="S37" s="56">
        <f t="shared" si="2"/>
        <v>4.7688240649897091E-4</v>
      </c>
      <c r="T37" s="56">
        <f t="shared" si="3"/>
        <v>6.0100837072124096E-2</v>
      </c>
      <c r="U37" s="56">
        <f t="shared" si="4"/>
        <v>1.2514163330695551</v>
      </c>
      <c r="V37" s="56">
        <f t="shared" si="5"/>
        <v>1.0140285253942618E-2</v>
      </c>
      <c r="W37" s="56">
        <f t="shared" si="6"/>
        <v>2.3723111558882431E-3</v>
      </c>
      <c r="X37" s="56">
        <f t="shared" si="7"/>
        <v>1.3245066489580091</v>
      </c>
      <c r="Z37" s="119"/>
    </row>
    <row r="38" spans="2:26" x14ac:dyDescent="0.2">
      <c r="B38" s="119"/>
      <c r="C38" s="2">
        <f t="shared" si="22"/>
        <v>27</v>
      </c>
      <c r="D38" s="2">
        <f t="shared" si="22"/>
        <v>27</v>
      </c>
      <c r="E38" s="2">
        <f t="shared" si="8"/>
        <v>7.3921971252566734E-2</v>
      </c>
      <c r="F38" s="2">
        <f t="shared" si="21"/>
        <v>62.103921971252639</v>
      </c>
      <c r="G38" s="2">
        <f t="shared" si="9"/>
        <v>3.2023731921271537E-5</v>
      </c>
      <c r="H38" s="2">
        <f t="shared" si="10"/>
        <v>3.2176663158455977E-5</v>
      </c>
      <c r="I38" s="2">
        <f t="shared" si="11"/>
        <v>3.0285482716343737E-5</v>
      </c>
      <c r="J38" s="2">
        <f t="shared" si="12"/>
        <v>3.0893639982767353E-5</v>
      </c>
      <c r="K38" s="2">
        <f t="shared" si="13"/>
        <v>2.158824758565364E-5</v>
      </c>
      <c r="L38" s="2">
        <f t="shared" si="14"/>
        <v>3.6837777638869287E-5</v>
      </c>
      <c r="M38" s="2">
        <f t="shared" si="15"/>
        <v>0.50253850328570482</v>
      </c>
      <c r="N38" s="2">
        <f t="shared" si="16"/>
        <v>0.49727769117129195</v>
      </c>
      <c r="O38" s="2" t="str">
        <f t="shared" si="17"/>
        <v>OK</v>
      </c>
      <c r="P38" s="2">
        <f t="shared" si="18"/>
        <v>3.0285482716343737E-5</v>
      </c>
      <c r="Q38" s="2">
        <f t="shared" si="19"/>
        <v>3.0893639982767353E-5</v>
      </c>
      <c r="R38" s="2">
        <f t="shared" si="1"/>
        <v>6.117912269911109E-5</v>
      </c>
      <c r="S38" s="56">
        <f t="shared" si="2"/>
        <v>3.4709322797810626E-4</v>
      </c>
      <c r="T38" s="56">
        <f t="shared" si="3"/>
        <v>4.3743684521091418E-2</v>
      </c>
      <c r="U38" s="56">
        <f t="shared" si="4"/>
        <v>0.91082859980219544</v>
      </c>
      <c r="V38" s="56">
        <f t="shared" si="5"/>
        <v>7.3804868735859548E-3</v>
      </c>
      <c r="W38" s="56">
        <f t="shared" si="6"/>
        <v>1.7266586595129198E-3</v>
      </c>
      <c r="X38" s="56">
        <f t="shared" si="7"/>
        <v>0.96402652308436387</v>
      </c>
      <c r="Z38" s="119"/>
    </row>
    <row r="39" spans="2:26" x14ac:dyDescent="0.2">
      <c r="B39" s="119"/>
      <c r="C39" s="2">
        <f t="shared" si="22"/>
        <v>28</v>
      </c>
      <c r="D39" s="2">
        <f t="shared" si="22"/>
        <v>28</v>
      </c>
      <c r="E39" s="2">
        <f t="shared" si="8"/>
        <v>7.665982203969883E-2</v>
      </c>
      <c r="F39" s="2">
        <f t="shared" si="21"/>
        <v>62.106659822039774</v>
      </c>
      <c r="G39" s="2">
        <f t="shared" si="9"/>
        <v>2.3308095101496341E-5</v>
      </c>
      <c r="H39" s="2">
        <f t="shared" si="10"/>
        <v>2.3419404296472349E-5</v>
      </c>
      <c r="I39" s="2">
        <f t="shared" si="11"/>
        <v>2.2042930945171127E-5</v>
      </c>
      <c r="J39" s="2">
        <f t="shared" si="12"/>
        <v>2.2485571029634668E-5</v>
      </c>
      <c r="K39" s="2">
        <f t="shared" si="13"/>
        <v>1.5712751065626194E-5</v>
      </c>
      <c r="L39" s="2">
        <f t="shared" si="14"/>
        <v>2.681194142219033E-5</v>
      </c>
      <c r="M39" s="2">
        <f t="shared" si="15"/>
        <v>0.5025636395327514</v>
      </c>
      <c r="N39" s="2">
        <f t="shared" si="16"/>
        <v>0.49730257977338815</v>
      </c>
      <c r="O39" s="2" t="str">
        <f t="shared" si="17"/>
        <v>OK</v>
      </c>
      <c r="P39" s="2">
        <f t="shared" si="18"/>
        <v>2.2042930945171127E-5</v>
      </c>
      <c r="Q39" s="2">
        <f t="shared" si="19"/>
        <v>2.2485571029634668E-5</v>
      </c>
      <c r="R39" s="2">
        <f t="shared" si="1"/>
        <v>4.4528501974805796E-5</v>
      </c>
      <c r="S39" s="56">
        <f t="shared" si="2"/>
        <v>2.5262770706075224E-4</v>
      </c>
      <c r="T39" s="56">
        <f t="shared" si="3"/>
        <v>3.1838324197005892E-2</v>
      </c>
      <c r="U39" s="56">
        <f t="shared" si="4"/>
        <v>0.66293584013116913</v>
      </c>
      <c r="V39" s="56">
        <f t="shared" si="5"/>
        <v>5.3718002126610428E-3</v>
      </c>
      <c r="W39" s="56">
        <f t="shared" si="6"/>
        <v>1.2567281146745857E-3</v>
      </c>
      <c r="X39" s="56">
        <f t="shared" si="7"/>
        <v>0.70165532036257139</v>
      </c>
      <c r="Z39" s="119"/>
    </row>
    <row r="40" spans="2:26" x14ac:dyDescent="0.2">
      <c r="B40" s="119"/>
      <c r="C40" s="2">
        <f t="shared" si="22"/>
        <v>29</v>
      </c>
      <c r="D40" s="2">
        <f t="shared" si="22"/>
        <v>29</v>
      </c>
      <c r="E40" s="2">
        <f t="shared" si="8"/>
        <v>7.939767282683094E-2</v>
      </c>
      <c r="F40" s="2">
        <f t="shared" si="21"/>
        <v>62.109397672826908</v>
      </c>
      <c r="G40" s="2">
        <f t="shared" si="9"/>
        <v>1.6964521767042558E-5</v>
      </c>
      <c r="H40" s="2">
        <f t="shared" si="10"/>
        <v>1.7045536850120765E-5</v>
      </c>
      <c r="I40" s="2">
        <f t="shared" si="11"/>
        <v>1.6043686976580269E-5</v>
      </c>
      <c r="J40" s="2">
        <f t="shared" si="12"/>
        <v>1.636585733478193E-5</v>
      </c>
      <c r="K40" s="2">
        <f t="shared" si="13"/>
        <v>1.1436340306748706E-5</v>
      </c>
      <c r="L40" s="2">
        <f t="shared" si="14"/>
        <v>1.9514754935829734E-5</v>
      </c>
      <c r="M40" s="2">
        <f t="shared" si="15"/>
        <v>0.50258193465332246</v>
      </c>
      <c r="N40" s="2">
        <f t="shared" si="16"/>
        <v>0.49732069464850659</v>
      </c>
      <c r="O40" s="2" t="str">
        <f t="shared" si="17"/>
        <v>OK</v>
      </c>
      <c r="P40" s="2">
        <f t="shared" si="18"/>
        <v>1.6043686976580269E-5</v>
      </c>
      <c r="Q40" s="2">
        <f t="shared" si="19"/>
        <v>1.636585733478193E-5</v>
      </c>
      <c r="R40" s="2">
        <f t="shared" si="1"/>
        <v>3.2409544311362199E-5</v>
      </c>
      <c r="S40" s="56">
        <f t="shared" si="2"/>
        <v>1.8387209322460015E-4</v>
      </c>
      <c r="T40" s="56">
        <f t="shared" si="3"/>
        <v>2.3173148278067084E-2</v>
      </c>
      <c r="U40" s="56">
        <f t="shared" si="4"/>
        <v>0.48251002242446117</v>
      </c>
      <c r="V40" s="56">
        <f t="shared" si="5"/>
        <v>3.9098013475173127E-3</v>
      </c>
      <c r="W40" s="56">
        <f t="shared" si="6"/>
        <v>9.1469471719472274E-4</v>
      </c>
      <c r="X40" s="56">
        <f t="shared" si="7"/>
        <v>0.51069153886046492</v>
      </c>
      <c r="Z40" s="119"/>
    </row>
    <row r="41" spans="2:26" x14ac:dyDescent="0.2">
      <c r="B41" s="119"/>
      <c r="C41" s="2">
        <f t="shared" si="22"/>
        <v>30</v>
      </c>
      <c r="D41" s="2">
        <f t="shared" si="22"/>
        <v>30</v>
      </c>
      <c r="E41" s="2">
        <f t="shared" si="8"/>
        <v>8.2135523613963035E-2</v>
      </c>
      <c r="F41" s="2">
        <f t="shared" si="21"/>
        <v>62.112135523614043</v>
      </c>
      <c r="G41" s="2">
        <f t="shared" si="9"/>
        <v>1.2347426829125039E-5</v>
      </c>
      <c r="H41" s="2">
        <f t="shared" si="10"/>
        <v>1.2406392700612615E-5</v>
      </c>
      <c r="I41" s="2">
        <f t="shared" si="11"/>
        <v>1.167720810129539E-5</v>
      </c>
      <c r="J41" s="2">
        <f t="shared" si="12"/>
        <v>1.1911695991908141E-5</v>
      </c>
      <c r="K41" s="2">
        <f t="shared" si="13"/>
        <v>8.3238052369491696E-6</v>
      </c>
      <c r="L41" s="2">
        <f t="shared" si="14"/>
        <v>1.4203583924948327E-5</v>
      </c>
      <c r="M41" s="2">
        <f t="shared" si="15"/>
        <v>0.50259525054077769</v>
      </c>
      <c r="N41" s="2">
        <f t="shared" si="16"/>
        <v>0.49733387934643769</v>
      </c>
      <c r="O41" s="2" t="str">
        <f t="shared" si="17"/>
        <v>OK</v>
      </c>
      <c r="P41" s="2">
        <f t="shared" si="18"/>
        <v>1.167720810129539E-5</v>
      </c>
      <c r="Q41" s="2">
        <f t="shared" si="19"/>
        <v>1.1911695991908141E-5</v>
      </c>
      <c r="R41" s="2">
        <f t="shared" si="1"/>
        <v>2.3588904093203533E-5</v>
      </c>
      <c r="S41" s="56">
        <f t="shared" si="2"/>
        <v>1.3382913165400714E-4</v>
      </c>
      <c r="T41" s="56">
        <f t="shared" si="3"/>
        <v>1.6866302315681456E-2</v>
      </c>
      <c r="U41" s="56">
        <f t="shared" si="4"/>
        <v>0.35118922171909878</v>
      </c>
      <c r="V41" s="56">
        <f t="shared" si="5"/>
        <v>2.8457027387987785E-3</v>
      </c>
      <c r="W41" s="56">
        <f t="shared" si="6"/>
        <v>6.6574974801570904E-4</v>
      </c>
      <c r="X41" s="56">
        <f t="shared" si="7"/>
        <v>0.37170080565324876</v>
      </c>
      <c r="Z41" s="119"/>
    </row>
    <row r="42" spans="2:26" x14ac:dyDescent="0.2">
      <c r="B42" s="119"/>
      <c r="C42" s="2">
        <f t="shared" si="22"/>
        <v>31</v>
      </c>
      <c r="D42" s="2">
        <f t="shared" si="22"/>
        <v>31</v>
      </c>
      <c r="E42" s="2">
        <f t="shared" si="8"/>
        <v>8.4873374401095145E-2</v>
      </c>
      <c r="F42" s="2">
        <f t="shared" si="21"/>
        <v>62.114873374401178</v>
      </c>
      <c r="G42" s="2">
        <f t="shared" si="9"/>
        <v>8.9869288032440224E-6</v>
      </c>
      <c r="H42" s="2">
        <f t="shared" si="10"/>
        <v>9.0298464164612248E-6</v>
      </c>
      <c r="I42" s="2">
        <f t="shared" si="11"/>
        <v>8.4991180170000145E-6</v>
      </c>
      <c r="J42" s="2">
        <f t="shared" si="12"/>
        <v>8.6697872590471874E-6</v>
      </c>
      <c r="K42" s="2">
        <f t="shared" si="13"/>
        <v>6.0583833434542499E-6</v>
      </c>
      <c r="L42" s="2">
        <f t="shared" si="14"/>
        <v>1.0337910825316622E-5</v>
      </c>
      <c r="M42" s="2">
        <f t="shared" si="15"/>
        <v>0.50260494235221076</v>
      </c>
      <c r="N42" s="2">
        <f t="shared" si="16"/>
        <v>0.49734347567312492</v>
      </c>
      <c r="O42" s="2" t="str">
        <f t="shared" si="17"/>
        <v>OK</v>
      </c>
      <c r="P42" s="2">
        <f t="shared" si="18"/>
        <v>8.4991180170000145E-6</v>
      </c>
      <c r="Q42" s="2">
        <f t="shared" si="19"/>
        <v>8.6697872590471874E-6</v>
      </c>
      <c r="R42" s="2">
        <f t="shared" si="1"/>
        <v>1.7168905276047202E-5</v>
      </c>
      <c r="S42" s="56">
        <f t="shared" si="2"/>
        <v>9.7405953047446375E-5</v>
      </c>
      <c r="T42" s="56">
        <f t="shared" si="3"/>
        <v>1.227593896142651E-2</v>
      </c>
      <c r="U42" s="56">
        <f t="shared" si="4"/>
        <v>0.25560892773300459</v>
      </c>
      <c r="V42" s="56">
        <f t="shared" si="5"/>
        <v>2.0712111327079942E-3</v>
      </c>
      <c r="W42" s="56">
        <f t="shared" si="6"/>
        <v>4.8455809205952987E-4</v>
      </c>
      <c r="X42" s="56">
        <f t="shared" si="7"/>
        <v>0.27053804187224606</v>
      </c>
      <c r="Z42" s="119"/>
    </row>
    <row r="43" spans="2:26" x14ac:dyDescent="0.2">
      <c r="B43" s="119"/>
      <c r="C43" s="2">
        <f t="shared" si="22"/>
        <v>32</v>
      </c>
      <c r="D43" s="2">
        <f t="shared" si="22"/>
        <v>32</v>
      </c>
      <c r="E43" s="2">
        <f t="shared" si="8"/>
        <v>8.761122518822724E-2</v>
      </c>
      <c r="F43" s="2">
        <f t="shared" si="21"/>
        <v>62.117611225188313</v>
      </c>
      <c r="G43" s="2">
        <f t="shared" si="9"/>
        <v>6.5410300001675763E-6</v>
      </c>
      <c r="H43" s="2">
        <f t="shared" si="10"/>
        <v>6.5722670781210571E-6</v>
      </c>
      <c r="I43" s="2">
        <f t="shared" si="11"/>
        <v>6.1859826801002807E-6</v>
      </c>
      <c r="J43" s="2">
        <f t="shared" si="12"/>
        <v>6.3102022724412634E-6</v>
      </c>
      <c r="K43" s="2">
        <f t="shared" si="13"/>
        <v>4.4095227713320238E-6</v>
      </c>
      <c r="L43" s="2">
        <f t="shared" si="14"/>
        <v>7.5243263107599707E-6</v>
      </c>
      <c r="M43" s="2">
        <f t="shared" si="15"/>
        <v>0.50261199642270893</v>
      </c>
      <c r="N43" s="2">
        <f t="shared" si="16"/>
        <v>0.49735046024617841</v>
      </c>
      <c r="O43" s="2" t="str">
        <f t="shared" si="17"/>
        <v>OK</v>
      </c>
      <c r="P43" s="2">
        <f t="shared" si="18"/>
        <v>6.1859826801002807E-6</v>
      </c>
      <c r="Q43" s="2">
        <f t="shared" si="19"/>
        <v>6.3102022724412634E-6</v>
      </c>
      <c r="R43" s="2">
        <f t="shared" ref="R43:R74" si="23">SUM(P43:Q43)</f>
        <v>1.2496184952541543E-5</v>
      </c>
      <c r="S43" s="56">
        <f t="shared" ref="S43:S74" si="24">PVI4_cost_perpatient*(G43+H43+J43)</f>
        <v>7.089577263016413E-5</v>
      </c>
      <c r="T43" s="56">
        <f t="shared" ref="T43:T74" si="25">treatment_cost*(I43+J43)</f>
        <v>8.9348972029167292E-3</v>
      </c>
      <c r="U43" s="56">
        <f t="shared" ref="U43:U74" si="26">ICU_Cost_without*(G44+H44+K44+L44)+ICU_cost_with*(I43+J43)</f>
        <v>0.18604193948980777</v>
      </c>
      <c r="V43" s="56">
        <f t="shared" ref="V43:V74" si="27">Resource_cost*(H43+J43)</f>
        <v>1.5075065634028027E-3</v>
      </c>
      <c r="W43" s="56">
        <f t="shared" ref="W43:W74" si="28">IF(Incl_AE="Yes",Adverse_Event_Cost*K45,0)</f>
        <v>3.5267988501681819E-4</v>
      </c>
      <c r="X43" s="56">
        <f t="shared" ref="X43:X74" si="29">SUM(S43:W43)</f>
        <v>0.19690791891377429</v>
      </c>
      <c r="Z43" s="119"/>
    </row>
    <row r="44" spans="2:26" x14ac:dyDescent="0.2">
      <c r="B44" s="119"/>
      <c r="C44" s="2">
        <f t="shared" si="22"/>
        <v>33</v>
      </c>
      <c r="D44" s="2">
        <f t="shared" si="22"/>
        <v>33</v>
      </c>
      <c r="E44" s="2">
        <f t="shared" si="8"/>
        <v>9.0349075975359336E-2</v>
      </c>
      <c r="F44" s="2">
        <f t="shared" si="21"/>
        <v>62.120349075975447</v>
      </c>
      <c r="G44" s="2">
        <f t="shared" ref="G44:G75" si="30">G43*tp_pvi4_1_1+H43*tp_pvi4_2_1+I43*tp_pvi4_3_1+J43*tp_pvi4_4_1+L43*tp_pvi4_6_1</f>
        <v>4.7608114406791267E-6</v>
      </c>
      <c r="H44" s="2">
        <f t="shared" ref="H44:H75" si="31">G43*tp_pvi4_1_2+I43*tp_pvi4_3_2+J43*tp_pvi4_4_2+H43*tp_pvi4_2_2+L43*tp_pvi4_6_2</f>
        <v>4.7835469789797469E-6</v>
      </c>
      <c r="I44" s="2">
        <f t="shared" ref="I44:I75" si="32">G43*tp_pvi4_1_3+H43*tp_pvi4_2_3+I43*tp_pvi4_3_3+J43*tp_pvi4_4_3+L43*tp_pvi4_6_3</f>
        <v>4.5023944416261419E-6</v>
      </c>
      <c r="J44" s="2">
        <f t="shared" ref="J44:J75" si="33">G43*tp_pvi4_1_4+H43*tp_pvi4_2_4+I43*tp_pvi4_3_4+J43*tp_pvi4_4_4+L43*tp_pvi4_6_4</f>
        <v>4.5928062049659068E-6</v>
      </c>
      <c r="K44" s="2">
        <f t="shared" ref="K44:K75" si="34">G43*tp_pvi4_1_5+H43*tp_pvi4_2_5+I43*tp_pvi4_3_5+J43*tp_pvi4_4_5</f>
        <v>3.2094190757685113E-6</v>
      </c>
      <c r="L44" s="2">
        <f t="shared" ref="L44:L75" si="35">K43*tp_pvi4_5_6+L43*tp_pvi4_6_6</f>
        <v>5.476492048331388E-6</v>
      </c>
      <c r="M44" s="2">
        <f t="shared" ref="M44:M75" si="36">G43*tp_pvi4_1_7+H43*tp_pvi4_2_7+I43*tp_pvi4_3_7+J43*tp_pvi4_4_7+L43*tp_pvi4_6_7+M43</f>
        <v>0.50261713064461744</v>
      </c>
      <c r="N44" s="2">
        <f t="shared" ref="N44:N75" si="37">G43*tp_pvi4_1_8+H43*tp_pvi4_2_8+I43*tp_pvi4_3_8+J43*tp_pvi4_4_8+L43*tp_pvi4_6_8+N43</f>
        <v>0.49735554388519249</v>
      </c>
      <c r="O44" s="2" t="str">
        <f t="shared" si="17"/>
        <v>OK</v>
      </c>
      <c r="P44" s="2">
        <f t="shared" si="18"/>
        <v>4.5023944416261419E-6</v>
      </c>
      <c r="Q44" s="2">
        <f t="shared" si="19"/>
        <v>4.5928062049659068E-6</v>
      </c>
      <c r="R44" s="2">
        <f t="shared" si="23"/>
        <v>9.0952006465920487E-6</v>
      </c>
      <c r="S44" s="56">
        <f t="shared" si="24"/>
        <v>5.160065087988045E-5</v>
      </c>
      <c r="T44" s="56">
        <f t="shared" si="25"/>
        <v>6.5031594143197804E-3</v>
      </c>
      <c r="U44" s="56">
        <f t="shared" si="26"/>
        <v>0.13540842863381011</v>
      </c>
      <c r="V44" s="56">
        <f t="shared" si="27"/>
        <v>1.0972208495853204E-3</v>
      </c>
      <c r="W44" s="56">
        <f t="shared" si="28"/>
        <v>2.5669388940946324E-4</v>
      </c>
      <c r="X44" s="56">
        <f t="shared" si="29"/>
        <v>0.14331710343800458</v>
      </c>
      <c r="Z44" s="119"/>
    </row>
    <row r="45" spans="2:26" x14ac:dyDescent="0.2">
      <c r="B45" s="119"/>
      <c r="C45" s="2">
        <f t="shared" ref="C45:D60" si="38">C44+1</f>
        <v>34</v>
      </c>
      <c r="D45" s="2">
        <f t="shared" si="38"/>
        <v>34</v>
      </c>
      <c r="E45" s="2">
        <f t="shared" si="8"/>
        <v>9.3086926762491445E-2</v>
      </c>
      <c r="F45" s="2">
        <f t="shared" si="21"/>
        <v>62.123086926762582</v>
      </c>
      <c r="G45" s="2">
        <f t="shared" si="30"/>
        <v>3.4651003852820197E-6</v>
      </c>
      <c r="H45" s="2">
        <f t="shared" si="31"/>
        <v>3.4816481783434972E-6</v>
      </c>
      <c r="I45" s="2">
        <f t="shared" si="32"/>
        <v>3.2770146242433117E-6</v>
      </c>
      <c r="J45" s="2">
        <f t="shared" si="33"/>
        <v>3.3428197584911731E-6</v>
      </c>
      <c r="K45" s="2">
        <f t="shared" si="34"/>
        <v>2.3359377733263885E-6</v>
      </c>
      <c r="L45" s="2">
        <f t="shared" si="35"/>
        <v>3.986000063882347E-6</v>
      </c>
      <c r="M45" s="2">
        <f t="shared" si="36"/>
        <v>0.50262086752740198</v>
      </c>
      <c r="N45" s="2">
        <f t="shared" si="37"/>
        <v>0.49735924395181469</v>
      </c>
      <c r="O45" s="2" t="str">
        <f t="shared" si="17"/>
        <v>OK</v>
      </c>
      <c r="P45" s="2">
        <f t="shared" si="18"/>
        <v>3.2770146242433117E-6</v>
      </c>
      <c r="Q45" s="2">
        <f t="shared" si="19"/>
        <v>3.3428197584911731E-6</v>
      </c>
      <c r="R45" s="2">
        <f t="shared" si="23"/>
        <v>6.6198343827344853E-6</v>
      </c>
      <c r="S45" s="56">
        <f t="shared" si="24"/>
        <v>3.7556924375725918E-5</v>
      </c>
      <c r="T45" s="56">
        <f t="shared" si="25"/>
        <v>4.7332477819989841E-3</v>
      </c>
      <c r="U45" s="56">
        <f t="shared" si="26"/>
        <v>9.8555425703335753E-2</v>
      </c>
      <c r="V45" s="56">
        <f t="shared" si="27"/>
        <v>7.9859923796839313E-4</v>
      </c>
      <c r="W45" s="56">
        <f t="shared" si="28"/>
        <v>1.8683161603340307E-4</v>
      </c>
      <c r="X45" s="56">
        <f t="shared" si="29"/>
        <v>0.10431166126371226</v>
      </c>
      <c r="Z45" s="119"/>
    </row>
    <row r="46" spans="2:26" x14ac:dyDescent="0.2">
      <c r="B46" s="119"/>
      <c r="C46" s="2">
        <f t="shared" si="38"/>
        <v>35</v>
      </c>
      <c r="D46" s="2">
        <f t="shared" si="38"/>
        <v>35</v>
      </c>
      <c r="E46" s="2">
        <f t="shared" si="8"/>
        <v>9.5824777549623541E-2</v>
      </c>
      <c r="F46" s="2">
        <f t="shared" si="21"/>
        <v>62.125824777549717</v>
      </c>
      <c r="G46" s="2">
        <f t="shared" si="30"/>
        <v>2.5220323950428277E-6</v>
      </c>
      <c r="H46" s="2">
        <f t="shared" si="31"/>
        <v>2.5340765108048919E-6</v>
      </c>
      <c r="I46" s="2">
        <f t="shared" si="32"/>
        <v>2.3851363950306091E-6</v>
      </c>
      <c r="J46" s="2">
        <f t="shared" si="33"/>
        <v>2.4330318848808235E-6</v>
      </c>
      <c r="K46" s="2">
        <f t="shared" si="34"/>
        <v>1.7001847225424773E-6</v>
      </c>
      <c r="L46" s="2">
        <f t="shared" si="35"/>
        <v>2.9011630746531212E-6</v>
      </c>
      <c r="M46" s="2">
        <f t="shared" si="36"/>
        <v>0.50262358737340673</v>
      </c>
      <c r="N46" s="2">
        <f t="shared" si="37"/>
        <v>0.49736193700161052</v>
      </c>
      <c r="O46" s="2" t="str">
        <f t="shared" si="17"/>
        <v>OK</v>
      </c>
      <c r="P46" s="2">
        <f t="shared" si="18"/>
        <v>2.3851363950306091E-6</v>
      </c>
      <c r="Q46" s="2">
        <f t="shared" si="19"/>
        <v>2.4330318848808235E-6</v>
      </c>
      <c r="R46" s="2">
        <f t="shared" si="23"/>
        <v>4.8181682799114326E-6</v>
      </c>
      <c r="S46" s="56">
        <f t="shared" si="24"/>
        <v>2.7335363886159183E-5</v>
      </c>
      <c r="T46" s="56">
        <f t="shared" si="25"/>
        <v>3.4450385018194732E-3</v>
      </c>
      <c r="U46" s="56">
        <f t="shared" si="26"/>
        <v>7.1732402728302141E-2</v>
      </c>
      <c r="V46" s="56">
        <f t="shared" si="27"/>
        <v>5.8125102446314242E-4</v>
      </c>
      <c r="W46" s="56">
        <f t="shared" si="28"/>
        <v>1.3598318538064985E-4</v>
      </c>
      <c r="X46" s="56">
        <f t="shared" si="29"/>
        <v>7.5922010803851567E-2</v>
      </c>
      <c r="Z46" s="119"/>
    </row>
    <row r="47" spans="2:26" x14ac:dyDescent="0.2">
      <c r="B47" s="119"/>
      <c r="C47" s="2">
        <f t="shared" si="38"/>
        <v>36</v>
      </c>
      <c r="D47" s="2">
        <f t="shared" si="38"/>
        <v>36</v>
      </c>
      <c r="E47" s="2">
        <f t="shared" si="8"/>
        <v>9.856262833675565E-2</v>
      </c>
      <c r="F47" s="2">
        <f t="shared" si="21"/>
        <v>62.128562628336852</v>
      </c>
      <c r="G47" s="2">
        <f t="shared" si="30"/>
        <v>1.8356314953128568E-6</v>
      </c>
      <c r="H47" s="2">
        <f t="shared" si="31"/>
        <v>1.8443976627377855E-6</v>
      </c>
      <c r="I47" s="2">
        <f t="shared" si="32"/>
        <v>1.7359933583489143E-6</v>
      </c>
      <c r="J47" s="2">
        <f t="shared" si="33"/>
        <v>1.7708535250245281E-6</v>
      </c>
      <c r="K47" s="2">
        <f t="shared" si="34"/>
        <v>1.2374593723235067E-6</v>
      </c>
      <c r="L47" s="2">
        <f t="shared" si="35"/>
        <v>2.1115772832018044E-6</v>
      </c>
      <c r="M47" s="2">
        <f t="shared" si="36"/>
        <v>0.50262556698120187</v>
      </c>
      <c r="N47" s="2">
        <f t="shared" si="37"/>
        <v>0.4973638971061014</v>
      </c>
      <c r="O47" s="2" t="str">
        <f t="shared" si="17"/>
        <v>OK</v>
      </c>
      <c r="P47" s="2">
        <f t="shared" si="18"/>
        <v>1.7359933583489143E-6</v>
      </c>
      <c r="Q47" s="2">
        <f t="shared" si="19"/>
        <v>1.7708535250245281E-6</v>
      </c>
      <c r="R47" s="2">
        <f t="shared" si="23"/>
        <v>3.5068468833734424E-6</v>
      </c>
      <c r="S47" s="56">
        <f t="shared" si="24"/>
        <v>1.989572179322437E-5</v>
      </c>
      <c r="T47" s="56">
        <f t="shared" si="25"/>
        <v>2.507430590080845E-3</v>
      </c>
      <c r="U47" s="56">
        <f t="shared" si="26"/>
        <v>5.2209582216846059E-2</v>
      </c>
      <c r="V47" s="56">
        <f t="shared" si="27"/>
        <v>4.2305669399194594E-4</v>
      </c>
      <c r="W47" s="56">
        <f t="shared" si="28"/>
        <v>9.8973755614048656E-5</v>
      </c>
      <c r="X47" s="56">
        <f t="shared" si="29"/>
        <v>5.5258938978326122E-2</v>
      </c>
      <c r="Z47" s="119"/>
    </row>
    <row r="48" spans="2:26" x14ac:dyDescent="0.2">
      <c r="B48" s="119"/>
      <c r="C48" s="2">
        <f t="shared" si="38"/>
        <v>37</v>
      </c>
      <c r="D48" s="2">
        <f t="shared" si="38"/>
        <v>37</v>
      </c>
      <c r="E48" s="2">
        <f t="shared" si="8"/>
        <v>0.10130047912388775</v>
      </c>
      <c r="F48" s="2">
        <f t="shared" si="21"/>
        <v>62.131300479123986</v>
      </c>
      <c r="G48" s="2">
        <f t="shared" si="30"/>
        <v>1.3360427063535904E-6</v>
      </c>
      <c r="H48" s="2">
        <f t="shared" si="31"/>
        <v>1.3424230577915865E-6</v>
      </c>
      <c r="I48" s="2">
        <f t="shared" si="32"/>
        <v>1.2635222650203221E-6</v>
      </c>
      <c r="J48" s="2">
        <f t="shared" si="33"/>
        <v>1.2888948256612509E-6</v>
      </c>
      <c r="K48" s="2">
        <f t="shared" si="34"/>
        <v>9.0067019062557849E-7</v>
      </c>
      <c r="L48" s="2">
        <f t="shared" si="35"/>
        <v>1.5368865893441565E-6</v>
      </c>
      <c r="M48" s="2">
        <f t="shared" si="36"/>
        <v>0.50262700781535774</v>
      </c>
      <c r="N48" s="2">
        <f t="shared" si="37"/>
        <v>0.49736532374500764</v>
      </c>
      <c r="O48" s="2" t="str">
        <f t="shared" si="17"/>
        <v>OK</v>
      </c>
      <c r="P48" s="2">
        <f t="shared" si="18"/>
        <v>1.2635222650203221E-6</v>
      </c>
      <c r="Q48" s="2">
        <f t="shared" si="19"/>
        <v>1.2888948256612509E-6</v>
      </c>
      <c r="R48" s="2">
        <f t="shared" si="23"/>
        <v>2.552417090681573E-6</v>
      </c>
      <c r="S48" s="56">
        <f t="shared" si="24"/>
        <v>1.4480866152793462E-5</v>
      </c>
      <c r="T48" s="56">
        <f t="shared" si="25"/>
        <v>1.8250037440082315E-3</v>
      </c>
      <c r="U48" s="56">
        <f t="shared" si="26"/>
        <v>3.8000127858286131E-2</v>
      </c>
      <c r="V48" s="56">
        <f t="shared" si="27"/>
        <v>3.0791681872165106E-4</v>
      </c>
      <c r="W48" s="56">
        <f t="shared" si="28"/>
        <v>7.2036879213624119E-5</v>
      </c>
      <c r="X48" s="56">
        <f t="shared" si="29"/>
        <v>4.0219566166382434E-2</v>
      </c>
      <c r="Z48" s="119"/>
    </row>
    <row r="49" spans="2:26" x14ac:dyDescent="0.2">
      <c r="B49" s="119"/>
      <c r="C49" s="2">
        <f t="shared" si="38"/>
        <v>38</v>
      </c>
      <c r="D49" s="2">
        <f t="shared" si="38"/>
        <v>38</v>
      </c>
      <c r="E49" s="2">
        <f t="shared" si="8"/>
        <v>0.10403832991101984</v>
      </c>
      <c r="F49" s="2">
        <f t="shared" si="21"/>
        <v>62.134038329911121</v>
      </c>
      <c r="G49" s="2">
        <f t="shared" si="30"/>
        <v>9.7242290609992604E-7</v>
      </c>
      <c r="H49" s="2">
        <f t="shared" si="31"/>
        <v>9.7706676954663333E-7</v>
      </c>
      <c r="I49" s="2">
        <f t="shared" si="32"/>
        <v>9.196397592906337E-7</v>
      </c>
      <c r="J49" s="2">
        <f t="shared" si="33"/>
        <v>9.3810687792113565E-7</v>
      </c>
      <c r="K49" s="2">
        <f t="shared" si="34"/>
        <v>6.5554216196879484E-7</v>
      </c>
      <c r="L49" s="2">
        <f t="shared" si="35"/>
        <v>1.1186047545103988E-6</v>
      </c>
      <c r="M49" s="2">
        <f t="shared" si="36"/>
        <v>0.50262805650948295</v>
      </c>
      <c r="N49" s="2">
        <f t="shared" si="37"/>
        <v>0.49736636210728796</v>
      </c>
      <c r="O49" s="2" t="str">
        <f t="shared" si="17"/>
        <v>OK</v>
      </c>
      <c r="P49" s="2">
        <f t="shared" si="18"/>
        <v>9.196397592906337E-7</v>
      </c>
      <c r="Q49" s="2">
        <f t="shared" si="19"/>
        <v>9.3810687792113565E-7</v>
      </c>
      <c r="R49" s="2">
        <f t="shared" si="23"/>
        <v>1.8577466372117694E-6</v>
      </c>
      <c r="S49" s="56">
        <f t="shared" si="24"/>
        <v>1.0539727420522086E-5</v>
      </c>
      <c r="T49" s="56">
        <f t="shared" si="25"/>
        <v>1.3283074230727872E-3</v>
      </c>
      <c r="U49" s="56">
        <f t="shared" si="26"/>
        <v>2.7657944307016603E-2</v>
      </c>
      <c r="V49" s="56">
        <f t="shared" si="27"/>
        <v>2.2411362022667833E-4</v>
      </c>
      <c r="W49" s="56">
        <f t="shared" si="28"/>
        <v>5.2431191831036265E-5</v>
      </c>
      <c r="X49" s="56">
        <f t="shared" si="29"/>
        <v>2.9273336269567626E-2</v>
      </c>
      <c r="Z49" s="119"/>
    </row>
    <row r="50" spans="2:26" x14ac:dyDescent="0.2">
      <c r="B50" s="119"/>
      <c r="C50" s="2">
        <f t="shared" si="38"/>
        <v>39</v>
      </c>
      <c r="D50" s="2">
        <f t="shared" si="38"/>
        <v>39</v>
      </c>
      <c r="E50" s="2">
        <f t="shared" si="8"/>
        <v>0.10677618069815195</v>
      </c>
      <c r="F50" s="2">
        <f t="shared" si="21"/>
        <v>62.136776180698256</v>
      </c>
      <c r="G50" s="2">
        <f t="shared" si="30"/>
        <v>7.0776652857799363E-7</v>
      </c>
      <c r="H50" s="2">
        <f t="shared" si="31"/>
        <v>7.1114650974693631E-7</v>
      </c>
      <c r="I50" s="2">
        <f t="shared" si="32"/>
        <v>6.6934893850448664E-7</v>
      </c>
      <c r="J50" s="2">
        <f t="shared" si="33"/>
        <v>6.8279001271608603E-7</v>
      </c>
      <c r="K50" s="2">
        <f t="shared" si="34"/>
        <v>4.7712862109964306E-7</v>
      </c>
      <c r="L50" s="2">
        <f t="shared" si="35"/>
        <v>8.1416326063928361E-7</v>
      </c>
      <c r="M50" s="2">
        <f t="shared" si="36"/>
        <v>0.50262881978911755</v>
      </c>
      <c r="N50" s="2">
        <f t="shared" si="37"/>
        <v>0.49736711786701138</v>
      </c>
      <c r="O50" s="2" t="str">
        <f t="shared" si="17"/>
        <v>OK</v>
      </c>
      <c r="P50" s="2">
        <f t="shared" si="18"/>
        <v>6.6934893850448664E-7</v>
      </c>
      <c r="Q50" s="2">
        <f t="shared" si="19"/>
        <v>6.8279001271608603E-7</v>
      </c>
      <c r="R50" s="2">
        <f t="shared" si="23"/>
        <v>1.3521389512205726E-6</v>
      </c>
      <c r="S50" s="56">
        <f t="shared" si="24"/>
        <v>7.6712161362997095E-6</v>
      </c>
      <c r="T50" s="56">
        <f t="shared" si="25"/>
        <v>9.6679287151222161E-4</v>
      </c>
      <c r="U50" s="56">
        <f t="shared" si="26"/>
        <v>2.0130508143099059E-2</v>
      </c>
      <c r="V50" s="56">
        <f t="shared" si="27"/>
        <v>1.6311845185862286E-4</v>
      </c>
      <c r="W50" s="56">
        <f t="shared" si="28"/>
        <v>3.816142379892258E-5</v>
      </c>
      <c r="X50" s="56">
        <f t="shared" si="29"/>
        <v>2.1306252106405126E-2</v>
      </c>
      <c r="Z50" s="119"/>
    </row>
    <row r="51" spans="2:26" x14ac:dyDescent="0.2">
      <c r="B51" s="119"/>
      <c r="C51" s="2">
        <f t="shared" si="38"/>
        <v>40</v>
      </c>
      <c r="D51" s="2">
        <f t="shared" si="38"/>
        <v>40</v>
      </c>
      <c r="E51" s="2">
        <f t="shared" si="8"/>
        <v>0.10951403148528405</v>
      </c>
      <c r="F51" s="2">
        <f t="shared" si="21"/>
        <v>62.13951403148539</v>
      </c>
      <c r="G51" s="2">
        <f t="shared" si="30"/>
        <v>5.151395096033096E-7</v>
      </c>
      <c r="H51" s="2">
        <f t="shared" si="31"/>
        <v>5.1759958898193704E-7</v>
      </c>
      <c r="I51" s="2">
        <f t="shared" si="32"/>
        <v>4.8717772035287788E-7</v>
      </c>
      <c r="J51" s="2">
        <f t="shared" si="33"/>
        <v>4.969606474882095E-7</v>
      </c>
      <c r="K51" s="2">
        <f t="shared" si="34"/>
        <v>3.4727243231577864E-7</v>
      </c>
      <c r="L51" s="2">
        <f t="shared" si="35"/>
        <v>5.9257911456395463E-7</v>
      </c>
      <c r="M51" s="2">
        <f t="shared" si="36"/>
        <v>0.50262937533318586</v>
      </c>
      <c r="N51" s="2">
        <f t="shared" si="37"/>
        <v>0.49736766793780107</v>
      </c>
      <c r="O51" s="2" t="str">
        <f t="shared" si="17"/>
        <v>OK</v>
      </c>
      <c r="P51" s="2">
        <f t="shared" si="18"/>
        <v>4.8717772035287788E-7</v>
      </c>
      <c r="Q51" s="2">
        <f t="shared" si="19"/>
        <v>4.969606474882095E-7</v>
      </c>
      <c r="R51" s="2">
        <f t="shared" si="23"/>
        <v>9.8413836784108739E-7</v>
      </c>
      <c r="S51" s="56">
        <f t="shared" si="24"/>
        <v>5.5834040731681145E-6</v>
      </c>
      <c r="T51" s="56">
        <f t="shared" si="25"/>
        <v>7.0366877439005584E-4</v>
      </c>
      <c r="U51" s="56">
        <f t="shared" si="26"/>
        <v>1.4651752624889403E-2</v>
      </c>
      <c r="V51" s="56">
        <f t="shared" si="27"/>
        <v>1.1872383887173656E-4</v>
      </c>
      <c r="W51" s="56">
        <f t="shared" si="28"/>
        <v>2.7775341652617775E-5</v>
      </c>
      <c r="X51" s="56">
        <f t="shared" si="29"/>
        <v>1.5507503983876982E-2</v>
      </c>
      <c r="Z51" s="119"/>
    </row>
    <row r="52" spans="2:26" x14ac:dyDescent="0.2">
      <c r="B52" s="119"/>
      <c r="C52" s="2">
        <f t="shared" si="38"/>
        <v>41</v>
      </c>
      <c r="D52" s="2">
        <f t="shared" si="38"/>
        <v>41</v>
      </c>
      <c r="E52" s="2">
        <f t="shared" si="8"/>
        <v>0.11225188227241616</v>
      </c>
      <c r="F52" s="2">
        <f t="shared" si="21"/>
        <v>62.142251882272525</v>
      </c>
      <c r="G52" s="2">
        <f t="shared" si="30"/>
        <v>3.7493820863145746E-7</v>
      </c>
      <c r="H52" s="2">
        <f t="shared" si="31"/>
        <v>3.7672874835539377E-7</v>
      </c>
      <c r="I52" s="2">
        <f t="shared" si="32"/>
        <v>3.5458655053448777E-7</v>
      </c>
      <c r="J52" s="2">
        <f t="shared" si="33"/>
        <v>3.6170693852048765E-7</v>
      </c>
      <c r="K52" s="2">
        <f t="shared" si="34"/>
        <v>2.527581388191984E-7</v>
      </c>
      <c r="L52" s="2">
        <f t="shared" si="35"/>
        <v>4.3130171059509429E-7</v>
      </c>
      <c r="M52" s="2">
        <f t="shared" si="36"/>
        <v>0.50262977967937539</v>
      </c>
      <c r="N52" s="2">
        <f t="shared" si="37"/>
        <v>0.49736806830032942</v>
      </c>
      <c r="O52" s="2" t="str">
        <f t="shared" si="17"/>
        <v>OK</v>
      </c>
      <c r="P52" s="2">
        <f t="shared" si="18"/>
        <v>3.5458655053448777E-7</v>
      </c>
      <c r="Q52" s="2">
        <f t="shared" si="19"/>
        <v>3.6170693852048765E-7</v>
      </c>
      <c r="R52" s="2">
        <f t="shared" si="23"/>
        <v>7.1629348905497542E-7</v>
      </c>
      <c r="S52" s="56">
        <f t="shared" si="24"/>
        <v>4.0638147186017866E-6</v>
      </c>
      <c r="T52" s="56">
        <f t="shared" si="25"/>
        <v>5.1215700760919795E-4</v>
      </c>
      <c r="U52" s="56">
        <f t="shared" si="26"/>
        <v>1.0664105121188696E-2</v>
      </c>
      <c r="V52" s="56">
        <f t="shared" si="27"/>
        <v>8.6411744078215651E-5</v>
      </c>
      <c r="W52" s="56">
        <f t="shared" si="28"/>
        <v>2.0215954414715153E-5</v>
      </c>
      <c r="X52" s="56">
        <f t="shared" si="29"/>
        <v>1.1286953642009425E-2</v>
      </c>
      <c r="Z52" s="119"/>
    </row>
    <row r="53" spans="2:26" x14ac:dyDescent="0.2">
      <c r="B53" s="119"/>
      <c r="C53" s="2">
        <f t="shared" si="38"/>
        <v>42</v>
      </c>
      <c r="D53" s="2">
        <f t="shared" si="38"/>
        <v>42</v>
      </c>
      <c r="E53" s="2">
        <f t="shared" si="8"/>
        <v>0.11498973305954825</v>
      </c>
      <c r="F53" s="2">
        <f t="shared" si="21"/>
        <v>62.14498973305966</v>
      </c>
      <c r="G53" s="2">
        <f t="shared" si="30"/>
        <v>2.7289434739731192E-7</v>
      </c>
      <c r="H53" s="2">
        <f t="shared" si="31"/>
        <v>2.7419757059037104E-7</v>
      </c>
      <c r="I53" s="2">
        <f t="shared" si="32"/>
        <v>2.5808163339012235E-7</v>
      </c>
      <c r="J53" s="2">
        <f t="shared" si="33"/>
        <v>2.6326412369898569E-7</v>
      </c>
      <c r="K53" s="2">
        <f t="shared" si="34"/>
        <v>1.8396702644467989E-7</v>
      </c>
      <c r="L53" s="2">
        <f t="shared" si="35"/>
        <v>3.1391785668844604E-7</v>
      </c>
      <c r="M53" s="2">
        <f t="shared" si="36"/>
        <v>0.50263007397797443</v>
      </c>
      <c r="N53" s="2">
        <f t="shared" si="37"/>
        <v>0.49736835969946769</v>
      </c>
      <c r="O53" s="2" t="str">
        <f t="shared" si="17"/>
        <v>OK</v>
      </c>
      <c r="P53" s="2">
        <f t="shared" si="18"/>
        <v>2.5808163339012235E-7</v>
      </c>
      <c r="Q53" s="2">
        <f t="shared" si="19"/>
        <v>2.6326412369898569E-7</v>
      </c>
      <c r="R53" s="2">
        <f t="shared" si="23"/>
        <v>5.2134575708910803E-7</v>
      </c>
      <c r="S53" s="56">
        <f t="shared" si="24"/>
        <v>2.9577995521563406E-6</v>
      </c>
      <c r="T53" s="56">
        <f t="shared" si="25"/>
        <v>3.7276742977628312E-4</v>
      </c>
      <c r="U53" s="56">
        <f t="shared" si="26"/>
        <v>7.7617429769171751E-3</v>
      </c>
      <c r="V53" s="56">
        <f t="shared" si="27"/>
        <v>6.2893767465740518E-5</v>
      </c>
      <c r="W53" s="56">
        <f t="shared" si="28"/>
        <v>1.4713943684625145E-5</v>
      </c>
      <c r="X53" s="56">
        <f t="shared" si="29"/>
        <v>8.2150759173959791E-3</v>
      </c>
      <c r="Z53" s="119"/>
    </row>
    <row r="54" spans="2:26" x14ac:dyDescent="0.2">
      <c r="B54" s="119"/>
      <c r="C54" s="2">
        <f t="shared" si="38"/>
        <v>43</v>
      </c>
      <c r="D54" s="2">
        <f t="shared" si="38"/>
        <v>43</v>
      </c>
      <c r="E54" s="2">
        <f t="shared" si="8"/>
        <v>0.11772758384668035</v>
      </c>
      <c r="F54" s="2">
        <f t="shared" si="21"/>
        <v>62.147727583846795</v>
      </c>
      <c r="G54" s="2">
        <f t="shared" si="30"/>
        <v>1.9862292806387668E-7</v>
      </c>
      <c r="H54" s="2">
        <f t="shared" si="31"/>
        <v>1.9957146367480046E-7</v>
      </c>
      <c r="I54" s="2">
        <f t="shared" si="32"/>
        <v>1.8784166910142091E-7</v>
      </c>
      <c r="J54" s="2">
        <f t="shared" si="33"/>
        <v>1.9161368347118148E-7</v>
      </c>
      <c r="K54" s="2">
        <f t="shared" si="34"/>
        <v>1.3389822767727614E-7</v>
      </c>
      <c r="L54" s="2">
        <f t="shared" si="35"/>
        <v>2.2848140484279482E-7</v>
      </c>
      <c r="M54" s="2">
        <f t="shared" si="36"/>
        <v>0.50263028817973421</v>
      </c>
      <c r="N54" s="2">
        <f t="shared" si="37"/>
        <v>0.49736857179088922</v>
      </c>
      <c r="O54" s="2" t="str">
        <f t="shared" si="17"/>
        <v>OK</v>
      </c>
      <c r="P54" s="2">
        <f t="shared" si="18"/>
        <v>1.8784166910142091E-7</v>
      </c>
      <c r="Q54" s="2">
        <f t="shared" si="19"/>
        <v>1.9161368347118148E-7</v>
      </c>
      <c r="R54" s="2">
        <f t="shared" si="23"/>
        <v>3.7945535257260238E-7</v>
      </c>
      <c r="S54" s="56">
        <f t="shared" si="24"/>
        <v>2.1527994745159836E-6</v>
      </c>
      <c r="T54" s="56">
        <f t="shared" si="25"/>
        <v>2.7131437164293641E-4</v>
      </c>
      <c r="U54" s="56">
        <f t="shared" si="26"/>
        <v>5.6492929650535737E-3</v>
      </c>
      <c r="V54" s="56">
        <f t="shared" si="27"/>
        <v>4.577648591902281E-5</v>
      </c>
      <c r="W54" s="56">
        <f t="shared" si="28"/>
        <v>1.0709370149584932E-5</v>
      </c>
      <c r="X54" s="56">
        <f t="shared" si="29"/>
        <v>5.9792459922396336E-3</v>
      </c>
      <c r="Z54" s="119"/>
    </row>
    <row r="55" spans="2:26" x14ac:dyDescent="0.2">
      <c r="B55" s="119"/>
      <c r="C55" s="2">
        <f t="shared" si="38"/>
        <v>44</v>
      </c>
      <c r="D55" s="2">
        <f t="shared" si="38"/>
        <v>44</v>
      </c>
      <c r="E55" s="2">
        <f t="shared" si="8"/>
        <v>0.12046543463381246</v>
      </c>
      <c r="F55" s="2">
        <f t="shared" si="21"/>
        <v>62.150465434633929</v>
      </c>
      <c r="G55" s="2">
        <f t="shared" si="30"/>
        <v>1.4456535259497474E-7</v>
      </c>
      <c r="H55" s="2">
        <f t="shared" si="31"/>
        <v>1.4525573303785083E-7</v>
      </c>
      <c r="I55" s="2">
        <f t="shared" si="32"/>
        <v>1.3671834057819534E-7</v>
      </c>
      <c r="J55" s="2">
        <f t="shared" si="33"/>
        <v>1.3946375669240335E-7</v>
      </c>
      <c r="K55" s="2">
        <f t="shared" si="34"/>
        <v>9.7456243771526978E-8</v>
      </c>
      <c r="L55" s="2">
        <f t="shared" si="35"/>
        <v>1.6629749231101494E-7</v>
      </c>
      <c r="M55" s="2">
        <f t="shared" si="36"/>
        <v>0.50263044408395552</v>
      </c>
      <c r="N55" s="2">
        <f t="shared" si="37"/>
        <v>0.49736872615912575</v>
      </c>
      <c r="O55" s="2" t="str">
        <f t="shared" si="17"/>
        <v>OK</v>
      </c>
      <c r="P55" s="2">
        <f t="shared" si="18"/>
        <v>1.3671834057819534E-7</v>
      </c>
      <c r="Q55" s="2">
        <f t="shared" si="19"/>
        <v>1.3946375669240335E-7</v>
      </c>
      <c r="R55" s="2">
        <f t="shared" si="23"/>
        <v>2.7618209727059872E-7</v>
      </c>
      <c r="S55" s="56">
        <f t="shared" si="24"/>
        <v>1.5668896744870855E-6</v>
      </c>
      <c r="T55" s="56">
        <f t="shared" si="25"/>
        <v>1.9747296136945079E-4</v>
      </c>
      <c r="U55" s="56">
        <f t="shared" si="26"/>
        <v>4.1117711704594037E-3</v>
      </c>
      <c r="V55" s="56">
        <f t="shared" si="27"/>
        <v>3.3317874688234345E-5</v>
      </c>
      <c r="W55" s="56">
        <f t="shared" si="28"/>
        <v>7.794688593287398E-6</v>
      </c>
      <c r="X55" s="56">
        <f t="shared" si="29"/>
        <v>4.3519235847848644E-3</v>
      </c>
      <c r="Z55" s="119"/>
    </row>
    <row r="56" spans="2:26" x14ac:dyDescent="0.2">
      <c r="B56" s="119"/>
      <c r="C56" s="2">
        <f t="shared" si="38"/>
        <v>45</v>
      </c>
      <c r="D56" s="2">
        <f t="shared" si="38"/>
        <v>45</v>
      </c>
      <c r="E56" s="2">
        <f t="shared" si="8"/>
        <v>0.12320328542094455</v>
      </c>
      <c r="F56" s="2">
        <f t="shared" si="21"/>
        <v>62.153203285421064</v>
      </c>
      <c r="G56" s="2">
        <f t="shared" si="30"/>
        <v>1.0522018467167221E-7</v>
      </c>
      <c r="H56" s="2">
        <f t="shared" si="31"/>
        <v>1.0572266992411479E-7</v>
      </c>
      <c r="I56" s="2">
        <f t="shared" si="32"/>
        <v>9.9508829642921972E-8</v>
      </c>
      <c r="J56" s="2">
        <f t="shared" si="33"/>
        <v>1.0150704834022549E-7</v>
      </c>
      <c r="K56" s="2">
        <f t="shared" si="34"/>
        <v>7.0932376139786261E-8</v>
      </c>
      <c r="L56" s="2">
        <f t="shared" si="35"/>
        <v>1.2103766592279063E-7</v>
      </c>
      <c r="M56" s="2">
        <f t="shared" si="36"/>
        <v>0.50263055755700192</v>
      </c>
      <c r="N56" s="2">
        <f t="shared" si="37"/>
        <v>0.49736883851422375</v>
      </c>
      <c r="O56" s="2" t="str">
        <f t="shared" si="17"/>
        <v>OK</v>
      </c>
      <c r="P56" s="2">
        <f t="shared" si="18"/>
        <v>9.9508829642921972E-8</v>
      </c>
      <c r="Q56" s="2">
        <f t="shared" si="19"/>
        <v>1.0150704834022549E-7</v>
      </c>
      <c r="R56" s="2">
        <f t="shared" si="23"/>
        <v>2.0101587798314744E-7</v>
      </c>
      <c r="S56" s="56">
        <f t="shared" si="24"/>
        <v>1.1404421457164455E-6</v>
      </c>
      <c r="T56" s="56">
        <f t="shared" si="25"/>
        <v>1.4372836291673025E-4</v>
      </c>
      <c r="U56" s="56">
        <f t="shared" si="26"/>
        <v>2.9927040893091231E-3</v>
      </c>
      <c r="V56" s="56">
        <f t="shared" si="27"/>
        <v>2.4250021631293097E-5</v>
      </c>
      <c r="W56" s="56">
        <f t="shared" si="28"/>
        <v>5.6732720428642086E-6</v>
      </c>
      <c r="X56" s="56">
        <f t="shared" si="29"/>
        <v>3.1674961880457271E-3</v>
      </c>
      <c r="Z56" s="119"/>
    </row>
    <row r="57" spans="2:26" x14ac:dyDescent="0.2">
      <c r="B57" s="119"/>
      <c r="C57" s="2">
        <f t="shared" si="38"/>
        <v>46</v>
      </c>
      <c r="D57" s="2">
        <f t="shared" si="38"/>
        <v>46</v>
      </c>
      <c r="E57" s="2">
        <f t="shared" si="8"/>
        <v>0.12594113620807665</v>
      </c>
      <c r="F57" s="2">
        <f t="shared" si="21"/>
        <v>62.155941136208199</v>
      </c>
      <c r="G57" s="2">
        <f t="shared" si="30"/>
        <v>7.658326883730546E-8</v>
      </c>
      <c r="H57" s="2">
        <f t="shared" si="31"/>
        <v>7.6948996794300284E-8</v>
      </c>
      <c r="I57" s="2">
        <f t="shared" si="32"/>
        <v>7.2426326526693525E-8</v>
      </c>
      <c r="J57" s="2">
        <f t="shared" si="33"/>
        <v>7.3880706407976163E-8</v>
      </c>
      <c r="K57" s="2">
        <f t="shared" si="34"/>
        <v>5.1627292312143311E-8</v>
      </c>
      <c r="L57" s="2">
        <f t="shared" si="35"/>
        <v>8.8095835772664256E-8</v>
      </c>
      <c r="M57" s="2">
        <f t="shared" si="36"/>
        <v>0.50263064014701864</v>
      </c>
      <c r="N57" s="2">
        <f t="shared" si="37"/>
        <v>0.49736892029055496</v>
      </c>
      <c r="O57" s="2" t="str">
        <f t="shared" si="17"/>
        <v>OK</v>
      </c>
      <c r="P57" s="2">
        <f t="shared" si="18"/>
        <v>7.2426326526693525E-8</v>
      </c>
      <c r="Q57" s="2">
        <f t="shared" si="19"/>
        <v>7.3880706407976163E-8</v>
      </c>
      <c r="R57" s="2">
        <f t="shared" si="23"/>
        <v>1.463070329346697E-7</v>
      </c>
      <c r="S57" s="56">
        <f t="shared" si="24"/>
        <v>8.3005734794447389E-7</v>
      </c>
      <c r="T57" s="56">
        <f t="shared" si="25"/>
        <v>1.0461099161861818E-4</v>
      </c>
      <c r="U57" s="56">
        <f t="shared" si="26"/>
        <v>2.1782043296847374E-3</v>
      </c>
      <c r="V57" s="56">
        <f t="shared" si="27"/>
        <v>1.7650091868730392E-5</v>
      </c>
      <c r="W57" s="56">
        <f t="shared" si="28"/>
        <v>4.1292240590679231E-6</v>
      </c>
      <c r="X57" s="56">
        <f t="shared" si="29"/>
        <v>2.3054246945790982E-3</v>
      </c>
      <c r="Z57" s="119"/>
    </row>
    <row r="58" spans="2:26" x14ac:dyDescent="0.2">
      <c r="B58" s="119"/>
      <c r="C58" s="2">
        <f t="shared" si="38"/>
        <v>47</v>
      </c>
      <c r="D58" s="2">
        <f t="shared" si="38"/>
        <v>47</v>
      </c>
      <c r="E58" s="2">
        <f t="shared" si="8"/>
        <v>0.12867898699520877</v>
      </c>
      <c r="F58" s="2">
        <f t="shared" si="21"/>
        <v>62.158678986995334</v>
      </c>
      <c r="G58" s="2">
        <f t="shared" si="30"/>
        <v>5.5740227828986107E-8</v>
      </c>
      <c r="H58" s="2">
        <f t="shared" si="31"/>
        <v>5.6006418603496257E-8</v>
      </c>
      <c r="I58" s="2">
        <f t="shared" si="32"/>
        <v>5.271464645875618E-8</v>
      </c>
      <c r="J58" s="2">
        <f t="shared" si="33"/>
        <v>5.3773199680149876E-8</v>
      </c>
      <c r="K58" s="2">
        <f t="shared" si="34"/>
        <v>3.7576315027581189E-8</v>
      </c>
      <c r="L58" s="2">
        <f t="shared" si="35"/>
        <v>6.4119513717612985E-8</v>
      </c>
      <c r="M58" s="2">
        <f t="shared" si="36"/>
        <v>0.50263070025918699</v>
      </c>
      <c r="N58" s="2">
        <f t="shared" si="37"/>
        <v>0.49736897981049194</v>
      </c>
      <c r="O58" s="2" t="str">
        <f t="shared" si="17"/>
        <v>OK</v>
      </c>
      <c r="P58" s="2">
        <f t="shared" si="18"/>
        <v>5.271464645875618E-8</v>
      </c>
      <c r="Q58" s="2">
        <f t="shared" si="19"/>
        <v>5.3773199680149876E-8</v>
      </c>
      <c r="R58" s="2">
        <f t="shared" si="23"/>
        <v>1.0648784613890606E-7</v>
      </c>
      <c r="S58" s="56">
        <f t="shared" si="24"/>
        <v>6.0414743831110767E-7</v>
      </c>
      <c r="T58" s="56">
        <f t="shared" si="25"/>
        <v>7.6139874867779225E-5</v>
      </c>
      <c r="U58" s="56">
        <f t="shared" si="26"/>
        <v>1.585380298308289E-3</v>
      </c>
      <c r="V58" s="56">
        <f t="shared" si="27"/>
        <v>1.284641093155227E-5</v>
      </c>
      <c r="W58" s="56">
        <f t="shared" si="28"/>
        <v>3.0054069681765631E-6</v>
      </c>
      <c r="X58" s="56">
        <f t="shared" si="29"/>
        <v>1.677976138514108E-3</v>
      </c>
      <c r="Z58" s="119"/>
    </row>
    <row r="59" spans="2:26" x14ac:dyDescent="0.2">
      <c r="B59" s="119"/>
      <c r="C59" s="2">
        <f t="shared" si="38"/>
        <v>48</v>
      </c>
      <c r="D59" s="2">
        <f t="shared" si="38"/>
        <v>48</v>
      </c>
      <c r="E59" s="2">
        <f t="shared" si="8"/>
        <v>0.13141683778234087</v>
      </c>
      <c r="F59" s="2">
        <f t="shared" si="21"/>
        <v>62.161416837782468</v>
      </c>
      <c r="G59" s="2">
        <f t="shared" si="30"/>
        <v>4.0569866572655367E-8</v>
      </c>
      <c r="H59" s="2">
        <f t="shared" si="31"/>
        <v>4.0763610384357772E-8</v>
      </c>
      <c r="I59" s="2">
        <f t="shared" si="32"/>
        <v>3.8367732902309851E-8</v>
      </c>
      <c r="J59" s="2">
        <f t="shared" si="33"/>
        <v>3.9138188363736293E-8</v>
      </c>
      <c r="K59" s="2">
        <f t="shared" si="34"/>
        <v>2.7349477143117779E-8</v>
      </c>
      <c r="L59" s="2">
        <f t="shared" si="35"/>
        <v>4.6668630853251758E-8</v>
      </c>
      <c r="M59" s="2">
        <f t="shared" si="36"/>
        <v>0.50263074401111885</v>
      </c>
      <c r="N59" s="2">
        <f t="shared" si="37"/>
        <v>0.49736902313137515</v>
      </c>
      <c r="O59" s="2" t="str">
        <f t="shared" si="17"/>
        <v>OK</v>
      </c>
      <c r="P59" s="2">
        <f t="shared" si="18"/>
        <v>3.8367732902309851E-8</v>
      </c>
      <c r="Q59" s="2">
        <f t="shared" si="19"/>
        <v>3.9138188363736293E-8</v>
      </c>
      <c r="R59" s="2">
        <f t="shared" si="23"/>
        <v>7.7505921266046151E-8</v>
      </c>
      <c r="S59" s="56">
        <f t="shared" si="24"/>
        <v>4.3972157842073543E-7</v>
      </c>
      <c r="T59" s="56">
        <f t="shared" si="25"/>
        <v>5.5417508764435659E-5</v>
      </c>
      <c r="U59" s="56">
        <f t="shared" si="26"/>
        <v>1.1539003279035173E-3</v>
      </c>
      <c r="V59" s="56">
        <f t="shared" si="27"/>
        <v>9.3501084895019672E-6</v>
      </c>
      <c r="W59" s="56">
        <f t="shared" si="28"/>
        <v>2.1874499700563864E-6</v>
      </c>
      <c r="X59" s="56">
        <f t="shared" si="29"/>
        <v>1.2212951167059319E-3</v>
      </c>
      <c r="Z59" s="119"/>
    </row>
    <row r="60" spans="2:26" x14ac:dyDescent="0.2">
      <c r="B60" s="119"/>
      <c r="C60" s="2">
        <f t="shared" si="38"/>
        <v>49</v>
      </c>
      <c r="D60" s="2">
        <f t="shared" si="38"/>
        <v>49</v>
      </c>
      <c r="E60" s="2">
        <f t="shared" si="8"/>
        <v>0.13415468856947296</v>
      </c>
      <c r="F60" s="2">
        <f t="shared" si="21"/>
        <v>62.164154688569603</v>
      </c>
      <c r="G60" s="2">
        <f t="shared" si="30"/>
        <v>2.9528298283473255E-8</v>
      </c>
      <c r="H60" s="2">
        <f t="shared" si="31"/>
        <v>2.9669312428843457E-8</v>
      </c>
      <c r="I60" s="2">
        <f t="shared" si="32"/>
        <v>2.7925501297153615E-8</v>
      </c>
      <c r="J60" s="2">
        <f t="shared" si="33"/>
        <v>2.8486268206218705E-8</v>
      </c>
      <c r="K60" s="2">
        <f t="shared" si="34"/>
        <v>1.9905993960634274E-8</v>
      </c>
      <c r="L60" s="2">
        <f t="shared" si="35"/>
        <v>3.3967211843012122E-8</v>
      </c>
      <c r="M60" s="2">
        <f t="shared" si="36"/>
        <v>0.5026307758554458</v>
      </c>
      <c r="N60" s="2">
        <f t="shared" si="37"/>
        <v>0.4973690546619684</v>
      </c>
      <c r="O60" s="2" t="str">
        <f t="shared" si="17"/>
        <v>OK</v>
      </c>
      <c r="P60" s="2">
        <f t="shared" si="18"/>
        <v>2.7925501297153615E-8</v>
      </c>
      <c r="Q60" s="2">
        <f t="shared" si="19"/>
        <v>2.8486268206218705E-8</v>
      </c>
      <c r="R60" s="2">
        <f t="shared" si="23"/>
        <v>5.6411769503372316E-8</v>
      </c>
      <c r="S60" s="56">
        <f t="shared" si="24"/>
        <v>3.2004615805265426E-7</v>
      </c>
      <c r="T60" s="56">
        <f t="shared" si="25"/>
        <v>4.0334979312606239E-5</v>
      </c>
      <c r="U60" s="56">
        <f t="shared" si="26"/>
        <v>8.398527269177199E-4</v>
      </c>
      <c r="V60" s="56">
        <f t="shared" si="27"/>
        <v>6.8053660459149739E-6</v>
      </c>
      <c r="W60" s="56">
        <f t="shared" si="28"/>
        <v>1.5921096284683194E-6</v>
      </c>
      <c r="X60" s="56">
        <f t="shared" si="29"/>
        <v>8.8890522806276209E-4</v>
      </c>
      <c r="Z60" s="119"/>
    </row>
    <row r="61" spans="2:26" x14ac:dyDescent="0.2">
      <c r="B61" s="119"/>
      <c r="C61" s="2">
        <f t="shared" ref="C61:D76" si="39">C60+1</f>
        <v>50</v>
      </c>
      <c r="D61" s="2">
        <f t="shared" si="39"/>
        <v>50</v>
      </c>
      <c r="E61" s="2">
        <f t="shared" si="8"/>
        <v>0.13689253935660506</v>
      </c>
      <c r="F61" s="2">
        <f t="shared" si="21"/>
        <v>62.166892539356738</v>
      </c>
      <c r="G61" s="2">
        <f t="shared" si="30"/>
        <v>2.1491823197305156E-8</v>
      </c>
      <c r="H61" s="2">
        <f t="shared" si="31"/>
        <v>2.1594458677735524E-8</v>
      </c>
      <c r="I61" s="2">
        <f t="shared" si="32"/>
        <v>2.0325246338711347E-8</v>
      </c>
      <c r="J61" s="2">
        <f t="shared" si="33"/>
        <v>2.0733393911213743E-8</v>
      </c>
      <c r="K61" s="2">
        <f t="shared" si="34"/>
        <v>1.4488342628536137E-8</v>
      </c>
      <c r="L61" s="2">
        <f t="shared" si="35"/>
        <v>2.4722634011185508E-8</v>
      </c>
      <c r="M61" s="2">
        <f t="shared" si="36"/>
        <v>0.50263079903296315</v>
      </c>
      <c r="N61" s="2">
        <f t="shared" si="37"/>
        <v>0.49736907761113835</v>
      </c>
      <c r="O61" s="2" t="str">
        <f t="shared" si="17"/>
        <v>OK</v>
      </c>
      <c r="P61" s="2">
        <f t="shared" si="18"/>
        <v>2.0325246338711347E-8</v>
      </c>
      <c r="Q61" s="2">
        <f t="shared" si="19"/>
        <v>2.0733393911213743E-8</v>
      </c>
      <c r="R61" s="2">
        <f t="shared" si="23"/>
        <v>4.1058640249925093E-8</v>
      </c>
      <c r="S61" s="56">
        <f t="shared" si="24"/>
        <v>2.3294181661982866E-7</v>
      </c>
      <c r="T61" s="56">
        <f t="shared" si="25"/>
        <v>2.935733836509894E-5</v>
      </c>
      <c r="U61" s="56">
        <f t="shared" si="26"/>
        <v>6.1127688922028617E-4</v>
      </c>
      <c r="V61" s="56">
        <f t="shared" si="27"/>
        <v>4.9532053099588429E-6</v>
      </c>
      <c r="W61" s="56">
        <f t="shared" si="28"/>
        <v>1.1587981913918653E-6</v>
      </c>
      <c r="X61" s="56">
        <f t="shared" si="29"/>
        <v>6.469791729033557E-4</v>
      </c>
      <c r="Z61" s="119"/>
    </row>
    <row r="62" spans="2:26" x14ac:dyDescent="0.2">
      <c r="B62" s="119"/>
      <c r="C62" s="2">
        <f t="shared" si="39"/>
        <v>51</v>
      </c>
      <c r="D62" s="2">
        <f t="shared" si="39"/>
        <v>51</v>
      </c>
      <c r="E62" s="2">
        <f t="shared" si="8"/>
        <v>0.13963039014373715</v>
      </c>
      <c r="F62" s="2">
        <f t="shared" si="21"/>
        <v>62.169630390143872</v>
      </c>
      <c r="G62" s="2">
        <f t="shared" si="30"/>
        <v>1.5642569710925226E-8</v>
      </c>
      <c r="H62" s="2">
        <f t="shared" si="31"/>
        <v>1.5717271733304029E-8</v>
      </c>
      <c r="I62" s="2">
        <f t="shared" si="32"/>
        <v>1.4793490520845441E-8</v>
      </c>
      <c r="J62" s="2">
        <f t="shared" si="33"/>
        <v>1.5090555911557114E-8</v>
      </c>
      <c r="K62" s="2">
        <f t="shared" si="34"/>
        <v>1.0545169085099478E-8</v>
      </c>
      <c r="L62" s="2">
        <f t="shared" si="35"/>
        <v>1.7994077208217097E-8</v>
      </c>
      <c r="M62" s="2">
        <f t="shared" si="36"/>
        <v>0.5026308159024454</v>
      </c>
      <c r="N62" s="2">
        <f t="shared" si="37"/>
        <v>0.49736909431442067</v>
      </c>
      <c r="O62" s="2" t="str">
        <f t="shared" si="17"/>
        <v>OK</v>
      </c>
      <c r="P62" s="2">
        <f t="shared" si="18"/>
        <v>1.4793490520845441E-8</v>
      </c>
      <c r="Q62" s="2">
        <f t="shared" si="19"/>
        <v>1.5090555911557114E-8</v>
      </c>
      <c r="R62" s="2">
        <f t="shared" si="23"/>
        <v>2.9884046432402557E-8</v>
      </c>
      <c r="S62" s="56">
        <f t="shared" si="24"/>
        <v>1.6954395034862021E-7</v>
      </c>
      <c r="T62" s="56">
        <f t="shared" si="25"/>
        <v>2.1367392039632153E-5</v>
      </c>
      <c r="U62" s="56">
        <f t="shared" si="26"/>
        <v>4.449106650712076E-4</v>
      </c>
      <c r="V62" s="56">
        <f t="shared" si="27"/>
        <v>3.6051319910016506E-6</v>
      </c>
      <c r="W62" s="56">
        <f t="shared" si="28"/>
        <v>8.4341757901740978E-7</v>
      </c>
      <c r="X62" s="56">
        <f t="shared" si="29"/>
        <v>4.7089615063120743E-4</v>
      </c>
      <c r="Z62" s="119"/>
    </row>
    <row r="63" spans="2:26" x14ac:dyDescent="0.2">
      <c r="B63" s="119"/>
      <c r="C63" s="2">
        <f t="shared" si="39"/>
        <v>52</v>
      </c>
      <c r="D63" s="2">
        <f t="shared" si="39"/>
        <v>52</v>
      </c>
      <c r="E63" s="2">
        <f t="shared" si="8"/>
        <v>0.14236824093086928</v>
      </c>
      <c r="F63" s="2">
        <f t="shared" si="21"/>
        <v>62.172368240931007</v>
      </c>
      <c r="G63" s="2">
        <f t="shared" si="30"/>
        <v>1.1385259636410782E-8</v>
      </c>
      <c r="H63" s="2">
        <f t="shared" si="31"/>
        <v>1.1439630621221135E-8</v>
      </c>
      <c r="I63" s="2">
        <f t="shared" si="32"/>
        <v>1.0767267374935993E-8</v>
      </c>
      <c r="J63" s="2">
        <f t="shared" si="33"/>
        <v>1.0983482911433295E-8</v>
      </c>
      <c r="K63" s="2">
        <f t="shared" si="34"/>
        <v>7.6751767876001136E-9</v>
      </c>
      <c r="L63" s="2">
        <f t="shared" si="35"/>
        <v>1.3096776598674071E-8</v>
      </c>
      <c r="M63" s="2">
        <f t="shared" si="36"/>
        <v>0.50263082818069882</v>
      </c>
      <c r="N63" s="2">
        <f t="shared" si="37"/>
        <v>0.49736910647170746</v>
      </c>
      <c r="O63" s="2" t="str">
        <f t="shared" si="17"/>
        <v>OK</v>
      </c>
      <c r="P63" s="2">
        <f t="shared" si="18"/>
        <v>1.0767267374935993E-8</v>
      </c>
      <c r="Q63" s="2">
        <f t="shared" si="19"/>
        <v>1.0983482911433295E-8</v>
      </c>
      <c r="R63" s="2">
        <f t="shared" si="23"/>
        <v>2.1750750286369287E-8</v>
      </c>
      <c r="S63" s="56">
        <f t="shared" si="24"/>
        <v>1.2340056206708803E-7</v>
      </c>
      <c r="T63" s="56">
        <f t="shared" si="25"/>
        <v>1.5552003962256904E-5</v>
      </c>
      <c r="U63" s="56">
        <f t="shared" si="26"/>
        <v>3.2382297349175669E-4</v>
      </c>
      <c r="V63" s="56">
        <f t="shared" si="27"/>
        <v>2.6239527455912212E-6</v>
      </c>
      <c r="W63" s="56">
        <f t="shared" si="28"/>
        <v>6.1387152472266321E-7</v>
      </c>
      <c r="X63" s="56">
        <f t="shared" si="29"/>
        <v>3.4273620228639462E-4</v>
      </c>
      <c r="Z63" s="119"/>
    </row>
    <row r="64" spans="2:26" x14ac:dyDescent="0.2">
      <c r="B64" s="119"/>
      <c r="C64" s="2">
        <f t="shared" si="39"/>
        <v>53</v>
      </c>
      <c r="D64" s="2">
        <f t="shared" si="39"/>
        <v>53</v>
      </c>
      <c r="E64" s="2">
        <f t="shared" si="8"/>
        <v>0.14510609171800137</v>
      </c>
      <c r="F64" s="2">
        <f t="shared" si="21"/>
        <v>62.175106091718142</v>
      </c>
      <c r="G64" s="2">
        <f t="shared" si="30"/>
        <v>8.2866267744967315E-9</v>
      </c>
      <c r="H64" s="2">
        <f t="shared" si="31"/>
        <v>8.3262000537080667E-9</v>
      </c>
      <c r="I64" s="2">
        <f t="shared" si="32"/>
        <v>7.8368284050338796E-9</v>
      </c>
      <c r="J64" s="2">
        <f t="shared" si="33"/>
        <v>7.9941983299208605E-9</v>
      </c>
      <c r="K64" s="2">
        <f t="shared" si="34"/>
        <v>5.5862867864446265E-9</v>
      </c>
      <c r="L64" s="2">
        <f t="shared" si="35"/>
        <v>9.5323341836750972E-9</v>
      </c>
      <c r="M64" s="2">
        <f t="shared" si="36"/>
        <v>0.50263083711728063</v>
      </c>
      <c r="N64" s="2">
        <f t="shared" si="37"/>
        <v>0.49736911532024508</v>
      </c>
      <c r="O64" s="2" t="str">
        <f t="shared" si="17"/>
        <v>OK</v>
      </c>
      <c r="P64" s="2">
        <f t="shared" si="18"/>
        <v>7.8368284050338796E-9</v>
      </c>
      <c r="Q64" s="2">
        <f t="shared" si="19"/>
        <v>7.9941983299208605E-9</v>
      </c>
      <c r="R64" s="2">
        <f t="shared" si="23"/>
        <v>1.5831026734954738E-8</v>
      </c>
      <c r="S64" s="56">
        <f t="shared" si="24"/>
        <v>8.9815641827158652E-8</v>
      </c>
      <c r="T64" s="56">
        <f t="shared" si="25"/>
        <v>1.1319342425759988E-5</v>
      </c>
      <c r="U64" s="56">
        <f t="shared" si="26"/>
        <v>2.3569072713565989E-4</v>
      </c>
      <c r="V64" s="56">
        <f t="shared" si="27"/>
        <v>1.9098130188522574E-6</v>
      </c>
      <c r="W64" s="56">
        <f t="shared" si="28"/>
        <v>4.467991398808022E-7</v>
      </c>
      <c r="X64" s="56">
        <f t="shared" si="29"/>
        <v>2.4945649736198011E-4</v>
      </c>
      <c r="Z64" s="119"/>
    </row>
    <row r="65" spans="2:26" x14ac:dyDescent="0.2">
      <c r="B65" s="119"/>
      <c r="C65" s="2">
        <f t="shared" si="39"/>
        <v>54</v>
      </c>
      <c r="D65" s="2">
        <f t="shared" si="39"/>
        <v>54</v>
      </c>
      <c r="E65" s="2">
        <f t="shared" si="8"/>
        <v>0.14784394250513347</v>
      </c>
      <c r="F65" s="2">
        <f t="shared" si="21"/>
        <v>62.177843942505277</v>
      </c>
      <c r="G65" s="2">
        <f t="shared" si="30"/>
        <v>6.0313234386153917E-9</v>
      </c>
      <c r="H65" s="2">
        <f t="shared" si="31"/>
        <v>6.0601263825569197E-9</v>
      </c>
      <c r="I65" s="2">
        <f t="shared" si="32"/>
        <v>5.7039430072025091E-9</v>
      </c>
      <c r="J65" s="2">
        <f t="shared" si="33"/>
        <v>5.8184828486039743E-9</v>
      </c>
      <c r="K65" s="2">
        <f t="shared" si="34"/>
        <v>4.0659128674172946E-9</v>
      </c>
      <c r="L65" s="2">
        <f t="shared" si="35"/>
        <v>6.9379968654623032E-9</v>
      </c>
      <c r="M65" s="2">
        <f t="shared" si="36"/>
        <v>0.5026308436216661</v>
      </c>
      <c r="N65" s="2">
        <f t="shared" si="37"/>
        <v>0.4973691217605487</v>
      </c>
      <c r="O65" s="2" t="str">
        <f t="shared" si="17"/>
        <v>OK</v>
      </c>
      <c r="P65" s="2">
        <f t="shared" si="18"/>
        <v>5.7039430072025091E-9</v>
      </c>
      <c r="Q65" s="2">
        <f t="shared" si="19"/>
        <v>5.8184828486039743E-9</v>
      </c>
      <c r="R65" s="2">
        <f t="shared" si="23"/>
        <v>1.1522425855806483E-8</v>
      </c>
      <c r="S65" s="56">
        <f t="shared" si="24"/>
        <v>6.5371254244683445E-8</v>
      </c>
      <c r="T65" s="56">
        <f t="shared" si="25"/>
        <v>8.238649711160194E-6</v>
      </c>
      <c r="U65" s="56">
        <f t="shared" si="26"/>
        <v>1.715447124048788E-4</v>
      </c>
      <c r="V65" s="56">
        <f t="shared" si="27"/>
        <v>1.3900348522304478E-6</v>
      </c>
      <c r="W65" s="56">
        <f t="shared" si="28"/>
        <v>3.2519747758036811E-7</v>
      </c>
      <c r="X65" s="56">
        <f t="shared" si="29"/>
        <v>1.815639657000945E-4</v>
      </c>
      <c r="Z65" s="119"/>
    </row>
    <row r="66" spans="2:26" x14ac:dyDescent="0.2">
      <c r="B66" s="119"/>
      <c r="C66" s="2">
        <f t="shared" si="39"/>
        <v>55</v>
      </c>
      <c r="D66" s="2">
        <f t="shared" si="39"/>
        <v>55</v>
      </c>
      <c r="E66" s="2">
        <f t="shared" si="8"/>
        <v>0.15058179329226556</v>
      </c>
      <c r="F66" s="2">
        <f t="shared" si="21"/>
        <v>62.180581793292411</v>
      </c>
      <c r="G66" s="2">
        <f t="shared" si="30"/>
        <v>4.3898275391316454E-9</v>
      </c>
      <c r="H66" s="2">
        <f t="shared" si="31"/>
        <v>4.4107914217370875E-9</v>
      </c>
      <c r="I66" s="2">
        <f t="shared" si="32"/>
        <v>4.1515475582591563E-9</v>
      </c>
      <c r="J66" s="2">
        <f t="shared" si="33"/>
        <v>4.234914029188687E-9</v>
      </c>
      <c r="K66" s="2">
        <f t="shared" si="34"/>
        <v>2.9593266649940533E-9</v>
      </c>
      <c r="L66" s="2">
        <f t="shared" si="35"/>
        <v>5.0497390856901825E-9</v>
      </c>
      <c r="M66" s="2">
        <f t="shared" si="36"/>
        <v>0.50263084835580629</v>
      </c>
      <c r="N66" s="2">
        <f t="shared" si="37"/>
        <v>0.49736912644804765</v>
      </c>
      <c r="O66" s="2" t="str">
        <f t="shared" si="17"/>
        <v>OK</v>
      </c>
      <c r="P66" s="2">
        <f t="shared" si="18"/>
        <v>4.1515475582591563E-9</v>
      </c>
      <c r="Q66" s="2">
        <f t="shared" si="19"/>
        <v>4.234914029188687E-9</v>
      </c>
      <c r="R66" s="2">
        <f t="shared" si="23"/>
        <v>8.3864615874478433E-9</v>
      </c>
      <c r="S66" s="56">
        <f t="shared" si="24"/>
        <v>4.7579695413709584E-8</v>
      </c>
      <c r="T66" s="56">
        <f t="shared" si="25"/>
        <v>5.9964038996410825E-6</v>
      </c>
      <c r="U66" s="56">
        <f t="shared" si="26"/>
        <v>1.2485679310215086E-4</v>
      </c>
      <c r="V66" s="56">
        <f t="shared" si="27"/>
        <v>1.0117204518673339E-6</v>
      </c>
      <c r="W66" s="56">
        <f t="shared" si="28"/>
        <v>2.3669114370463453E-7</v>
      </c>
      <c r="X66" s="56">
        <f t="shared" si="29"/>
        <v>1.3214918829277761E-4</v>
      </c>
      <c r="Z66" s="119"/>
    </row>
    <row r="67" spans="2:26" x14ac:dyDescent="0.2">
      <c r="B67" s="119"/>
      <c r="C67" s="2">
        <f t="shared" si="39"/>
        <v>56</v>
      </c>
      <c r="D67" s="2">
        <f t="shared" si="39"/>
        <v>56</v>
      </c>
      <c r="E67" s="2">
        <f t="shared" si="8"/>
        <v>0.15331964407939766</v>
      </c>
      <c r="F67" s="2">
        <f t="shared" si="21"/>
        <v>62.183319644079546</v>
      </c>
      <c r="G67" s="2">
        <f t="shared" si="30"/>
        <v>3.1950841335981377E-9</v>
      </c>
      <c r="H67" s="2">
        <f t="shared" si="31"/>
        <v>3.2103424479838807E-9</v>
      </c>
      <c r="I67" s="2">
        <f t="shared" si="32"/>
        <v>3.0216548634381633E-9</v>
      </c>
      <c r="J67" s="2">
        <f t="shared" si="33"/>
        <v>3.0823321648051552E-9</v>
      </c>
      <c r="K67" s="2">
        <f t="shared" si="34"/>
        <v>2.1539109655607901E-9</v>
      </c>
      <c r="L67" s="2">
        <f t="shared" si="35"/>
        <v>3.6753929596720808E-9</v>
      </c>
      <c r="M67" s="2">
        <f t="shared" si="36"/>
        <v>0.50263085180149436</v>
      </c>
      <c r="N67" s="2">
        <f t="shared" si="37"/>
        <v>0.49736912985978837</v>
      </c>
      <c r="O67" s="2" t="str">
        <f t="shared" si="17"/>
        <v>OK</v>
      </c>
      <c r="P67" s="2">
        <f t="shared" si="18"/>
        <v>3.0216548634381633E-9</v>
      </c>
      <c r="Q67" s="2">
        <f t="shared" si="19"/>
        <v>3.0823321648051552E-9</v>
      </c>
      <c r="R67" s="2">
        <f t="shared" si="23"/>
        <v>6.1039870282433181E-9</v>
      </c>
      <c r="S67" s="56">
        <f t="shared" si="24"/>
        <v>3.463031942431318E-8</v>
      </c>
      <c r="T67" s="56">
        <f t="shared" si="25"/>
        <v>4.3644117650642545E-6</v>
      </c>
      <c r="U67" s="56">
        <f t="shared" si="26"/>
        <v>9.087554238897042E-5</v>
      </c>
      <c r="V67" s="56">
        <f t="shared" si="27"/>
        <v>7.3636878318857293E-7</v>
      </c>
      <c r="W67" s="56">
        <f t="shared" si="28"/>
        <v>1.7227285379039476E-7</v>
      </c>
      <c r="X67" s="56">
        <f t="shared" si="29"/>
        <v>9.618322611043796E-5</v>
      </c>
      <c r="Z67" s="119"/>
    </row>
    <row r="68" spans="2:26" x14ac:dyDescent="0.2">
      <c r="B68" s="119"/>
      <c r="C68" s="2">
        <f t="shared" si="39"/>
        <v>57</v>
      </c>
      <c r="D68" s="2">
        <f t="shared" si="39"/>
        <v>57</v>
      </c>
      <c r="E68" s="2">
        <f t="shared" si="8"/>
        <v>0.15605749486652978</v>
      </c>
      <c r="F68" s="2">
        <f t="shared" si="21"/>
        <v>62.186057494866681</v>
      </c>
      <c r="G68" s="2">
        <f t="shared" si="30"/>
        <v>2.325504254955292E-9</v>
      </c>
      <c r="H68" s="2">
        <f t="shared" si="31"/>
        <v>2.3366098388910527E-9</v>
      </c>
      <c r="I68" s="2">
        <f t="shared" si="32"/>
        <v>2.1992758087463892E-9</v>
      </c>
      <c r="J68" s="2">
        <f t="shared" si="33"/>
        <v>2.2434390659903355E-9</v>
      </c>
      <c r="K68" s="2">
        <f t="shared" si="34"/>
        <v>1.567698660118125E-9</v>
      </c>
      <c r="L68" s="2">
        <f t="shared" si="35"/>
        <v>2.6750913619056413E-9</v>
      </c>
      <c r="M68" s="2">
        <f t="shared" si="36"/>
        <v>0.50263085430939769</v>
      </c>
      <c r="N68" s="2">
        <f t="shared" si="37"/>
        <v>0.49736913234298358</v>
      </c>
      <c r="O68" s="2" t="str">
        <f t="shared" si="17"/>
        <v>OK</v>
      </c>
      <c r="P68" s="2">
        <f t="shared" si="18"/>
        <v>2.1992758087463892E-9</v>
      </c>
      <c r="Q68" s="2">
        <f t="shared" si="19"/>
        <v>2.2434390659903355E-9</v>
      </c>
      <c r="R68" s="2">
        <f t="shared" si="23"/>
        <v>4.4427148747367251E-9</v>
      </c>
      <c r="S68" s="56">
        <f t="shared" si="24"/>
        <v>2.5205269033403879E-8</v>
      </c>
      <c r="T68" s="56">
        <f t="shared" si="25"/>
        <v>3.1765855625855057E-6</v>
      </c>
      <c r="U68" s="56">
        <f t="shared" si="26"/>
        <v>6.6142690351922049E-5</v>
      </c>
      <c r="V68" s="56">
        <f t="shared" si="27"/>
        <v>5.3595732284922E-7</v>
      </c>
      <c r="W68" s="56">
        <f t="shared" si="28"/>
        <v>1.2538676221076381E-7</v>
      </c>
      <c r="X68" s="56">
        <f t="shared" si="29"/>
        <v>7.0005825268600939E-5</v>
      </c>
      <c r="Z68" s="119"/>
    </row>
    <row r="69" spans="2:26" x14ac:dyDescent="0.2">
      <c r="B69" s="119"/>
      <c r="C69" s="2">
        <f t="shared" si="39"/>
        <v>58</v>
      </c>
      <c r="D69" s="2">
        <f t="shared" si="39"/>
        <v>58</v>
      </c>
      <c r="E69" s="2">
        <f t="shared" si="8"/>
        <v>0.15879534565366188</v>
      </c>
      <c r="F69" s="2">
        <f t="shared" si="21"/>
        <v>62.188795345653816</v>
      </c>
      <c r="G69" s="2">
        <f t="shared" si="30"/>
        <v>1.6925908094085129E-9</v>
      </c>
      <c r="H69" s="2">
        <f t="shared" si="31"/>
        <v>1.7006738775270637E-9</v>
      </c>
      <c r="I69" s="2">
        <f t="shared" si="32"/>
        <v>1.6007169255040463E-9</v>
      </c>
      <c r="J69" s="2">
        <f t="shared" si="33"/>
        <v>1.6328606307522157E-9</v>
      </c>
      <c r="K69" s="2">
        <f t="shared" si="34"/>
        <v>1.1410309563544493E-9</v>
      </c>
      <c r="L69" s="2">
        <f t="shared" si="35"/>
        <v>1.9470336568258133E-9</v>
      </c>
      <c r="M69" s="2">
        <f t="shared" si="36"/>
        <v>0.50263085613474556</v>
      </c>
      <c r="N69" s="2">
        <f t="shared" si="37"/>
        <v>0.49736913415034789</v>
      </c>
      <c r="O69" s="2" t="str">
        <f t="shared" si="17"/>
        <v>OK</v>
      </c>
      <c r="P69" s="2">
        <f t="shared" si="18"/>
        <v>1.6007169255040463E-9</v>
      </c>
      <c r="Q69" s="2">
        <f t="shared" si="19"/>
        <v>1.6328606307522157E-9</v>
      </c>
      <c r="R69" s="2">
        <f t="shared" si="23"/>
        <v>3.2335775562562618E-9</v>
      </c>
      <c r="S69" s="56">
        <f t="shared" si="24"/>
        <v>1.8345357409560442E-8</v>
      </c>
      <c r="T69" s="56">
        <f t="shared" si="25"/>
        <v>2.3120402884987898E-6</v>
      </c>
      <c r="U69" s="56">
        <f t="shared" si="26"/>
        <v>4.814117607424832E-5</v>
      </c>
      <c r="V69" s="56">
        <f t="shared" si="27"/>
        <v>3.9009020815884132E-7</v>
      </c>
      <c r="W69" s="56">
        <f t="shared" si="28"/>
        <v>9.1261274146113978E-8</v>
      </c>
      <c r="X69" s="56">
        <f t="shared" si="29"/>
        <v>5.0952913202461624E-5</v>
      </c>
      <c r="Z69" s="119"/>
    </row>
    <row r="70" spans="2:26" x14ac:dyDescent="0.2">
      <c r="B70" s="119"/>
      <c r="C70" s="2">
        <f t="shared" si="39"/>
        <v>59</v>
      </c>
      <c r="D70" s="2">
        <f t="shared" si="39"/>
        <v>59</v>
      </c>
      <c r="E70" s="2">
        <f t="shared" si="8"/>
        <v>0.16153319644079397</v>
      </c>
      <c r="F70" s="2">
        <f t="shared" si="21"/>
        <v>62.19153319644095</v>
      </c>
      <c r="G70" s="2">
        <f t="shared" si="30"/>
        <v>1.2319322323274965E-9</v>
      </c>
      <c r="H70" s="2">
        <f t="shared" si="31"/>
        <v>1.2378153980022653E-9</v>
      </c>
      <c r="I70" s="2">
        <f t="shared" si="32"/>
        <v>1.1650629108932277E-9</v>
      </c>
      <c r="J70" s="2">
        <f t="shared" si="33"/>
        <v>1.1884583271636805E-9</v>
      </c>
      <c r="K70" s="2">
        <f t="shared" si="34"/>
        <v>8.3048590681390777E-10</v>
      </c>
      <c r="L70" s="2">
        <f t="shared" si="35"/>
        <v>1.4171254540300881E-9</v>
      </c>
      <c r="M70" s="2">
        <f t="shared" si="36"/>
        <v>0.50263085746330338</v>
      </c>
      <c r="N70" s="2">
        <f t="shared" si="37"/>
        <v>0.49736913546581668</v>
      </c>
      <c r="O70" s="2" t="str">
        <f t="shared" si="17"/>
        <v>OK</v>
      </c>
      <c r="P70" s="2">
        <f t="shared" si="18"/>
        <v>1.1650629108932277E-9</v>
      </c>
      <c r="Q70" s="2">
        <f t="shared" si="19"/>
        <v>1.1884583271636805E-9</v>
      </c>
      <c r="R70" s="2">
        <f t="shared" si="23"/>
        <v>2.3535212380569082E-9</v>
      </c>
      <c r="S70" s="56">
        <f t="shared" si="24"/>
        <v>1.3352451744851064E-8</v>
      </c>
      <c r="T70" s="56">
        <f t="shared" si="25"/>
        <v>1.6827912204230698E-6</v>
      </c>
      <c r="U70" s="56">
        <f t="shared" si="26"/>
        <v>3.5038986492396762E-5</v>
      </c>
      <c r="V70" s="56">
        <f t="shared" si="27"/>
        <v>2.8392255131891898E-7</v>
      </c>
      <c r="W70" s="56">
        <f t="shared" si="28"/>
        <v>6.6423440656139719E-8</v>
      </c>
      <c r="X70" s="56">
        <f t="shared" si="29"/>
        <v>3.7085476156539736E-5</v>
      </c>
      <c r="Z70" s="119"/>
    </row>
    <row r="71" spans="2:26" x14ac:dyDescent="0.2">
      <c r="B71" s="119"/>
      <c r="C71" s="2">
        <f t="shared" si="39"/>
        <v>60</v>
      </c>
      <c r="D71" s="2">
        <f t="shared" si="39"/>
        <v>60</v>
      </c>
      <c r="E71" s="2">
        <f t="shared" si="8"/>
        <v>0.16427104722792607</v>
      </c>
      <c r="F71" s="2">
        <f t="shared" si="21"/>
        <v>62.194271047228085</v>
      </c>
      <c r="G71" s="2">
        <f t="shared" si="30"/>
        <v>8.9664732705110473E-10</v>
      </c>
      <c r="H71" s="2">
        <f t="shared" si="31"/>
        <v>9.0092931971145901E-10</v>
      </c>
      <c r="I71" s="2">
        <f t="shared" si="32"/>
        <v>8.4797728112456971E-10</v>
      </c>
      <c r="J71" s="2">
        <f t="shared" si="33"/>
        <v>8.6500535857369723E-10</v>
      </c>
      <c r="K71" s="2">
        <f t="shared" si="34"/>
        <v>6.0445935982324788E-10</v>
      </c>
      <c r="L71" s="2">
        <f t="shared" si="35"/>
        <v>1.0314380264663529E-9</v>
      </c>
      <c r="M71" s="2">
        <f t="shared" si="36"/>
        <v>0.50263085843027855</v>
      </c>
      <c r="N71" s="2">
        <f t="shared" si="37"/>
        <v>0.49736913642326508</v>
      </c>
      <c r="O71" s="2" t="str">
        <f t="shared" si="17"/>
        <v>OK</v>
      </c>
      <c r="P71" s="2">
        <f t="shared" si="18"/>
        <v>8.4797728112456971E-10</v>
      </c>
      <c r="Q71" s="2">
        <f t="shared" si="19"/>
        <v>8.6500535857369723E-10</v>
      </c>
      <c r="R71" s="2">
        <f t="shared" si="23"/>
        <v>1.712982639698267E-9</v>
      </c>
      <c r="S71" s="56">
        <f t="shared" si="24"/>
        <v>9.7184243194773516E-9</v>
      </c>
      <c r="T71" s="56">
        <f t="shared" si="25"/>
        <v>1.224799717210658E-6</v>
      </c>
      <c r="U71" s="56">
        <f t="shared" si="26"/>
        <v>2.550271253283945E-5</v>
      </c>
      <c r="V71" s="56">
        <f t="shared" si="27"/>
        <v>2.0664967605292897E-7</v>
      </c>
      <c r="W71" s="56">
        <f t="shared" si="28"/>
        <v>4.8345516867710603E-8</v>
      </c>
      <c r="X71" s="56">
        <f t="shared" si="29"/>
        <v>2.6992225867290225E-5</v>
      </c>
      <c r="Z71" s="119"/>
    </row>
    <row r="72" spans="2:26" x14ac:dyDescent="0.2">
      <c r="B72" s="119"/>
      <c r="C72" s="2">
        <f t="shared" si="39"/>
        <v>61</v>
      </c>
      <c r="D72" s="2">
        <f t="shared" si="39"/>
        <v>61</v>
      </c>
      <c r="E72" s="2">
        <f t="shared" si="8"/>
        <v>0.16700889801505817</v>
      </c>
      <c r="F72" s="2">
        <f t="shared" si="21"/>
        <v>62.19700889801522</v>
      </c>
      <c r="G72" s="2">
        <f t="shared" si="30"/>
        <v>6.5261416822330688E-10</v>
      </c>
      <c r="H72" s="2">
        <f t="shared" si="31"/>
        <v>6.557307660138406E-10</v>
      </c>
      <c r="I72" s="2">
        <f t="shared" si="32"/>
        <v>6.171902500545021E-10</v>
      </c>
      <c r="J72" s="2">
        <f t="shared" si="33"/>
        <v>6.2958393513629689E-10</v>
      </c>
      <c r="K72" s="2">
        <f t="shared" si="34"/>
        <v>4.399486068097742E-10</v>
      </c>
      <c r="L72" s="2">
        <f t="shared" si="35"/>
        <v>7.5071998700985668E-10</v>
      </c>
      <c r="M72" s="2">
        <f t="shared" si="36"/>
        <v>0.50263085913408001</v>
      </c>
      <c r="N72" s="2">
        <f t="shared" si="37"/>
        <v>0.49736913712013259</v>
      </c>
      <c r="O72" s="2" t="str">
        <f t="shared" si="17"/>
        <v>OK</v>
      </c>
      <c r="P72" s="2">
        <f t="shared" si="18"/>
        <v>6.171902500545021E-10</v>
      </c>
      <c r="Q72" s="2">
        <f t="shared" si="19"/>
        <v>6.2958393513629689E-10</v>
      </c>
      <c r="R72" s="2">
        <f t="shared" si="23"/>
        <v>1.2467741851907989E-9</v>
      </c>
      <c r="S72" s="56">
        <f t="shared" si="24"/>
        <v>7.0734403732130724E-9</v>
      </c>
      <c r="T72" s="56">
        <f t="shared" si="25"/>
        <v>8.914560101532731E-7</v>
      </c>
      <c r="U72" s="56">
        <f t="shared" si="26"/>
        <v>1.8561848148027234E-5</v>
      </c>
      <c r="V72" s="56">
        <f t="shared" si="27"/>
        <v>1.5040752632858907E-7</v>
      </c>
      <c r="W72" s="56">
        <f t="shared" si="28"/>
        <v>3.5187713525798026E-8</v>
      </c>
      <c r="X72" s="56">
        <f t="shared" si="29"/>
        <v>1.9645972838408103E-5</v>
      </c>
      <c r="Z72" s="119"/>
    </row>
    <row r="73" spans="2:26" x14ac:dyDescent="0.2">
      <c r="B73" s="119"/>
      <c r="C73" s="2">
        <f t="shared" si="39"/>
        <v>62</v>
      </c>
      <c r="D73" s="2">
        <f t="shared" si="39"/>
        <v>62</v>
      </c>
      <c r="E73" s="2">
        <f t="shared" si="8"/>
        <v>0.16974674880219029</v>
      </c>
      <c r="F73" s="2">
        <f t="shared" si="21"/>
        <v>62.199746748802355</v>
      </c>
      <c r="G73" s="2">
        <f t="shared" si="30"/>
        <v>4.7499751542952409E-10</v>
      </c>
      <c r="H73" s="2">
        <f t="shared" si="31"/>
        <v>4.7726589432654818E-10</v>
      </c>
      <c r="I73" s="2">
        <f t="shared" si="32"/>
        <v>4.4921463492178202E-10</v>
      </c>
      <c r="J73" s="2">
        <f t="shared" si="33"/>
        <v>4.5823523224791006E-10</v>
      </c>
      <c r="K73" s="2">
        <f t="shared" si="34"/>
        <v>3.2021139798457144E-10</v>
      </c>
      <c r="L73" s="2">
        <f t="shared" si="35"/>
        <v>5.4640267707297326E-10</v>
      </c>
      <c r="M73" s="2">
        <f t="shared" si="36"/>
        <v>0.50263085964633358</v>
      </c>
      <c r="N73" s="2">
        <f t="shared" si="37"/>
        <v>0.49736913762733936</v>
      </c>
      <c r="O73" s="2" t="str">
        <f t="shared" si="17"/>
        <v>OK</v>
      </c>
      <c r="P73" s="2">
        <f t="shared" si="18"/>
        <v>4.4921463492178202E-10</v>
      </c>
      <c r="Q73" s="2">
        <f t="shared" si="19"/>
        <v>4.5823523224791006E-10</v>
      </c>
      <c r="R73" s="2">
        <f t="shared" si="23"/>
        <v>9.0744986716969208E-10</v>
      </c>
      <c r="S73" s="56">
        <f t="shared" si="24"/>
        <v>5.1483200433145347E-9</v>
      </c>
      <c r="T73" s="56">
        <f t="shared" si="25"/>
        <v>6.4883572952500155E-7</v>
      </c>
      <c r="U73" s="56">
        <f t="shared" si="26"/>
        <v>1.35100219722416E-5</v>
      </c>
      <c r="V73" s="56">
        <f t="shared" si="27"/>
        <v>1.0947234183174311E-7</v>
      </c>
      <c r="W73" s="56">
        <f t="shared" si="28"/>
        <v>2.5610961747739468E-8</v>
      </c>
      <c r="X73" s="56">
        <f t="shared" si="29"/>
        <v>1.4299089325389399E-5</v>
      </c>
      <c r="Z73" s="119"/>
    </row>
    <row r="74" spans="2:26" x14ac:dyDescent="0.2">
      <c r="B74" s="119"/>
      <c r="C74" s="2">
        <f t="shared" si="39"/>
        <v>63</v>
      </c>
      <c r="D74" s="2">
        <f t="shared" si="39"/>
        <v>63</v>
      </c>
      <c r="E74" s="2">
        <f t="shared" si="8"/>
        <v>0.17248459958932238</v>
      </c>
      <c r="F74" s="2">
        <f t="shared" si="21"/>
        <v>62.202484599589489</v>
      </c>
      <c r="G74" s="2">
        <f t="shared" si="30"/>
        <v>3.4572133222063155E-10</v>
      </c>
      <c r="H74" s="2">
        <f t="shared" si="31"/>
        <v>3.4737234501287989E-10</v>
      </c>
      <c r="I74" s="2">
        <f t="shared" si="32"/>
        <v>3.2695556712065707E-10</v>
      </c>
      <c r="J74" s="2">
        <f t="shared" si="33"/>
        <v>3.3352110235760412E-10</v>
      </c>
      <c r="K74" s="2">
        <f t="shared" si="34"/>
        <v>2.330620845529078E-10</v>
      </c>
      <c r="L74" s="2">
        <f t="shared" si="35"/>
        <v>3.9769273587835345E-10</v>
      </c>
      <c r="M74" s="2">
        <f t="shared" si="36"/>
        <v>0.50263086001917134</v>
      </c>
      <c r="N74" s="2">
        <f t="shared" si="37"/>
        <v>0.49736913799650384</v>
      </c>
      <c r="O74" s="2" t="str">
        <f t="shared" si="17"/>
        <v>OK</v>
      </c>
      <c r="P74" s="2">
        <f t="shared" si="18"/>
        <v>3.2695556712065707E-10</v>
      </c>
      <c r="Q74" s="2">
        <f t="shared" si="19"/>
        <v>3.3352110235760412E-10</v>
      </c>
      <c r="R74" s="2">
        <f t="shared" si="23"/>
        <v>6.6047666947826124E-10</v>
      </c>
      <c r="S74" s="56">
        <f t="shared" si="24"/>
        <v>3.7471439455075713E-9</v>
      </c>
      <c r="T74" s="56">
        <f t="shared" si="25"/>
        <v>4.7224742344365154E-7</v>
      </c>
      <c r="U74" s="56">
        <f t="shared" si="26"/>
        <v>9.8331099486905995E-6</v>
      </c>
      <c r="V74" s="56">
        <f t="shared" si="27"/>
        <v>7.9678151211294035E-8</v>
      </c>
      <c r="W74" s="56">
        <f t="shared" si="28"/>
        <v>1.8640636060745538E-8</v>
      </c>
      <c r="X74" s="56">
        <f t="shared" si="29"/>
        <v>1.0407423303351797E-5</v>
      </c>
      <c r="Z74" s="119"/>
    </row>
    <row r="75" spans="2:26" x14ac:dyDescent="0.2">
      <c r="B75" s="119"/>
      <c r="C75" s="2">
        <f t="shared" si="39"/>
        <v>64</v>
      </c>
      <c r="D75" s="2">
        <f t="shared" si="39"/>
        <v>64</v>
      </c>
      <c r="E75" s="2">
        <f t="shared" si="8"/>
        <v>0.17522245037645448</v>
      </c>
      <c r="F75" s="2">
        <f t="shared" si="21"/>
        <v>62.205222450376624</v>
      </c>
      <c r="G75" s="2">
        <f t="shared" si="30"/>
        <v>2.5162918893234103E-10</v>
      </c>
      <c r="H75" s="2">
        <f t="shared" si="31"/>
        <v>2.5283085909588544E-10</v>
      </c>
      <c r="I75" s="2">
        <f t="shared" si="32"/>
        <v>2.3797074841473962E-10</v>
      </c>
      <c r="J75" s="2">
        <f t="shared" si="33"/>
        <v>2.4274939570262345E-10</v>
      </c>
      <c r="K75" s="2">
        <f t="shared" si="34"/>
        <v>1.6963148594343266E-10</v>
      </c>
      <c r="L75" s="2">
        <f t="shared" si="35"/>
        <v>2.8945596133908991E-10</v>
      </c>
      <c r="M75" s="2">
        <f t="shared" si="36"/>
        <v>0.50263086029053683</v>
      </c>
      <c r="N75" s="2">
        <f t="shared" si="37"/>
        <v>0.49736913826519585</v>
      </c>
      <c r="O75" s="2" t="str">
        <f t="shared" si="17"/>
        <v>OK</v>
      </c>
      <c r="P75" s="2">
        <f t="shared" si="18"/>
        <v>2.3797074841473962E-10</v>
      </c>
      <c r="Q75" s="2">
        <f t="shared" si="19"/>
        <v>2.4274939570262345E-10</v>
      </c>
      <c r="R75" s="2">
        <f t="shared" ref="R75:R106" si="40">SUM(P75:Q75)</f>
        <v>4.8072014411736302E-10</v>
      </c>
      <c r="S75" s="56">
        <f t="shared" ref="S75:S111" si="41">PVI4_cost_perpatient*(G75+H75+J75)</f>
        <v>2.7273144696176023E-9</v>
      </c>
      <c r="T75" s="56">
        <f t="shared" ref="T75:T111" si="42">treatment_cost*(I75+J75)</f>
        <v>3.4371971024535571E-7</v>
      </c>
      <c r="U75" s="56">
        <f t="shared" ref="U75:U111" si="43">ICU_Cost_without*(G76+H76+K76+L76)+ICU_cost_with*(I75+J75)</f>
        <v>7.1569129540797552E-6</v>
      </c>
      <c r="V75" s="56">
        <f t="shared" ref="V75:V111" si="44">Resource_cost*(H75+J75)</f>
        <v>5.7992801416521511E-8</v>
      </c>
      <c r="W75" s="56">
        <f t="shared" ref="W75:W106" si="45">IF(Incl_AE="Yes",Adverse_Event_Cost*K77,0)</f>
        <v>1.3567366824084083E-8</v>
      </c>
      <c r="X75" s="56">
        <f t="shared" ref="X75:X106" si="46">SUM(S75:W75)</f>
        <v>7.5749201470353336E-6</v>
      </c>
      <c r="Z75" s="119"/>
    </row>
    <row r="76" spans="2:26" x14ac:dyDescent="0.2">
      <c r="B76" s="119"/>
      <c r="C76" s="2">
        <f t="shared" si="39"/>
        <v>65</v>
      </c>
      <c r="D76" s="2">
        <f t="shared" si="39"/>
        <v>65</v>
      </c>
      <c r="E76" s="2">
        <f t="shared" ref="E76:E111" si="47">D76*(1/365.25)</f>
        <v>0.17796030116358658</v>
      </c>
      <c r="F76" s="2">
        <f t="shared" si="21"/>
        <v>62.207960301163759</v>
      </c>
      <c r="G76" s="2">
        <f t="shared" ref="G76:G111" si="48">G75*tp_pvi4_1_1+H75*tp_pvi4_2_1+I75*tp_pvi4_3_1+J75*tp_pvi4_4_1+L75*tp_pvi4_6_1</f>
        <v>1.8314533360163071E-10</v>
      </c>
      <c r="H76" s="2">
        <f t="shared" ref="H76:H111" si="49">G75*tp_pvi4_1_2+I75*tp_pvi4_3_2+J75*tp_pvi4_4_2+H75*tp_pvi4_2_2+L75*tp_pvi4_6_2</f>
        <v>1.8401995503929171E-10</v>
      </c>
      <c r="I76" s="2">
        <f t="shared" ref="I76:I111" si="50">G75*tp_pvi4_1_3+H75*tp_pvi4_2_3+I75*tp_pvi4_3_3+J75*tp_pvi4_4_3+L75*tp_pvi4_6_3</f>
        <v>1.7320419896741804E-10</v>
      </c>
      <c r="J76" s="2">
        <f t="shared" ref="J76:J111" si="51">G75*tp_pvi4_1_4+H75*tp_pvi4_2_4+I75*tp_pvi4_3_4+J75*tp_pvi4_4_4+L75*tp_pvi4_6_4</f>
        <v>1.7668228096345921E-10</v>
      </c>
      <c r="K76" s="2">
        <f t="shared" ref="K76:K111" si="52">G75*tp_pvi4_1_5+H75*tp_pvi4_2_5+I75*tp_pvi4_3_5+J75*tp_pvi4_4_5</f>
        <v>1.2346427381603878E-10</v>
      </c>
      <c r="L76" s="2">
        <f t="shared" ref="L76:L111" si="53">K75*tp_pvi4_5_6+L75*tp_pvi4_6_6</f>
        <v>2.1067710319045118E-10</v>
      </c>
      <c r="M76" s="2">
        <f t="shared" ref="M76:M111" si="54">G75*tp_pvi4_1_7+H75*tp_pvi4_2_7+I75*tp_pvi4_3_7+J75*tp_pvi4_4_7+L75*tp_pvi4_6_7+M75</f>
        <v>0.50263086048804706</v>
      </c>
      <c r="N76" s="2">
        <f t="shared" ref="N76:N111" si="55">G75*tp_pvi4_1_8+H75*tp_pvi4_2_8+I75*tp_pvi4_3_8+J75*tp_pvi4_4_8+L75*tp_pvi4_6_8+N75</f>
        <v>0.49736913846076014</v>
      </c>
      <c r="O76" s="2" t="str">
        <f t="shared" ref="O76:O111" si="56">IF(ROUND(SUM(G76:N76),6)=1,"OK","ERROR")</f>
        <v>OK</v>
      </c>
      <c r="P76" s="2">
        <f t="shared" ref="P76:P111" si="57">I76</f>
        <v>1.7320419896741804E-10</v>
      </c>
      <c r="Q76" s="2">
        <f t="shared" ref="Q76:Q111" si="58">J76</f>
        <v>1.7668228096345921E-10</v>
      </c>
      <c r="R76" s="2">
        <f t="shared" si="40"/>
        <v>3.4988647993087722E-10</v>
      </c>
      <c r="S76" s="56">
        <f t="shared" si="41"/>
        <v>1.9850436290559928E-9</v>
      </c>
      <c r="T76" s="56">
        <f t="shared" si="42"/>
        <v>2.5017233201537652E-7</v>
      </c>
      <c r="U76" s="56">
        <f t="shared" si="43"/>
        <v>5.2090745755462012E-6</v>
      </c>
      <c r="V76" s="56">
        <f t="shared" si="44"/>
        <v>4.220937565704191E-8</v>
      </c>
      <c r="W76" s="56">
        <f t="shared" si="45"/>
        <v>9.8748477219020041E-9</v>
      </c>
      <c r="X76" s="56">
        <f t="shared" si="46"/>
        <v>5.5133161745695778E-6</v>
      </c>
      <c r="Z76" s="119"/>
    </row>
    <row r="77" spans="2:26" x14ac:dyDescent="0.2">
      <c r="B77" s="119"/>
      <c r="C77" s="2">
        <f t="shared" ref="C77:D92" si="59">C76+1</f>
        <v>66</v>
      </c>
      <c r="D77" s="2">
        <f t="shared" si="59"/>
        <v>66</v>
      </c>
      <c r="E77" s="2">
        <f t="shared" si="47"/>
        <v>0.18069815195071867</v>
      </c>
      <c r="F77" s="2">
        <f t="shared" ref="F77:F111" si="60">F76+1/365.25</f>
        <v>62.210698151950893</v>
      </c>
      <c r="G77" s="2">
        <f t="shared" si="48"/>
        <v>1.3330016824507414E-10</v>
      </c>
      <c r="H77" s="2">
        <f t="shared" si="49"/>
        <v>1.3393675112981503E-10</v>
      </c>
      <c r="I77" s="2">
        <f t="shared" si="50"/>
        <v>1.2606463079933228E-10</v>
      </c>
      <c r="J77" s="2">
        <f t="shared" si="51"/>
        <v>1.2859611170646212E-10</v>
      </c>
      <c r="K77" s="2">
        <f t="shared" si="52"/>
        <v>8.9862013671241757E-11</v>
      </c>
      <c r="L77" s="2">
        <f t="shared" si="53"/>
        <v>1.5333884160956824E-10</v>
      </c>
      <c r="M77" s="2">
        <f t="shared" si="54"/>
        <v>0.50263086063180251</v>
      </c>
      <c r="N77" s="2">
        <f t="shared" si="55"/>
        <v>0.49736913860309928</v>
      </c>
      <c r="O77" s="2" t="str">
        <f t="shared" si="56"/>
        <v>OK</v>
      </c>
      <c r="P77" s="2">
        <f t="shared" si="57"/>
        <v>1.2606463079933228E-10</v>
      </c>
      <c r="Q77" s="2">
        <f t="shared" si="58"/>
        <v>1.2859611170646212E-10</v>
      </c>
      <c r="R77" s="2">
        <f t="shared" si="40"/>
        <v>2.5466074250579438E-10</v>
      </c>
      <c r="S77" s="56">
        <f t="shared" si="41"/>
        <v>1.4447905634469323E-9</v>
      </c>
      <c r="T77" s="56">
        <f t="shared" si="42"/>
        <v>1.8208497749906803E-7</v>
      </c>
      <c r="U77" s="56">
        <f t="shared" si="43"/>
        <v>3.7913634143243284E-6</v>
      </c>
      <c r="V77" s="56">
        <f t="shared" si="44"/>
        <v>3.072159560910115E-8</v>
      </c>
      <c r="W77" s="56">
        <f t="shared" si="45"/>
        <v>7.1872912994180903E-9</v>
      </c>
      <c r="X77" s="56">
        <f t="shared" si="46"/>
        <v>4.0128020692953626E-6</v>
      </c>
      <c r="Z77" s="119"/>
    </row>
    <row r="78" spans="2:26" x14ac:dyDescent="0.2">
      <c r="B78" s="119"/>
      <c r="C78" s="2">
        <f t="shared" si="59"/>
        <v>67</v>
      </c>
      <c r="D78" s="2">
        <f t="shared" si="59"/>
        <v>67</v>
      </c>
      <c r="E78" s="2">
        <f t="shared" si="47"/>
        <v>0.1834360027378508</v>
      </c>
      <c r="F78" s="2">
        <f t="shared" si="60"/>
        <v>62.213436002738028</v>
      </c>
      <c r="G78" s="2">
        <f t="shared" si="48"/>
        <v>9.7020953276457712E-11</v>
      </c>
      <c r="H78" s="2">
        <f t="shared" si="49"/>
        <v>9.7484282611522671E-11</v>
      </c>
      <c r="I78" s="2">
        <f t="shared" si="50"/>
        <v>9.175465279315489E-11</v>
      </c>
      <c r="J78" s="2">
        <f t="shared" si="51"/>
        <v>9.3597161276410028E-11</v>
      </c>
      <c r="K78" s="2">
        <f t="shared" si="52"/>
        <v>6.5405005443780656E-11</v>
      </c>
      <c r="L78" s="2">
        <f t="shared" si="53"/>
        <v>1.1160586504224329E-10</v>
      </c>
      <c r="M78" s="2">
        <f t="shared" si="54"/>
        <v>0.50263086073643326</v>
      </c>
      <c r="N78" s="2">
        <f t="shared" si="55"/>
        <v>0.49736913870669919</v>
      </c>
      <c r="O78" s="2" t="str">
        <f t="shared" si="56"/>
        <v>OK</v>
      </c>
      <c r="P78" s="2">
        <f t="shared" si="57"/>
        <v>9.175465279315489E-11</v>
      </c>
      <c r="Q78" s="2">
        <f t="shared" si="58"/>
        <v>9.3597161276410028E-11</v>
      </c>
      <c r="R78" s="2">
        <f t="shared" si="40"/>
        <v>1.8535181406956492E-10</v>
      </c>
      <c r="S78" s="56">
        <f t="shared" si="41"/>
        <v>1.0515737496500251E-9</v>
      </c>
      <c r="T78" s="56">
        <f t="shared" si="42"/>
        <v>1.325284005778796E-7</v>
      </c>
      <c r="U78" s="56">
        <f t="shared" si="43"/>
        <v>2.7594990877952227E-6</v>
      </c>
      <c r="V78" s="56">
        <f t="shared" si="44"/>
        <v>2.2360350563765885E-8</v>
      </c>
      <c r="W78" s="56">
        <f t="shared" si="45"/>
        <v>5.2311850954539329E-9</v>
      </c>
      <c r="X78" s="56">
        <f t="shared" si="46"/>
        <v>2.9206705977819721E-6</v>
      </c>
      <c r="Z78" s="119"/>
    </row>
    <row r="79" spans="2:26" x14ac:dyDescent="0.2">
      <c r="B79" s="119"/>
      <c r="C79" s="2">
        <f t="shared" si="59"/>
        <v>68</v>
      </c>
      <c r="D79" s="2">
        <f t="shared" si="59"/>
        <v>68</v>
      </c>
      <c r="E79" s="2">
        <f t="shared" si="47"/>
        <v>0.18617385352498289</v>
      </c>
      <c r="F79" s="2">
        <f t="shared" si="60"/>
        <v>62.216173853525163</v>
      </c>
      <c r="G79" s="2">
        <f t="shared" si="48"/>
        <v>7.0615555093423003E-11</v>
      </c>
      <c r="H79" s="2">
        <f t="shared" si="49"/>
        <v>7.095278387835826E-11</v>
      </c>
      <c r="I79" s="2">
        <f t="shared" si="50"/>
        <v>6.678254047793553E-11</v>
      </c>
      <c r="J79" s="2">
        <f t="shared" si="51"/>
        <v>6.8123588518750575E-11</v>
      </c>
      <c r="K79" s="2">
        <f t="shared" si="52"/>
        <v>4.7604260825394684E-11</v>
      </c>
      <c r="L79" s="2">
        <f t="shared" si="53"/>
        <v>8.123101088465629E-11</v>
      </c>
      <c r="M79" s="2">
        <f t="shared" si="54"/>
        <v>0.50263086081258745</v>
      </c>
      <c r="N79" s="2">
        <f t="shared" si="55"/>
        <v>0.49736913878210315</v>
      </c>
      <c r="O79" s="2" t="str">
        <f t="shared" si="56"/>
        <v>OK</v>
      </c>
      <c r="P79" s="2">
        <f t="shared" si="57"/>
        <v>6.678254047793553E-11</v>
      </c>
      <c r="Q79" s="2">
        <f t="shared" si="58"/>
        <v>6.8123588518750575E-11</v>
      </c>
      <c r="R79" s="2">
        <f t="shared" si="40"/>
        <v>1.3490612899668609E-10</v>
      </c>
      <c r="S79" s="56">
        <f t="shared" si="41"/>
        <v>7.6537553534044124E-10</v>
      </c>
      <c r="T79" s="56">
        <f t="shared" si="42"/>
        <v>9.645923129392052E-8</v>
      </c>
      <c r="U79" s="56">
        <f t="shared" si="43"/>
        <v>2.0084688233189939E-6</v>
      </c>
      <c r="V79" s="56">
        <f t="shared" si="44"/>
        <v>1.6274717097909674E-8</v>
      </c>
      <c r="W79" s="56">
        <f t="shared" si="45"/>
        <v>3.8074562951295676E-9</v>
      </c>
      <c r="X79" s="56">
        <f t="shared" si="46"/>
        <v>2.125775603541294E-6</v>
      </c>
      <c r="Z79" s="119"/>
    </row>
    <row r="80" spans="2:26" x14ac:dyDescent="0.2">
      <c r="B80" s="119"/>
      <c r="C80" s="2">
        <f t="shared" si="59"/>
        <v>69</v>
      </c>
      <c r="D80" s="2">
        <f t="shared" si="59"/>
        <v>69</v>
      </c>
      <c r="E80" s="2">
        <f t="shared" si="47"/>
        <v>0.18891170431211499</v>
      </c>
      <c r="F80" s="2">
        <f t="shared" si="60"/>
        <v>62.218911704312298</v>
      </c>
      <c r="G80" s="2">
        <f t="shared" si="48"/>
        <v>5.1396697854980329E-11</v>
      </c>
      <c r="H80" s="2">
        <f t="shared" si="49"/>
        <v>5.1642145843661973E-11</v>
      </c>
      <c r="I80" s="2">
        <f t="shared" si="50"/>
        <v>4.8606883432289736E-11</v>
      </c>
      <c r="J80" s="2">
        <f t="shared" si="51"/>
        <v>4.9582949411967974E-11</v>
      </c>
      <c r="K80" s="2">
        <f t="shared" si="52"/>
        <v>3.4648199069108044E-11</v>
      </c>
      <c r="L80" s="2">
        <f t="shared" si="53"/>
        <v>5.9123031991603617E-11</v>
      </c>
      <c r="M80" s="2">
        <f t="shared" si="54"/>
        <v>0.50263086086801545</v>
      </c>
      <c r="N80" s="2">
        <f t="shared" si="55"/>
        <v>0.49736913883698503</v>
      </c>
      <c r="O80" s="2" t="str">
        <f t="shared" si="56"/>
        <v>OK</v>
      </c>
      <c r="P80" s="2">
        <f t="shared" si="57"/>
        <v>4.8606883432289736E-11</v>
      </c>
      <c r="Q80" s="2">
        <f t="shared" si="58"/>
        <v>4.9582949411967974E-11</v>
      </c>
      <c r="R80" s="2">
        <f t="shared" si="40"/>
        <v>9.818983284425771E-11</v>
      </c>
      <c r="S80" s="56">
        <f t="shared" si="41"/>
        <v>5.5706954485372744E-10</v>
      </c>
      <c r="T80" s="56">
        <f t="shared" si="42"/>
        <v>7.0206712381972699E-8</v>
      </c>
      <c r="U80" s="56">
        <f t="shared" si="43"/>
        <v>1.4618403144562791E-6</v>
      </c>
      <c r="V80" s="56">
        <f t="shared" si="44"/>
        <v>1.1845360646813816E-8</v>
      </c>
      <c r="W80" s="56">
        <f t="shared" si="45"/>
        <v>2.771212101043774E-9</v>
      </c>
      <c r="X80" s="56">
        <f t="shared" si="46"/>
        <v>1.5472206691309633E-6</v>
      </c>
      <c r="Z80" s="119"/>
    </row>
    <row r="81" spans="2:26" x14ac:dyDescent="0.2">
      <c r="B81" s="119"/>
      <c r="C81" s="2">
        <f t="shared" si="59"/>
        <v>70</v>
      </c>
      <c r="D81" s="2">
        <f t="shared" si="59"/>
        <v>70</v>
      </c>
      <c r="E81" s="2">
        <f t="shared" si="47"/>
        <v>0.19164955509924708</v>
      </c>
      <c r="F81" s="2">
        <f t="shared" si="60"/>
        <v>62.221649555099432</v>
      </c>
      <c r="G81" s="2">
        <f t="shared" si="48"/>
        <v>3.7408479575092575E-11</v>
      </c>
      <c r="H81" s="2">
        <f t="shared" si="49"/>
        <v>3.758712599508734E-11</v>
      </c>
      <c r="I81" s="2">
        <f t="shared" si="50"/>
        <v>3.5377946093272655E-11</v>
      </c>
      <c r="J81" s="2">
        <f t="shared" si="51"/>
        <v>3.6088364189932495E-11</v>
      </c>
      <c r="K81" s="2">
        <f t="shared" si="52"/>
        <v>2.5218282521721865E-11</v>
      </c>
      <c r="L81" s="2">
        <f t="shared" si="53"/>
        <v>4.303200063389161E-11</v>
      </c>
      <c r="M81" s="2">
        <f t="shared" si="54"/>
        <v>0.50263086090835807</v>
      </c>
      <c r="N81" s="2">
        <f t="shared" si="55"/>
        <v>0.49736913887693013</v>
      </c>
      <c r="O81" s="2" t="str">
        <f t="shared" si="56"/>
        <v>OK</v>
      </c>
      <c r="P81" s="2">
        <f t="shared" si="57"/>
        <v>3.5377946093272655E-11</v>
      </c>
      <c r="Q81" s="2">
        <f t="shared" si="58"/>
        <v>3.6088364189932495E-11</v>
      </c>
      <c r="R81" s="2">
        <f t="shared" si="40"/>
        <v>7.146631028320515E-11</v>
      </c>
      <c r="S81" s="56">
        <f t="shared" si="41"/>
        <v>4.0545648962441031E-10</v>
      </c>
      <c r="T81" s="56">
        <f t="shared" si="42"/>
        <v>5.1099126515594514E-8</v>
      </c>
      <c r="U81" s="56">
        <f t="shared" si="43"/>
        <v>1.063983209576676E-6</v>
      </c>
      <c r="V81" s="56">
        <f t="shared" si="44"/>
        <v>8.6215058614510201E-9</v>
      </c>
      <c r="W81" s="56">
        <f t="shared" si="45"/>
        <v>2.0169940016895488E-9</v>
      </c>
      <c r="X81" s="56">
        <f t="shared" si="46"/>
        <v>1.1261262924450353E-6</v>
      </c>
      <c r="Z81" s="119"/>
    </row>
    <row r="82" spans="2:26" x14ac:dyDescent="0.2">
      <c r="B82" s="119"/>
      <c r="C82" s="2">
        <f t="shared" si="59"/>
        <v>71</v>
      </c>
      <c r="D82" s="2">
        <f t="shared" si="59"/>
        <v>71</v>
      </c>
      <c r="E82" s="2">
        <f t="shared" si="47"/>
        <v>0.19438740588637918</v>
      </c>
      <c r="F82" s="2">
        <f t="shared" si="60"/>
        <v>62.224387405886567</v>
      </c>
      <c r="G82" s="2">
        <f t="shared" si="48"/>
        <v>2.7227320091041944E-11</v>
      </c>
      <c r="H82" s="2">
        <f t="shared" si="49"/>
        <v>2.7357345778147257E-11</v>
      </c>
      <c r="I82" s="2">
        <f t="shared" si="50"/>
        <v>2.5749420275463784E-11</v>
      </c>
      <c r="J82" s="2">
        <f t="shared" si="51"/>
        <v>2.6266489697582322E-11</v>
      </c>
      <c r="K82" s="2">
        <f t="shared" si="52"/>
        <v>1.8354829123352587E-11</v>
      </c>
      <c r="L82" s="2">
        <f t="shared" si="53"/>
        <v>3.1320333483881975E-11</v>
      </c>
      <c r="M82" s="2">
        <f t="shared" si="54"/>
        <v>0.50263086093772091</v>
      </c>
      <c r="N82" s="2">
        <f t="shared" si="55"/>
        <v>0.4973691389060037</v>
      </c>
      <c r="O82" s="2" t="str">
        <f t="shared" si="56"/>
        <v>OK</v>
      </c>
      <c r="P82" s="2">
        <f t="shared" si="57"/>
        <v>2.5749420275463784E-11</v>
      </c>
      <c r="Q82" s="2">
        <f t="shared" si="58"/>
        <v>2.6266489697582322E-11</v>
      </c>
      <c r="R82" s="2">
        <f t="shared" si="40"/>
        <v>5.2015909973046109E-11</v>
      </c>
      <c r="S82" s="56">
        <f t="shared" si="41"/>
        <v>2.9510671781871609E-10</v>
      </c>
      <c r="T82" s="56">
        <f t="shared" si="42"/>
        <v>3.71918957898277E-8</v>
      </c>
      <c r="U82" s="56">
        <f t="shared" si="43"/>
        <v>7.7440761420110821E-7</v>
      </c>
      <c r="V82" s="56">
        <f t="shared" si="44"/>
        <v>6.275061227369875E-9</v>
      </c>
      <c r="W82" s="56">
        <f t="shared" si="45"/>
        <v>1.4680452648569598E-9</v>
      </c>
      <c r="X82" s="56">
        <f t="shared" si="46"/>
        <v>8.1963772320098154E-7</v>
      </c>
      <c r="Z82" s="119"/>
    </row>
    <row r="83" spans="2:26" x14ac:dyDescent="0.2">
      <c r="B83" s="119"/>
      <c r="C83" s="2">
        <f t="shared" si="59"/>
        <v>72</v>
      </c>
      <c r="D83" s="2">
        <f t="shared" si="59"/>
        <v>72</v>
      </c>
      <c r="E83" s="2">
        <f t="shared" si="47"/>
        <v>0.1971252566735113</v>
      </c>
      <c r="F83" s="2">
        <f t="shared" si="60"/>
        <v>62.227125256673702</v>
      </c>
      <c r="G83" s="2">
        <f t="shared" si="48"/>
        <v>1.9817083392869272E-11</v>
      </c>
      <c r="H83" s="2">
        <f t="shared" si="49"/>
        <v>1.9911721053717462E-11</v>
      </c>
      <c r="I83" s="2">
        <f t="shared" si="50"/>
        <v>1.8741411465052384E-11</v>
      </c>
      <c r="J83" s="2">
        <f t="shared" si="51"/>
        <v>1.9117754337717152E-11</v>
      </c>
      <c r="K83" s="2">
        <f t="shared" si="52"/>
        <v>1.3359345619880438E-11</v>
      </c>
      <c r="L83" s="2">
        <f t="shared" si="53"/>
        <v>2.2796134855254223E-11</v>
      </c>
      <c r="M83" s="2">
        <f t="shared" si="54"/>
        <v>0.50263086095909237</v>
      </c>
      <c r="N83" s="2">
        <f t="shared" si="55"/>
        <v>0.49736913892716456</v>
      </c>
      <c r="O83" s="2" t="str">
        <f t="shared" si="56"/>
        <v>OK</v>
      </c>
      <c r="P83" s="2">
        <f t="shared" si="57"/>
        <v>1.8741411465052384E-11</v>
      </c>
      <c r="Q83" s="2">
        <f t="shared" si="58"/>
        <v>1.9117754337717152E-11</v>
      </c>
      <c r="R83" s="2">
        <f t="shared" si="40"/>
        <v>3.7859165802769532E-11</v>
      </c>
      <c r="S83" s="56">
        <f t="shared" si="41"/>
        <v>2.1478993956270917E-10</v>
      </c>
      <c r="T83" s="56">
        <f t="shared" si="42"/>
        <v>2.7069682140638242E-8</v>
      </c>
      <c r="U83" s="56">
        <f t="shared" si="43"/>
        <v>5.636434367899999E-7</v>
      </c>
      <c r="V83" s="56">
        <f t="shared" si="44"/>
        <v>4.5672292103056785E-9</v>
      </c>
      <c r="W83" s="56">
        <f t="shared" si="45"/>
        <v>1.0684994094497353E-9</v>
      </c>
      <c r="X83" s="56">
        <f t="shared" si="46"/>
        <v>5.965636374899562E-7</v>
      </c>
      <c r="Z83" s="119"/>
    </row>
    <row r="84" spans="2:26" x14ac:dyDescent="0.2">
      <c r="B84" s="119"/>
      <c r="C84" s="2">
        <f t="shared" si="59"/>
        <v>73</v>
      </c>
      <c r="D84" s="2">
        <f t="shared" si="59"/>
        <v>73</v>
      </c>
      <c r="E84" s="2">
        <f t="shared" si="47"/>
        <v>0.1998631074606434</v>
      </c>
      <c r="F84" s="2">
        <f t="shared" si="60"/>
        <v>62.229863107460837</v>
      </c>
      <c r="G84" s="2">
        <f t="shared" si="48"/>
        <v>1.4423630121759314E-11</v>
      </c>
      <c r="H84" s="2">
        <f t="shared" si="49"/>
        <v>1.4492511025603819E-11</v>
      </c>
      <c r="I84" s="2">
        <f t="shared" si="50"/>
        <v>1.3640715012022563E-11</v>
      </c>
      <c r="J84" s="2">
        <f t="shared" si="51"/>
        <v>1.3914631727548431E-11</v>
      </c>
      <c r="K84" s="2">
        <f t="shared" si="52"/>
        <v>9.723441945005693E-12</v>
      </c>
      <c r="L84" s="2">
        <f t="shared" si="53"/>
        <v>1.6591897548165161E-11</v>
      </c>
      <c r="M84" s="2">
        <f t="shared" si="54"/>
        <v>0.50263086097464726</v>
      </c>
      <c r="N84" s="2">
        <f t="shared" si="55"/>
        <v>0.49736913894256624</v>
      </c>
      <c r="O84" s="2" t="str">
        <f t="shared" si="56"/>
        <v>OK</v>
      </c>
      <c r="P84" s="2">
        <f t="shared" si="57"/>
        <v>1.3640715012022563E-11</v>
      </c>
      <c r="Q84" s="2">
        <f t="shared" si="58"/>
        <v>1.3914631727548431E-11</v>
      </c>
      <c r="R84" s="2">
        <f t="shared" si="40"/>
        <v>2.7555346739570994E-11</v>
      </c>
      <c r="S84" s="56">
        <f t="shared" si="41"/>
        <v>1.563323209934272E-10</v>
      </c>
      <c r="T84" s="56">
        <f t="shared" si="42"/>
        <v>1.9702348472260657E-8</v>
      </c>
      <c r="U84" s="56">
        <f t="shared" si="43"/>
        <v>4.1024121923721145E-7</v>
      </c>
      <c r="V84" s="56">
        <f t="shared" si="44"/>
        <v>3.3242038449738762E-9</v>
      </c>
      <c r="W84" s="56">
        <f t="shared" si="45"/>
        <v>7.7769467694558771E-10</v>
      </c>
      <c r="X84" s="56">
        <f t="shared" si="46"/>
        <v>4.3420179855238499E-7</v>
      </c>
      <c r="Z84" s="119"/>
    </row>
    <row r="85" spans="2:26" x14ac:dyDescent="0.2">
      <c r="B85" s="119"/>
      <c r="C85" s="2">
        <f t="shared" si="59"/>
        <v>74</v>
      </c>
      <c r="D85" s="2">
        <f t="shared" si="59"/>
        <v>74</v>
      </c>
      <c r="E85" s="2">
        <f t="shared" si="47"/>
        <v>0.20260095824777549</v>
      </c>
      <c r="F85" s="2">
        <f t="shared" si="60"/>
        <v>62.232600958247971</v>
      </c>
      <c r="G85" s="2">
        <f t="shared" si="48"/>
        <v>1.049806885125091E-11</v>
      </c>
      <c r="H85" s="2">
        <f t="shared" si="49"/>
        <v>1.0548203003679369E-11</v>
      </c>
      <c r="I85" s="2">
        <f t="shared" si="50"/>
        <v>9.9282333343027966E-12</v>
      </c>
      <c r="J85" s="2">
        <f t="shared" si="51"/>
        <v>1.0127600380935599E-11</v>
      </c>
      <c r="K85" s="2">
        <f t="shared" si="52"/>
        <v>7.0770923926992666E-12</v>
      </c>
      <c r="L85" s="2">
        <f t="shared" si="53"/>
        <v>1.2076216691855457E-11</v>
      </c>
      <c r="M85" s="2">
        <f t="shared" si="54"/>
        <v>0.50263086098596876</v>
      </c>
      <c r="N85" s="2">
        <f t="shared" si="55"/>
        <v>0.49736913895377616</v>
      </c>
      <c r="O85" s="2" t="str">
        <f t="shared" si="56"/>
        <v>OK</v>
      </c>
      <c r="P85" s="2">
        <f t="shared" si="57"/>
        <v>9.9282333343027966E-12</v>
      </c>
      <c r="Q85" s="2">
        <f t="shared" si="58"/>
        <v>1.0127600380935599E-11</v>
      </c>
      <c r="R85" s="2">
        <f t="shared" si="40"/>
        <v>2.0055833715238394E-11</v>
      </c>
      <c r="S85" s="56">
        <f t="shared" si="41"/>
        <v>1.1378463366091046E-10</v>
      </c>
      <c r="T85" s="56">
        <f t="shared" si="42"/>
        <v>1.4340121664732604E-8</v>
      </c>
      <c r="U85" s="56">
        <f t="shared" si="43"/>
        <v>2.9858922676312028E-7</v>
      </c>
      <c r="V85" s="56">
        <f t="shared" si="44"/>
        <v>2.4194825120676436E-9</v>
      </c>
      <c r="W85" s="56">
        <f t="shared" si="45"/>
        <v>5.6603588659068281E-10</v>
      </c>
      <c r="X85" s="56">
        <f t="shared" si="46"/>
        <v>3.1602865146017212E-7</v>
      </c>
      <c r="Z85" s="119"/>
    </row>
    <row r="86" spans="2:26" x14ac:dyDescent="0.2">
      <c r="B86" s="119"/>
      <c r="C86" s="2">
        <f t="shared" si="59"/>
        <v>75</v>
      </c>
      <c r="D86" s="2">
        <f t="shared" si="59"/>
        <v>75</v>
      </c>
      <c r="E86" s="2">
        <f t="shared" si="47"/>
        <v>0.20533880903490759</v>
      </c>
      <c r="F86" s="2">
        <f t="shared" si="60"/>
        <v>62.235338809035106</v>
      </c>
      <c r="G86" s="2">
        <f t="shared" si="48"/>
        <v>7.6408954386138852E-12</v>
      </c>
      <c r="H86" s="2">
        <f t="shared" si="49"/>
        <v>7.6773849894100531E-12</v>
      </c>
      <c r="I86" s="2">
        <f t="shared" si="50"/>
        <v>7.2261473869576797E-12</v>
      </c>
      <c r="J86" s="2">
        <f t="shared" si="51"/>
        <v>7.3712543374655316E-12</v>
      </c>
      <c r="K86" s="2">
        <f t="shared" si="52"/>
        <v>5.1509781225697947E-12</v>
      </c>
      <c r="L86" s="2">
        <f t="shared" si="53"/>
        <v>8.7895317075879465E-12</v>
      </c>
      <c r="M86" s="2">
        <f t="shared" si="54"/>
        <v>0.50263086099420895</v>
      </c>
      <c r="N86" s="2">
        <f t="shared" si="55"/>
        <v>0.49736913896193519</v>
      </c>
      <c r="O86" s="2" t="str">
        <f t="shared" si="56"/>
        <v>OK</v>
      </c>
      <c r="P86" s="2">
        <f t="shared" si="57"/>
        <v>7.2261473869576797E-12</v>
      </c>
      <c r="Q86" s="2">
        <f t="shared" si="58"/>
        <v>7.3712543374655316E-12</v>
      </c>
      <c r="R86" s="2">
        <f t="shared" si="40"/>
        <v>1.4597401724423211E-11</v>
      </c>
      <c r="S86" s="56">
        <f t="shared" si="41"/>
        <v>8.2816801894036555E-11</v>
      </c>
      <c r="T86" s="56">
        <f t="shared" si="42"/>
        <v>1.043728820697984E-8</v>
      </c>
      <c r="U86" s="56">
        <f t="shared" si="43"/>
        <v>2.1732464257192593E-7</v>
      </c>
      <c r="V86" s="56">
        <f t="shared" si="44"/>
        <v>1.760991774030981E-9</v>
      </c>
      <c r="W86" s="56">
        <f t="shared" si="45"/>
        <v>4.1198253557149813E-10</v>
      </c>
      <c r="X86" s="56">
        <f t="shared" si="46"/>
        <v>2.3001772189040229E-7</v>
      </c>
      <c r="Z86" s="119"/>
    </row>
    <row r="87" spans="2:26" x14ac:dyDescent="0.2">
      <c r="B87" s="119"/>
      <c r="C87" s="2">
        <f t="shared" si="59"/>
        <v>76</v>
      </c>
      <c r="D87" s="2">
        <f t="shared" si="59"/>
        <v>76</v>
      </c>
      <c r="E87" s="2">
        <f t="shared" si="47"/>
        <v>0.20807665982203968</v>
      </c>
      <c r="F87" s="2">
        <f t="shared" si="60"/>
        <v>62.238076659822241</v>
      </c>
      <c r="G87" s="2">
        <f t="shared" si="48"/>
        <v>5.5613355114234895E-12</v>
      </c>
      <c r="H87" s="2">
        <f t="shared" si="49"/>
        <v>5.5878940000546903E-12</v>
      </c>
      <c r="I87" s="2">
        <f t="shared" si="50"/>
        <v>5.2594660399067068E-12</v>
      </c>
      <c r="J87" s="2">
        <f t="shared" si="51"/>
        <v>5.3650804202233796E-12</v>
      </c>
      <c r="K87" s="2">
        <f t="shared" si="52"/>
        <v>3.7490785971034756E-12</v>
      </c>
      <c r="L87" s="2">
        <f t="shared" si="53"/>
        <v>6.3973568552142181E-12</v>
      </c>
      <c r="M87" s="2">
        <f t="shared" si="54"/>
        <v>0.50263086100020649</v>
      </c>
      <c r="N87" s="2">
        <f t="shared" si="55"/>
        <v>0.49736913896787366</v>
      </c>
      <c r="O87" s="2" t="str">
        <f t="shared" si="56"/>
        <v>OK</v>
      </c>
      <c r="P87" s="2">
        <f t="shared" si="57"/>
        <v>5.2594660399067068E-12</v>
      </c>
      <c r="Q87" s="2">
        <f t="shared" si="58"/>
        <v>5.3650804202233796E-12</v>
      </c>
      <c r="R87" s="2">
        <f t="shared" si="40"/>
        <v>1.0624546460130087E-11</v>
      </c>
      <c r="S87" s="56">
        <f t="shared" si="41"/>
        <v>6.0277231250710697E-11</v>
      </c>
      <c r="T87" s="56">
        <f t="shared" si="42"/>
        <v>7.5966569644576141E-9</v>
      </c>
      <c r="U87" s="56">
        <f t="shared" si="43"/>
        <v>1.5817717464563556E-7</v>
      </c>
      <c r="V87" s="56">
        <f t="shared" si="44"/>
        <v>1.2817170666609398E-9</v>
      </c>
      <c r="W87" s="56">
        <f t="shared" si="45"/>
        <v>2.9985662329331644E-10</v>
      </c>
      <c r="X87" s="56">
        <f t="shared" si="46"/>
        <v>1.6741568253129814E-7</v>
      </c>
      <c r="Z87" s="119"/>
    </row>
    <row r="88" spans="2:26" x14ac:dyDescent="0.2">
      <c r="B88" s="119"/>
      <c r="C88" s="2">
        <f t="shared" si="59"/>
        <v>77</v>
      </c>
      <c r="D88" s="2">
        <f t="shared" si="59"/>
        <v>77</v>
      </c>
      <c r="E88" s="2">
        <f t="shared" si="47"/>
        <v>0.21081451060917181</v>
      </c>
      <c r="F88" s="2">
        <f t="shared" si="60"/>
        <v>62.240814510609376</v>
      </c>
      <c r="G88" s="2">
        <f t="shared" si="48"/>
        <v>4.0477523765500724E-12</v>
      </c>
      <c r="H88" s="2">
        <f t="shared" si="49"/>
        <v>4.0670826588633222E-12</v>
      </c>
      <c r="I88" s="2">
        <f t="shared" si="50"/>
        <v>3.828040246571565E-12</v>
      </c>
      <c r="J88" s="2">
        <f t="shared" si="51"/>
        <v>3.9049104260539121E-12</v>
      </c>
      <c r="K88" s="2">
        <f t="shared" si="52"/>
        <v>2.7287225829348132E-12</v>
      </c>
      <c r="L88" s="2">
        <f t="shared" si="53"/>
        <v>4.6562406388073031E-12</v>
      </c>
      <c r="M88" s="2">
        <f t="shared" si="54"/>
        <v>0.50263086100457177</v>
      </c>
      <c r="N88" s="2">
        <f t="shared" si="55"/>
        <v>0.49736913897219587</v>
      </c>
      <c r="O88" s="2" t="str">
        <f t="shared" si="56"/>
        <v>OK</v>
      </c>
      <c r="P88" s="2">
        <f t="shared" si="57"/>
        <v>3.828040246571565E-12</v>
      </c>
      <c r="Q88" s="2">
        <f t="shared" si="58"/>
        <v>3.9049104260539121E-12</v>
      </c>
      <c r="R88" s="2">
        <f t="shared" si="40"/>
        <v>7.732950672625478E-12</v>
      </c>
      <c r="S88" s="56">
        <f t="shared" si="41"/>
        <v>4.3872070934355663E-11</v>
      </c>
      <c r="T88" s="56">
        <f t="shared" si="42"/>
        <v>5.529137060433943E-9</v>
      </c>
      <c r="U88" s="56">
        <f t="shared" si="43"/>
        <v>1.1512738860525332E-7</v>
      </c>
      <c r="V88" s="56">
        <f t="shared" si="44"/>
        <v>9.328826307970147E-10</v>
      </c>
      <c r="W88" s="56">
        <f t="shared" si="45"/>
        <v>2.1824710216937248E-10</v>
      </c>
      <c r="X88" s="56">
        <f t="shared" si="46"/>
        <v>1.2185152746958803E-7</v>
      </c>
      <c r="Z88" s="119"/>
    </row>
    <row r="89" spans="2:26" x14ac:dyDescent="0.2">
      <c r="B89" s="119"/>
      <c r="C89" s="2">
        <f t="shared" si="59"/>
        <v>78</v>
      </c>
      <c r="D89" s="2">
        <f t="shared" si="59"/>
        <v>78</v>
      </c>
      <c r="E89" s="2">
        <f t="shared" si="47"/>
        <v>0.2135523613963039</v>
      </c>
      <c r="F89" s="2">
        <f t="shared" si="60"/>
        <v>62.24355236139651</v>
      </c>
      <c r="G89" s="2">
        <f t="shared" si="48"/>
        <v>2.9461087661789003E-12</v>
      </c>
      <c r="H89" s="2">
        <f t="shared" si="49"/>
        <v>2.960178083883636E-12</v>
      </c>
      <c r="I89" s="2">
        <f t="shared" si="50"/>
        <v>2.7861938870189223E-12</v>
      </c>
      <c r="J89" s="2">
        <f t="shared" si="51"/>
        <v>2.84214293937269E-12</v>
      </c>
      <c r="K89" s="2">
        <f t="shared" si="52"/>
        <v>1.9860685077051028E-12</v>
      </c>
      <c r="L89" s="2">
        <f t="shared" si="53"/>
        <v>3.3889897620467599E-12</v>
      </c>
      <c r="M89" s="2">
        <f t="shared" si="54"/>
        <v>0.50263086100774901</v>
      </c>
      <c r="N89" s="2">
        <f t="shared" si="55"/>
        <v>0.49736913897534174</v>
      </c>
      <c r="O89" s="2" t="str">
        <f t="shared" si="56"/>
        <v>OK</v>
      </c>
      <c r="P89" s="2">
        <f t="shared" si="57"/>
        <v>2.7861938870189223E-12</v>
      </c>
      <c r="Q89" s="2">
        <f t="shared" si="58"/>
        <v>2.84214293937269E-12</v>
      </c>
      <c r="R89" s="2">
        <f t="shared" si="40"/>
        <v>5.6283368263916122E-12</v>
      </c>
      <c r="S89" s="56">
        <f t="shared" si="41"/>
        <v>3.1931768731438579E-11</v>
      </c>
      <c r="T89" s="56">
        <f t="shared" si="42"/>
        <v>4.0243171142382668E-9</v>
      </c>
      <c r="U89" s="56">
        <f t="shared" si="43"/>
        <v>8.3794110223290211E-8</v>
      </c>
      <c r="V89" s="56">
        <f t="shared" si="44"/>
        <v>6.789876061414552E-10</v>
      </c>
      <c r="W89" s="56">
        <f t="shared" si="45"/>
        <v>1.5884857597004154E-10</v>
      </c>
      <c r="X89" s="56">
        <f t="shared" si="46"/>
        <v>8.8688195288371413E-8</v>
      </c>
      <c r="Z89" s="119"/>
    </row>
    <row r="90" spans="2:26" x14ac:dyDescent="0.2">
      <c r="B90" s="119"/>
      <c r="C90" s="2">
        <f t="shared" si="59"/>
        <v>79</v>
      </c>
      <c r="D90" s="2">
        <f t="shared" si="59"/>
        <v>79</v>
      </c>
      <c r="E90" s="2">
        <f t="shared" si="47"/>
        <v>0.216290212183436</v>
      </c>
      <c r="F90" s="2">
        <f t="shared" si="60"/>
        <v>62.246290212183645</v>
      </c>
      <c r="G90" s="2">
        <f t="shared" si="48"/>
        <v>2.1442904740022189E-12</v>
      </c>
      <c r="H90" s="2">
        <f t="shared" si="49"/>
        <v>2.1545306607449179E-12</v>
      </c>
      <c r="I90" s="2">
        <f t="shared" si="50"/>
        <v>2.0278983176872631E-12</v>
      </c>
      <c r="J90" s="2">
        <f t="shared" si="51"/>
        <v>2.0686201747242102E-12</v>
      </c>
      <c r="K90" s="2">
        <f t="shared" si="52"/>
        <v>1.4455365092685948E-12</v>
      </c>
      <c r="L90" s="2">
        <f t="shared" si="53"/>
        <v>2.4666361767332769E-12</v>
      </c>
      <c r="M90" s="2">
        <f t="shared" si="54"/>
        <v>0.50263086101006149</v>
      </c>
      <c r="N90" s="2">
        <f t="shared" si="55"/>
        <v>0.49736913897763141</v>
      </c>
      <c r="O90" s="2" t="str">
        <f t="shared" si="56"/>
        <v>OK</v>
      </c>
      <c r="P90" s="2">
        <f t="shared" si="57"/>
        <v>2.0278983176872631E-12</v>
      </c>
      <c r="Q90" s="2">
        <f t="shared" si="58"/>
        <v>2.0686201747242102E-12</v>
      </c>
      <c r="R90" s="2">
        <f t="shared" si="40"/>
        <v>4.0965184924114733E-12</v>
      </c>
      <c r="S90" s="56">
        <f t="shared" si="41"/>
        <v>2.3241160779570416E-11</v>
      </c>
      <c r="T90" s="56">
        <f t="shared" si="42"/>
        <v>2.9290516872591273E-9</v>
      </c>
      <c r="U90" s="56">
        <f t="shared" si="43"/>
        <v>6.098855357683772E-8</v>
      </c>
      <c r="V90" s="56">
        <f t="shared" si="44"/>
        <v>4.9419311076659731E-10</v>
      </c>
      <c r="W90" s="56">
        <f t="shared" si="45"/>
        <v>1.1561606013044736E-10</v>
      </c>
      <c r="X90" s="56">
        <f t="shared" si="46"/>
        <v>6.4550655595773447E-8</v>
      </c>
      <c r="Z90" s="119"/>
    </row>
    <row r="91" spans="2:26" x14ac:dyDescent="0.2">
      <c r="B91" s="119"/>
      <c r="C91" s="2">
        <f t="shared" si="59"/>
        <v>80</v>
      </c>
      <c r="D91" s="2">
        <f t="shared" si="59"/>
        <v>80</v>
      </c>
      <c r="E91" s="2">
        <f t="shared" si="47"/>
        <v>0.21902806297056809</v>
      </c>
      <c r="F91" s="2">
        <f t="shared" si="60"/>
        <v>62.24902806297078</v>
      </c>
      <c r="G91" s="2">
        <f t="shared" si="48"/>
        <v>1.5606964989484206E-12</v>
      </c>
      <c r="H91" s="2">
        <f t="shared" si="49"/>
        <v>1.5681496979397301E-12</v>
      </c>
      <c r="I91" s="2">
        <f t="shared" si="50"/>
        <v>1.4759818424836353E-12</v>
      </c>
      <c r="J91" s="2">
        <f t="shared" si="51"/>
        <v>1.5056207652316436E-12</v>
      </c>
      <c r="K91" s="2">
        <f t="shared" si="52"/>
        <v>1.0521166775072295E-12</v>
      </c>
      <c r="L91" s="2">
        <f t="shared" si="53"/>
        <v>1.7953120120064289E-12</v>
      </c>
      <c r="M91" s="2">
        <f t="shared" si="54"/>
        <v>0.50263086101174459</v>
      </c>
      <c r="N91" s="2">
        <f t="shared" si="55"/>
        <v>0.49736913897929791</v>
      </c>
      <c r="O91" s="2" t="str">
        <f t="shared" si="56"/>
        <v>OK</v>
      </c>
      <c r="P91" s="2">
        <f t="shared" si="57"/>
        <v>1.4759818424836353E-12</v>
      </c>
      <c r="Q91" s="2">
        <f t="shared" si="58"/>
        <v>1.5056207652316436E-12</v>
      </c>
      <c r="R91" s="2">
        <f t="shared" si="40"/>
        <v>2.9816026077152792E-12</v>
      </c>
      <c r="S91" s="56">
        <f t="shared" si="41"/>
        <v>1.691580441173725E-11</v>
      </c>
      <c r="T91" s="56">
        <f t="shared" si="42"/>
        <v>2.1318756805425019E-9</v>
      </c>
      <c r="U91" s="56">
        <f t="shared" si="43"/>
        <v>4.4389798489213591E-8</v>
      </c>
      <c r="V91" s="56">
        <f t="shared" si="44"/>
        <v>3.5969261960031415E-10</v>
      </c>
      <c r="W91" s="56">
        <f t="shared" si="45"/>
        <v>8.4149784022037558E-11</v>
      </c>
      <c r="X91" s="56">
        <f t="shared" si="46"/>
        <v>4.6982432377790176E-8</v>
      </c>
      <c r="Z91" s="119"/>
    </row>
    <row r="92" spans="2:26" x14ac:dyDescent="0.2">
      <c r="B92" s="119"/>
      <c r="C92" s="2">
        <f t="shared" si="59"/>
        <v>81</v>
      </c>
      <c r="D92" s="2">
        <f t="shared" si="59"/>
        <v>81</v>
      </c>
      <c r="E92" s="2">
        <f t="shared" si="47"/>
        <v>0.22176591375770019</v>
      </c>
      <c r="F92" s="2">
        <f t="shared" si="60"/>
        <v>62.251765913757914</v>
      </c>
      <c r="G92" s="2">
        <f t="shared" si="48"/>
        <v>1.1359345160376515E-12</v>
      </c>
      <c r="H92" s="2">
        <f t="shared" si="49"/>
        <v>1.141359238906467E-12</v>
      </c>
      <c r="I92" s="2">
        <f t="shared" si="50"/>
        <v>1.0742759537499419E-12</v>
      </c>
      <c r="J92" s="2">
        <f t="shared" si="51"/>
        <v>1.0958482936573623E-12</v>
      </c>
      <c r="K92" s="2">
        <f t="shared" si="52"/>
        <v>7.6577069896971351E-13</v>
      </c>
      <c r="L92" s="2">
        <f t="shared" si="53"/>
        <v>1.3066966465736296E-12</v>
      </c>
      <c r="M92" s="2">
        <f t="shared" si="54"/>
        <v>0.50263086101296961</v>
      </c>
      <c r="N92" s="2">
        <f t="shared" si="55"/>
        <v>0.49736913898051088</v>
      </c>
      <c r="O92" s="2" t="str">
        <f t="shared" si="56"/>
        <v>OK</v>
      </c>
      <c r="P92" s="2">
        <f t="shared" si="57"/>
        <v>1.0742759537499419E-12</v>
      </c>
      <c r="Q92" s="2">
        <f t="shared" si="58"/>
        <v>1.0958482936573623E-12</v>
      </c>
      <c r="R92" s="2">
        <f t="shared" si="40"/>
        <v>2.1701242474073042E-12</v>
      </c>
      <c r="S92" s="56">
        <f t="shared" si="41"/>
        <v>1.2311968477395404E-11</v>
      </c>
      <c r="T92" s="56">
        <f t="shared" si="42"/>
        <v>1.5516605381386965E-9</v>
      </c>
      <c r="U92" s="56">
        <f t="shared" si="43"/>
        <v>3.2308590618245619E-8</v>
      </c>
      <c r="V92" s="56">
        <f t="shared" si="44"/>
        <v>2.6179802546061931E-10</v>
      </c>
      <c r="W92" s="56">
        <f t="shared" si="45"/>
        <v>6.1247426550999943E-11</v>
      </c>
      <c r="X92" s="56">
        <f t="shared" si="46"/>
        <v>3.4195608576873335E-8</v>
      </c>
      <c r="Z92" s="119"/>
    </row>
    <row r="93" spans="2:26" x14ac:dyDescent="0.2">
      <c r="B93" s="119"/>
      <c r="C93" s="2">
        <f t="shared" ref="C93:D108" si="61">C92+1</f>
        <v>82</v>
      </c>
      <c r="D93" s="2">
        <f t="shared" si="61"/>
        <v>82</v>
      </c>
      <c r="E93" s="2">
        <f t="shared" si="47"/>
        <v>0.22450376454483231</v>
      </c>
      <c r="F93" s="2">
        <f t="shared" si="60"/>
        <v>62.254503764545049</v>
      </c>
      <c r="G93" s="2">
        <f t="shared" si="48"/>
        <v>8.2677652291468257E-13</v>
      </c>
      <c r="H93" s="2">
        <f t="shared" si="49"/>
        <v>8.3072484339260909E-13</v>
      </c>
      <c r="I93" s="2">
        <f t="shared" si="50"/>
        <v>7.8189906649758982E-13</v>
      </c>
      <c r="J93" s="2">
        <f t="shared" si="51"/>
        <v>7.9760023934512712E-13</v>
      </c>
      <c r="K93" s="2">
        <f t="shared" si="52"/>
        <v>5.5735716003469031E-13</v>
      </c>
      <c r="L93" s="2">
        <f t="shared" si="53"/>
        <v>9.5106372304529256E-13</v>
      </c>
      <c r="M93" s="2">
        <f t="shared" si="54"/>
        <v>0.50263086101386123</v>
      </c>
      <c r="N93" s="2">
        <f t="shared" si="55"/>
        <v>0.49736913898139373</v>
      </c>
      <c r="O93" s="2" t="str">
        <f t="shared" si="56"/>
        <v>OK</v>
      </c>
      <c r="P93" s="2">
        <f t="shared" si="57"/>
        <v>7.8189906649758982E-13</v>
      </c>
      <c r="Q93" s="2">
        <f t="shared" si="58"/>
        <v>7.9760023934512712E-13</v>
      </c>
      <c r="R93" s="2">
        <f t="shared" si="40"/>
        <v>1.579499305842717E-12</v>
      </c>
      <c r="S93" s="56">
        <f t="shared" si="41"/>
        <v>8.9611208606313289E-12</v>
      </c>
      <c r="T93" s="56">
        <f t="shared" si="42"/>
        <v>1.1293577986706011E-9</v>
      </c>
      <c r="U93" s="56">
        <f t="shared" si="43"/>
        <v>2.3515426139882918E-8</v>
      </c>
      <c r="V93" s="56">
        <f t="shared" si="44"/>
        <v>1.9054660118196989E-10</v>
      </c>
      <c r="W93" s="56">
        <f t="shared" si="45"/>
        <v>4.4578216126350799E-11</v>
      </c>
      <c r="X93" s="56">
        <f t="shared" si="46"/>
        <v>2.4888869876722474E-8</v>
      </c>
      <c r="Z93" s="119"/>
    </row>
    <row r="94" spans="2:26" x14ac:dyDescent="0.2">
      <c r="B94" s="119"/>
      <c r="C94" s="2">
        <f t="shared" si="61"/>
        <v>83</v>
      </c>
      <c r="D94" s="2">
        <f t="shared" si="61"/>
        <v>83</v>
      </c>
      <c r="E94" s="2">
        <f t="shared" si="47"/>
        <v>0.22724161533196441</v>
      </c>
      <c r="F94" s="2">
        <f t="shared" si="60"/>
        <v>62.257241615332184</v>
      </c>
      <c r="G94" s="2">
        <f t="shared" si="48"/>
        <v>6.0175952855739744E-13</v>
      </c>
      <c r="H94" s="2">
        <f t="shared" si="49"/>
        <v>6.0463326699038356E-13</v>
      </c>
      <c r="I94" s="2">
        <f t="shared" si="50"/>
        <v>5.6909600187524044E-13</v>
      </c>
      <c r="J94" s="2">
        <f t="shared" si="51"/>
        <v>5.8052391511257249E-13</v>
      </c>
      <c r="K94" s="2">
        <f t="shared" si="52"/>
        <v>4.0566582693734226E-13</v>
      </c>
      <c r="L94" s="2">
        <f t="shared" si="53"/>
        <v>6.9222049942852204E-13</v>
      </c>
      <c r="M94" s="2">
        <f t="shared" si="54"/>
        <v>0.50263086101451016</v>
      </c>
      <c r="N94" s="2">
        <f t="shared" si="55"/>
        <v>0.49736913898203627</v>
      </c>
      <c r="O94" s="2" t="str">
        <f t="shared" si="56"/>
        <v>OK</v>
      </c>
      <c r="P94" s="2">
        <f t="shared" si="57"/>
        <v>5.6909600187524044E-13</v>
      </c>
      <c r="Q94" s="2">
        <f t="shared" si="58"/>
        <v>5.8052391511257249E-13</v>
      </c>
      <c r="R94" s="2">
        <f t="shared" si="40"/>
        <v>1.1496199169878129E-12</v>
      </c>
      <c r="S94" s="56">
        <f t="shared" si="41"/>
        <v>6.5222459939102904E-12</v>
      </c>
      <c r="T94" s="56">
        <f t="shared" si="42"/>
        <v>8.2198973684545611E-10</v>
      </c>
      <c r="U94" s="56">
        <f t="shared" si="43"/>
        <v>1.7115425215360755E-8</v>
      </c>
      <c r="V94" s="56">
        <f t="shared" si="44"/>
        <v>1.3868709344968791E-10</v>
      </c>
      <c r="W94" s="56">
        <f t="shared" si="45"/>
        <v>3.2445728170356888E-11</v>
      </c>
      <c r="X94" s="56">
        <f t="shared" si="46"/>
        <v>1.811507001982017E-8</v>
      </c>
      <c r="Z94" s="119"/>
    </row>
    <row r="95" spans="2:26" x14ac:dyDescent="0.2">
      <c r="B95" s="119"/>
      <c r="C95" s="2">
        <f t="shared" si="61"/>
        <v>84</v>
      </c>
      <c r="D95" s="2">
        <f t="shared" si="61"/>
        <v>84</v>
      </c>
      <c r="E95" s="2">
        <f t="shared" si="47"/>
        <v>0.2299794661190965</v>
      </c>
      <c r="F95" s="2">
        <f t="shared" si="60"/>
        <v>62.259979466119319</v>
      </c>
      <c r="G95" s="2">
        <f t="shared" si="48"/>
        <v>4.3798356650602289E-13</v>
      </c>
      <c r="H95" s="2">
        <f t="shared" si="49"/>
        <v>4.4007518308765324E-13</v>
      </c>
      <c r="I95" s="2">
        <f t="shared" si="50"/>
        <v>4.1420980434356593E-13</v>
      </c>
      <c r="J95" s="2">
        <f t="shared" si="51"/>
        <v>4.2252747603778449E-13</v>
      </c>
      <c r="K95" s="2">
        <f t="shared" si="52"/>
        <v>2.9525908150980789E-13</v>
      </c>
      <c r="L95" s="2">
        <f t="shared" si="53"/>
        <v>5.038245158744773E-13</v>
      </c>
      <c r="M95" s="2">
        <f t="shared" si="54"/>
        <v>0.50263086101498244</v>
      </c>
      <c r="N95" s="2">
        <f t="shared" si="55"/>
        <v>0.49736913898250396</v>
      </c>
      <c r="O95" s="2" t="str">
        <f t="shared" si="56"/>
        <v>OK</v>
      </c>
      <c r="P95" s="2">
        <f t="shared" si="57"/>
        <v>4.1420980434356593E-13</v>
      </c>
      <c r="Q95" s="2">
        <f t="shared" si="58"/>
        <v>4.2252747603778449E-13</v>
      </c>
      <c r="R95" s="2">
        <f t="shared" si="40"/>
        <v>8.3673728038135047E-13</v>
      </c>
      <c r="S95" s="56">
        <f t="shared" si="41"/>
        <v>4.7471397235548312E-12</v>
      </c>
      <c r="T95" s="56">
        <f t="shared" si="42"/>
        <v>5.9827552284546938E-10</v>
      </c>
      <c r="U95" s="56">
        <f t="shared" si="43"/>
        <v>1.2457260121932251E-8</v>
      </c>
      <c r="V95" s="56">
        <f t="shared" si="44"/>
        <v>1.0094176317085872E-10</v>
      </c>
      <c r="W95" s="56">
        <f t="shared" si="45"/>
        <v>2.3615240087689604E-11</v>
      </c>
      <c r="X95" s="56">
        <f t="shared" si="46"/>
        <v>1.3184839787759824E-8</v>
      </c>
      <c r="Z95" s="119"/>
    </row>
    <row r="96" spans="2:26" x14ac:dyDescent="0.2">
      <c r="B96" s="119"/>
      <c r="C96" s="2">
        <f t="shared" si="61"/>
        <v>85</v>
      </c>
      <c r="D96" s="2">
        <f t="shared" si="61"/>
        <v>85</v>
      </c>
      <c r="E96" s="2">
        <f t="shared" si="47"/>
        <v>0.2327173169062286</v>
      </c>
      <c r="F96" s="2">
        <f t="shared" si="60"/>
        <v>62.262717316906453</v>
      </c>
      <c r="G96" s="2">
        <f t="shared" si="48"/>
        <v>3.187811666052224E-13</v>
      </c>
      <c r="H96" s="2">
        <f t="shared" si="49"/>
        <v>3.2030352503364932E-13</v>
      </c>
      <c r="I96" s="2">
        <f t="shared" si="50"/>
        <v>3.0147771456659685E-13</v>
      </c>
      <c r="J96" s="2">
        <f t="shared" si="51"/>
        <v>3.0753163368341318E-13</v>
      </c>
      <c r="K96" s="2">
        <f t="shared" si="52"/>
        <v>2.1490083567596295E-13</v>
      </c>
      <c r="L96" s="2">
        <f t="shared" si="53"/>
        <v>3.6670272406800136E-13</v>
      </c>
      <c r="M96" s="2">
        <f t="shared" si="54"/>
        <v>0.50263086101532628</v>
      </c>
      <c r="N96" s="2">
        <f t="shared" si="55"/>
        <v>0.49736913898284435</v>
      </c>
      <c r="O96" s="2" t="str">
        <f t="shared" si="56"/>
        <v>OK</v>
      </c>
      <c r="P96" s="2">
        <f t="shared" si="57"/>
        <v>3.0147771456659685E-13</v>
      </c>
      <c r="Q96" s="2">
        <f t="shared" si="58"/>
        <v>3.0753163368341318E-13</v>
      </c>
      <c r="R96" s="2">
        <f t="shared" si="40"/>
        <v>6.0900934825001003E-13</v>
      </c>
      <c r="S96" s="56">
        <f t="shared" si="41"/>
        <v>3.4551495874263402E-12</v>
      </c>
      <c r="T96" s="56">
        <f t="shared" si="42"/>
        <v>4.3544777409223969E-10</v>
      </c>
      <c r="U96" s="56">
        <f t="shared" si="43"/>
        <v>9.0668696683158964E-9</v>
      </c>
      <c r="V96" s="56">
        <f t="shared" si="44"/>
        <v>7.3469270273070645E-11</v>
      </c>
      <c r="W96" s="56">
        <f t="shared" si="45"/>
        <v>1.7188073618539709E-11</v>
      </c>
      <c r="X96" s="56">
        <f t="shared" si="46"/>
        <v>9.5964299358871731E-9</v>
      </c>
      <c r="Z96" s="119"/>
    </row>
    <row r="97" spans="2:26" x14ac:dyDescent="0.2">
      <c r="B97" s="119"/>
      <c r="C97" s="2">
        <f t="shared" si="61"/>
        <v>86</v>
      </c>
      <c r="D97" s="2">
        <f t="shared" si="61"/>
        <v>86</v>
      </c>
      <c r="E97" s="2">
        <f t="shared" si="47"/>
        <v>0.2354551676933607</v>
      </c>
      <c r="F97" s="2">
        <f t="shared" si="60"/>
        <v>62.265455167693588</v>
      </c>
      <c r="G97" s="2">
        <f t="shared" si="48"/>
        <v>2.3202110753346976E-13</v>
      </c>
      <c r="H97" s="2">
        <f t="shared" si="49"/>
        <v>2.3312913813762392E-13</v>
      </c>
      <c r="I97" s="2">
        <f t="shared" si="50"/>
        <v>2.1942699430868804E-13</v>
      </c>
      <c r="J97" s="2">
        <f t="shared" si="51"/>
        <v>2.2383326784535926E-13</v>
      </c>
      <c r="K97" s="2">
        <f t="shared" si="52"/>
        <v>1.5641303541985429E-13</v>
      </c>
      <c r="L97" s="2">
        <f t="shared" si="53"/>
        <v>2.6690024721304908E-13</v>
      </c>
      <c r="M97" s="2">
        <f t="shared" si="54"/>
        <v>0.50263086101557652</v>
      </c>
      <c r="N97" s="2">
        <f t="shared" si="55"/>
        <v>0.4973691389830921</v>
      </c>
      <c r="O97" s="2" t="str">
        <f t="shared" si="56"/>
        <v>OK</v>
      </c>
      <c r="P97" s="2">
        <f t="shared" si="57"/>
        <v>2.1942699430868804E-13</v>
      </c>
      <c r="Q97" s="2">
        <f t="shared" si="58"/>
        <v>2.2383326784535926E-13</v>
      </c>
      <c r="R97" s="2">
        <f t="shared" si="40"/>
        <v>4.4326026215404728E-13</v>
      </c>
      <c r="S97" s="56">
        <f t="shared" si="41"/>
        <v>2.5147898243350533E-12</v>
      </c>
      <c r="T97" s="56">
        <f t="shared" si="42"/>
        <v>3.1693552004276533E-10</v>
      </c>
      <c r="U97" s="56">
        <f t="shared" si="43"/>
        <v>6.5992140147648683E-9</v>
      </c>
      <c r="V97" s="56">
        <f t="shared" si="44"/>
        <v>5.3473740748128691E-11</v>
      </c>
      <c r="W97" s="56">
        <f t="shared" si="45"/>
        <v>1.2510136404259785E-11</v>
      </c>
      <c r="X97" s="56">
        <f t="shared" si="46"/>
        <v>6.9846482017843582E-9</v>
      </c>
      <c r="Z97" s="119"/>
    </row>
    <row r="98" spans="2:26" x14ac:dyDescent="0.2">
      <c r="B98" s="119"/>
      <c r="C98" s="2">
        <f t="shared" si="61"/>
        <v>87</v>
      </c>
      <c r="D98" s="2">
        <f t="shared" si="61"/>
        <v>87</v>
      </c>
      <c r="E98" s="2">
        <f t="shared" si="47"/>
        <v>0.23819301848049282</v>
      </c>
      <c r="F98" s="2">
        <f t="shared" si="60"/>
        <v>62.268193018480723</v>
      </c>
      <c r="G98" s="2">
        <f t="shared" si="48"/>
        <v>1.6887382311303712E-13</v>
      </c>
      <c r="H98" s="2">
        <f t="shared" si="49"/>
        <v>1.6968029010321282E-13</v>
      </c>
      <c r="I98" s="2">
        <f t="shared" si="50"/>
        <v>1.5970734652995062E-13</v>
      </c>
      <c r="J98" s="2">
        <f t="shared" si="51"/>
        <v>1.6291440068864232E-13</v>
      </c>
      <c r="K98" s="2">
        <f t="shared" si="52"/>
        <v>1.1384338070300509E-13</v>
      </c>
      <c r="L98" s="2">
        <f t="shared" si="53"/>
        <v>1.9426019303084523E-13</v>
      </c>
      <c r="M98" s="2">
        <f t="shared" si="54"/>
        <v>0.5026308610157586</v>
      </c>
      <c r="N98" s="2">
        <f t="shared" si="55"/>
        <v>0.4973691389832724</v>
      </c>
      <c r="O98" s="2" t="str">
        <f t="shared" si="56"/>
        <v>OK</v>
      </c>
      <c r="P98" s="2">
        <f t="shared" si="57"/>
        <v>1.5970734652995062E-13</v>
      </c>
      <c r="Q98" s="2">
        <f t="shared" si="58"/>
        <v>1.6291440068864232E-13</v>
      </c>
      <c r="R98" s="2">
        <f t="shared" si="40"/>
        <v>3.2262174721859297E-13</v>
      </c>
      <c r="S98" s="56">
        <f t="shared" si="41"/>
        <v>1.8303600757528563E-12</v>
      </c>
      <c r="T98" s="56">
        <f t="shared" si="42"/>
        <v>2.3067777547876615E-10</v>
      </c>
      <c r="U98" s="56">
        <f t="shared" si="43"/>
        <v>4.8031599885959403E-9</v>
      </c>
      <c r="V98" s="56">
        <f t="shared" si="44"/>
        <v>3.8920230716462885E-11</v>
      </c>
      <c r="W98" s="56">
        <f t="shared" si="45"/>
        <v>9.1053550459764936E-12</v>
      </c>
      <c r="X98" s="56">
        <f t="shared" si="46"/>
        <v>5.0836937099128979E-9</v>
      </c>
      <c r="Z98" s="119"/>
    </row>
    <row r="99" spans="2:26" x14ac:dyDescent="0.2">
      <c r="B99" s="119"/>
      <c r="C99" s="2">
        <f t="shared" si="61"/>
        <v>88</v>
      </c>
      <c r="D99" s="2">
        <f t="shared" si="61"/>
        <v>88</v>
      </c>
      <c r="E99" s="2">
        <f t="shared" si="47"/>
        <v>0.24093086926762491</v>
      </c>
      <c r="F99" s="2">
        <f t="shared" si="60"/>
        <v>62.270930869267858</v>
      </c>
      <c r="G99" s="2">
        <f t="shared" si="48"/>
        <v>1.2291281787239761E-13</v>
      </c>
      <c r="H99" s="2">
        <f t="shared" si="49"/>
        <v>1.2349979534739218E-13</v>
      </c>
      <c r="I99" s="2">
        <f t="shared" si="50"/>
        <v>1.1624110614100416E-13</v>
      </c>
      <c r="J99" s="2">
        <f t="shared" si="51"/>
        <v>1.185753226373663E-13</v>
      </c>
      <c r="K99" s="2">
        <f t="shared" si="52"/>
        <v>8.2859560234864115E-14</v>
      </c>
      <c r="L99" s="2">
        <f t="shared" si="53"/>
        <v>1.413899874219983E-13</v>
      </c>
      <c r="M99" s="2">
        <f t="shared" si="54"/>
        <v>0.50263086101589116</v>
      </c>
      <c r="N99" s="2">
        <f t="shared" si="55"/>
        <v>0.49736913898340362</v>
      </c>
      <c r="O99" s="2" t="str">
        <f t="shared" si="56"/>
        <v>OK</v>
      </c>
      <c r="P99" s="2">
        <f t="shared" si="57"/>
        <v>1.1624110614100416E-13</v>
      </c>
      <c r="Q99" s="2">
        <f t="shared" si="58"/>
        <v>1.185753226373663E-13</v>
      </c>
      <c r="R99" s="2">
        <f t="shared" si="40"/>
        <v>2.3481642877837046E-13</v>
      </c>
      <c r="S99" s="56">
        <f t="shared" si="41"/>
        <v>1.3322059658786195E-12</v>
      </c>
      <c r="T99" s="56">
        <f t="shared" si="42"/>
        <v>1.6789609474082266E-10</v>
      </c>
      <c r="U99" s="56">
        <f t="shared" si="43"/>
        <v>3.4959232757767973E-9</v>
      </c>
      <c r="V99" s="56">
        <f t="shared" si="44"/>
        <v>2.8327630306576438E-11</v>
      </c>
      <c r="W99" s="56">
        <f t="shared" si="45"/>
        <v>6.627225142410041E-12</v>
      </c>
      <c r="X99" s="56">
        <f t="shared" si="46"/>
        <v>3.700106431932485E-9</v>
      </c>
      <c r="Z99" s="119"/>
    </row>
    <row r="100" spans="2:26" x14ac:dyDescent="0.2">
      <c r="B100" s="119"/>
      <c r="C100" s="2">
        <f t="shared" si="61"/>
        <v>89</v>
      </c>
      <c r="D100" s="2">
        <f t="shared" si="61"/>
        <v>89</v>
      </c>
      <c r="E100" s="2">
        <f t="shared" si="47"/>
        <v>0.24366872005475701</v>
      </c>
      <c r="F100" s="2">
        <f t="shared" si="60"/>
        <v>62.273668720054992</v>
      </c>
      <c r="G100" s="2">
        <f t="shared" si="48"/>
        <v>8.9460642974967256E-14</v>
      </c>
      <c r="H100" s="2">
        <f t="shared" si="49"/>
        <v>8.988786759835315E-14</v>
      </c>
      <c r="I100" s="2">
        <f t="shared" si="50"/>
        <v>8.4604716379469961E-14</v>
      </c>
      <c r="J100" s="2">
        <f t="shared" si="51"/>
        <v>8.630364829090105E-14</v>
      </c>
      <c r="K100" s="2">
        <f t="shared" si="52"/>
        <v>6.030835240413626E-14</v>
      </c>
      <c r="L100" s="2">
        <f t="shared" si="53"/>
        <v>1.0290903262933842E-13</v>
      </c>
      <c r="M100" s="2">
        <f t="shared" si="54"/>
        <v>0.50263086101598764</v>
      </c>
      <c r="N100" s="2">
        <f t="shared" si="55"/>
        <v>0.49736913898349916</v>
      </c>
      <c r="O100" s="2" t="str">
        <f t="shared" si="56"/>
        <v>OK</v>
      </c>
      <c r="P100" s="2">
        <f t="shared" si="57"/>
        <v>8.4604716379469961E-14</v>
      </c>
      <c r="Q100" s="2">
        <f t="shared" si="58"/>
        <v>8.630364829090105E-14</v>
      </c>
      <c r="R100" s="2">
        <f t="shared" si="40"/>
        <v>1.7090836467037101E-13</v>
      </c>
      <c r="S100" s="56">
        <f t="shared" si="41"/>
        <v>9.6963037985440817E-13</v>
      </c>
      <c r="T100" s="56">
        <f t="shared" si="42"/>
        <v>1.2220118982296198E-10</v>
      </c>
      <c r="U100" s="56">
        <f t="shared" si="43"/>
        <v>2.5444664718925088E-9</v>
      </c>
      <c r="V100" s="56">
        <f t="shared" si="44"/>
        <v>2.0617931189360529E-11</v>
      </c>
      <c r="W100" s="56">
        <f t="shared" si="45"/>
        <v>4.8235475570608696E-12</v>
      </c>
      <c r="X100" s="56">
        <f t="shared" si="46"/>
        <v>2.6930787708417465E-9</v>
      </c>
      <c r="Z100" s="119"/>
    </row>
    <row r="101" spans="2:26" x14ac:dyDescent="0.2">
      <c r="B101" s="119"/>
      <c r="C101" s="2">
        <f t="shared" si="61"/>
        <v>90</v>
      </c>
      <c r="D101" s="2">
        <f t="shared" si="61"/>
        <v>90</v>
      </c>
      <c r="E101" s="2">
        <f t="shared" si="47"/>
        <v>0.24640657084188911</v>
      </c>
      <c r="F101" s="2">
        <f t="shared" si="60"/>
        <v>62.276406570842127</v>
      </c>
      <c r="G101" s="2">
        <f t="shared" si="48"/>
        <v>6.5112872522401324E-14</v>
      </c>
      <c r="H101" s="2">
        <f t="shared" si="49"/>
        <v>6.5423822919312088E-14</v>
      </c>
      <c r="I101" s="2">
        <f t="shared" si="50"/>
        <v>6.1578543694927695E-14</v>
      </c>
      <c r="J101" s="2">
        <f t="shared" si="51"/>
        <v>6.2815091223478373E-14</v>
      </c>
      <c r="K101" s="2">
        <f t="shared" si="52"/>
        <v>4.3894722098357662E-14</v>
      </c>
      <c r="L101" s="2">
        <f t="shared" si="53"/>
        <v>7.4901124116364027E-14</v>
      </c>
      <c r="M101" s="2">
        <f t="shared" si="54"/>
        <v>0.50263086101605781</v>
      </c>
      <c r="N101" s="2">
        <f t="shared" si="55"/>
        <v>0.49736913898356871</v>
      </c>
      <c r="O101" s="2" t="str">
        <f t="shared" si="56"/>
        <v>OK</v>
      </c>
      <c r="P101" s="2">
        <f t="shared" si="57"/>
        <v>6.1578543694927695E-14</v>
      </c>
      <c r="Q101" s="2">
        <f t="shared" si="58"/>
        <v>6.2815091223478373E-14</v>
      </c>
      <c r="R101" s="2">
        <f t="shared" si="40"/>
        <v>1.2439363491840608E-13</v>
      </c>
      <c r="S101" s="56">
        <f t="shared" si="41"/>
        <v>7.0573402132795004E-13</v>
      </c>
      <c r="T101" s="56">
        <f t="shared" si="42"/>
        <v>8.8942692903009534E-11</v>
      </c>
      <c r="U101" s="56">
        <f t="shared" si="43"/>
        <v>1.8519598732173301E-9</v>
      </c>
      <c r="V101" s="56">
        <f t="shared" si="44"/>
        <v>1.5006517732989341E-11</v>
      </c>
      <c r="W101" s="56">
        <f t="shared" si="45"/>
        <v>3.5107621267212307E-12</v>
      </c>
      <c r="X101" s="56">
        <f t="shared" si="46"/>
        <v>1.9601255800013782E-9</v>
      </c>
      <c r="Z101" s="119"/>
    </row>
    <row r="102" spans="2:26" x14ac:dyDescent="0.2">
      <c r="B102" s="119"/>
      <c r="C102" s="2">
        <f t="shared" si="61"/>
        <v>91</v>
      </c>
      <c r="D102" s="2">
        <f t="shared" si="61"/>
        <v>91</v>
      </c>
      <c r="E102" s="2">
        <f t="shared" si="47"/>
        <v>0.2491444216290212</v>
      </c>
      <c r="F102" s="2">
        <f t="shared" si="60"/>
        <v>62.279144421629262</v>
      </c>
      <c r="G102" s="2">
        <f t="shared" si="48"/>
        <v>4.7391635328451959E-14</v>
      </c>
      <c r="H102" s="2">
        <f t="shared" si="49"/>
        <v>4.7617956902739167E-14</v>
      </c>
      <c r="I102" s="2">
        <f t="shared" si="50"/>
        <v>4.4819215829299324E-14</v>
      </c>
      <c r="J102" s="2">
        <f t="shared" si="51"/>
        <v>4.5719222345203078E-14</v>
      </c>
      <c r="K102" s="2">
        <f t="shared" si="52"/>
        <v>3.1948255113663191E-14</v>
      </c>
      <c r="L102" s="2">
        <f t="shared" si="53"/>
        <v>5.4515898658788468E-14</v>
      </c>
      <c r="M102" s="2">
        <f t="shared" si="54"/>
        <v>0.50263086101610888</v>
      </c>
      <c r="N102" s="2">
        <f t="shared" si="55"/>
        <v>0.49736913898361934</v>
      </c>
      <c r="O102" s="2" t="str">
        <f t="shared" si="56"/>
        <v>OK</v>
      </c>
      <c r="P102" s="2">
        <f t="shared" si="57"/>
        <v>4.4819215829299324E-14</v>
      </c>
      <c r="Q102" s="2">
        <f t="shared" si="58"/>
        <v>4.5719222345203078E-14</v>
      </c>
      <c r="R102" s="2">
        <f t="shared" si="40"/>
        <v>9.0538438174502396E-14</v>
      </c>
      <c r="S102" s="56">
        <f t="shared" si="41"/>
        <v>5.1366017320383885E-13</v>
      </c>
      <c r="T102" s="56">
        <f t="shared" si="42"/>
        <v>6.473588867915096E-11</v>
      </c>
      <c r="U102" s="56">
        <f t="shared" si="43"/>
        <v>1.3479271233848035E-9</v>
      </c>
      <c r="V102" s="56">
        <f t="shared" si="44"/>
        <v>1.09223167155942E-11</v>
      </c>
      <c r="W102" s="56">
        <f t="shared" si="45"/>
        <v>2.5552667543160782E-12</v>
      </c>
      <c r="X102" s="56">
        <f t="shared" si="46"/>
        <v>1.4266542557070685E-9</v>
      </c>
      <c r="Z102" s="119"/>
    </row>
    <row r="103" spans="2:26" x14ac:dyDescent="0.2">
      <c r="B103" s="119"/>
      <c r="C103" s="2">
        <f t="shared" si="61"/>
        <v>92</v>
      </c>
      <c r="D103" s="2">
        <f t="shared" si="61"/>
        <v>92</v>
      </c>
      <c r="E103" s="2">
        <f t="shared" si="47"/>
        <v>0.2518822724161533</v>
      </c>
      <c r="F103" s="2">
        <f t="shared" si="60"/>
        <v>62.281882272416397</v>
      </c>
      <c r="G103" s="2">
        <f t="shared" si="48"/>
        <v>3.4493442112115037E-14</v>
      </c>
      <c r="H103" s="2">
        <f t="shared" si="49"/>
        <v>3.4658167597262239E-14</v>
      </c>
      <c r="I103" s="2">
        <f t="shared" si="50"/>
        <v>3.2621136958111904E-14</v>
      </c>
      <c r="J103" s="2">
        <f t="shared" si="51"/>
        <v>3.3276196072271973E-14</v>
      </c>
      <c r="K103" s="2">
        <f t="shared" si="52"/>
        <v>2.3253160198180092E-14</v>
      </c>
      <c r="L103" s="2">
        <f t="shared" si="53"/>
        <v>3.9678753044588676E-14</v>
      </c>
      <c r="M103" s="2">
        <f t="shared" si="54"/>
        <v>0.50263086101614607</v>
      </c>
      <c r="N103" s="2">
        <f t="shared" si="55"/>
        <v>0.4973691389836562</v>
      </c>
      <c r="O103" s="2" t="str">
        <f t="shared" si="56"/>
        <v>OK</v>
      </c>
      <c r="P103" s="2">
        <f t="shared" si="57"/>
        <v>3.2621136958111904E-14</v>
      </c>
      <c r="Q103" s="2">
        <f t="shared" si="58"/>
        <v>3.3276196072271973E-14</v>
      </c>
      <c r="R103" s="2">
        <f t="shared" si="40"/>
        <v>6.5897333030383876E-14</v>
      </c>
      <c r="S103" s="56">
        <f t="shared" si="41"/>
        <v>3.7386149110301971E-13</v>
      </c>
      <c r="T103" s="56">
        <f t="shared" si="42"/>
        <v>4.7117252090054777E-11</v>
      </c>
      <c r="U103" s="56">
        <f t="shared" si="43"/>
        <v>9.8107283868953171E-10</v>
      </c>
      <c r="V103" s="56">
        <f t="shared" si="44"/>
        <v>7.9496792366088939E-12</v>
      </c>
      <c r="W103" s="56">
        <f t="shared" si="45"/>
        <v>1.8598207312356276E-12</v>
      </c>
      <c r="X103" s="56">
        <f t="shared" si="46"/>
        <v>1.038373452238534E-9</v>
      </c>
      <c r="Z103" s="119"/>
    </row>
    <row r="104" spans="2:26" x14ac:dyDescent="0.2">
      <c r="B104" s="119"/>
      <c r="C104" s="2">
        <f t="shared" si="61"/>
        <v>93</v>
      </c>
      <c r="D104" s="2">
        <f t="shared" si="61"/>
        <v>93</v>
      </c>
      <c r="E104" s="2">
        <f t="shared" si="47"/>
        <v>0.25462012320328542</v>
      </c>
      <c r="F104" s="2">
        <f t="shared" si="60"/>
        <v>62.284620123203531</v>
      </c>
      <c r="G104" s="2">
        <f t="shared" si="48"/>
        <v>2.5105644498144724E-14</v>
      </c>
      <c r="H104" s="2">
        <f t="shared" si="49"/>
        <v>2.5225537997217623E-14</v>
      </c>
      <c r="I104" s="2">
        <f t="shared" si="50"/>
        <v>2.3742909302403348E-14</v>
      </c>
      <c r="J104" s="2">
        <f t="shared" si="51"/>
        <v>2.4219686342859866E-14</v>
      </c>
      <c r="K104" s="2">
        <f t="shared" si="52"/>
        <v>1.6924538046867652E-14</v>
      </c>
      <c r="L104" s="2">
        <f t="shared" si="53"/>
        <v>2.8879711825490513E-14</v>
      </c>
      <c r="M104" s="2">
        <f t="shared" si="54"/>
        <v>0.50263086101617316</v>
      </c>
      <c r="N104" s="2">
        <f t="shared" si="55"/>
        <v>0.49736913898368301</v>
      </c>
      <c r="O104" s="2" t="str">
        <f t="shared" si="56"/>
        <v>OK</v>
      </c>
      <c r="P104" s="2">
        <f t="shared" si="57"/>
        <v>2.3742909302403348E-14</v>
      </c>
      <c r="Q104" s="2">
        <f t="shared" si="58"/>
        <v>2.4219686342859866E-14</v>
      </c>
      <c r="R104" s="2">
        <f t="shared" si="40"/>
        <v>4.7962595645263215E-14</v>
      </c>
      <c r="S104" s="56">
        <f t="shared" si="41"/>
        <v>2.7211067125951105E-13</v>
      </c>
      <c r="T104" s="56">
        <f t="shared" si="42"/>
        <v>3.4293735512319653E-11</v>
      </c>
      <c r="U104" s="56">
        <f t="shared" si="43"/>
        <v>7.1406227986374757E-10</v>
      </c>
      <c r="V104" s="56">
        <f t="shared" si="44"/>
        <v>5.7860801522758679E-12</v>
      </c>
      <c r="W104" s="56">
        <f t="shared" si="45"/>
        <v>1.3536485560622473E-12</v>
      </c>
      <c r="X104" s="56">
        <f t="shared" si="46"/>
        <v>7.5576785475566483E-10</v>
      </c>
      <c r="Z104" s="119"/>
    </row>
    <row r="105" spans="2:26" x14ac:dyDescent="0.2">
      <c r="B105" s="119"/>
      <c r="C105" s="2">
        <f t="shared" si="61"/>
        <v>94</v>
      </c>
      <c r="D105" s="2">
        <f t="shared" si="61"/>
        <v>94</v>
      </c>
      <c r="E105" s="2">
        <f t="shared" si="47"/>
        <v>0.25735797399041754</v>
      </c>
      <c r="F105" s="2">
        <f t="shared" si="60"/>
        <v>62.287357973990666</v>
      </c>
      <c r="G105" s="2">
        <f t="shared" si="48"/>
        <v>1.8272846868067371E-14</v>
      </c>
      <c r="H105" s="2">
        <f t="shared" si="49"/>
        <v>1.8360109935510144E-14</v>
      </c>
      <c r="I105" s="2">
        <f t="shared" si="50"/>
        <v>1.7280996148785974E-14</v>
      </c>
      <c r="J105" s="2">
        <f t="shared" si="51"/>
        <v>1.7628012687282569E-14</v>
      </c>
      <c r="K105" s="2">
        <f t="shared" si="52"/>
        <v>1.2318325150587014E-14</v>
      </c>
      <c r="L105" s="2">
        <f t="shared" si="53"/>
        <v>2.1019757203209819E-14</v>
      </c>
      <c r="M105" s="2">
        <f t="shared" si="54"/>
        <v>0.50263086101619281</v>
      </c>
      <c r="N105" s="2">
        <f t="shared" si="55"/>
        <v>0.4973691389837025</v>
      </c>
      <c r="O105" s="2" t="str">
        <f t="shared" si="56"/>
        <v>OK</v>
      </c>
      <c r="P105" s="2">
        <f t="shared" si="57"/>
        <v>1.7280996148785974E-14</v>
      </c>
      <c r="Q105" s="2">
        <f t="shared" si="58"/>
        <v>1.7628012687282569E-14</v>
      </c>
      <c r="R105" s="2">
        <f t="shared" si="40"/>
        <v>3.490900883606854E-14</v>
      </c>
      <c r="S105" s="56">
        <f t="shared" si="41"/>
        <v>1.980525386416393E-13</v>
      </c>
      <c r="T105" s="56">
        <f t="shared" si="42"/>
        <v>2.4960290407877367E-11</v>
      </c>
      <c r="U105" s="56">
        <f t="shared" si="43"/>
        <v>5.1972179782827545E-10</v>
      </c>
      <c r="V105" s="56">
        <f t="shared" si="44"/>
        <v>4.211330109319203E-12</v>
      </c>
      <c r="W105" s="56">
        <f t="shared" si="45"/>
        <v>9.8523711589773534E-13</v>
      </c>
      <c r="X105" s="56">
        <f t="shared" si="46"/>
        <v>5.5007670800001134E-10</v>
      </c>
      <c r="Z105" s="119"/>
    </row>
    <row r="106" spans="2:26" x14ac:dyDescent="0.2">
      <c r="B106" s="119"/>
      <c r="C106" s="2">
        <f t="shared" si="61"/>
        <v>95</v>
      </c>
      <c r="D106" s="2">
        <f t="shared" si="61"/>
        <v>95</v>
      </c>
      <c r="E106" s="2">
        <f t="shared" si="47"/>
        <v>0.26009582477754961</v>
      </c>
      <c r="F106" s="2">
        <f t="shared" si="60"/>
        <v>62.290095824777801</v>
      </c>
      <c r="G106" s="2">
        <f t="shared" si="48"/>
        <v>1.3299675803523551E-14</v>
      </c>
      <c r="H106" s="2">
        <f t="shared" si="49"/>
        <v>1.3363189196646657E-14</v>
      </c>
      <c r="I106" s="2">
        <f t="shared" si="50"/>
        <v>1.2577768970550162E-14</v>
      </c>
      <c r="J106" s="2">
        <f t="shared" si="51"/>
        <v>1.2830340860074991E-14</v>
      </c>
      <c r="K106" s="2">
        <f t="shared" si="52"/>
        <v>8.9657474901460267E-15</v>
      </c>
      <c r="L106" s="2">
        <f t="shared" si="53"/>
        <v>1.5298982051888486E-14</v>
      </c>
      <c r="M106" s="2">
        <f t="shared" si="54"/>
        <v>0.50263086101620713</v>
      </c>
      <c r="N106" s="2">
        <f t="shared" si="55"/>
        <v>0.49736913898371671</v>
      </c>
      <c r="O106" s="2" t="str">
        <f t="shared" si="56"/>
        <v>OK</v>
      </c>
      <c r="P106" s="2">
        <f t="shared" si="57"/>
        <v>1.2577768970550162E-14</v>
      </c>
      <c r="Q106" s="2">
        <f t="shared" si="58"/>
        <v>1.2830340860074991E-14</v>
      </c>
      <c r="R106" s="2">
        <f t="shared" si="40"/>
        <v>2.5408109830625154E-14</v>
      </c>
      <c r="S106" s="56">
        <f t="shared" si="41"/>
        <v>1.4415020138989497E-13</v>
      </c>
      <c r="T106" s="56">
        <f t="shared" si="42"/>
        <v>1.816705260999529E-11</v>
      </c>
      <c r="U106" s="56">
        <f t="shared" si="43"/>
        <v>3.7827337300241576E-10</v>
      </c>
      <c r="V106" s="56">
        <f t="shared" si="44"/>
        <v>3.0651668872375674E-12</v>
      </c>
      <c r="W106" s="56">
        <f t="shared" si="45"/>
        <v>7.1709319985256965E-13</v>
      </c>
      <c r="X106" s="56">
        <f t="shared" si="46"/>
        <v>4.0036683590089114E-10</v>
      </c>
      <c r="Z106" s="119"/>
    </row>
    <row r="107" spans="2:26" x14ac:dyDescent="0.2">
      <c r="B107" s="119"/>
      <c r="C107" s="2">
        <f t="shared" si="61"/>
        <v>96</v>
      </c>
      <c r="D107" s="2">
        <f t="shared" si="61"/>
        <v>96</v>
      </c>
      <c r="E107" s="2">
        <f t="shared" si="47"/>
        <v>0.26283367556468173</v>
      </c>
      <c r="F107" s="2">
        <f t="shared" si="60"/>
        <v>62.292833675564935</v>
      </c>
      <c r="G107" s="2">
        <f t="shared" si="48"/>
        <v>9.6800119738286659E-15</v>
      </c>
      <c r="H107" s="2">
        <f t="shared" si="49"/>
        <v>9.7262394469650613E-15</v>
      </c>
      <c r="I107" s="2">
        <f t="shared" si="50"/>
        <v>9.1545806106581637E-15</v>
      </c>
      <c r="J107" s="2">
        <f t="shared" si="51"/>
        <v>9.3384120777534092E-15</v>
      </c>
      <c r="K107" s="2">
        <f t="shared" si="52"/>
        <v>6.5256134315653408E-15</v>
      </c>
      <c r="L107" s="2">
        <f t="shared" si="53"/>
        <v>1.1135183416308165E-14</v>
      </c>
      <c r="M107" s="2">
        <f t="shared" si="54"/>
        <v>0.50263086101621757</v>
      </c>
      <c r="N107" s="2">
        <f t="shared" si="55"/>
        <v>0.49736913898372703</v>
      </c>
      <c r="O107" s="2" t="str">
        <f t="shared" si="56"/>
        <v>OK</v>
      </c>
      <c r="P107" s="2">
        <f t="shared" si="57"/>
        <v>9.1545806106581637E-15</v>
      </c>
      <c r="Q107" s="2">
        <f t="shared" si="58"/>
        <v>9.3384120777534092E-15</v>
      </c>
      <c r="R107" s="2">
        <f>SUM(P107:Q107)</f>
        <v>1.8492992688411573E-14</v>
      </c>
      <c r="S107" s="56">
        <f t="shared" si="41"/>
        <v>1.0491802176969704E-13</v>
      </c>
      <c r="T107" s="56">
        <f t="shared" si="42"/>
        <v>1.3222674702141159E-11</v>
      </c>
      <c r="U107" s="56">
        <f t="shared" si="43"/>
        <v>2.7532180739878124E-10</v>
      </c>
      <c r="V107" s="56">
        <f t="shared" si="44"/>
        <v>2.2309455214225555E-12</v>
      </c>
      <c r="W107" s="56">
        <f t="shared" ref="W107:W111" si="62">IF(Incl_AE="Yes",Adverse_Event_Cost*K109,0)</f>
        <v>5.2192781714911787E-13</v>
      </c>
      <c r="X107" s="56">
        <f>SUM(S107:W107)</f>
        <v>2.9140227346126379E-10</v>
      </c>
      <c r="Z107" s="119"/>
    </row>
    <row r="108" spans="2:26" x14ac:dyDescent="0.2">
      <c r="B108" s="119"/>
      <c r="C108" s="2">
        <f t="shared" si="61"/>
        <v>97</v>
      </c>
      <c r="D108" s="2">
        <f t="shared" si="61"/>
        <v>97</v>
      </c>
      <c r="E108" s="2">
        <f t="shared" si="47"/>
        <v>0.2655715263518138</v>
      </c>
      <c r="F108" s="2">
        <f t="shared" si="60"/>
        <v>62.29557152635207</v>
      </c>
      <c r="G108" s="2">
        <f t="shared" si="48"/>
        <v>7.0454824010553127E-15</v>
      </c>
      <c r="H108" s="2">
        <f t="shared" si="49"/>
        <v>7.0791285214638724E-15</v>
      </c>
      <c r="I108" s="2">
        <f t="shared" si="50"/>
        <v>6.6630533883444849E-15</v>
      </c>
      <c r="J108" s="2">
        <f t="shared" si="51"/>
        <v>6.796852950750136E-15</v>
      </c>
      <c r="K108" s="2">
        <f t="shared" si="52"/>
        <v>4.749590673285002E-15</v>
      </c>
      <c r="L108" s="2">
        <f t="shared" si="53"/>
        <v>8.1046117509183519E-15</v>
      </c>
      <c r="M108" s="2">
        <f t="shared" si="54"/>
        <v>0.50263086101622512</v>
      </c>
      <c r="N108" s="2">
        <f t="shared" si="55"/>
        <v>0.49736913898373458</v>
      </c>
      <c r="O108" s="2" t="str">
        <f t="shared" si="56"/>
        <v>OK</v>
      </c>
      <c r="P108" s="2">
        <f t="shared" si="57"/>
        <v>6.6630533883444849E-15</v>
      </c>
      <c r="Q108" s="2">
        <f t="shared" si="58"/>
        <v>6.796852950750136E-15</v>
      </c>
      <c r="R108" s="2">
        <f>SUM(P108:Q108)</f>
        <v>1.3459906339094621E-14</v>
      </c>
      <c r="S108" s="56">
        <f t="shared" si="41"/>
        <v>7.6363343137433024E-14</v>
      </c>
      <c r="T108" s="56">
        <f t="shared" si="42"/>
        <v>9.6239676315160443E-12</v>
      </c>
      <c r="U108" s="56">
        <f t="shared" si="43"/>
        <v>2.0038972615936012E-10</v>
      </c>
      <c r="V108" s="56">
        <f t="shared" si="44"/>
        <v>1.6237673518784833E-12</v>
      </c>
      <c r="W108" s="56">
        <f t="shared" si="62"/>
        <v>3.7987899811356289E-13</v>
      </c>
      <c r="X108" s="56">
        <f>SUM(S108:W108)</f>
        <v>2.1209370348400562E-10</v>
      </c>
      <c r="Z108" s="119"/>
    </row>
    <row r="109" spans="2:26" x14ac:dyDescent="0.2">
      <c r="B109" s="119"/>
      <c r="C109" s="2">
        <f t="shared" ref="C109:D111" si="63">C108+1</f>
        <v>98</v>
      </c>
      <c r="D109" s="2">
        <f t="shared" si="63"/>
        <v>98</v>
      </c>
      <c r="E109" s="2">
        <f t="shared" si="47"/>
        <v>0.26830937713894593</v>
      </c>
      <c r="F109" s="2">
        <f t="shared" si="60"/>
        <v>62.298309377139205</v>
      </c>
      <c r="G109" s="2">
        <f t="shared" si="48"/>
        <v>5.1279711634433906E-15</v>
      </c>
      <c r="H109" s="2">
        <f t="shared" si="49"/>
        <v>5.1524600948458724E-15</v>
      </c>
      <c r="I109" s="2">
        <f t="shared" si="50"/>
        <v>4.8496247227580076E-15</v>
      </c>
      <c r="J109" s="2">
        <f t="shared" si="51"/>
        <v>4.9470091541767503E-15</v>
      </c>
      <c r="K109" s="2">
        <f t="shared" si="52"/>
        <v>3.4569334822434614E-15</v>
      </c>
      <c r="L109" s="2">
        <f t="shared" si="53"/>
        <v>5.8988459531725784E-15</v>
      </c>
      <c r="M109" s="2">
        <f t="shared" si="54"/>
        <v>0.50263086101623067</v>
      </c>
      <c r="N109" s="2">
        <f t="shared" si="55"/>
        <v>0.49736913898374008</v>
      </c>
      <c r="O109" s="2" t="str">
        <f t="shared" si="56"/>
        <v>OK</v>
      </c>
      <c r="P109" s="2">
        <f t="shared" si="57"/>
        <v>4.8496247227580076E-15</v>
      </c>
      <c r="Q109" s="2">
        <f t="shared" si="58"/>
        <v>4.9470091541767503E-15</v>
      </c>
      <c r="R109" s="2">
        <f>SUM(P109:Q109)</f>
        <v>9.796633876934758E-15</v>
      </c>
      <c r="S109" s="56">
        <f t="shared" si="41"/>
        <v>5.5580157505500949E-14</v>
      </c>
      <c r="T109" s="56">
        <f t="shared" si="42"/>
        <v>7.004691188347121E-12</v>
      </c>
      <c r="U109" s="56">
        <f t="shared" si="43"/>
        <v>1.4585129572413632E-10</v>
      </c>
      <c r="V109" s="56">
        <f t="shared" si="44"/>
        <v>1.1818398915206272E-12</v>
      </c>
      <c r="W109" s="56">
        <f t="shared" si="62"/>
        <v>2.7649044267463256E-13</v>
      </c>
      <c r="X109" s="56">
        <f>SUM(S109:W109)</f>
        <v>1.5436989740418419E-10</v>
      </c>
      <c r="Z109" s="119"/>
    </row>
    <row r="110" spans="2:26" x14ac:dyDescent="0.2">
      <c r="B110" s="119"/>
      <c r="C110" s="2">
        <f t="shared" si="63"/>
        <v>99</v>
      </c>
      <c r="D110" s="2">
        <f t="shared" si="63"/>
        <v>99</v>
      </c>
      <c r="E110" s="2">
        <f t="shared" si="47"/>
        <v>0.27104722792607805</v>
      </c>
      <c r="F110" s="2">
        <f t="shared" si="60"/>
        <v>62.30104722792634</v>
      </c>
      <c r="G110" s="2">
        <f t="shared" si="48"/>
        <v>3.7323332535992401E-15</v>
      </c>
      <c r="H110" s="2">
        <f t="shared" si="49"/>
        <v>3.7501572331235743E-15</v>
      </c>
      <c r="I110" s="2">
        <f t="shared" si="50"/>
        <v>3.5297420838210068E-15</v>
      </c>
      <c r="J110" s="2">
        <f t="shared" si="51"/>
        <v>3.6006221921878719E-15</v>
      </c>
      <c r="K110" s="2">
        <f t="shared" si="52"/>
        <v>2.5160882111111593E-15</v>
      </c>
      <c r="L110" s="2">
        <f t="shared" si="53"/>
        <v>4.2934053658175113E-15</v>
      </c>
      <c r="M110" s="2">
        <f t="shared" si="54"/>
        <v>0.50263086101623466</v>
      </c>
      <c r="N110" s="2">
        <f t="shared" si="55"/>
        <v>0.49736913898374407</v>
      </c>
      <c r="O110" s="2" t="str">
        <f t="shared" si="56"/>
        <v>OK</v>
      </c>
      <c r="P110" s="2">
        <f t="shared" si="57"/>
        <v>3.5297420838210068E-15</v>
      </c>
      <c r="Q110" s="2">
        <f t="shared" si="58"/>
        <v>3.6006221921878719E-15</v>
      </c>
      <c r="R110" s="2">
        <f>SUM(P110:Q110)</f>
        <v>7.1303642760088791E-15</v>
      </c>
      <c r="S110" s="56">
        <f t="shared" si="41"/>
        <v>4.0453361278024006E-14</v>
      </c>
      <c r="T110" s="56">
        <f t="shared" si="42"/>
        <v>5.0982817609891087E-12</v>
      </c>
      <c r="U110" s="56">
        <f t="shared" si="43"/>
        <v>1.0615614319215351E-10</v>
      </c>
      <c r="V110" s="56">
        <f t="shared" si="44"/>
        <v>8.6018820834994537E-13</v>
      </c>
      <c r="W110" s="56">
        <f t="shared" si="62"/>
        <v>0</v>
      </c>
      <c r="X110" s="56">
        <f>SUM(S110:W110)</f>
        <v>1.121550665227706E-10</v>
      </c>
      <c r="Z110" s="119"/>
    </row>
    <row r="111" spans="2:26" x14ac:dyDescent="0.2">
      <c r="B111" s="119"/>
      <c r="C111" s="2">
        <f t="shared" si="63"/>
        <v>100</v>
      </c>
      <c r="D111" s="2">
        <f t="shared" si="63"/>
        <v>100</v>
      </c>
      <c r="E111" s="2">
        <f t="shared" si="47"/>
        <v>0.27378507871321012</v>
      </c>
      <c r="F111" s="2">
        <f t="shared" si="60"/>
        <v>62.303785078713474</v>
      </c>
      <c r="G111" s="2">
        <f t="shared" si="48"/>
        <v>2.7165346824159204E-15</v>
      </c>
      <c r="H111" s="2">
        <f t="shared" si="49"/>
        <v>2.7295076554241138E-15</v>
      </c>
      <c r="I111" s="2">
        <f t="shared" si="50"/>
        <v>2.5690810919512799E-15</v>
      </c>
      <c r="J111" s="2">
        <f t="shared" si="51"/>
        <v>2.6206703417821472E-15</v>
      </c>
      <c r="K111" s="2">
        <f t="shared" si="52"/>
        <v>1.8313050912348161E-15</v>
      </c>
      <c r="L111" s="2">
        <f t="shared" si="53"/>
        <v>3.1249043934291239E-15</v>
      </c>
      <c r="M111" s="2">
        <f t="shared" si="54"/>
        <v>0.50263086101623755</v>
      </c>
      <c r="N111" s="2">
        <f t="shared" si="55"/>
        <v>0.49736913898374696</v>
      </c>
      <c r="O111" s="2" t="str">
        <f t="shared" si="56"/>
        <v>OK</v>
      </c>
      <c r="P111" s="2">
        <f t="shared" si="57"/>
        <v>2.5690810919512799E-15</v>
      </c>
      <c r="Q111" s="2">
        <f t="shared" si="58"/>
        <v>2.6206703417821472E-15</v>
      </c>
      <c r="R111" s="2">
        <f>SUM(P111:Q111)</f>
        <v>5.1897514337334271E-15</v>
      </c>
      <c r="S111" s="56">
        <f t="shared" si="41"/>
        <v>2.9443501280620966E-14</v>
      </c>
      <c r="T111" s="56">
        <f t="shared" si="42"/>
        <v>3.7107241726337373E-12</v>
      </c>
      <c r="U111" s="56">
        <f t="shared" si="43"/>
        <v>6.874384035541651E-11</v>
      </c>
      <c r="V111" s="56">
        <f t="shared" si="44"/>
        <v>6.2607782923307664E-13</v>
      </c>
      <c r="W111" s="56">
        <f t="shared" si="62"/>
        <v>0</v>
      </c>
      <c r="X111" s="56">
        <f>SUM(S111:W111)</f>
        <v>7.3110085858563946E-11</v>
      </c>
      <c r="Z111" s="119"/>
    </row>
    <row r="112" spans="2:26" x14ac:dyDescent="0.2">
      <c r="B112" s="119"/>
      <c r="C112" s="1"/>
      <c r="D112" s="1"/>
      <c r="E112" s="1"/>
      <c r="F112" s="1"/>
      <c r="G112" s="1"/>
      <c r="H112" s="1"/>
      <c r="I112" s="1"/>
      <c r="J112" s="1"/>
      <c r="K112" s="1"/>
      <c r="L112" s="1"/>
      <c r="M112" s="1"/>
      <c r="N112" s="1"/>
      <c r="O112" s="1"/>
      <c r="P112" s="1"/>
      <c r="Q112" s="1"/>
      <c r="R112" s="1"/>
      <c r="S112" s="1"/>
      <c r="T112" s="1"/>
      <c r="U112" s="1"/>
      <c r="V112" s="1"/>
      <c r="W112" s="1"/>
      <c r="X112" s="1"/>
      <c r="Z112" s="119"/>
    </row>
    <row r="113" spans="1:26" ht="16" thickBot="1" x14ac:dyDescent="0.25">
      <c r="A113" s="93"/>
      <c r="B113" s="98"/>
      <c r="C113" s="95"/>
      <c r="D113" s="95"/>
      <c r="E113" s="95"/>
      <c r="F113" s="95"/>
      <c r="G113" s="95"/>
      <c r="H113" s="95"/>
      <c r="I113" s="95"/>
      <c r="J113" s="95"/>
      <c r="K113" s="95"/>
      <c r="L113" s="95"/>
      <c r="M113" s="95"/>
      <c r="N113" s="95"/>
      <c r="O113" s="95"/>
      <c r="P113" s="95"/>
      <c r="Q113" s="95"/>
      <c r="R113" s="95"/>
      <c r="S113" s="95"/>
      <c r="T113" s="95"/>
      <c r="U113" s="95"/>
      <c r="V113" s="95"/>
      <c r="W113" s="95"/>
      <c r="X113" s="95"/>
      <c r="Y113" s="95"/>
      <c r="Z113" s="94"/>
    </row>
  </sheetData>
  <mergeCells count="3">
    <mergeCell ref="P8:Q8"/>
    <mergeCell ref="S8:W8"/>
    <mergeCell ref="G8:N8"/>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3745D-0A47-427F-A8A5-4AA6D8C0E2EB}">
  <sheetPr codeName="Sheet17">
    <tabColor theme="2" tint="-0.499984740745262"/>
  </sheetPr>
  <dimension ref="A3:AC289"/>
  <sheetViews>
    <sheetView showGridLines="0" workbookViewId="0"/>
  </sheetViews>
  <sheetFormatPr baseColWidth="10" defaultColWidth="8.83203125" defaultRowHeight="15" x14ac:dyDescent="0.2"/>
  <cols>
    <col min="1" max="2" width="14.6640625" customWidth="1"/>
    <col min="3" max="3" width="13" bestFit="1" customWidth="1"/>
    <col min="4" max="4" width="16.33203125" customWidth="1"/>
    <col min="7" max="7" width="40.6640625" customWidth="1"/>
    <col min="8" max="8" width="10.5" bestFit="1" customWidth="1"/>
    <col min="9" max="9" width="11.83203125" bestFit="1" customWidth="1"/>
    <col min="10" max="10" width="11.1640625" bestFit="1" customWidth="1"/>
    <col min="11" max="11" width="25.1640625" customWidth="1"/>
    <col min="14" max="14" width="40.5" customWidth="1"/>
    <col min="15" max="15" width="34.83203125" customWidth="1"/>
  </cols>
  <sheetData>
    <row r="3" spans="2:29" ht="26" x14ac:dyDescent="0.3">
      <c r="G3" s="96" t="s">
        <v>413</v>
      </c>
    </row>
    <row r="4" spans="2:29" ht="16" thickBot="1" x14ac:dyDescent="0.25"/>
    <row r="5" spans="2:29" ht="16" thickBot="1" x14ac:dyDescent="0.25">
      <c r="B5" s="90"/>
      <c r="C5" s="91"/>
      <c r="D5" s="91"/>
      <c r="E5" s="91"/>
      <c r="F5" s="91"/>
      <c r="G5" s="91"/>
      <c r="H5" s="91"/>
      <c r="I5" s="91"/>
      <c r="J5" s="91"/>
      <c r="K5" s="91"/>
      <c r="L5" s="91"/>
      <c r="M5" s="91"/>
      <c r="N5" s="91"/>
      <c r="O5" s="91"/>
      <c r="P5" s="91"/>
      <c r="Q5" s="91"/>
      <c r="R5" s="91"/>
      <c r="S5" s="91"/>
      <c r="T5" s="91"/>
      <c r="U5" s="91"/>
      <c r="V5" s="91"/>
      <c r="W5" s="91"/>
      <c r="X5" s="91"/>
      <c r="Y5" s="91"/>
      <c r="Z5" s="91"/>
      <c r="AA5" s="91"/>
      <c r="AB5" s="92"/>
    </row>
    <row r="6" spans="2:29" x14ac:dyDescent="0.2">
      <c r="B6" s="119"/>
      <c r="AC6" s="119"/>
    </row>
    <row r="7" spans="2:29" ht="16" thickBot="1" x14ac:dyDescent="0.25">
      <c r="B7" s="119"/>
      <c r="AC7" s="119"/>
    </row>
    <row r="8" spans="2:29" x14ac:dyDescent="0.2">
      <c r="B8" s="119"/>
      <c r="C8" s="62" t="s">
        <v>194</v>
      </c>
      <c r="D8" s="62" t="str">
        <f>'Model Settings'!E15</f>
        <v>France</v>
      </c>
      <c r="G8" s="218" t="s">
        <v>79</v>
      </c>
      <c r="H8" s="219"/>
      <c r="I8" s="219"/>
      <c r="J8" s="219"/>
      <c r="K8" s="220"/>
      <c r="N8" t="s">
        <v>202</v>
      </c>
      <c r="AC8" s="119"/>
    </row>
    <row r="9" spans="2:29" ht="16" x14ac:dyDescent="0.2">
      <c r="B9" s="119"/>
      <c r="C9" s="62" t="s">
        <v>195</v>
      </c>
      <c r="D9" s="62" t="str">
        <f ca="1">TEXT(TODAY(),"[$-en-IN,1]dd mmmm yyyy;@")</f>
        <v>13 December 2024</v>
      </c>
      <c r="G9" s="182" t="s">
        <v>197</v>
      </c>
      <c r="H9" s="175" t="s">
        <v>198</v>
      </c>
      <c r="I9" s="175" t="s">
        <v>199</v>
      </c>
      <c r="J9" s="175" t="s">
        <v>200</v>
      </c>
      <c r="K9" s="183" t="s">
        <v>122</v>
      </c>
      <c r="N9" t="s">
        <v>91</v>
      </c>
      <c r="AC9" s="119"/>
    </row>
    <row r="10" spans="2:29" ht="16" x14ac:dyDescent="0.2">
      <c r="B10" s="119"/>
      <c r="C10" s="62" t="s">
        <v>196</v>
      </c>
      <c r="D10" s="62" t="s">
        <v>204</v>
      </c>
      <c r="G10" s="172" t="s">
        <v>31</v>
      </c>
      <c r="H10" s="173">
        <f>con_age</f>
        <v>62.03</v>
      </c>
      <c r="I10" s="173">
        <v>18</v>
      </c>
      <c r="J10" s="173">
        <v>93</v>
      </c>
      <c r="K10" s="174" t="str">
        <f>'Model Settings'!H17</f>
        <v>[Franck Maunoury et al.]</v>
      </c>
      <c r="N10" s="2" t="s">
        <v>71</v>
      </c>
      <c r="O10" t="str">
        <f>N11&amp;","&amp;N12&amp;","&amp;N13&amp;","&amp;N14&amp;" and "&amp;N15&amp;"."</f>
        <v>ICU Cost without CRBSI,Additional ICU Length of stay (LOS) due to CRBSI,Direct cost of treating CRBSI ,Cost for Catheres charged and Transition from state 1 to state 3 (PVI T1).</v>
      </c>
      <c r="AC10" s="119"/>
    </row>
    <row r="11" spans="2:29" x14ac:dyDescent="0.2">
      <c r="B11" s="119"/>
      <c r="G11" s="221" t="s">
        <v>201</v>
      </c>
      <c r="H11" s="222"/>
      <c r="I11" s="222"/>
      <c r="J11" s="222"/>
      <c r="K11" s="223"/>
      <c r="N11" s="62" t="str">
        <f>OWSA!C21</f>
        <v>ICU Cost without CRBSI</v>
      </c>
      <c r="AC11" s="119"/>
    </row>
    <row r="12" spans="2:29" ht="16" x14ac:dyDescent="0.2">
      <c r="B12" s="119"/>
      <c r="G12" s="182" t="s">
        <v>197</v>
      </c>
      <c r="H12" s="175" t="s">
        <v>198</v>
      </c>
      <c r="I12" s="175" t="s">
        <v>199</v>
      </c>
      <c r="J12" s="175" t="s">
        <v>200</v>
      </c>
      <c r="K12" s="183" t="s">
        <v>122</v>
      </c>
      <c r="N12" s="62" t="str">
        <f>OWSA!C22</f>
        <v>Additional ICU Length of stay (LOS) due to CRBSI</v>
      </c>
      <c r="AC12" s="119"/>
    </row>
    <row r="13" spans="2:29" ht="16" x14ac:dyDescent="0.2">
      <c r="B13" s="119"/>
      <c r="G13" s="172" t="str">
        <f>Parameters!E15</f>
        <v>Transition from state 1 to state 1 (CHG T1)</v>
      </c>
      <c r="H13" s="176">
        <f>Parameters!H15</f>
        <v>4.14179894198256E-4</v>
      </c>
      <c r="I13" s="176">
        <f>Parameters!J15</f>
        <v>3.3300212662333681E-4</v>
      </c>
      <c r="J13" s="177">
        <f>Parameters!K15</f>
        <v>4.9535766177317519E-4</v>
      </c>
      <c r="K13" s="174" t="str">
        <f>'Transition Probabilites'!I11</f>
        <v>[Franck Maunoury et al.]</v>
      </c>
      <c r="N13" s="62" t="str">
        <f>OWSA!C23</f>
        <v xml:space="preserve">Direct cost of treating CRBSI </v>
      </c>
      <c r="AC13" s="119"/>
    </row>
    <row r="14" spans="2:29" ht="16" x14ac:dyDescent="0.2">
      <c r="B14" s="119"/>
      <c r="G14" s="170" t="str">
        <f>Parameters!E16</f>
        <v>Transition from state 1 to state 2 (CHG T1)</v>
      </c>
      <c r="H14" s="169">
        <f>Parameters!H16</f>
        <v>5.218848880929538E-4</v>
      </c>
      <c r="I14" s="169">
        <f>Parameters!J16</f>
        <v>4.195973296191632E-4</v>
      </c>
      <c r="J14" s="65">
        <f>Parameters!K16</f>
        <v>6.241724465667444E-4</v>
      </c>
      <c r="K14" s="171" t="str">
        <f>'Transition Probabilites'!I12</f>
        <v>[Franck Maunoury et al.]</v>
      </c>
      <c r="N14" s="62" t="str">
        <f>OWSA!C24</f>
        <v>Cost for Catheres charged</v>
      </c>
      <c r="AC14" s="119"/>
    </row>
    <row r="15" spans="2:29" ht="16" x14ac:dyDescent="0.2">
      <c r="B15" s="119"/>
      <c r="G15" s="170" t="str">
        <f>Parameters!E17</f>
        <v>Transition from state 1 to state 3 (CHG T1)</v>
      </c>
      <c r="H15" s="169">
        <f>Parameters!H17</f>
        <v>1.8252485544790525E-10</v>
      </c>
      <c r="I15" s="169">
        <f>Parameters!J17</f>
        <v>1.4675064115177786E-10</v>
      </c>
      <c r="J15" s="65">
        <f>Parameters!K17</f>
        <v>2.1829906974403261E-10</v>
      </c>
      <c r="K15" s="171" t="str">
        <f>'Transition Probabilites'!I13</f>
        <v>[Franck Maunoury et al.]</v>
      </c>
      <c r="N15" s="62" t="str">
        <f>OWSA!C25</f>
        <v>Transition from state 1 to state 3 (PVI T1)</v>
      </c>
      <c r="AC15" s="119"/>
    </row>
    <row r="16" spans="2:29" ht="16" x14ac:dyDescent="0.2">
      <c r="B16" s="119"/>
      <c r="G16" s="170" t="str">
        <f>Parameters!E18</f>
        <v>Transition from state 1 to state 4 (CHG T1)</v>
      </c>
      <c r="H16" s="169">
        <f>Parameters!H18</f>
        <v>8.5607902293460592E-5</v>
      </c>
      <c r="I16" s="169">
        <f>Parameters!J18</f>
        <v>6.882906176473993E-5</v>
      </c>
      <c r="J16" s="65">
        <f>Parameters!K18</f>
        <v>1.0238674282218125E-4</v>
      </c>
      <c r="K16" s="171" t="str">
        <f>'Transition Probabilites'!I14</f>
        <v>[Franck Maunoury et al.]</v>
      </c>
      <c r="N16" s="62" t="str">
        <f>OWSA!C26</f>
        <v>Transition from state 1 to state 4 (PVI T1)</v>
      </c>
      <c r="AC16" s="119"/>
    </row>
    <row r="17" spans="2:29" ht="16" x14ac:dyDescent="0.2">
      <c r="B17" s="119"/>
      <c r="G17" s="170" t="str">
        <f>Parameters!E19</f>
        <v>Transition from state 1 to state 5 (CHG T1)</v>
      </c>
      <c r="H17" s="169">
        <f>Parameters!H19</f>
        <v>1.4232235962797283E-10</v>
      </c>
      <c r="I17" s="169">
        <f>Parameters!J19</f>
        <v>1.1442768972141442E-10</v>
      </c>
      <c r="J17" s="65">
        <f>Parameters!K19</f>
        <v>1.7021702953453124E-10</v>
      </c>
      <c r="K17" s="171" t="str">
        <f>'Transition Probabilites'!I15</f>
        <v>[Franck Maunoury et al.]</v>
      </c>
      <c r="N17" s="62" t="str">
        <f>OWSA!C27</f>
        <v>Transition from state 1 to state 4 (CHG T1)</v>
      </c>
      <c r="AC17" s="119"/>
    </row>
    <row r="18" spans="2:29" ht="16" x14ac:dyDescent="0.2">
      <c r="B18" s="119"/>
      <c r="G18" s="170" t="str">
        <f>Parameters!E20</f>
        <v>Transition from state 1 to state 6 (CHG T1)</v>
      </c>
      <c r="H18" s="169">
        <f>Parameters!H20</f>
        <v>0</v>
      </c>
      <c r="I18" s="169">
        <f>Parameters!J20</f>
        <v>0</v>
      </c>
      <c r="J18" s="65">
        <f>Parameters!K20</f>
        <v>0</v>
      </c>
      <c r="K18" s="171" t="str">
        <f>'Transition Probabilites'!I16</f>
        <v>[Franck Maunoury et al.]</v>
      </c>
      <c r="N18" s="62" t="str">
        <f>OWSA!C28</f>
        <v>Transition from state 1 to state 2 (PVI T1)</v>
      </c>
      <c r="AC18" s="119"/>
    </row>
    <row r="19" spans="2:29" ht="16" x14ac:dyDescent="0.2">
      <c r="B19" s="119"/>
      <c r="G19" s="170" t="str">
        <f>Parameters!E21</f>
        <v>Transition from state 1 to state 7 (CHG T1)</v>
      </c>
      <c r="H19" s="169">
        <f>Parameters!H21</f>
        <v>0.75752473369600681</v>
      </c>
      <c r="I19" s="169">
        <f>Parameters!J21</f>
        <v>0.60905261415175993</v>
      </c>
      <c r="J19" s="65">
        <f>Parameters!K21</f>
        <v>0.9059968532402537</v>
      </c>
      <c r="K19" s="171" t="str">
        <f>'Transition Probabilites'!I17</f>
        <v>[Franck Maunoury et al.]</v>
      </c>
      <c r="N19" s="62" t="str">
        <f>OWSA!C29</f>
        <v>Transition from state 1 to state 2 (CHG T1)</v>
      </c>
      <c r="AC19" s="119"/>
    </row>
    <row r="20" spans="2:29" ht="16" x14ac:dyDescent="0.2">
      <c r="B20" s="119"/>
      <c r="G20" s="170" t="str">
        <f>Parameters!E22</f>
        <v>Transition from state 1 to state 8 (CHG T1)</v>
      </c>
      <c r="H20" s="169">
        <f>Parameters!H22</f>
        <v>0.24145359329456123</v>
      </c>
      <c r="I20" s="169">
        <f>Parameters!J22</f>
        <v>0.19412955861504905</v>
      </c>
      <c r="J20" s="65">
        <f>Parameters!K22</f>
        <v>0.28877762797407341</v>
      </c>
      <c r="K20" s="171" t="str">
        <f>'Transition Probabilites'!I18</f>
        <v>[Franck Maunoury et al.]</v>
      </c>
      <c r="N20" s="62" t="str">
        <f>OWSA!C30</f>
        <v>Transition from state 1 to state 1 (PVI T1)</v>
      </c>
      <c r="AC20" s="119"/>
    </row>
    <row r="21" spans="2:29" ht="16" x14ac:dyDescent="0.2">
      <c r="B21" s="119"/>
      <c r="G21" s="170" t="str">
        <f>Parameters!E23</f>
        <v>Transition from state 2 to state 1 (CHG T1)</v>
      </c>
      <c r="H21" s="169">
        <f>Parameters!H23</f>
        <v>4.2770978054099449E-4</v>
      </c>
      <c r="I21" s="169">
        <f>Parameters!J23</f>
        <v>3.4388020397140652E-4</v>
      </c>
      <c r="J21" s="65">
        <f>Parameters!K23</f>
        <v>5.1153935711058241E-4</v>
      </c>
      <c r="K21" s="171" t="str">
        <f>'Transition Probabilites'!I19</f>
        <v>[Franck Maunoury et al.]</v>
      </c>
      <c r="AC21" s="119"/>
    </row>
    <row r="22" spans="2:29" ht="16" x14ac:dyDescent="0.2">
      <c r="B22" s="119"/>
      <c r="G22" s="170" t="str">
        <f>Parameters!E24</f>
        <v>Transition from state 2 to state 2 (CHG T1)</v>
      </c>
      <c r="H22" s="169">
        <f>Parameters!H24</f>
        <v>5.4712479570409047E-4</v>
      </c>
      <c r="I22" s="169">
        <f>Parameters!J24</f>
        <v>4.3989030624120526E-4</v>
      </c>
      <c r="J22" s="65">
        <f>Parameters!K24</f>
        <v>6.5435928516697562E-4</v>
      </c>
      <c r="K22" s="171" t="str">
        <f>'Transition Probabilites'!I20</f>
        <v>[Franck Maunoury et al.]</v>
      </c>
      <c r="AC22" s="119"/>
    </row>
    <row r="23" spans="2:29" ht="16" x14ac:dyDescent="0.2">
      <c r="B23" s="119"/>
      <c r="G23" s="170" t="str">
        <f>Parameters!E25</f>
        <v>Transition from state 2 to state 3 (CHG T1)</v>
      </c>
      <c r="H23" s="169">
        <f>Parameters!H25</f>
        <v>1.8888105031839655E-10</v>
      </c>
      <c r="I23" s="169">
        <f>Parameters!J25</f>
        <v>1.5186104471978107E-10</v>
      </c>
      <c r="J23" s="65">
        <f>Parameters!K25</f>
        <v>2.2590105591701202E-10</v>
      </c>
      <c r="K23" s="171" t="str">
        <f>'Transition Probabilites'!I21</f>
        <v>[Franck Maunoury et al.]</v>
      </c>
      <c r="N23" t="s">
        <v>92</v>
      </c>
      <c r="AC23" s="119"/>
    </row>
    <row r="24" spans="2:29" ht="16" x14ac:dyDescent="0.2">
      <c r="B24" s="119"/>
      <c r="G24" s="170" t="str">
        <f>Parameters!E26</f>
        <v>Transition from state 2 to state 4 (CHG T1)</v>
      </c>
      <c r="H24" s="169">
        <f>Parameters!H26</f>
        <v>1.3057170414439479E-4</v>
      </c>
      <c r="I24" s="169">
        <f>Parameters!J26</f>
        <v>1.0498012039209148E-4</v>
      </c>
      <c r="J24" s="65">
        <f>Parameters!K26</f>
        <v>1.5616328789669809E-4</v>
      </c>
      <c r="K24" s="171" t="str">
        <f>'Transition Probabilites'!I22</f>
        <v>[Franck Maunoury et al.]</v>
      </c>
      <c r="N24" s="2" t="s">
        <v>71</v>
      </c>
      <c r="O24" t="str">
        <f>N25&amp;","&amp;N26&amp;","&amp;N27&amp;","&amp;N28&amp;" and "&amp;N29&amp;"."</f>
        <v>ICU Cost without CRBSI,Additional ICU Length of stay (LOS) due to CRBSI,Direct cost of treating CRBSI ,Cost for Catheres charged and Transition from state 1 to state 3 (CHG T4).</v>
      </c>
      <c r="AC24" s="119"/>
    </row>
    <row r="25" spans="2:29" ht="16" x14ac:dyDescent="0.2">
      <c r="B25" s="119"/>
      <c r="G25" s="170" t="str">
        <f>Parameters!E27</f>
        <v>Transition from state 2 to state 5 (CHG T1)</v>
      </c>
      <c r="H25" s="169">
        <f>Parameters!H27</f>
        <v>1.4828241535977278E-10</v>
      </c>
      <c r="I25" s="169">
        <f>Parameters!J27</f>
        <v>1.1921959599519644E-10</v>
      </c>
      <c r="J25" s="65">
        <f>Parameters!K27</f>
        <v>1.7734523472434913E-10</v>
      </c>
      <c r="K25" s="171" t="str">
        <f>'Transition Probabilites'!I23</f>
        <v>[Franck Maunoury et al.]</v>
      </c>
      <c r="N25" s="62" t="str">
        <f>OWSA!C37</f>
        <v>ICU Cost without CRBSI</v>
      </c>
      <c r="AC25" s="119"/>
    </row>
    <row r="26" spans="2:29" ht="16" x14ac:dyDescent="0.2">
      <c r="B26" s="119"/>
      <c r="G26" s="170" t="str">
        <f>Parameters!E28</f>
        <v>Transition from state 2 to state 6 (CHG T1)</v>
      </c>
      <c r="H26" s="169">
        <f>Parameters!H28</f>
        <v>0</v>
      </c>
      <c r="I26" s="169">
        <f>Parameters!J28</f>
        <v>0</v>
      </c>
      <c r="J26" s="65">
        <f>Parameters!K28</f>
        <v>0</v>
      </c>
      <c r="K26" s="171" t="str">
        <f>'Transition Probabilites'!I24</f>
        <v>[Franck Maunoury et al.]</v>
      </c>
      <c r="N26" s="62" t="str">
        <f>OWSA!C38</f>
        <v>Additional ICU Length of stay (LOS) due to CRBSI</v>
      </c>
      <c r="AC26" s="119"/>
    </row>
    <row r="27" spans="2:29" ht="16" x14ac:dyDescent="0.2">
      <c r="B27" s="119"/>
      <c r="G27" s="170" t="str">
        <f>Parameters!E29</f>
        <v>Transition from state 2 to state 7 (CHG T1)</v>
      </c>
      <c r="H27" s="169">
        <f>Parameters!H29</f>
        <v>0.67790741665464505</v>
      </c>
      <c r="I27" s="169">
        <f>Parameters!J29</f>
        <v>0.54504000450507584</v>
      </c>
      <c r="J27" s="65">
        <f>Parameters!K29</f>
        <v>0.81077482880421425</v>
      </c>
      <c r="K27" s="171" t="str">
        <f>'Transition Probabilites'!I25</f>
        <v>[Franck Maunoury et al.]</v>
      </c>
      <c r="N27" s="62" t="str">
        <f>OWSA!C39</f>
        <v xml:space="preserve">Direct cost of treating CRBSI </v>
      </c>
      <c r="AC27" s="119"/>
    </row>
    <row r="28" spans="2:29" ht="16" x14ac:dyDescent="0.2">
      <c r="B28" s="119"/>
      <c r="G28" s="170" t="str">
        <f>Parameters!E30</f>
        <v>Transition from state 2 to state 8 (CHG T1)</v>
      </c>
      <c r="H28" s="169">
        <f>Parameters!H30</f>
        <v>0.32098717672780208</v>
      </c>
      <c r="I28" s="169">
        <f>Parameters!J30</f>
        <v>0.25807484613923354</v>
      </c>
      <c r="J28" s="65">
        <f>Parameters!K30</f>
        <v>0.38389950731637063</v>
      </c>
      <c r="K28" s="171" t="str">
        <f>'Transition Probabilites'!I26</f>
        <v>[Franck Maunoury et al.]</v>
      </c>
      <c r="N28" s="62" t="str">
        <f>OWSA!C40</f>
        <v>Cost for Catheres charged</v>
      </c>
      <c r="AC28" s="119"/>
    </row>
    <row r="29" spans="2:29" ht="16" x14ac:dyDescent="0.2">
      <c r="B29" s="119"/>
      <c r="G29" s="170" t="str">
        <f>Parameters!E31</f>
        <v>Transition from state 3 to state 1 (CHG T1)</v>
      </c>
      <c r="H29" s="169">
        <f>Parameters!H31</f>
        <v>0</v>
      </c>
      <c r="I29" s="169">
        <f>Parameters!J31</f>
        <v>0</v>
      </c>
      <c r="J29" s="65">
        <f>Parameters!K31</f>
        <v>0</v>
      </c>
      <c r="K29" s="171" t="str">
        <f>'Transition Probabilites'!I27</f>
        <v>[Franck Maunoury et al.]</v>
      </c>
      <c r="N29" s="62" t="str">
        <f>OWSA!C41</f>
        <v>Transition from state 1 to state 3 (CHG T4)</v>
      </c>
      <c r="AC29" s="119"/>
    </row>
    <row r="30" spans="2:29" ht="16" x14ac:dyDescent="0.2">
      <c r="B30" s="119"/>
      <c r="G30" s="170" t="str">
        <f>Parameters!E32</f>
        <v>Transition from state 3 to state 2 (CHG T1)</v>
      </c>
      <c r="H30" s="169">
        <f>Parameters!H32</f>
        <v>0</v>
      </c>
      <c r="I30" s="169">
        <f>Parameters!J32</f>
        <v>0</v>
      </c>
      <c r="J30" s="65">
        <f>Parameters!K32</f>
        <v>0</v>
      </c>
      <c r="K30" s="171" t="str">
        <f>'Transition Probabilites'!I28</f>
        <v>[Franck Maunoury et al.]</v>
      </c>
      <c r="N30" s="62" t="str">
        <f>OWSA!C42</f>
        <v>Transition from state 1 to state 4 (CHG T4)</v>
      </c>
      <c r="AC30" s="119"/>
    </row>
    <row r="31" spans="2:29" ht="16" x14ac:dyDescent="0.2">
      <c r="B31" s="119"/>
      <c r="G31" s="170" t="str">
        <f>Parameters!E33</f>
        <v>Transition from state 3 to state 3 (CHG T1)</v>
      </c>
      <c r="H31" s="169">
        <f>Parameters!H33</f>
        <v>0</v>
      </c>
      <c r="I31" s="169">
        <f>Parameters!J33</f>
        <v>0</v>
      </c>
      <c r="J31" s="65">
        <f>Parameters!K33</f>
        <v>0</v>
      </c>
      <c r="K31" s="171" t="str">
        <f>'Transition Probabilites'!I29</f>
        <v>[Franck Maunoury et al.]</v>
      </c>
      <c r="N31" s="62" t="str">
        <f>OWSA!C43</f>
        <v>Transition from state 1 to state 4 (CHG T1)</v>
      </c>
      <c r="AC31" s="119"/>
    </row>
    <row r="32" spans="2:29" ht="16" x14ac:dyDescent="0.2">
      <c r="B32" s="119"/>
      <c r="G32" s="170" t="str">
        <f>Parameters!E34</f>
        <v>Transition from state 3 to state 4 (CHG T1)</v>
      </c>
      <c r="H32" s="169">
        <f>Parameters!H34</f>
        <v>0</v>
      </c>
      <c r="I32" s="169">
        <f>Parameters!J34</f>
        <v>0</v>
      </c>
      <c r="J32" s="65">
        <f>Parameters!K34</f>
        <v>0</v>
      </c>
      <c r="K32" s="171" t="str">
        <f>'Transition Probabilites'!I30</f>
        <v>[Franck Maunoury et al.]</v>
      </c>
      <c r="N32" s="62" t="str">
        <f>OWSA!C44</f>
        <v>Transition from state 1 to state 2 (CHG T4)</v>
      </c>
      <c r="AC32" s="119"/>
    </row>
    <row r="33" spans="2:29" ht="16" x14ac:dyDescent="0.2">
      <c r="B33" s="119"/>
      <c r="G33" s="170" t="str">
        <f>Parameters!E35</f>
        <v>Transition from state 3 to state 5 (CHG T1)</v>
      </c>
      <c r="H33" s="169">
        <f>Parameters!H35</f>
        <v>0</v>
      </c>
      <c r="I33" s="169">
        <f>Parameters!J35</f>
        <v>0</v>
      </c>
      <c r="J33" s="65">
        <f>Parameters!K35</f>
        <v>0</v>
      </c>
      <c r="K33" s="171" t="str">
        <f>'Transition Probabilites'!I31</f>
        <v>[Franck Maunoury et al.]</v>
      </c>
      <c r="N33" s="62" t="str">
        <f>OWSA!C45</f>
        <v>Transition from state 1 to state 2 (CHG T1)</v>
      </c>
      <c r="AC33" s="119"/>
    </row>
    <row r="34" spans="2:29" ht="16" x14ac:dyDescent="0.2">
      <c r="B34" s="119"/>
      <c r="G34" s="170" t="str">
        <f>Parameters!E36</f>
        <v>Transition from state 3 to state 6 (CHG T1)</v>
      </c>
      <c r="H34" s="169">
        <f>Parameters!H36</f>
        <v>0</v>
      </c>
      <c r="I34" s="169">
        <f>Parameters!J36</f>
        <v>0</v>
      </c>
      <c r="J34" s="65">
        <f>Parameters!K36</f>
        <v>0</v>
      </c>
      <c r="K34" s="171" t="str">
        <f>'Transition Probabilites'!I32</f>
        <v>[Franck Maunoury et al.]</v>
      </c>
      <c r="N34" s="62" t="str">
        <f>OWSA!C46</f>
        <v>Transition from state 1 to state 1 (CHG T4)</v>
      </c>
      <c r="AC34" s="119"/>
    </row>
    <row r="35" spans="2:29" ht="16" x14ac:dyDescent="0.2">
      <c r="B35" s="119"/>
      <c r="G35" s="170" t="str">
        <f>Parameters!E37</f>
        <v>Transition from state 3 to state 7 (CHG T1)</v>
      </c>
      <c r="H35" s="169">
        <f>Parameters!H37</f>
        <v>1</v>
      </c>
      <c r="I35" s="169">
        <f>Parameters!J37</f>
        <v>0.8040036015459946</v>
      </c>
      <c r="J35" s="65">
        <f>Parameters!K37</f>
        <v>1.1959963984540054</v>
      </c>
      <c r="K35" s="171" t="str">
        <f>'Transition Probabilites'!I33</f>
        <v>[Franck Maunoury et al.]</v>
      </c>
      <c r="AC35" s="119"/>
    </row>
    <row r="36" spans="2:29" ht="16" x14ac:dyDescent="0.2">
      <c r="B36" s="119"/>
      <c r="G36" s="170" t="str">
        <f>Parameters!E38</f>
        <v>Transition from state 3 to state 8 (CHG T1)</v>
      </c>
      <c r="H36" s="169">
        <f>Parameters!H38</f>
        <v>0</v>
      </c>
      <c r="I36" s="169">
        <f>Parameters!J38</f>
        <v>0</v>
      </c>
      <c r="J36" s="65">
        <f>Parameters!K38</f>
        <v>0</v>
      </c>
      <c r="K36" s="171" t="str">
        <f>'Transition Probabilites'!I34</f>
        <v>[Franck Maunoury et al.]</v>
      </c>
      <c r="AC36" s="119"/>
    </row>
    <row r="37" spans="2:29" ht="16" x14ac:dyDescent="0.2">
      <c r="B37" s="119"/>
      <c r="G37" s="170" t="str">
        <f>Parameters!E39</f>
        <v>Transition from state 4 to state 1 (CHG T1)</v>
      </c>
      <c r="H37" s="169">
        <f>Parameters!H39</f>
        <v>1.0557738310648544E-2</v>
      </c>
      <c r="I37" s="169">
        <f>Parameters!J39</f>
        <v>8.4884596259415541E-3</v>
      </c>
      <c r="J37" s="65">
        <f>Parameters!K39</f>
        <v>1.2627016995355534E-2</v>
      </c>
      <c r="K37" s="171" t="str">
        <f>'Transition Probabilites'!I35</f>
        <v>[Franck Maunoury et al.]</v>
      </c>
      <c r="N37" t="s">
        <v>93</v>
      </c>
      <c r="AC37" s="119"/>
    </row>
    <row r="38" spans="2:29" ht="16" x14ac:dyDescent="0.2">
      <c r="B38" s="119"/>
      <c r="G38" s="170" t="str">
        <f>Parameters!E40</f>
        <v>Transition from state 4 to state 2 (CHG T1)</v>
      </c>
      <c r="H38" s="169">
        <f>Parameters!H40</f>
        <v>1.9888002922781124E-2</v>
      </c>
      <c r="I38" s="169">
        <f>Parameters!J40</f>
        <v>1.5990025977473291E-2</v>
      </c>
      <c r="J38" s="65">
        <f>Parameters!K40</f>
        <v>2.3785979868088957E-2</v>
      </c>
      <c r="K38" s="171" t="str">
        <f>'Transition Probabilites'!I36</f>
        <v>[Franck Maunoury et al.]</v>
      </c>
      <c r="N38" s="2" t="s">
        <v>71</v>
      </c>
      <c r="O38" t="str">
        <f>N39&amp;","&amp;N40&amp;","&amp;N41&amp;","&amp;N42&amp;" and "&amp;N43&amp;"."</f>
        <v>ICU Cost without CRBSI,Additional ICU Length of stay (LOS) due to CRBSI,Direct cost of treating CRBSI ,Cost for Catheres charged and Transition from state 1 to state 3 (PVI T4).</v>
      </c>
      <c r="AC38" s="119"/>
    </row>
    <row r="39" spans="2:29" ht="16" x14ac:dyDescent="0.2">
      <c r="B39" s="119"/>
      <c r="G39" s="170" t="str">
        <f>Parameters!E41</f>
        <v>Transition from state 4 to state 3 (CHG T1)</v>
      </c>
      <c r="H39" s="169">
        <f>Parameters!H41</f>
        <v>4.9669176730836042E-9</v>
      </c>
      <c r="I39" s="169">
        <f>Parameters!J41</f>
        <v>3.9934196977416691E-9</v>
      </c>
      <c r="J39" s="65">
        <f>Parameters!K41</f>
        <v>5.9404156484255394E-9</v>
      </c>
      <c r="K39" s="171" t="str">
        <f>'Transition Probabilites'!I37</f>
        <v>[Franck Maunoury et al.]</v>
      </c>
      <c r="N39" s="62" t="str">
        <f>OWSA!C53</f>
        <v>ICU Cost without CRBSI</v>
      </c>
      <c r="AC39" s="119"/>
    </row>
    <row r="40" spans="2:29" ht="16" x14ac:dyDescent="0.2">
      <c r="B40" s="119"/>
      <c r="G40" s="170" t="str">
        <f>Parameters!E42</f>
        <v>Transition from state 4 to state 4 (CHG T1)</v>
      </c>
      <c r="H40" s="169">
        <f>Parameters!H42</f>
        <v>3.6085643037740985E-2</v>
      </c>
      <c r="I40" s="169">
        <f>Parameters!J42</f>
        <v>2.9012986966446896E-2</v>
      </c>
      <c r="J40" s="65">
        <f>Parameters!K42</f>
        <v>4.315829910903507E-2</v>
      </c>
      <c r="K40" s="171" t="str">
        <f>'Transition Probabilites'!I38</f>
        <v>[Franck Maunoury et al.]</v>
      </c>
      <c r="N40" s="62" t="str">
        <f>OWSA!C54</f>
        <v>Additional ICU Length of stay (LOS) due to CRBSI</v>
      </c>
      <c r="AC40" s="119"/>
    </row>
    <row r="41" spans="2:29" ht="16" x14ac:dyDescent="0.2">
      <c r="B41" s="119"/>
      <c r="G41" s="170" t="str">
        <f>Parameters!E43</f>
        <v>Transition from state 4 to state 5 (CHG T1)</v>
      </c>
      <c r="H41" s="169">
        <f>Parameters!H43</f>
        <v>4.681173961596632E-9</v>
      </c>
      <c r="I41" s="169">
        <f>Parameters!J43</f>
        <v>3.7636807245870237E-9</v>
      </c>
      <c r="J41" s="65">
        <f>Parameters!K43</f>
        <v>5.5986671986062404E-9</v>
      </c>
      <c r="K41" s="171" t="str">
        <f>'Transition Probabilites'!I39</f>
        <v>[Franck Maunoury et al.]</v>
      </c>
      <c r="N41" s="62" t="str">
        <f>OWSA!C55</f>
        <v xml:space="preserve">Direct cost of treating CRBSI </v>
      </c>
      <c r="AC41" s="119"/>
    </row>
    <row r="42" spans="2:29" ht="16" x14ac:dyDescent="0.2">
      <c r="B42" s="119"/>
      <c r="G42" s="170" t="str">
        <f>Parameters!E44</f>
        <v>Transition from state 4 to state 6 (CHG T1)</v>
      </c>
      <c r="H42" s="169">
        <f>Parameters!H44</f>
        <v>0</v>
      </c>
      <c r="I42" s="169">
        <f>Parameters!J44</f>
        <v>0</v>
      </c>
      <c r="J42" s="65">
        <f>Parameters!K44</f>
        <v>0</v>
      </c>
      <c r="K42" s="171" t="str">
        <f>'Transition Probabilites'!I40</f>
        <v>[Franck Maunoury et al.]</v>
      </c>
      <c r="N42" s="62" t="str">
        <f>OWSA!C56</f>
        <v>Cost for Catheres charged</v>
      </c>
      <c r="AC42" s="119"/>
    </row>
    <row r="43" spans="2:29" ht="16" x14ac:dyDescent="0.2">
      <c r="B43" s="119"/>
      <c r="G43" s="170" t="str">
        <f>Parameters!E45</f>
        <v>Transition from state 4 to state 7 (CHG T1)</v>
      </c>
      <c r="H43" s="169">
        <f>Parameters!H45</f>
        <v>0.6325395302316883</v>
      </c>
      <c r="I43" s="169">
        <f>Parameters!J45</f>
        <v>0.50856406042648894</v>
      </c>
      <c r="J43" s="65">
        <f>Parameters!K45</f>
        <v>0.75651500003688765</v>
      </c>
      <c r="K43" s="171" t="str">
        <f>'Transition Probabilites'!I41</f>
        <v>[Franck Maunoury et al.]</v>
      </c>
      <c r="N43" s="62" t="str">
        <f>OWSA!C57</f>
        <v>Transition from state 1 to state 3 (PVI T4)</v>
      </c>
      <c r="AC43" s="119"/>
    </row>
    <row r="44" spans="2:29" ht="16" x14ac:dyDescent="0.2">
      <c r="B44" s="119"/>
      <c r="G44" s="170" t="str">
        <f>Parameters!E46</f>
        <v>Transition from state 4 to state 8 (CHG T1)</v>
      </c>
      <c r="H44" s="169">
        <f>Parameters!H46</f>
        <v>0.30092907584904943</v>
      </c>
      <c r="I44" s="169">
        <f>Parameters!J46</f>
        <v>0.24194806079254352</v>
      </c>
      <c r="J44" s="65">
        <f>Parameters!K46</f>
        <v>0.35991009090555531</v>
      </c>
      <c r="K44" s="171" t="str">
        <f>'Transition Probabilites'!I42</f>
        <v>[Franck Maunoury et al.]</v>
      </c>
      <c r="N44" s="62" t="str">
        <f>OWSA!C58</f>
        <v>Transition from state 1 to state 4 (PVI T4)</v>
      </c>
      <c r="AC44" s="119"/>
    </row>
    <row r="45" spans="2:29" ht="16" x14ac:dyDescent="0.2">
      <c r="B45" s="119"/>
      <c r="G45" s="170" t="str">
        <f>Parameters!E47</f>
        <v>Transition from state 5 to state 1 (CHG T1)</v>
      </c>
      <c r="H45" s="169">
        <f>Parameters!H47</f>
        <v>0</v>
      </c>
      <c r="I45" s="169">
        <f>Parameters!J47</f>
        <v>0</v>
      </c>
      <c r="J45" s="65">
        <f>Parameters!K47</f>
        <v>0</v>
      </c>
      <c r="K45" s="171" t="str">
        <f>'Transition Probabilites'!I43</f>
        <v>[Franck Maunoury et al.]</v>
      </c>
      <c r="N45" s="62" t="str">
        <f>OWSA!C59</f>
        <v>Transition from state 1 to state 4 (CHG T1)</v>
      </c>
      <c r="AC45" s="119"/>
    </row>
    <row r="46" spans="2:29" ht="16" x14ac:dyDescent="0.2">
      <c r="B46" s="119"/>
      <c r="G46" s="170" t="str">
        <f>Parameters!E48</f>
        <v>Transition from state 5 to state 2 (CHG T1)</v>
      </c>
      <c r="H46" s="169">
        <f>Parameters!H48</f>
        <v>0</v>
      </c>
      <c r="I46" s="169">
        <f>Parameters!J48</f>
        <v>0</v>
      </c>
      <c r="J46" s="65">
        <f>Parameters!K48</f>
        <v>0</v>
      </c>
      <c r="K46" s="171" t="str">
        <f>'Transition Probabilites'!I44</f>
        <v>[Franck Maunoury et al.]</v>
      </c>
      <c r="N46" s="62" t="str">
        <f>OWSA!C60</f>
        <v>Transition from state 1 to state 2 (PVI T4)</v>
      </c>
      <c r="AC46" s="119"/>
    </row>
    <row r="47" spans="2:29" ht="16" x14ac:dyDescent="0.2">
      <c r="B47" s="119"/>
      <c r="G47" s="170" t="str">
        <f>Parameters!E49</f>
        <v>Transition from state 5 to state 3 (CHG T1)</v>
      </c>
      <c r="H47" s="169">
        <f>Parameters!H49</f>
        <v>0</v>
      </c>
      <c r="I47" s="169">
        <f>Parameters!J49</f>
        <v>0</v>
      </c>
      <c r="J47" s="65">
        <f>Parameters!K49</f>
        <v>0</v>
      </c>
      <c r="K47" s="171" t="str">
        <f>'Transition Probabilites'!I45</f>
        <v>[Franck Maunoury et al.]</v>
      </c>
      <c r="N47" s="62" t="str">
        <f>OWSA!C61</f>
        <v>Transition from state 1 to state 2 (CHG T1)</v>
      </c>
      <c r="AC47" s="119"/>
    </row>
    <row r="48" spans="2:29" ht="16" x14ac:dyDescent="0.2">
      <c r="B48" s="119"/>
      <c r="G48" s="170" t="str">
        <f>Parameters!E50</f>
        <v>Transition from state 5 to state 4 (CHG T1)</v>
      </c>
      <c r="H48" s="169">
        <f>Parameters!H50</f>
        <v>0</v>
      </c>
      <c r="I48" s="169">
        <f>Parameters!J50</f>
        <v>0</v>
      </c>
      <c r="J48" s="65">
        <f>Parameters!K50</f>
        <v>0</v>
      </c>
      <c r="K48" s="171" t="str">
        <f>'Transition Probabilites'!I46</f>
        <v>[Franck Maunoury et al.]</v>
      </c>
      <c r="N48" s="62" t="str">
        <f>OWSA!C62</f>
        <v>Transition from state 1 to state 1 (PVI T4)</v>
      </c>
      <c r="AC48" s="119"/>
    </row>
    <row r="49" spans="2:29" ht="16" x14ac:dyDescent="0.2">
      <c r="B49" s="119"/>
      <c r="G49" s="170" t="str">
        <f>Parameters!E51</f>
        <v>Transition from state 5 to state 5 (CHG T1)</v>
      </c>
      <c r="H49" s="169">
        <f>Parameters!H51</f>
        <v>0</v>
      </c>
      <c r="I49" s="169">
        <f>Parameters!J51</f>
        <v>0</v>
      </c>
      <c r="J49" s="65">
        <f>Parameters!K51</f>
        <v>0</v>
      </c>
      <c r="K49" s="171" t="str">
        <f>'Transition Probabilites'!I47</f>
        <v>[Franck Maunoury et al.]</v>
      </c>
      <c r="AC49" s="119"/>
    </row>
    <row r="50" spans="2:29" ht="16" x14ac:dyDescent="0.2">
      <c r="B50" s="119"/>
      <c r="G50" s="170" t="str">
        <f>Parameters!E52</f>
        <v>Transition from state 5 to state 6 (CHG T1)</v>
      </c>
      <c r="H50" s="169">
        <f>Parameters!H52</f>
        <v>1</v>
      </c>
      <c r="I50" s="169">
        <f>Parameters!J52</f>
        <v>0.8040036015459946</v>
      </c>
      <c r="J50" s="65">
        <f>Parameters!K52</f>
        <v>1.1959963984540054</v>
      </c>
      <c r="K50" s="171" t="str">
        <f>'Transition Probabilites'!I48</f>
        <v>[Franck Maunoury et al.]</v>
      </c>
      <c r="AC50" s="119"/>
    </row>
    <row r="51" spans="2:29" ht="16" x14ac:dyDescent="0.2">
      <c r="B51" s="119"/>
      <c r="G51" s="170" t="str">
        <f>Parameters!E53</f>
        <v>Transition from state 5 to state 7 (CHG T1)</v>
      </c>
      <c r="H51" s="169">
        <f>Parameters!H53</f>
        <v>0</v>
      </c>
      <c r="I51" s="169">
        <f>Parameters!J53</f>
        <v>0</v>
      </c>
      <c r="J51" s="65">
        <f>Parameters!K53</f>
        <v>0</v>
      </c>
      <c r="K51" s="171" t="str">
        <f>'Transition Probabilites'!I49</f>
        <v>[Franck Maunoury et al.]</v>
      </c>
      <c r="N51" s="73" t="s">
        <v>87</v>
      </c>
      <c r="O51" s="73" t="s">
        <v>203</v>
      </c>
      <c r="AC51" s="119"/>
    </row>
    <row r="52" spans="2:29" ht="16" x14ac:dyDescent="0.2">
      <c r="B52" s="119"/>
      <c r="G52" s="170" t="str">
        <f>Parameters!E54</f>
        <v>Transition from state 5 to state 8 (CHG T1)</v>
      </c>
      <c r="H52" s="169">
        <f>Parameters!H54</f>
        <v>0</v>
      </c>
      <c r="I52" s="169">
        <f>Parameters!J54</f>
        <v>0</v>
      </c>
      <c r="J52" s="65">
        <f>Parameters!K54</f>
        <v>0</v>
      </c>
      <c r="K52" s="171" t="str">
        <f>'Transition Probabilites'!I50</f>
        <v>[Franck Maunoury et al.]</v>
      </c>
      <c r="N52" s="74" t="s">
        <v>32</v>
      </c>
      <c r="O52" s="75" t="str">
        <f>IF(Results!I12="Intervention dominant","strictly dominated",IF(Results!I12="Intervention being dominated","is strictly dominated by","has an ICER value of "&amp;c_currency&amp;IF(AND(Results!H12&lt;=999999,Results!H10&gt;999),TEXT(Results!H12,"0,000"),IF(Results!H12&gt;999999,TEXT(Results!H12,"0,000,000"),TEXT(Results!H12,"0")))&amp;"with respect to"))</f>
        <v>strictly dominated</v>
      </c>
      <c r="AC52" s="119"/>
    </row>
    <row r="53" spans="2:29" ht="16" x14ac:dyDescent="0.2">
      <c r="B53" s="119"/>
      <c r="G53" s="170" t="str">
        <f>Parameters!E55</f>
        <v>Transition from state 6 to state 1 (CHG T1)</v>
      </c>
      <c r="H53" s="169">
        <f>Parameters!H55</f>
        <v>3.0704897248064482E-4</v>
      </c>
      <c r="I53" s="169">
        <f>Parameters!J55</f>
        <v>2.468684797254354E-4</v>
      </c>
      <c r="J53" s="65">
        <f>Parameters!K55</f>
        <v>3.6722946523585424E-4</v>
      </c>
      <c r="K53" s="171" t="str">
        <f>'Transition Probabilites'!I51</f>
        <v>[Franck Maunoury et al.]</v>
      </c>
      <c r="N53" s="74" t="s">
        <v>35</v>
      </c>
      <c r="O53" s="75" t="str">
        <f>IF(Results!I13="Intervention dominant","strictly dominated",IF(Results!I13="Intervention being dominated","is strictly dominated by","has an ICER value of "&amp;c_currency&amp;IF(AND(Results!H13&lt;=999999,Results!H13&gt;999),TEXT(Results!H13,"0,000"),IF(Results!H13&gt;999999,TEXT(Results!H13,"0,000,000"),TEXT(Results!H13,"0")))&amp;"with respect to"))</f>
        <v>strictly dominated</v>
      </c>
      <c r="AC53" s="119"/>
    </row>
    <row r="54" spans="2:29" ht="16" x14ac:dyDescent="0.2">
      <c r="B54" s="119"/>
      <c r="G54" s="170" t="str">
        <f>Parameters!E56</f>
        <v>Transition from state 6 to state 2 (CHG T1)</v>
      </c>
      <c r="H54" s="169">
        <f>Parameters!H56</f>
        <v>3.8645286536404737E-4</v>
      </c>
      <c r="I54" s="169">
        <f>Parameters!J56</f>
        <v>3.1070949558046344E-4</v>
      </c>
      <c r="J54" s="65">
        <f>Parameters!K56</f>
        <v>4.621962351476313E-4</v>
      </c>
      <c r="K54" s="171" t="str">
        <f>'Transition Probabilites'!I52</f>
        <v>[Franck Maunoury et al.]</v>
      </c>
      <c r="N54" s="74" t="s">
        <v>33</v>
      </c>
      <c r="O54" s="75" t="str">
        <f>IF(Results!I14="Intervention dominant","strictly dominated",IF(Results!I14="Intervention being dominated","is strictly dominated by","has an ICER value of "&amp;c_currency&amp;IF(AND(Results!H14&lt;=999999,Results!H14&gt;999),TEXT(Results!H14,"0,000"),IF(Results!H14&gt;999999,TEXT(Results!H14,"0,000,000"),TEXT(Results!H14,"0")))&amp;"with respect to"))</f>
        <v>strictly dominated</v>
      </c>
      <c r="AC54" s="119"/>
    </row>
    <row r="55" spans="2:29" ht="16" x14ac:dyDescent="0.2">
      <c r="B55" s="119"/>
      <c r="G55" s="170" t="str">
        <f>Parameters!E57</f>
        <v>Transition from state 6 to state 3 (CHG T1)</v>
      </c>
      <c r="H55" s="169">
        <f>Parameters!H57</f>
        <v>1.3529648787401215E-10</v>
      </c>
      <c r="I55" s="169">
        <f>Parameters!J57</f>
        <v>1.0877886352722976E-10</v>
      </c>
      <c r="J55" s="65">
        <f>Parameters!K57</f>
        <v>1.6181411222079454E-10</v>
      </c>
      <c r="K55" s="171" t="str">
        <f>'Transition Probabilites'!I53</f>
        <v>[Franck Maunoury et al.]</v>
      </c>
      <c r="AC55" s="119"/>
    </row>
    <row r="56" spans="2:29" ht="16" x14ac:dyDescent="0.2">
      <c r="B56" s="119"/>
      <c r="G56" s="170" t="str">
        <f>Parameters!E58</f>
        <v>Transition from state 6 to state 4 (CHG T1)</v>
      </c>
      <c r="H56" s="169">
        <f>Parameters!H58</f>
        <v>6.1192504515603644E-5</v>
      </c>
      <c r="I56" s="169">
        <f>Parameters!J58</f>
        <v>4.919899401816487E-5</v>
      </c>
      <c r="J56" s="65">
        <f>Parameters!K58</f>
        <v>7.3186015013042418E-5</v>
      </c>
      <c r="K56" s="171" t="str">
        <f>'Transition Probabilites'!I54</f>
        <v>[Franck Maunoury et al.]</v>
      </c>
      <c r="AC56" s="119"/>
    </row>
    <row r="57" spans="2:29" ht="16" x14ac:dyDescent="0.2">
      <c r="B57" s="119"/>
      <c r="G57" s="170" t="str">
        <f>Parameters!E59</f>
        <v>Transition from state 6 to state 5 (CHG T1)</v>
      </c>
      <c r="H57" s="169">
        <f>Parameters!H59</f>
        <v>0</v>
      </c>
      <c r="I57" s="169">
        <f>Parameters!J59</f>
        <v>0</v>
      </c>
      <c r="J57" s="65">
        <f>Parameters!K59</f>
        <v>0</v>
      </c>
      <c r="K57" s="171" t="str">
        <f>'Transition Probabilites'!I55</f>
        <v>[Franck Maunoury et al.]</v>
      </c>
      <c r="AC57" s="119"/>
    </row>
    <row r="58" spans="2:29" ht="16" x14ac:dyDescent="0.2">
      <c r="B58" s="119"/>
      <c r="G58" s="170" t="str">
        <f>Parameters!E60</f>
        <v>Transition from state 6 to state 6 (CHG T1)</v>
      </c>
      <c r="H58" s="169">
        <f>Parameters!H60</f>
        <v>5.7095074882836986E-5</v>
      </c>
      <c r="I58" s="169">
        <f>Parameters!J60</f>
        <v>4.5904645836339194E-5</v>
      </c>
      <c r="J58" s="65">
        <f>Parameters!K60</f>
        <v>6.8285503929334772E-5</v>
      </c>
      <c r="K58" s="171" t="str">
        <f>'Transition Probabilites'!I56</f>
        <v>[Franck Maunoury et al.]</v>
      </c>
      <c r="AC58" s="119"/>
    </row>
    <row r="59" spans="2:29" ht="16" x14ac:dyDescent="0.2">
      <c r="B59" s="119"/>
      <c r="G59" s="170" t="str">
        <f>Parameters!E61</f>
        <v>Transition from state 6 to state 7 (CHG T1)</v>
      </c>
      <c r="H59" s="169">
        <f>Parameters!H61</f>
        <v>0.75625283222061579</v>
      </c>
      <c r="I59" s="169">
        <f>Parameters!J61</f>
        <v>0.6080300007847339</v>
      </c>
      <c r="J59" s="65">
        <f>Parameters!K61</f>
        <v>0.90447566365649767</v>
      </c>
      <c r="K59" s="171" t="str">
        <f>'Transition Probabilites'!I57</f>
        <v>[Franck Maunoury et al.]</v>
      </c>
      <c r="AC59" s="119"/>
    </row>
    <row r="60" spans="2:29" ht="16" x14ac:dyDescent="0.2">
      <c r="B60" s="119"/>
      <c r="G60" s="170" t="str">
        <f>Parameters!E62</f>
        <v>Transition from state 6 to state 8 (CHG T1)</v>
      </c>
      <c r="H60" s="169">
        <f>Parameters!H62</f>
        <v>0.24293537822684472</v>
      </c>
      <c r="I60" s="169">
        <f>Parameters!J62</f>
        <v>0.19532091903732154</v>
      </c>
      <c r="J60" s="65">
        <f>Parameters!K62</f>
        <v>0.29054983741636786</v>
      </c>
      <c r="K60" s="171" t="str">
        <f>'Transition Probabilites'!I58</f>
        <v>[Franck Maunoury et al.]</v>
      </c>
      <c r="AC60" s="119"/>
    </row>
    <row r="61" spans="2:29" ht="16" x14ac:dyDescent="0.2">
      <c r="B61" s="119"/>
      <c r="G61" s="170" t="str">
        <f>Parameters!E63</f>
        <v>Transition from state 7 to state 1 (CHG T1)</v>
      </c>
      <c r="H61" s="169">
        <f>Parameters!H63</f>
        <v>0</v>
      </c>
      <c r="I61" s="169">
        <f>Parameters!J63</f>
        <v>0</v>
      </c>
      <c r="J61" s="65">
        <f>Parameters!K63</f>
        <v>0</v>
      </c>
      <c r="K61" s="171" t="str">
        <f>'Transition Probabilites'!I59</f>
        <v>[Franck Maunoury et al.]</v>
      </c>
      <c r="AC61" s="119"/>
    </row>
    <row r="62" spans="2:29" ht="16" x14ac:dyDescent="0.2">
      <c r="B62" s="119"/>
      <c r="G62" s="170" t="str">
        <f>Parameters!E64</f>
        <v>Transition from state 7 to state 2 (CHG T1)</v>
      </c>
      <c r="H62" s="169">
        <f>Parameters!H64</f>
        <v>0</v>
      </c>
      <c r="I62" s="169">
        <f>Parameters!J64</f>
        <v>0</v>
      </c>
      <c r="J62" s="65">
        <f>Parameters!K64</f>
        <v>0</v>
      </c>
      <c r="K62" s="171" t="str">
        <f>'Transition Probabilites'!I60</f>
        <v>[Franck Maunoury et al.]</v>
      </c>
      <c r="AC62" s="119"/>
    </row>
    <row r="63" spans="2:29" ht="16" x14ac:dyDescent="0.2">
      <c r="B63" s="119"/>
      <c r="G63" s="170" t="str">
        <f>Parameters!E65</f>
        <v>Transition from state 7 to state 3 (CHG T1)</v>
      </c>
      <c r="H63" s="169">
        <f>Parameters!H65</f>
        <v>0</v>
      </c>
      <c r="I63" s="169">
        <f>Parameters!J65</f>
        <v>0</v>
      </c>
      <c r="J63" s="65">
        <f>Parameters!K65</f>
        <v>0</v>
      </c>
      <c r="K63" s="171" t="str">
        <f>'Transition Probabilites'!I61</f>
        <v>[Franck Maunoury et al.]</v>
      </c>
      <c r="AC63" s="119"/>
    </row>
    <row r="64" spans="2:29" ht="16" x14ac:dyDescent="0.2">
      <c r="B64" s="119"/>
      <c r="G64" s="170" t="str">
        <f>Parameters!E66</f>
        <v>Transition from state 7 to state 4 (CHG T1)</v>
      </c>
      <c r="H64" s="169">
        <f>Parameters!H66</f>
        <v>0</v>
      </c>
      <c r="I64" s="169">
        <f>Parameters!J66</f>
        <v>0</v>
      </c>
      <c r="J64" s="65">
        <f>Parameters!K66</f>
        <v>0</v>
      </c>
      <c r="K64" s="171" t="str">
        <f>'Transition Probabilites'!I62</f>
        <v>[Franck Maunoury et al.]</v>
      </c>
      <c r="AC64" s="119"/>
    </row>
    <row r="65" spans="2:29" ht="16" x14ac:dyDescent="0.2">
      <c r="B65" s="119"/>
      <c r="G65" s="170" t="str">
        <f>Parameters!E67</f>
        <v>Transition from state 7 to state 5 (CHG T1)</v>
      </c>
      <c r="H65" s="169">
        <f>Parameters!H67</f>
        <v>0</v>
      </c>
      <c r="I65" s="169">
        <f>Parameters!J67</f>
        <v>0</v>
      </c>
      <c r="J65" s="65">
        <f>Parameters!K67</f>
        <v>0</v>
      </c>
      <c r="K65" s="171" t="str">
        <f>'Transition Probabilites'!I63</f>
        <v>[Franck Maunoury et al.]</v>
      </c>
      <c r="AC65" s="119"/>
    </row>
    <row r="66" spans="2:29" ht="16" x14ac:dyDescent="0.2">
      <c r="B66" s="119"/>
      <c r="G66" s="170" t="str">
        <f>Parameters!E68</f>
        <v>Transition from state 7 to state 6 (CHG T1)</v>
      </c>
      <c r="H66" s="169">
        <f>Parameters!H68</f>
        <v>0</v>
      </c>
      <c r="I66" s="169">
        <f>Parameters!J68</f>
        <v>0</v>
      </c>
      <c r="J66" s="65">
        <f>Parameters!K68</f>
        <v>0</v>
      </c>
      <c r="K66" s="171" t="str">
        <f>'Transition Probabilites'!I64</f>
        <v>[Franck Maunoury et al.]</v>
      </c>
      <c r="AC66" s="119"/>
    </row>
    <row r="67" spans="2:29" ht="16" x14ac:dyDescent="0.2">
      <c r="B67" s="119"/>
      <c r="G67" s="170" t="str">
        <f>Parameters!E69</f>
        <v>Transition from state 7 to state 7 (CHG T1)</v>
      </c>
      <c r="H67" s="169">
        <f>Parameters!H69</f>
        <v>1</v>
      </c>
      <c r="I67" s="169">
        <f>Parameters!J69</f>
        <v>0.8040036015459946</v>
      </c>
      <c r="J67" s="65">
        <f>Parameters!K69</f>
        <v>1.1959963984540054</v>
      </c>
      <c r="K67" s="171" t="str">
        <f>'Transition Probabilites'!I65</f>
        <v>[Franck Maunoury et al.]</v>
      </c>
      <c r="AC67" s="119"/>
    </row>
    <row r="68" spans="2:29" ht="16" x14ac:dyDescent="0.2">
      <c r="B68" s="119"/>
      <c r="G68" s="170" t="str">
        <f>Parameters!E70</f>
        <v>Transition from state 7 to state 8 (CHG T1)</v>
      </c>
      <c r="H68" s="169">
        <f>Parameters!H70</f>
        <v>0</v>
      </c>
      <c r="I68" s="169">
        <f>Parameters!J70</f>
        <v>0</v>
      </c>
      <c r="J68" s="65">
        <f>Parameters!K70</f>
        <v>0</v>
      </c>
      <c r="K68" s="171" t="str">
        <f>'Transition Probabilites'!I66</f>
        <v>[Franck Maunoury et al.]</v>
      </c>
      <c r="AC68" s="119"/>
    </row>
    <row r="69" spans="2:29" ht="16" x14ac:dyDescent="0.2">
      <c r="B69" s="119"/>
      <c r="G69" s="170" t="str">
        <f>Parameters!E71</f>
        <v>Transition from state 8 to state 1 (CHG T1)</v>
      </c>
      <c r="H69" s="169">
        <f>Parameters!H71</f>
        <v>0</v>
      </c>
      <c r="I69" s="169">
        <f>Parameters!J71</f>
        <v>0</v>
      </c>
      <c r="J69" s="65">
        <f>Parameters!K71</f>
        <v>0</v>
      </c>
      <c r="K69" s="171" t="str">
        <f>'Transition Probabilites'!I67</f>
        <v>[Franck Maunoury et al.]</v>
      </c>
      <c r="AC69" s="119"/>
    </row>
    <row r="70" spans="2:29" ht="16" x14ac:dyDescent="0.2">
      <c r="B70" s="119"/>
      <c r="G70" s="170" t="str">
        <f>Parameters!E72</f>
        <v>Transition from state 8 to state 2 (CHG T1)</v>
      </c>
      <c r="H70" s="169">
        <f>Parameters!H72</f>
        <v>0</v>
      </c>
      <c r="I70" s="169">
        <f>Parameters!J72</f>
        <v>0</v>
      </c>
      <c r="J70" s="65">
        <f>Parameters!K72</f>
        <v>0</v>
      </c>
      <c r="K70" s="171" t="str">
        <f>'Transition Probabilites'!I68</f>
        <v>[Franck Maunoury et al.]</v>
      </c>
      <c r="AC70" s="119"/>
    </row>
    <row r="71" spans="2:29" ht="16" x14ac:dyDescent="0.2">
      <c r="B71" s="119"/>
      <c r="G71" s="170" t="str">
        <f>Parameters!E73</f>
        <v>Transition from state 8 to state 3 (CHG T1)</v>
      </c>
      <c r="H71" s="169">
        <f>Parameters!H73</f>
        <v>0</v>
      </c>
      <c r="I71" s="169">
        <f>Parameters!J73</f>
        <v>0</v>
      </c>
      <c r="J71" s="65">
        <f>Parameters!K73</f>
        <v>0</v>
      </c>
      <c r="K71" s="171" t="str">
        <f>'Transition Probabilites'!I69</f>
        <v>[Franck Maunoury et al.]</v>
      </c>
      <c r="AC71" s="119"/>
    </row>
    <row r="72" spans="2:29" ht="16" x14ac:dyDescent="0.2">
      <c r="B72" s="119"/>
      <c r="G72" s="170" t="str">
        <f>Parameters!E74</f>
        <v>Transition from state 8 to state 4 (CHG T1)</v>
      </c>
      <c r="H72" s="169">
        <f>Parameters!H74</f>
        <v>0</v>
      </c>
      <c r="I72" s="169">
        <f>Parameters!J74</f>
        <v>0</v>
      </c>
      <c r="J72" s="65">
        <f>Parameters!K74</f>
        <v>0</v>
      </c>
      <c r="K72" s="171" t="str">
        <f>'Transition Probabilites'!I70</f>
        <v>[Franck Maunoury et al.]</v>
      </c>
      <c r="AC72" s="119"/>
    </row>
    <row r="73" spans="2:29" ht="16" x14ac:dyDescent="0.2">
      <c r="B73" s="119"/>
      <c r="G73" s="170" t="str">
        <f>Parameters!E75</f>
        <v>Transition from state 8 to state 5 (CHG T1)</v>
      </c>
      <c r="H73" s="169">
        <f>Parameters!H75</f>
        <v>0</v>
      </c>
      <c r="I73" s="169">
        <f>Parameters!J75</f>
        <v>0</v>
      </c>
      <c r="J73" s="65">
        <f>Parameters!K75</f>
        <v>0</v>
      </c>
      <c r="K73" s="171" t="str">
        <f>'Transition Probabilites'!I71</f>
        <v>[Franck Maunoury et al.]</v>
      </c>
      <c r="AC73" s="119"/>
    </row>
    <row r="74" spans="2:29" ht="16" x14ac:dyDescent="0.2">
      <c r="B74" s="119"/>
      <c r="G74" s="170" t="str">
        <f>Parameters!E76</f>
        <v>Transition from state 8 to state 6 (CHG T1)</v>
      </c>
      <c r="H74" s="169">
        <f>Parameters!H76</f>
        <v>0</v>
      </c>
      <c r="I74" s="169">
        <f>Parameters!J76</f>
        <v>0</v>
      </c>
      <c r="J74" s="65">
        <f>Parameters!K76</f>
        <v>0</v>
      </c>
      <c r="K74" s="171" t="str">
        <f>'Transition Probabilites'!I72</f>
        <v>[Franck Maunoury et al.]</v>
      </c>
      <c r="AC74" s="119"/>
    </row>
    <row r="75" spans="2:29" ht="16" x14ac:dyDescent="0.2">
      <c r="B75" s="119"/>
      <c r="G75" s="170" t="str">
        <f>Parameters!E77</f>
        <v>Transition from state 8 to state 7 (CHG T1)</v>
      </c>
      <c r="H75" s="169">
        <f>Parameters!H77</f>
        <v>0</v>
      </c>
      <c r="I75" s="169">
        <f>Parameters!J77</f>
        <v>0</v>
      </c>
      <c r="J75" s="65">
        <f>Parameters!K77</f>
        <v>0</v>
      </c>
      <c r="K75" s="171" t="str">
        <f>'Transition Probabilites'!I73</f>
        <v>[Franck Maunoury et al.]</v>
      </c>
      <c r="AC75" s="119"/>
    </row>
    <row r="76" spans="2:29" ht="16" x14ac:dyDescent="0.2">
      <c r="B76" s="119"/>
      <c r="G76" s="170" t="str">
        <f>Parameters!E78</f>
        <v>Transition from state 8 to state 8 (CHG T1)</v>
      </c>
      <c r="H76" s="169">
        <f>Parameters!H78</f>
        <v>1</v>
      </c>
      <c r="I76" s="169">
        <f>Parameters!J78</f>
        <v>0.8040036015459946</v>
      </c>
      <c r="J76" s="65">
        <f>Parameters!K78</f>
        <v>1.1959963984540054</v>
      </c>
      <c r="K76" s="171" t="str">
        <f>'Transition Probabilites'!I74</f>
        <v>[Franck Maunoury et al.]</v>
      </c>
      <c r="AC76" s="119"/>
    </row>
    <row r="77" spans="2:29" ht="16" x14ac:dyDescent="0.2">
      <c r="B77" s="119"/>
      <c r="G77" s="170" t="str">
        <f>Parameters!E79</f>
        <v>Transition from state 1 to state 1 (PVI T1)</v>
      </c>
      <c r="H77" s="169">
        <f>Parameters!H79</f>
        <v>2.7383555306571784E-4</v>
      </c>
      <c r="I77" s="169">
        <f>Parameters!J79</f>
        <v>2.2016477089617647E-4</v>
      </c>
      <c r="J77" s="65">
        <f>Parameters!K79</f>
        <v>3.2750633523525918E-4</v>
      </c>
      <c r="K77" s="171" t="str">
        <f>'Transition Probabilites'!O11</f>
        <v>[Franck Maunoury et al.]</v>
      </c>
      <c r="AC77" s="119"/>
    </row>
    <row r="78" spans="2:29" ht="16" x14ac:dyDescent="0.2">
      <c r="B78" s="119"/>
      <c r="G78" s="170" t="str">
        <f>Parameters!E80</f>
        <v>Transition from state 1 to state 2 (PVI T1)</v>
      </c>
      <c r="H78" s="169">
        <f>Parameters!H80</f>
        <v>4.8627112666117957E-4</v>
      </c>
      <c r="I78" s="169">
        <f>Parameters!J80</f>
        <v>3.9096373716341693E-4</v>
      </c>
      <c r="J78" s="65">
        <f>Parameters!K80</f>
        <v>5.8157851615894221E-4</v>
      </c>
      <c r="K78" s="171" t="str">
        <f>'Transition Probabilites'!O12</f>
        <v>[Franck Maunoury et al.]</v>
      </c>
      <c r="AC78" s="119"/>
    </row>
    <row r="79" spans="2:29" ht="16" x14ac:dyDescent="0.2">
      <c r="B79" s="119"/>
      <c r="G79" s="170" t="str">
        <f>Parameters!E81</f>
        <v>Transition from state 1 to state 3 (PVI T1)</v>
      </c>
      <c r="H79" s="169">
        <f>Parameters!H81</f>
        <v>1.0285348451114832E-5</v>
      </c>
      <c r="I79" s="169">
        <f>Parameters!J81</f>
        <v>8.2694571978518414E-6</v>
      </c>
      <c r="J79" s="65">
        <f>Parameters!K81</f>
        <v>1.2301239704377822E-5</v>
      </c>
      <c r="K79" s="171" t="str">
        <f>'Transition Probabilites'!O13</f>
        <v>[Franck Maunoury et al.]</v>
      </c>
      <c r="AC79" s="119"/>
    </row>
    <row r="80" spans="2:29" ht="16" x14ac:dyDescent="0.2">
      <c r="B80" s="119"/>
      <c r="G80" s="170" t="str">
        <f>Parameters!E82</f>
        <v>Transition from state 1 to state 4 (PVI T1)</v>
      </c>
      <c r="H80" s="169">
        <f>Parameters!H82</f>
        <v>4.4741904867265492E-6</v>
      </c>
      <c r="I80" s="169">
        <f>Parameters!J82</f>
        <v>3.5972652653309721E-6</v>
      </c>
      <c r="J80" s="65">
        <f>Parameters!K82</f>
        <v>5.3511157081221262E-6</v>
      </c>
      <c r="K80" s="171" t="str">
        <f>'Transition Probabilites'!O14</f>
        <v>[Franck Maunoury et al.]</v>
      </c>
      <c r="AC80" s="119"/>
    </row>
    <row r="81" spans="2:29" ht="16" x14ac:dyDescent="0.2">
      <c r="B81" s="119"/>
      <c r="G81" s="170" t="str">
        <f>Parameters!E83</f>
        <v>Transition from state 1 to state 5 (PVI T1)</v>
      </c>
      <c r="H81" s="169">
        <f>Parameters!H83</f>
        <v>1.7578245659014938E-10</v>
      </c>
      <c r="I81" s="169">
        <f>Parameters!J83</f>
        <v>1.4132972818708255E-10</v>
      </c>
      <c r="J81" s="65">
        <f>Parameters!K83</f>
        <v>2.1023518499321621E-10</v>
      </c>
      <c r="K81" s="171" t="str">
        <f>'Transition Probabilites'!O15</f>
        <v>[Franck Maunoury et al.]</v>
      </c>
      <c r="AC81" s="119"/>
    </row>
    <row r="82" spans="2:29" ht="16" x14ac:dyDescent="0.2">
      <c r="B82" s="119"/>
      <c r="G82" s="170" t="str">
        <f>Parameters!E84</f>
        <v>Transition from state 1 to state 6 (PVI T1)</v>
      </c>
      <c r="H82" s="169">
        <f>Parameters!H84</f>
        <v>0</v>
      </c>
      <c r="I82" s="169">
        <f>Parameters!J84</f>
        <v>0</v>
      </c>
      <c r="J82" s="65">
        <f>Parameters!K84</f>
        <v>0</v>
      </c>
      <c r="K82" s="171" t="str">
        <f>'Transition Probabilites'!O16</f>
        <v>[Franck Maunoury et al.]</v>
      </c>
      <c r="AC82" s="119"/>
    </row>
    <row r="83" spans="2:29" ht="16" x14ac:dyDescent="0.2">
      <c r="B83" s="119"/>
      <c r="G83" s="170" t="str">
        <f>Parameters!E85</f>
        <v>Transition from state 1 to state 7 (PVI T1)</v>
      </c>
      <c r="H83" s="169">
        <f>Parameters!H85</f>
        <v>0.76815360071595085</v>
      </c>
      <c r="I83" s="169">
        <f>Parameters!J85</f>
        <v>0.61759826151614838</v>
      </c>
      <c r="J83" s="65">
        <f>Parameters!K85</f>
        <v>0.91870893991575331</v>
      </c>
      <c r="K83" s="171" t="str">
        <f>'Transition Probabilites'!O17</f>
        <v>[Franck Maunoury et al.]</v>
      </c>
      <c r="AC83" s="119"/>
    </row>
    <row r="84" spans="2:29" ht="16" x14ac:dyDescent="0.2">
      <c r="B84" s="119"/>
      <c r="G84" s="170" t="str">
        <f>Parameters!E86</f>
        <v>Transition from state 1 to state 8 (PVI T1)</v>
      </c>
      <c r="H84" s="169">
        <f>Parameters!H86</f>
        <v>0.23107153288960189</v>
      </c>
      <c r="I84" s="169">
        <f>Parameters!J86</f>
        <v>0.18578234465799365</v>
      </c>
      <c r="J84" s="65">
        <f>Parameters!K86</f>
        <v>0.27636072112121013</v>
      </c>
      <c r="K84" s="171" t="str">
        <f>'Transition Probabilites'!O18</f>
        <v>[Franck Maunoury et al.]</v>
      </c>
      <c r="AC84" s="119"/>
    </row>
    <row r="85" spans="2:29" ht="16" x14ac:dyDescent="0.2">
      <c r="B85" s="119"/>
      <c r="G85" s="170" t="str">
        <f>Parameters!E87</f>
        <v>Transition from state 2 to state 1 (PVI T1)</v>
      </c>
      <c r="H85" s="169">
        <f>Parameters!H87</f>
        <v>3.1153876774011371E-4</v>
      </c>
      <c r="I85" s="169">
        <f>Parameters!J87</f>
        <v>2.5047829128425252E-4</v>
      </c>
      <c r="J85" s="65">
        <f>Parameters!K87</f>
        <v>3.7259924419597484E-4</v>
      </c>
      <c r="K85" s="171" t="str">
        <f>'Transition Probabilites'!O19</f>
        <v>[Franck Maunoury et al.]</v>
      </c>
      <c r="AC85" s="119"/>
    </row>
    <row r="86" spans="2:29" ht="16" x14ac:dyDescent="0.2">
      <c r="B86" s="119"/>
      <c r="G86" s="170" t="str">
        <f>Parameters!E88</f>
        <v>Transition from state 2 to state 2 (PVI T1)</v>
      </c>
      <c r="H86" s="169">
        <f>Parameters!H88</f>
        <v>5.5322239275101164E-4</v>
      </c>
      <c r="I86" s="169">
        <f>Parameters!J88</f>
        <v>4.4479279622770612E-4</v>
      </c>
      <c r="J86" s="65">
        <f>Parameters!K88</f>
        <v>6.6165198927431717E-4</v>
      </c>
      <c r="K86" s="171" t="str">
        <f>'Transition Probabilites'!O20</f>
        <v>[Franck Maunoury et al.]</v>
      </c>
      <c r="AC86" s="119"/>
    </row>
    <row r="87" spans="2:29" ht="16" x14ac:dyDescent="0.2">
      <c r="B87" s="119"/>
      <c r="G87" s="170" t="str">
        <f>Parameters!E89</f>
        <v>Transition from state 2 to state 3 (PVI T1)</v>
      </c>
      <c r="H87" s="169">
        <f>Parameters!H89</f>
        <v>1.1701494798743775E-5</v>
      </c>
      <c r="I87" s="169">
        <f>Parameters!J89</f>
        <v>9.4080439616617192E-6</v>
      </c>
      <c r="J87" s="65">
        <f>Parameters!K89</f>
        <v>1.3994945635825831E-5</v>
      </c>
      <c r="K87" s="171" t="str">
        <f>'Transition Probabilites'!O21</f>
        <v>[Franck Maunoury et al.]</v>
      </c>
      <c r="AC87" s="119"/>
    </row>
    <row r="88" spans="2:29" ht="16" x14ac:dyDescent="0.2">
      <c r="B88" s="119"/>
      <c r="G88" s="170" t="str">
        <f>Parameters!E90</f>
        <v>Transition from state 2 to state 4 (PVI T1)</v>
      </c>
      <c r="H88" s="169">
        <f>Parameters!H90</f>
        <v>5.0906594825352422E-6</v>
      </c>
      <c r="I88" s="169">
        <f>Parameters!J90</f>
        <v>4.0929085582026045E-6</v>
      </c>
      <c r="J88" s="65">
        <f>Parameters!K90</f>
        <v>6.08841040686788E-6</v>
      </c>
      <c r="K88" s="171" t="str">
        <f>'Transition Probabilites'!O22</f>
        <v>[Franck Maunoury et al.]</v>
      </c>
      <c r="AC88" s="119"/>
    </row>
    <row r="89" spans="2:29" ht="16" x14ac:dyDescent="0.2">
      <c r="B89" s="119"/>
      <c r="G89" s="170" t="str">
        <f>Parameters!E91</f>
        <v>Transition from state 2 to state 5 (PVI T1)</v>
      </c>
      <c r="H89" s="169">
        <f>Parameters!H91</f>
        <v>1.9998733985242014E-10</v>
      </c>
      <c r="I89" s="169">
        <f>Parameters!J91</f>
        <v>1.6079054150494862E-10</v>
      </c>
      <c r="J89" s="65">
        <f>Parameters!K91</f>
        <v>2.3918413819989165E-10</v>
      </c>
      <c r="K89" s="171" t="str">
        <f>'Transition Probabilites'!O23</f>
        <v>[Franck Maunoury et al.]</v>
      </c>
      <c r="AC89" s="119"/>
    </row>
    <row r="90" spans="2:29" ht="16" x14ac:dyDescent="0.2">
      <c r="B90" s="119"/>
      <c r="G90" s="170" t="str">
        <f>Parameters!E92</f>
        <v>Transition from state 2 to state 6 (PVI T1)</v>
      </c>
      <c r="H90" s="169">
        <f>Parameters!H92</f>
        <v>0</v>
      </c>
      <c r="I90" s="169">
        <f>Parameters!J92</f>
        <v>0</v>
      </c>
      <c r="J90" s="65">
        <f>Parameters!K92</f>
        <v>0</v>
      </c>
      <c r="K90" s="171" t="str">
        <f>'Transition Probabilites'!O24</f>
        <v>[Franck Maunoury et al.]</v>
      </c>
      <c r="AC90" s="119"/>
    </row>
    <row r="91" spans="2:29" ht="16" x14ac:dyDescent="0.2">
      <c r="B91" s="119"/>
      <c r="G91" s="170" t="str">
        <f>Parameters!E93</f>
        <v>Transition from state 2 to state 7 (PVI T1)</v>
      </c>
      <c r="H91" s="169">
        <f>Parameters!H93</f>
        <v>0.68481606274739593</v>
      </c>
      <c r="I91" s="169">
        <f>Parameters!J93</f>
        <v>0.55059458084545421</v>
      </c>
      <c r="J91" s="65">
        <f>Parameters!K93</f>
        <v>0.81903754464933765</v>
      </c>
      <c r="K91" s="171" t="str">
        <f>'Transition Probabilites'!O25</f>
        <v>[Franck Maunoury et al.]</v>
      </c>
      <c r="AC91" s="119"/>
    </row>
    <row r="92" spans="2:29" ht="16" x14ac:dyDescent="0.2">
      <c r="B92" s="119"/>
      <c r="G92" s="170" t="str">
        <f>Parameters!E94</f>
        <v>Transition from state 2 to state 8 (PVI T1)</v>
      </c>
      <c r="H92" s="169">
        <f>Parameters!H94</f>
        <v>0.3143023837378443</v>
      </c>
      <c r="I92" s="169">
        <f>Parameters!J94</f>
        <v>0.25270024849971806</v>
      </c>
      <c r="J92" s="65">
        <f>Parameters!K94</f>
        <v>0.37590451897597055</v>
      </c>
      <c r="K92" s="171" t="str">
        <f>'Transition Probabilites'!O26</f>
        <v>[Franck Maunoury et al.]</v>
      </c>
      <c r="AC92" s="119"/>
    </row>
    <row r="93" spans="2:29" ht="16" x14ac:dyDescent="0.2">
      <c r="B93" s="119"/>
      <c r="G93" s="170" t="str">
        <f>Parameters!E95</f>
        <v>Transition from state 3 to state 1 (PVI T1)</v>
      </c>
      <c r="H93" s="169">
        <f>Parameters!H95</f>
        <v>3.3911704049671882E-4</v>
      </c>
      <c r="I93" s="169">
        <f>Parameters!J95</f>
        <v>2.7265132190498081E-4</v>
      </c>
      <c r="J93" s="65">
        <f>Parameters!K95</f>
        <v>4.0558275908845679E-4</v>
      </c>
      <c r="K93" s="171" t="str">
        <f>'Transition Probabilites'!O27</f>
        <v>[Franck Maunoury et al.]</v>
      </c>
      <c r="AC93" s="119"/>
    </row>
    <row r="94" spans="2:29" ht="16" x14ac:dyDescent="0.2">
      <c r="B94" s="119"/>
      <c r="G94" s="170" t="str">
        <f>Parameters!E96</f>
        <v>Transition from state 3 to state 2 (PVI T1)</v>
      </c>
      <c r="H94" s="169">
        <f>Parameters!H96</f>
        <v>6.0220222416482031E-4</v>
      </c>
      <c r="I94" s="169">
        <f>Parameters!J96</f>
        <v>4.8417275708752391E-4</v>
      </c>
      <c r="J94" s="65">
        <f>Parameters!K96</f>
        <v>7.2023169124211671E-4</v>
      </c>
      <c r="K94" s="171" t="str">
        <f>'Transition Probabilites'!O28</f>
        <v>[Franck Maunoury et al.]</v>
      </c>
      <c r="AC94" s="119"/>
    </row>
    <row r="95" spans="2:29" ht="16" x14ac:dyDescent="0.2">
      <c r="B95" s="119"/>
      <c r="G95" s="170" t="str">
        <f>Parameters!E97</f>
        <v>Transition from state 3 to state 3 (PVI T1)</v>
      </c>
      <c r="H95" s="169">
        <f>Parameters!H97</f>
        <v>1.2742270428518076E-5</v>
      </c>
      <c r="I95" s="169">
        <f>Parameters!J97</f>
        <v>1.0244831316401557E-5</v>
      </c>
      <c r="J95" s="65">
        <f>Parameters!K97</f>
        <v>1.5239709540634595E-5</v>
      </c>
      <c r="K95" s="171" t="str">
        <f>'Transition Probabilites'!O29</f>
        <v>[Franck Maunoury et al.]</v>
      </c>
      <c r="AC95" s="119"/>
    </row>
    <row r="96" spans="2:29" ht="16" x14ac:dyDescent="0.2">
      <c r="B96" s="119"/>
      <c r="G96" s="170" t="str">
        <f>Parameters!E98</f>
        <v>Transition from state 3 to state 4 (PVI T1)</v>
      </c>
      <c r="H96" s="169">
        <f>Parameters!H98</f>
        <v>5.5392190906116135E-6</v>
      </c>
      <c r="I96" s="169">
        <f>Parameters!J98</f>
        <v>4.4535520986040663E-6</v>
      </c>
      <c r="J96" s="65">
        <f>Parameters!K98</f>
        <v>6.6248860826191608E-6</v>
      </c>
      <c r="K96" s="171" t="str">
        <f>'Transition Probabilites'!O30</f>
        <v>[Franck Maunoury et al.]</v>
      </c>
      <c r="AC96" s="119"/>
    </row>
    <row r="97" spans="2:29" ht="16" x14ac:dyDescent="0.2">
      <c r="B97" s="119"/>
      <c r="G97" s="170" t="str">
        <f>Parameters!E99</f>
        <v>Transition from state 3 to state 5 (PVI T1)</v>
      </c>
      <c r="H97" s="169">
        <f>Parameters!H99</f>
        <v>2.1767765258451121E-10</v>
      </c>
      <c r="I97" s="169">
        <f>Parameters!J99</f>
        <v>1.7501361665402479E-10</v>
      </c>
      <c r="J97" s="65">
        <f>Parameters!K99</f>
        <v>2.6034168851499763E-10</v>
      </c>
      <c r="K97" s="171" t="str">
        <f>'Transition Probabilites'!O31</f>
        <v>[Franck Maunoury et al.]</v>
      </c>
      <c r="AC97" s="119"/>
    </row>
    <row r="98" spans="2:29" ht="16" x14ac:dyDescent="0.2">
      <c r="B98" s="119"/>
      <c r="G98" s="170" t="str">
        <f>Parameters!E100</f>
        <v>Transition from state 3 to state 6 (PVI T1)</v>
      </c>
      <c r="H98" s="169">
        <f>Parameters!H100</f>
        <v>0</v>
      </c>
      <c r="I98" s="169">
        <f>Parameters!J100</f>
        <v>0</v>
      </c>
      <c r="J98" s="65">
        <f>Parameters!K100</f>
        <v>0</v>
      </c>
      <c r="K98" s="171" t="str">
        <f>'Transition Probabilites'!O32</f>
        <v>[Franck Maunoury et al.]</v>
      </c>
      <c r="AC98" s="119"/>
    </row>
    <row r="99" spans="2:29" ht="16" x14ac:dyDescent="0.2">
      <c r="B99" s="119"/>
      <c r="G99" s="170" t="str">
        <f>Parameters!E101</f>
        <v>Transition from state 3 to state 7 (PVI T1)</v>
      </c>
      <c r="H99" s="169">
        <f>Parameters!H101</f>
        <v>0.79326816674544742</v>
      </c>
      <c r="I99" s="169">
        <f>Parameters!J101</f>
        <v>0.63779046305512832</v>
      </c>
      <c r="J99" s="65">
        <f>Parameters!K101</f>
        <v>0.94874587043576653</v>
      </c>
      <c r="K99" s="171" t="str">
        <f>'Transition Probabilites'!O33</f>
        <v>[Franck Maunoury et al.]</v>
      </c>
      <c r="AC99" s="119"/>
    </row>
    <row r="100" spans="2:29" ht="16" x14ac:dyDescent="0.2">
      <c r="B100" s="119"/>
      <c r="G100" s="170" t="str">
        <f>Parameters!E102</f>
        <v>Transition from state 3 to state 8 (PVI T1)</v>
      </c>
      <c r="H100" s="169">
        <f>Parameters!H102</f>
        <v>0.20577223228269431</v>
      </c>
      <c r="I100" s="169">
        <f>Parameters!J102</f>
        <v>0.16544161585344519</v>
      </c>
      <c r="J100" s="65">
        <f>Parameters!K102</f>
        <v>0.24610284871194341</v>
      </c>
      <c r="K100" s="171" t="str">
        <f>'Transition Probabilites'!O34</f>
        <v>[Franck Maunoury et al.]</v>
      </c>
      <c r="AC100" s="119"/>
    </row>
    <row r="101" spans="2:29" ht="16" x14ac:dyDescent="0.2">
      <c r="B101" s="119"/>
      <c r="G101" s="170" t="str">
        <f>Parameters!E103</f>
        <v>Transition from state 4 to state 1 (PVI T1)</v>
      </c>
      <c r="H101" s="169">
        <f>Parameters!H103</f>
        <v>4.8546640461145766E-4</v>
      </c>
      <c r="I101" s="169">
        <f>Parameters!J103</f>
        <v>3.90316737737197E-4</v>
      </c>
      <c r="J101" s="65">
        <f>Parameters!K103</f>
        <v>5.8061607148571833E-4</v>
      </c>
      <c r="K101" s="171" t="str">
        <f>'Transition Probabilites'!O35</f>
        <v>[Franck Maunoury et al.]</v>
      </c>
      <c r="AC101" s="119"/>
    </row>
    <row r="102" spans="2:29" ht="16" x14ac:dyDescent="0.2">
      <c r="B102" s="119"/>
      <c r="G102" s="170" t="str">
        <f>Parameters!E104</f>
        <v>Transition from state 4 to state 2 (PVI T1)</v>
      </c>
      <c r="H102" s="169">
        <f>Parameters!H104</f>
        <v>8.6210170889687294E-4</v>
      </c>
      <c r="I102" s="169">
        <f>Parameters!J104</f>
        <v>6.9313287885204252E-4</v>
      </c>
      <c r="J102" s="65">
        <f>Parameters!K104</f>
        <v>1.0310705389417034E-3</v>
      </c>
      <c r="K102" s="171" t="str">
        <f>'Transition Probabilites'!O36</f>
        <v>[Franck Maunoury et al.]</v>
      </c>
      <c r="AC102" s="119"/>
    </row>
    <row r="103" spans="2:29" ht="16" x14ac:dyDescent="0.2">
      <c r="B103" s="119"/>
      <c r="G103" s="170" t="str">
        <f>Parameters!E105</f>
        <v>Transition from state 4 to state 3 (PVI T1)</v>
      </c>
      <c r="H103" s="169">
        <f>Parameters!H105</f>
        <v>1.8232656826034806E-5</v>
      </c>
      <c r="I103" s="169">
        <f>Parameters!J105</f>
        <v>1.4659121753884147E-5</v>
      </c>
      <c r="J103" s="65">
        <f>Parameters!K105</f>
        <v>2.1806191898185464E-5</v>
      </c>
      <c r="K103" s="171" t="str">
        <f>'Transition Probabilites'!O37</f>
        <v>[Franck Maunoury et al.]</v>
      </c>
      <c r="AC103" s="119"/>
    </row>
    <row r="104" spans="2:29" ht="16" x14ac:dyDescent="0.2">
      <c r="B104" s="119"/>
      <c r="G104" s="170" t="str">
        <f>Parameters!E106</f>
        <v>Transition from state 4 to state 4 (PVI T1)</v>
      </c>
      <c r="H104" s="169">
        <f>Parameters!H106</f>
        <v>7.942252534761282E-6</v>
      </c>
      <c r="I104" s="169">
        <f>Parameters!J106</f>
        <v>6.3855996423358753E-6</v>
      </c>
      <c r="J104" s="65">
        <f>Parameters!K106</f>
        <v>9.4989054271866879E-6</v>
      </c>
      <c r="K104" s="171" t="str">
        <f>'Transition Probabilites'!O38</f>
        <v>[Franck Maunoury et al.]</v>
      </c>
      <c r="AC104" s="119"/>
    </row>
    <row r="105" spans="2:29" ht="16" x14ac:dyDescent="0.2">
      <c r="B105" s="119"/>
      <c r="G105" s="170" t="str">
        <f>Parameters!E107</f>
        <v>Transition from state 4 to state 5 (PVI T1)</v>
      </c>
      <c r="H105" s="169">
        <f>Parameters!H107</f>
        <v>3.1161904440909887E-10</v>
      </c>
      <c r="I105" s="169">
        <f>Parameters!J107</f>
        <v>2.5054283401523673E-10</v>
      </c>
      <c r="J105" s="65">
        <f>Parameters!K107</f>
        <v>3.72695254802961E-10</v>
      </c>
      <c r="K105" s="171" t="str">
        <f>'Transition Probabilites'!O39</f>
        <v>[Franck Maunoury et al.]</v>
      </c>
      <c r="AC105" s="119"/>
    </row>
    <row r="106" spans="2:29" ht="16" x14ac:dyDescent="0.2">
      <c r="B106" s="119"/>
      <c r="G106" s="170" t="str">
        <f>Parameters!E108</f>
        <v>Transition from state 4 to state 6 (PVI T1)</v>
      </c>
      <c r="H106" s="169">
        <f>Parameters!H108</f>
        <v>0</v>
      </c>
      <c r="I106" s="169">
        <f>Parameters!J108</f>
        <v>0</v>
      </c>
      <c r="J106" s="65">
        <f>Parameters!K108</f>
        <v>0</v>
      </c>
      <c r="K106" s="171" t="str">
        <f>'Transition Probabilites'!O40</f>
        <v>[Franck Maunoury et al.]</v>
      </c>
      <c r="AC106" s="119"/>
    </row>
    <row r="107" spans="2:29" ht="16" x14ac:dyDescent="0.2">
      <c r="B107" s="119"/>
      <c r="G107" s="170" t="str">
        <f>Parameters!E109</f>
        <v>Transition from state 4 to state 7 (PVI T1)</v>
      </c>
      <c r="H107" s="169">
        <f>Parameters!H109</f>
        <v>0.79293932523604027</v>
      </c>
      <c r="I107" s="169">
        <f>Parameters!J109</f>
        <v>0.63752607329722721</v>
      </c>
      <c r="J107" s="65">
        <f>Parameters!K109</f>
        <v>0.94835257717485333</v>
      </c>
      <c r="K107" s="171" t="str">
        <f>'Transition Probabilites'!O41</f>
        <v>[Franck Maunoury et al.]</v>
      </c>
      <c r="AC107" s="119"/>
    </row>
    <row r="108" spans="2:29" ht="16" x14ac:dyDescent="0.2">
      <c r="B108" s="119"/>
      <c r="G108" s="170" t="str">
        <f>Parameters!E110</f>
        <v>Transition from state 4 to state 8 (PVI T1)</v>
      </c>
      <c r="H108" s="169">
        <f>Parameters!H110</f>
        <v>0.20568693142947148</v>
      </c>
      <c r="I108" s="169">
        <f>Parameters!J110</f>
        <v>0.16537303366023909</v>
      </c>
      <c r="J108" s="65">
        <f>Parameters!K110</f>
        <v>0.24600082919870386</v>
      </c>
      <c r="K108" s="171" t="str">
        <f>'Transition Probabilites'!O42</f>
        <v>[Franck Maunoury et al.]</v>
      </c>
      <c r="AC108" s="119"/>
    </row>
    <row r="109" spans="2:29" ht="16" x14ac:dyDescent="0.2">
      <c r="B109" s="119"/>
      <c r="G109" s="170" t="str">
        <f>Parameters!E111</f>
        <v>Transition from state 5 to state 1 (PVI T1)</v>
      </c>
      <c r="H109" s="169">
        <f>Parameters!H111</f>
        <v>0</v>
      </c>
      <c r="I109" s="169">
        <f>Parameters!J111</f>
        <v>0</v>
      </c>
      <c r="J109" s="65">
        <f>Parameters!K111</f>
        <v>0</v>
      </c>
      <c r="K109" s="171" t="str">
        <f>'Transition Probabilites'!O43</f>
        <v>[Franck Maunoury et al.]</v>
      </c>
      <c r="AC109" s="119"/>
    </row>
    <row r="110" spans="2:29" ht="16" x14ac:dyDescent="0.2">
      <c r="B110" s="119"/>
      <c r="G110" s="170" t="str">
        <f>Parameters!E112</f>
        <v>Transition from state 5 to state 2 (PVI T1)</v>
      </c>
      <c r="H110" s="169">
        <f>Parameters!H112</f>
        <v>0</v>
      </c>
      <c r="I110" s="169">
        <f>Parameters!J112</f>
        <v>0</v>
      </c>
      <c r="J110" s="65">
        <f>Parameters!K112</f>
        <v>0</v>
      </c>
      <c r="K110" s="171" t="str">
        <f>'Transition Probabilites'!O44</f>
        <v>[Franck Maunoury et al.]</v>
      </c>
      <c r="AC110" s="119"/>
    </row>
    <row r="111" spans="2:29" ht="16" x14ac:dyDescent="0.2">
      <c r="B111" s="119"/>
      <c r="G111" s="170" t="str">
        <f>Parameters!E113</f>
        <v>Transition from state 5 to state 3 (PVI T1)</v>
      </c>
      <c r="H111" s="169">
        <f>Parameters!H113</f>
        <v>0</v>
      </c>
      <c r="I111" s="169">
        <f>Parameters!J113</f>
        <v>0</v>
      </c>
      <c r="J111" s="65">
        <f>Parameters!K113</f>
        <v>0</v>
      </c>
      <c r="K111" s="171" t="str">
        <f>'Transition Probabilites'!O45</f>
        <v>[Franck Maunoury et al.]</v>
      </c>
      <c r="AC111" s="119"/>
    </row>
    <row r="112" spans="2:29" ht="16" x14ac:dyDescent="0.2">
      <c r="B112" s="119"/>
      <c r="G112" s="170" t="str">
        <f>Parameters!E114</f>
        <v>Transition from state 5 to state 4 (PVI T1)</v>
      </c>
      <c r="H112" s="169">
        <f>Parameters!H114</f>
        <v>0</v>
      </c>
      <c r="I112" s="169">
        <f>Parameters!J114</f>
        <v>0</v>
      </c>
      <c r="J112" s="65">
        <f>Parameters!K114</f>
        <v>0</v>
      </c>
      <c r="K112" s="171" t="str">
        <f>'Transition Probabilites'!O46</f>
        <v>[Franck Maunoury et al.]</v>
      </c>
      <c r="AC112" s="119"/>
    </row>
    <row r="113" spans="2:29" ht="16" x14ac:dyDescent="0.2">
      <c r="B113" s="119"/>
      <c r="G113" s="170" t="str">
        <f>Parameters!E115</f>
        <v>Transition from state 5 to state 5 (PVI T1)</v>
      </c>
      <c r="H113" s="169">
        <f>Parameters!H115</f>
        <v>0</v>
      </c>
      <c r="I113" s="169">
        <f>Parameters!J115</f>
        <v>0</v>
      </c>
      <c r="J113" s="65">
        <f>Parameters!K115</f>
        <v>0</v>
      </c>
      <c r="K113" s="171" t="str">
        <f>'Transition Probabilites'!O47</f>
        <v>[Franck Maunoury et al.]</v>
      </c>
      <c r="AC113" s="119"/>
    </row>
    <row r="114" spans="2:29" ht="16" x14ac:dyDescent="0.2">
      <c r="B114" s="119"/>
      <c r="G114" s="170" t="str">
        <f>Parameters!E116</f>
        <v>Transition from state 5 to state 6 (PVI T1)</v>
      </c>
      <c r="H114" s="169">
        <f>Parameters!H116</f>
        <v>1</v>
      </c>
      <c r="I114" s="169">
        <f>Parameters!J116</f>
        <v>0.8040036015459946</v>
      </c>
      <c r="J114" s="65">
        <f>Parameters!K116</f>
        <v>1.1959963984540054</v>
      </c>
      <c r="K114" s="171" t="str">
        <f>'Transition Probabilites'!O48</f>
        <v>[Franck Maunoury et al.]</v>
      </c>
      <c r="AC114" s="119"/>
    </row>
    <row r="115" spans="2:29" ht="16" x14ac:dyDescent="0.2">
      <c r="B115" s="119"/>
      <c r="G115" s="170" t="str">
        <f>Parameters!E117</f>
        <v>Transition from state 5 to state 7 (PVI T1)</v>
      </c>
      <c r="H115" s="169">
        <f>Parameters!H117</f>
        <v>0</v>
      </c>
      <c r="I115" s="169">
        <f>Parameters!J117</f>
        <v>0</v>
      </c>
      <c r="J115" s="65">
        <f>Parameters!K117</f>
        <v>0</v>
      </c>
      <c r="K115" s="171" t="str">
        <f>'Transition Probabilites'!O49</f>
        <v>[Franck Maunoury et al.]</v>
      </c>
      <c r="AC115" s="119"/>
    </row>
    <row r="116" spans="2:29" ht="16" x14ac:dyDescent="0.2">
      <c r="B116" s="119"/>
      <c r="G116" s="170" t="str">
        <f>Parameters!E118</f>
        <v>Transition from state 5 to state 8 (PVI T1)</v>
      </c>
      <c r="H116" s="169">
        <f>Parameters!H118</f>
        <v>0</v>
      </c>
      <c r="I116" s="169">
        <f>Parameters!J118</f>
        <v>0</v>
      </c>
      <c r="J116" s="65">
        <f>Parameters!K118</f>
        <v>0</v>
      </c>
      <c r="K116" s="171" t="str">
        <f>'Transition Probabilites'!O50</f>
        <v>[Franck Maunoury et al.]</v>
      </c>
      <c r="AC116" s="119"/>
    </row>
    <row r="117" spans="2:29" ht="16" x14ac:dyDescent="0.2">
      <c r="B117" s="119"/>
      <c r="G117" s="170" t="str">
        <f>Parameters!E119</f>
        <v>Transition from state 6 to state 1 (PVI T1)</v>
      </c>
      <c r="H117" s="169">
        <f>Parameters!H119</f>
        <v>3.1929019942910909E-4</v>
      </c>
      <c r="I117" s="169">
        <f>Parameters!J119</f>
        <v>2.567104702793426E-4</v>
      </c>
      <c r="J117" s="65">
        <f>Parameters!K119</f>
        <v>3.8186992857887559E-4</v>
      </c>
      <c r="K117" s="171" t="str">
        <f>'Transition Probabilites'!O51</f>
        <v>[Franck Maunoury et al.]</v>
      </c>
      <c r="AC117" s="119"/>
    </row>
    <row r="118" spans="2:29" ht="16" x14ac:dyDescent="0.2">
      <c r="B118" s="119"/>
      <c r="G118" s="170" t="str">
        <f>Parameters!E120</f>
        <v>Transition from state 6 to state 2 (PVI T1)</v>
      </c>
      <c r="H118" s="169">
        <f>Parameters!H120</f>
        <v>5.669761989862466E-4</v>
      </c>
      <c r="I118" s="169">
        <f>Parameters!J120</f>
        <v>4.5585090597580078E-4</v>
      </c>
      <c r="J118" s="65">
        <f>Parameters!K120</f>
        <v>6.7810149199669248E-4</v>
      </c>
      <c r="K118" s="171" t="str">
        <f>'Transition Probabilites'!O52</f>
        <v>[Franck Maunoury et al.]</v>
      </c>
      <c r="AC118" s="119"/>
    </row>
    <row r="119" spans="2:29" ht="16" x14ac:dyDescent="0.2">
      <c r="B119" s="119"/>
      <c r="G119" s="170" t="str">
        <f>Parameters!E121</f>
        <v>Transition from state 6 to state 3 (PVI T1)</v>
      </c>
      <c r="H119" s="169">
        <f>Parameters!H121</f>
        <v>1.1992659978557124E-5</v>
      </c>
      <c r="I119" s="169">
        <f>Parameters!J121</f>
        <v>9.6421418148764384E-6</v>
      </c>
      <c r="J119" s="65">
        <f>Parameters!K121</f>
        <v>1.4343178142237809E-5</v>
      </c>
      <c r="K119" s="171" t="str">
        <f>'Transition Probabilites'!O53</f>
        <v>[Franck Maunoury et al.]</v>
      </c>
      <c r="AC119" s="119"/>
    </row>
    <row r="120" spans="2:29" ht="16" x14ac:dyDescent="0.2">
      <c r="B120" s="119"/>
      <c r="G120" s="170" t="str">
        <f>Parameters!E122</f>
        <v>Transition from state 6 to state 4 (PVI T1)</v>
      </c>
      <c r="H120" s="169">
        <f>Parameters!H122</f>
        <v>5.2199279906667681E-6</v>
      </c>
      <c r="I120" s="169">
        <f>Parameters!J122</f>
        <v>4.1968409043068287E-6</v>
      </c>
      <c r="J120" s="65">
        <f>Parameters!K122</f>
        <v>6.2430150770267075E-6</v>
      </c>
      <c r="K120" s="171" t="str">
        <f>'Transition Probabilites'!O54</f>
        <v>[Franck Maunoury et al.]</v>
      </c>
      <c r="AC120" s="119"/>
    </row>
    <row r="121" spans="2:29" ht="16" x14ac:dyDescent="0.2">
      <c r="B121" s="119"/>
      <c r="G121" s="170" t="str">
        <f>Parameters!E123</f>
        <v>Transition from state 6 to state 5 (PVI T1)</v>
      </c>
      <c r="H121" s="169">
        <f>Parameters!H123</f>
        <v>0</v>
      </c>
      <c r="I121" s="169">
        <f>Parameters!J123</f>
        <v>0</v>
      </c>
      <c r="J121" s="65">
        <f>Parameters!K123</f>
        <v>0</v>
      </c>
      <c r="K121" s="171" t="str">
        <f>'Transition Probabilites'!O55</f>
        <v>[Franck Maunoury et al.]</v>
      </c>
      <c r="AC121" s="119"/>
    </row>
    <row r="122" spans="2:29" ht="16" x14ac:dyDescent="0.2">
      <c r="B122" s="119"/>
      <c r="G122" s="170" t="str">
        <f>Parameters!E124</f>
        <v>Transition from state 6 to state 6 (PVI T1)</v>
      </c>
      <c r="H122" s="169">
        <f>Parameters!H124</f>
        <v>1.9152279965755723E-4</v>
      </c>
      <c r="I122" s="169">
        <f>Parameters!J124</f>
        <v>1.53985020702848E-4</v>
      </c>
      <c r="J122" s="65">
        <f>Parameters!K124</f>
        <v>2.2906057861226645E-4</v>
      </c>
      <c r="K122" s="171" t="str">
        <f>'Transition Probabilites'!O56</f>
        <v>[Franck Maunoury et al.]</v>
      </c>
      <c r="AC122" s="119"/>
    </row>
    <row r="123" spans="2:29" ht="16" x14ac:dyDescent="0.2">
      <c r="B123" s="119"/>
      <c r="G123" s="170" t="str">
        <f>Parameters!E125</f>
        <v>Transition from state 6 to state 7 (PVI T1)</v>
      </c>
      <c r="H123" s="169">
        <f>Parameters!H125</f>
        <v>0.75131469865664935</v>
      </c>
      <c r="I123" s="169">
        <f>Parameters!J125</f>
        <v>0.60405972361438975</v>
      </c>
      <c r="J123" s="65">
        <f>Parameters!K125</f>
        <v>0.89856967369890894</v>
      </c>
      <c r="K123" s="171" t="str">
        <f>'Transition Probabilites'!O57</f>
        <v>[Franck Maunoury et al.]</v>
      </c>
      <c r="AC123" s="119"/>
    </row>
    <row r="124" spans="2:29" ht="16" x14ac:dyDescent="0.2">
      <c r="B124" s="119"/>
      <c r="G124" s="170" t="str">
        <f>Parameters!E126</f>
        <v>Transition from state 6 to state 8 (PVI T1)</v>
      </c>
      <c r="H124" s="169">
        <f>Parameters!H126</f>
        <v>0.24759029955730857</v>
      </c>
      <c r="I124" s="169">
        <f>Parameters!J126</f>
        <v>0.19906349255192776</v>
      </c>
      <c r="J124" s="65">
        <f>Parameters!K126</f>
        <v>0.29611710656268936</v>
      </c>
      <c r="K124" s="171" t="str">
        <f>'Transition Probabilites'!O58</f>
        <v>[Franck Maunoury et al.]</v>
      </c>
      <c r="AC124" s="119"/>
    </row>
    <row r="125" spans="2:29" ht="16" x14ac:dyDescent="0.2">
      <c r="B125" s="119"/>
      <c r="G125" s="170" t="str">
        <f>Parameters!E127</f>
        <v>Transition from state 7 to state 1 (PVI T1)</v>
      </c>
      <c r="H125" s="169">
        <f>Parameters!H127</f>
        <v>0</v>
      </c>
      <c r="I125" s="169">
        <f>Parameters!J127</f>
        <v>0</v>
      </c>
      <c r="J125" s="65">
        <f>Parameters!K127</f>
        <v>0</v>
      </c>
      <c r="K125" s="171" t="str">
        <f>'Transition Probabilites'!O59</f>
        <v>[Franck Maunoury et al.]</v>
      </c>
      <c r="AC125" s="119"/>
    </row>
    <row r="126" spans="2:29" ht="16" x14ac:dyDescent="0.2">
      <c r="B126" s="119"/>
      <c r="G126" s="170" t="str">
        <f>Parameters!E128</f>
        <v>Transition from state 7 to state 2 (PVI T1)</v>
      </c>
      <c r="H126" s="169">
        <f>Parameters!H128</f>
        <v>0</v>
      </c>
      <c r="I126" s="169">
        <f>Parameters!J128</f>
        <v>0</v>
      </c>
      <c r="J126" s="65">
        <f>Parameters!K128</f>
        <v>0</v>
      </c>
      <c r="K126" s="171" t="str">
        <f>'Transition Probabilites'!O60</f>
        <v>[Franck Maunoury et al.]</v>
      </c>
      <c r="AC126" s="119"/>
    </row>
    <row r="127" spans="2:29" ht="16" x14ac:dyDescent="0.2">
      <c r="B127" s="119"/>
      <c r="G127" s="170" t="str">
        <f>Parameters!E129</f>
        <v>Transition from state 7 to state 3 (PVI T1)</v>
      </c>
      <c r="H127" s="169">
        <f>Parameters!H129</f>
        <v>0</v>
      </c>
      <c r="I127" s="169">
        <f>Parameters!J129</f>
        <v>0</v>
      </c>
      <c r="J127" s="65">
        <f>Parameters!K129</f>
        <v>0</v>
      </c>
      <c r="K127" s="171" t="str">
        <f>'Transition Probabilites'!O61</f>
        <v>[Franck Maunoury et al.]</v>
      </c>
      <c r="AC127" s="119"/>
    </row>
    <row r="128" spans="2:29" ht="16" x14ac:dyDescent="0.2">
      <c r="B128" s="119"/>
      <c r="G128" s="170" t="str">
        <f>Parameters!E130</f>
        <v>Transition from state 7 to state 4 (PVI T1)</v>
      </c>
      <c r="H128" s="169">
        <f>Parameters!H130</f>
        <v>0</v>
      </c>
      <c r="I128" s="169">
        <f>Parameters!J130</f>
        <v>0</v>
      </c>
      <c r="J128" s="65">
        <f>Parameters!K130</f>
        <v>0</v>
      </c>
      <c r="K128" s="171" t="str">
        <f>'Transition Probabilites'!O62</f>
        <v>[Franck Maunoury et al.]</v>
      </c>
      <c r="AC128" s="119"/>
    </row>
    <row r="129" spans="2:29" ht="16" x14ac:dyDescent="0.2">
      <c r="B129" s="119"/>
      <c r="G129" s="170" t="str">
        <f>Parameters!E131</f>
        <v>Transition from state 7 to state 5 (PVI T1)</v>
      </c>
      <c r="H129" s="169">
        <f>Parameters!H131</f>
        <v>0</v>
      </c>
      <c r="I129" s="169">
        <f>Parameters!J131</f>
        <v>0</v>
      </c>
      <c r="J129" s="65">
        <f>Parameters!K131</f>
        <v>0</v>
      </c>
      <c r="K129" s="171" t="str">
        <f>'Transition Probabilites'!O63</f>
        <v>[Franck Maunoury et al.]</v>
      </c>
      <c r="AC129" s="119"/>
    </row>
    <row r="130" spans="2:29" ht="16" x14ac:dyDescent="0.2">
      <c r="B130" s="119"/>
      <c r="G130" s="170" t="str">
        <f>Parameters!E132</f>
        <v>Transition from state 7 to state 6 (PVI T1)</v>
      </c>
      <c r="H130" s="169">
        <f>Parameters!H132</f>
        <v>0</v>
      </c>
      <c r="I130" s="169">
        <f>Parameters!J132</f>
        <v>0</v>
      </c>
      <c r="J130" s="65">
        <f>Parameters!K132</f>
        <v>0</v>
      </c>
      <c r="K130" s="171" t="str">
        <f>'Transition Probabilites'!O64</f>
        <v>[Franck Maunoury et al.]</v>
      </c>
      <c r="AC130" s="119"/>
    </row>
    <row r="131" spans="2:29" ht="16" x14ac:dyDescent="0.2">
      <c r="B131" s="119"/>
      <c r="G131" s="170" t="str">
        <f>Parameters!E133</f>
        <v>Transition from state 7 to state 7 (PVI T1)</v>
      </c>
      <c r="H131" s="169">
        <f>Parameters!H133</f>
        <v>1</v>
      </c>
      <c r="I131" s="169">
        <f>Parameters!J133</f>
        <v>0.8040036015459946</v>
      </c>
      <c r="J131" s="65">
        <f>Parameters!K133</f>
        <v>1.1959963984540054</v>
      </c>
      <c r="K131" s="171" t="str">
        <f>'Transition Probabilites'!O65</f>
        <v>[Franck Maunoury et al.]</v>
      </c>
      <c r="AC131" s="119"/>
    </row>
    <row r="132" spans="2:29" ht="16" x14ac:dyDescent="0.2">
      <c r="B132" s="119"/>
      <c r="G132" s="170" t="str">
        <f>Parameters!E134</f>
        <v>Transition from state 7 to state 8 (PVI T1)</v>
      </c>
      <c r="H132" s="169">
        <f>Parameters!H134</f>
        <v>0</v>
      </c>
      <c r="I132" s="169">
        <f>Parameters!J134</f>
        <v>0</v>
      </c>
      <c r="J132" s="65">
        <f>Parameters!K134</f>
        <v>0</v>
      </c>
      <c r="K132" s="171" t="str">
        <f>'Transition Probabilites'!O66</f>
        <v>[Franck Maunoury et al.]</v>
      </c>
      <c r="AC132" s="119"/>
    </row>
    <row r="133" spans="2:29" ht="16" x14ac:dyDescent="0.2">
      <c r="B133" s="119"/>
      <c r="G133" s="170" t="str">
        <f>Parameters!E135</f>
        <v>Transition from state 8 to state 1 (PVI T1)</v>
      </c>
      <c r="H133" s="169">
        <f>Parameters!H135</f>
        <v>0</v>
      </c>
      <c r="I133" s="169">
        <f>Parameters!J135</f>
        <v>0</v>
      </c>
      <c r="J133" s="65">
        <f>Parameters!K135</f>
        <v>0</v>
      </c>
      <c r="K133" s="171" t="str">
        <f>'Transition Probabilites'!O67</f>
        <v>[Franck Maunoury et al.]</v>
      </c>
      <c r="AC133" s="119"/>
    </row>
    <row r="134" spans="2:29" ht="16" x14ac:dyDescent="0.2">
      <c r="B134" s="119"/>
      <c r="G134" s="170" t="str">
        <f>Parameters!E136</f>
        <v>Transition from state 8 to state 2 (PVI T1)</v>
      </c>
      <c r="H134" s="169">
        <f>Parameters!H136</f>
        <v>0</v>
      </c>
      <c r="I134" s="169">
        <f>Parameters!J136</f>
        <v>0</v>
      </c>
      <c r="J134" s="65">
        <f>Parameters!K136</f>
        <v>0</v>
      </c>
      <c r="K134" s="171" t="str">
        <f>'Transition Probabilites'!O68</f>
        <v>[Franck Maunoury et al.]</v>
      </c>
      <c r="AC134" s="119"/>
    </row>
    <row r="135" spans="2:29" ht="16" x14ac:dyDescent="0.2">
      <c r="B135" s="119"/>
      <c r="G135" s="170" t="str">
        <f>Parameters!E137</f>
        <v>Transition from state 8 to state 3 (PVI T1)</v>
      </c>
      <c r="H135" s="169">
        <f>Parameters!H137</f>
        <v>0</v>
      </c>
      <c r="I135" s="169">
        <f>Parameters!J137</f>
        <v>0</v>
      </c>
      <c r="J135" s="65">
        <f>Parameters!K137</f>
        <v>0</v>
      </c>
      <c r="K135" s="171" t="str">
        <f>'Transition Probabilites'!O69</f>
        <v>[Franck Maunoury et al.]</v>
      </c>
      <c r="AC135" s="119"/>
    </row>
    <row r="136" spans="2:29" ht="16" x14ac:dyDescent="0.2">
      <c r="B136" s="119"/>
      <c r="G136" s="170" t="str">
        <f>Parameters!E138</f>
        <v>Transition from state 8 to state 4 (PVI T1)</v>
      </c>
      <c r="H136" s="169">
        <f>Parameters!H138</f>
        <v>0</v>
      </c>
      <c r="I136" s="169">
        <f>Parameters!J138</f>
        <v>0</v>
      </c>
      <c r="J136" s="65">
        <f>Parameters!K138</f>
        <v>0</v>
      </c>
      <c r="K136" s="171" t="str">
        <f>'Transition Probabilites'!O70</f>
        <v>[Franck Maunoury et al.]</v>
      </c>
      <c r="AC136" s="119"/>
    </row>
    <row r="137" spans="2:29" ht="16" x14ac:dyDescent="0.2">
      <c r="B137" s="119"/>
      <c r="G137" s="170" t="str">
        <f>Parameters!E139</f>
        <v>Transition from state 8 to state 5 (PVI T1)</v>
      </c>
      <c r="H137" s="169">
        <f>Parameters!H139</f>
        <v>0</v>
      </c>
      <c r="I137" s="169">
        <f>Parameters!J139</f>
        <v>0</v>
      </c>
      <c r="J137" s="65">
        <f>Parameters!K139</f>
        <v>0</v>
      </c>
      <c r="K137" s="171" t="str">
        <f>'Transition Probabilites'!O71</f>
        <v>[Franck Maunoury et al.]</v>
      </c>
      <c r="AC137" s="119"/>
    </row>
    <row r="138" spans="2:29" ht="16" x14ac:dyDescent="0.2">
      <c r="B138" s="119"/>
      <c r="G138" s="170" t="str">
        <f>Parameters!E140</f>
        <v>Transition from state 8 to state 6 (PVI T1)</v>
      </c>
      <c r="H138" s="169">
        <f>Parameters!H140</f>
        <v>0</v>
      </c>
      <c r="I138" s="169">
        <f>Parameters!J140</f>
        <v>0</v>
      </c>
      <c r="J138" s="65">
        <f>Parameters!K140</f>
        <v>0</v>
      </c>
      <c r="K138" s="171" t="str">
        <f>'Transition Probabilites'!O72</f>
        <v>[Franck Maunoury et al.]</v>
      </c>
      <c r="AC138" s="119"/>
    </row>
    <row r="139" spans="2:29" ht="16" x14ac:dyDescent="0.2">
      <c r="B139" s="119"/>
      <c r="G139" s="170" t="str">
        <f>Parameters!E141</f>
        <v>Transition from state 8 to state 7 (PVI T1)</v>
      </c>
      <c r="H139" s="169">
        <f>Parameters!H141</f>
        <v>0</v>
      </c>
      <c r="I139" s="169">
        <f>Parameters!J141</f>
        <v>0</v>
      </c>
      <c r="J139" s="65">
        <f>Parameters!K141</f>
        <v>0</v>
      </c>
      <c r="K139" s="171" t="str">
        <f>'Transition Probabilites'!O73</f>
        <v>[Franck Maunoury et al.]</v>
      </c>
      <c r="AC139" s="119"/>
    </row>
    <row r="140" spans="2:29" ht="16" x14ac:dyDescent="0.2">
      <c r="B140" s="119"/>
      <c r="G140" s="170" t="str">
        <f>Parameters!E142</f>
        <v>Transition from state 8 to state 8 (PVI T1)</v>
      </c>
      <c r="H140" s="169">
        <f>Parameters!H142</f>
        <v>1</v>
      </c>
      <c r="I140" s="169">
        <f>Parameters!J142</f>
        <v>0.8040036015459946</v>
      </c>
      <c r="J140" s="65">
        <f>Parameters!K142</f>
        <v>1.1959963984540054</v>
      </c>
      <c r="K140" s="171" t="str">
        <f>'Transition Probabilites'!O74</f>
        <v>[Franck Maunoury et al.]</v>
      </c>
      <c r="AC140" s="119"/>
    </row>
    <row r="141" spans="2:29" ht="16" x14ac:dyDescent="0.2">
      <c r="B141" s="119"/>
      <c r="G141" s="170" t="str">
        <f>Parameters!E143</f>
        <v>Transition from state 1 to state 1 (CHG T4)</v>
      </c>
      <c r="H141" s="169">
        <f>Parameters!H143</f>
        <v>1.6533191737849306E-4</v>
      </c>
      <c r="I141" s="169">
        <f>Parameters!J143</f>
        <v>1.3292745702281323E-4</v>
      </c>
      <c r="J141" s="65">
        <f>Parameters!K143</f>
        <v>1.9773637773417288E-4</v>
      </c>
      <c r="K141" s="171" t="str">
        <f>'Transition Probabilites'!U11</f>
        <v>[Franck Maunoury et al.]</v>
      </c>
      <c r="AC141" s="119"/>
    </row>
    <row r="142" spans="2:29" ht="16" x14ac:dyDescent="0.2">
      <c r="B142" s="119"/>
      <c r="G142" s="170" t="str">
        <f>Parameters!E144</f>
        <v>Transition from state 1 to state 2 (CHG T4)</v>
      </c>
      <c r="H142" s="169">
        <f>Parameters!H144</f>
        <v>2.8861005288294099E-4</v>
      </c>
      <c r="I142" s="169">
        <f>Parameters!J144</f>
        <v>2.3204352196026451E-4</v>
      </c>
      <c r="J142" s="65">
        <f>Parameters!K144</f>
        <v>3.4517658380561745E-4</v>
      </c>
      <c r="K142" s="171" t="str">
        <f>'Transition Probabilites'!U12</f>
        <v>[Franck Maunoury et al.]</v>
      </c>
      <c r="AC142" s="119"/>
    </row>
    <row r="143" spans="2:29" ht="16" x14ac:dyDescent="0.2">
      <c r="B143" s="119"/>
      <c r="G143" s="170" t="str">
        <f>Parameters!E145</f>
        <v>Transition from state 1 to state 3 (CHG T4)</v>
      </c>
      <c r="H143" s="169">
        <f>Parameters!H145</f>
        <v>3.1483338297927693E-6</v>
      </c>
      <c r="I143" s="169">
        <f>Parameters!J145</f>
        <v>2.5312717380224807E-6</v>
      </c>
      <c r="J143" s="65">
        <f>Parameters!K145</f>
        <v>3.7653959215630574E-6</v>
      </c>
      <c r="K143" s="171" t="str">
        <f>'Transition Probabilites'!U13</f>
        <v>[Franck Maunoury et al.]</v>
      </c>
      <c r="AC143" s="119"/>
    </row>
    <row r="144" spans="2:29" ht="16" x14ac:dyDescent="0.2">
      <c r="B144" s="119"/>
      <c r="G144" s="170" t="str">
        <f>Parameters!E146</f>
        <v>Transition from state 1 to state 4 (CHG T4)</v>
      </c>
      <c r="H144" s="169">
        <f>Parameters!H146</f>
        <v>5.2319302076817004E-6</v>
      </c>
      <c r="I144" s="169">
        <f>Parameters!J146</f>
        <v>4.2064907300133708E-6</v>
      </c>
      <c r="J144" s="65">
        <f>Parameters!K146</f>
        <v>6.2573696853500301E-6</v>
      </c>
      <c r="K144" s="171" t="str">
        <f>'Transition Probabilites'!U14</f>
        <v>[Franck Maunoury et al.]</v>
      </c>
      <c r="AC144" s="119"/>
    </row>
    <row r="145" spans="2:29" ht="16" x14ac:dyDescent="0.2">
      <c r="B145" s="119"/>
      <c r="G145" s="170" t="str">
        <f>Parameters!E147</f>
        <v>Transition from state 1 to state 5 (CHG T4)</v>
      </c>
      <c r="H145" s="169">
        <f>Parameters!H147</f>
        <v>1.0117969214613694E-10</v>
      </c>
      <c r="I145" s="169">
        <f>Parameters!J147</f>
        <v>8.134883688880908E-11</v>
      </c>
      <c r="J145" s="65">
        <f>Parameters!K147</f>
        <v>1.2101054740346478E-10</v>
      </c>
      <c r="K145" s="171" t="str">
        <f>'Transition Probabilites'!U15</f>
        <v>[Franck Maunoury et al.]</v>
      </c>
      <c r="AC145" s="119"/>
    </row>
    <row r="146" spans="2:29" ht="16" x14ac:dyDescent="0.2">
      <c r="B146" s="119"/>
      <c r="G146" s="170" t="str">
        <f>Parameters!E148</f>
        <v>Transition from state 1 to state 6 (CHG T4)</v>
      </c>
      <c r="H146" s="169">
        <f>Parameters!H148</f>
        <v>0</v>
      </c>
      <c r="I146" s="169">
        <f>Parameters!J148</f>
        <v>0</v>
      </c>
      <c r="J146" s="65">
        <f>Parameters!K148</f>
        <v>0</v>
      </c>
      <c r="K146" s="171" t="str">
        <f>'Transition Probabilites'!U16</f>
        <v>[Franck Maunoury et al.]</v>
      </c>
      <c r="AC146" s="119"/>
    </row>
    <row r="147" spans="2:29" ht="16" x14ac:dyDescent="0.2">
      <c r="B147" s="119"/>
      <c r="G147" s="170" t="str">
        <f>Parameters!E149</f>
        <v>Transition from state 1 to state 7 (CHG T4)</v>
      </c>
      <c r="H147" s="169">
        <f>Parameters!H149</f>
        <v>0.78460160442091287</v>
      </c>
      <c r="I147" s="169">
        <f>Parameters!J149</f>
        <v>0.63082251573317971</v>
      </c>
      <c r="J147" s="65">
        <f>Parameters!K149</f>
        <v>0.93838069310864602</v>
      </c>
      <c r="K147" s="171" t="str">
        <f>'Transition Probabilites'!U17</f>
        <v>[Franck Maunoury et al.]</v>
      </c>
      <c r="AC147" s="119"/>
    </row>
    <row r="148" spans="2:29" ht="16" x14ac:dyDescent="0.2">
      <c r="B148" s="119"/>
      <c r="G148" s="170" t="str">
        <f>Parameters!E150</f>
        <v>Transition from state 1 to state 8 (CHG T4)</v>
      </c>
      <c r="H148" s="169">
        <f>Parameters!H150</f>
        <v>0.21493607324360856</v>
      </c>
      <c r="I148" s="169">
        <f>Parameters!J150</f>
        <v>0.17280937699001497</v>
      </c>
      <c r="J148" s="65">
        <f>Parameters!K150</f>
        <v>0.25706276949720214</v>
      </c>
      <c r="K148" s="171" t="str">
        <f>'Transition Probabilites'!U18</f>
        <v>[Franck Maunoury et al.]</v>
      </c>
      <c r="AC148" s="119"/>
    </row>
    <row r="149" spans="2:29" ht="16" x14ac:dyDescent="0.2">
      <c r="B149" s="119"/>
      <c r="G149" s="170" t="str">
        <f>Parameters!E151</f>
        <v>Transition from state 2 to state 1 (CHG T4)</v>
      </c>
      <c r="H149" s="169">
        <f>Parameters!H151</f>
        <v>1.8047611406851239E-4</v>
      </c>
      <c r="I149" s="169">
        <f>Parameters!J151</f>
        <v>1.4510344570410971E-4</v>
      </c>
      <c r="J149" s="65">
        <f>Parameters!K151</f>
        <v>2.1584878243291507E-4</v>
      </c>
      <c r="K149" s="171" t="str">
        <f>'Transition Probabilites'!U19</f>
        <v>[Franck Maunoury et al.]</v>
      </c>
      <c r="AC149" s="119"/>
    </row>
    <row r="150" spans="2:29" ht="16" x14ac:dyDescent="0.2">
      <c r="B150" s="119"/>
      <c r="G150" s="170" t="str">
        <f>Parameters!E152</f>
        <v>Transition from state 2 to state 2 (CHG T4)</v>
      </c>
      <c r="H150" s="169">
        <f>Parameters!H152</f>
        <v>3.1485507279198241E-4</v>
      </c>
      <c r="I150" s="169">
        <f>Parameters!J152</f>
        <v>2.5314461248978015E-4</v>
      </c>
      <c r="J150" s="65">
        <f>Parameters!K152</f>
        <v>3.7656553309418466E-4</v>
      </c>
      <c r="K150" s="171" t="str">
        <f>'Transition Probabilites'!U20</f>
        <v>[Franck Maunoury et al.]</v>
      </c>
      <c r="AC150" s="119"/>
    </row>
    <row r="151" spans="2:29" ht="16" x14ac:dyDescent="0.2">
      <c r="B151" s="119"/>
      <c r="G151" s="170" t="str">
        <f>Parameters!E153</f>
        <v>Transition from state 2 to state 3 (CHG T4)</v>
      </c>
      <c r="H151" s="169">
        <f>Parameters!H153</f>
        <v>3.4350742029923429E-6</v>
      </c>
      <c r="I151" s="169">
        <f>Parameters!J153</f>
        <v>2.7618120307835806E-6</v>
      </c>
      <c r="J151" s="65">
        <f>Parameters!K153</f>
        <v>4.1083363752011047E-6</v>
      </c>
      <c r="K151" s="171" t="str">
        <f>'Transition Probabilites'!U21</f>
        <v>[Franck Maunoury et al.]</v>
      </c>
      <c r="AC151" s="119"/>
    </row>
    <row r="152" spans="2:29" ht="16" x14ac:dyDescent="0.2">
      <c r="B152" s="119"/>
      <c r="G152" s="170" t="str">
        <f>Parameters!E154</f>
        <v>Transition from state 2 to state 4 (CHG T4)</v>
      </c>
      <c r="H152" s="169">
        <f>Parameters!H154</f>
        <v>5.888826082055522E-6</v>
      </c>
      <c r="I152" s="169">
        <f>Parameters!J154</f>
        <v>4.7346373788506288E-6</v>
      </c>
      <c r="J152" s="65">
        <f>Parameters!K154</f>
        <v>7.0430147852604151E-6</v>
      </c>
      <c r="K152" s="171" t="str">
        <f>'Transition Probabilites'!U22</f>
        <v>[Franck Maunoury et al.]</v>
      </c>
      <c r="AC152" s="119"/>
    </row>
    <row r="153" spans="2:29" ht="16" x14ac:dyDescent="0.2">
      <c r="B153" s="119"/>
      <c r="G153" s="170" t="str">
        <f>Parameters!E155</f>
        <v>Transition from state 2 to state 5 (CHG T4)</v>
      </c>
      <c r="H153" s="169">
        <f>Parameters!H155</f>
        <v>1.1038773473043026E-10</v>
      </c>
      <c r="I153" s="169">
        <f>Parameters!J155</f>
        <v>8.8752136289769804E-11</v>
      </c>
      <c r="J153" s="65">
        <f>Parameters!K155</f>
        <v>1.3202333317109071E-10</v>
      </c>
      <c r="K153" s="171" t="str">
        <f>'Transition Probabilites'!U23</f>
        <v>[Franck Maunoury et al.]</v>
      </c>
      <c r="AC153" s="119"/>
    </row>
    <row r="154" spans="2:29" ht="16" x14ac:dyDescent="0.2">
      <c r="B154" s="119"/>
      <c r="G154" s="170" t="str">
        <f>Parameters!E156</f>
        <v>Transition from state 2 to state 6 (CHG T4)</v>
      </c>
      <c r="H154" s="169">
        <f>Parameters!H156</f>
        <v>0</v>
      </c>
      <c r="I154" s="169">
        <f>Parameters!J156</f>
        <v>0</v>
      </c>
      <c r="J154" s="65">
        <f>Parameters!K156</f>
        <v>0</v>
      </c>
      <c r="K154" s="171" t="str">
        <f>'Transition Probabilites'!U24</f>
        <v>[Franck Maunoury et al.]</v>
      </c>
      <c r="AC154" s="119"/>
    </row>
    <row r="155" spans="2:29" ht="16" x14ac:dyDescent="0.2">
      <c r="B155" s="119"/>
      <c r="G155" s="170" t="str">
        <f>Parameters!E157</f>
        <v>Transition from state 2 to state 7 (CHG T4)</v>
      </c>
      <c r="H155" s="169">
        <f>Parameters!H157</f>
        <v>0.72200227145722906</v>
      </c>
      <c r="I155" s="169">
        <f>Parameters!J157</f>
        <v>0.58049242657600097</v>
      </c>
      <c r="J155" s="65">
        <f>Parameters!K157</f>
        <v>0.86351211633845715</v>
      </c>
      <c r="K155" s="171" t="str">
        <f>'Transition Probabilites'!U25</f>
        <v>[Franck Maunoury et al.]</v>
      </c>
      <c r="AC155" s="119"/>
    </row>
    <row r="156" spans="2:29" ht="16" x14ac:dyDescent="0.2">
      <c r="B156" s="119"/>
      <c r="G156" s="170" t="str">
        <f>Parameters!E158</f>
        <v>Transition from state 2 to state 8 (CHG T4)</v>
      </c>
      <c r="H156" s="169">
        <f>Parameters!H158</f>
        <v>0.27749307334523754</v>
      </c>
      <c r="I156" s="169">
        <f>Parameters!J158</f>
        <v>0.22310543037363781</v>
      </c>
      <c r="J156" s="65">
        <f>Parameters!K158</f>
        <v>0.33188071631683724</v>
      </c>
      <c r="K156" s="171" t="str">
        <f>'Transition Probabilites'!U26</f>
        <v>[Franck Maunoury et al.]</v>
      </c>
      <c r="AC156" s="119"/>
    </row>
    <row r="157" spans="2:29" ht="16" x14ac:dyDescent="0.2">
      <c r="B157" s="119"/>
      <c r="G157" s="170" t="str">
        <f>Parameters!E159</f>
        <v>Transition from state 3 to state 1 (CHG T4)</v>
      </c>
      <c r="H157" s="169">
        <f>Parameters!H159</f>
        <v>1.5706348861753967E-4</v>
      </c>
      <c r="I157" s="169">
        <f>Parameters!J159</f>
        <v>1.2627961051988023E-4</v>
      </c>
      <c r="J157" s="65">
        <f>Parameters!K159</f>
        <v>1.8784736671519911E-4</v>
      </c>
      <c r="K157" s="171" t="str">
        <f>'Transition Probabilites'!U27</f>
        <v>[Franck Maunoury et al.]</v>
      </c>
      <c r="AC157" s="119"/>
    </row>
    <row r="158" spans="2:29" ht="16" x14ac:dyDescent="0.2">
      <c r="B158" s="119"/>
      <c r="G158" s="170" t="str">
        <f>Parameters!E160</f>
        <v>Transition from state 3 to state 2 (CHG T4)</v>
      </c>
      <c r="H158" s="169">
        <f>Parameters!H160</f>
        <v>2.7416183663645692E-4</v>
      </c>
      <c r="I158" s="169">
        <f>Parameters!J160</f>
        <v>2.2042710406217599E-4</v>
      </c>
      <c r="J158" s="65">
        <f>Parameters!K160</f>
        <v>3.2789656921073784E-4</v>
      </c>
      <c r="K158" s="171" t="str">
        <f>'Transition Probabilites'!U28</f>
        <v>[Franck Maunoury et al.]</v>
      </c>
      <c r="AC158" s="119"/>
    </row>
    <row r="159" spans="2:29" ht="16" x14ac:dyDescent="0.2">
      <c r="B159" s="119"/>
      <c r="G159" s="170" t="str">
        <f>Parameters!E161</f>
        <v>Transition from state 3 to state 3 (CHG T4)</v>
      </c>
      <c r="H159" s="169">
        <f>Parameters!H161</f>
        <v>3.1479896703403257E-6</v>
      </c>
      <c r="I159" s="169">
        <f>Parameters!J161</f>
        <v>2.5309950325832099E-6</v>
      </c>
      <c r="J159" s="65">
        <f>Parameters!K161</f>
        <v>3.7649843080974412E-6</v>
      </c>
      <c r="K159" s="171" t="str">
        <f>'Transition Probabilites'!U29</f>
        <v>[Franck Maunoury et al.]</v>
      </c>
      <c r="AC159" s="119"/>
    </row>
    <row r="160" spans="2:29" ht="16" x14ac:dyDescent="0.2">
      <c r="B160" s="119"/>
      <c r="G160" s="170" t="str">
        <f>Parameters!E162</f>
        <v>Transition from state 3 to state 4 (CHG T4)</v>
      </c>
      <c r="H160" s="169">
        <f>Parameters!H162</f>
        <v>4.7538472633761743E-6</v>
      </c>
      <c r="I160" s="169">
        <f>Parameters!J162</f>
        <v>3.8221103209540144E-6</v>
      </c>
      <c r="J160" s="65">
        <f>Parameters!K162</f>
        <v>5.6855842057983341E-6</v>
      </c>
      <c r="K160" s="171" t="str">
        <f>'Transition Probabilites'!U30</f>
        <v>[Franck Maunoury et al.]</v>
      </c>
      <c r="AC160" s="119"/>
    </row>
    <row r="161" spans="2:29" ht="16" x14ac:dyDescent="0.2">
      <c r="B161" s="119"/>
      <c r="G161" s="170" t="str">
        <f>Parameters!E163</f>
        <v>Transition from state 3 to state 5 (CHG T4)</v>
      </c>
      <c r="H161" s="169">
        <f>Parameters!H163</f>
        <v>9.5666744083178709E-11</v>
      </c>
      <c r="I161" s="169">
        <f>Parameters!J163</f>
        <v>7.6916406791054647E-11</v>
      </c>
      <c r="J161" s="65">
        <f>Parameters!K163</f>
        <v>1.1441708137530277E-10</v>
      </c>
      <c r="K161" s="171" t="str">
        <f>'Transition Probabilites'!U31</f>
        <v>[Franck Maunoury et al.]</v>
      </c>
      <c r="AC161" s="119"/>
    </row>
    <row r="162" spans="2:29" ht="16" x14ac:dyDescent="0.2">
      <c r="B162" s="119"/>
      <c r="G162" s="170" t="str">
        <f>Parameters!E164</f>
        <v>Transition from state 3 to state 6 (CHG T4)</v>
      </c>
      <c r="H162" s="169">
        <f>Parameters!H164</f>
        <v>0</v>
      </c>
      <c r="I162" s="169">
        <f>Parameters!J164</f>
        <v>0</v>
      </c>
      <c r="J162" s="65">
        <f>Parameters!K164</f>
        <v>0</v>
      </c>
      <c r="K162" s="171" t="str">
        <f>'Transition Probabilites'!U32</f>
        <v>[Franck Maunoury et al.]</v>
      </c>
      <c r="AC162" s="119"/>
    </row>
    <row r="163" spans="2:29" ht="16" x14ac:dyDescent="0.2">
      <c r="B163" s="119"/>
      <c r="G163" s="170" t="str">
        <f>Parameters!E165</f>
        <v>Transition from state 3 to state 7 (CHG T4)</v>
      </c>
      <c r="H163" s="169">
        <f>Parameters!H165</f>
        <v>0.89215602007880979</v>
      </c>
      <c r="I163" s="169">
        <f>Parameters!J165</f>
        <v>0.7172966532843037</v>
      </c>
      <c r="J163" s="65">
        <f>Parameters!K165</f>
        <v>1.0670153868733159</v>
      </c>
      <c r="K163" s="171" t="str">
        <f>'Transition Probabilites'!U33</f>
        <v>[Franck Maunoury et al.]</v>
      </c>
      <c r="AC163" s="119"/>
    </row>
    <row r="164" spans="2:29" ht="16" x14ac:dyDescent="0.2">
      <c r="B164" s="119"/>
      <c r="G164" s="170" t="str">
        <f>Parameters!E166</f>
        <v>Transition from state 3 to state 8 (CHG T4)</v>
      </c>
      <c r="H164" s="169">
        <f>Parameters!H166</f>
        <v>0.10740485266333567</v>
      </c>
      <c r="I164" s="169">
        <f>Parameters!J166</f>
        <v>8.6353888364838788E-2</v>
      </c>
      <c r="J164" s="65">
        <f>Parameters!K166</f>
        <v>0.12845581696183256</v>
      </c>
      <c r="K164" s="171" t="str">
        <f>'Transition Probabilites'!U34</f>
        <v>[Franck Maunoury et al.]</v>
      </c>
      <c r="AC164" s="119"/>
    </row>
    <row r="165" spans="2:29" ht="16" x14ac:dyDescent="0.2">
      <c r="B165" s="119"/>
      <c r="G165" s="170" t="str">
        <f>Parameters!E167</f>
        <v>Transition from state 4 to state 1 (CHG T4)</v>
      </c>
      <c r="H165" s="169">
        <f>Parameters!H167</f>
        <v>6.7434624380095255E-4</v>
      </c>
      <c r="I165" s="169">
        <f>Parameters!J167</f>
        <v>5.4217680870497918E-4</v>
      </c>
      <c r="J165" s="65">
        <f>Parameters!K167</f>
        <v>8.0651567889692593E-4</v>
      </c>
      <c r="K165" s="171" t="str">
        <f>'Transition Probabilites'!U35</f>
        <v>[Franck Maunoury et al.]</v>
      </c>
      <c r="AC165" s="119"/>
    </row>
    <row r="166" spans="2:29" ht="16" x14ac:dyDescent="0.2">
      <c r="B166" s="119"/>
      <c r="G166" s="170" t="str">
        <f>Parameters!E168</f>
        <v>Transition from state 4 to state 2 (CHG T4)</v>
      </c>
      <c r="H166" s="169">
        <f>Parameters!H168</f>
        <v>1.1049535684966427E-3</v>
      </c>
      <c r="I166" s="169">
        <f>Parameters!J168</f>
        <v>8.8838664861239959E-4</v>
      </c>
      <c r="J166" s="65">
        <f>Parameters!K168</f>
        <v>1.3215204883808857E-3</v>
      </c>
      <c r="K166" s="171" t="str">
        <f>'Transition Probabilites'!U36</f>
        <v>[Franck Maunoury et al.]</v>
      </c>
      <c r="AC166" s="119"/>
    </row>
    <row r="167" spans="2:29" ht="16" x14ac:dyDescent="0.2">
      <c r="B167" s="119"/>
      <c r="G167" s="170" t="str">
        <f>Parameters!E169</f>
        <v>Transition from state 4 to state 3 (CHG T4)</v>
      </c>
      <c r="H167" s="169">
        <f>Parameters!H169</f>
        <v>1.0553645673468881E-5</v>
      </c>
      <c r="I167" s="169">
        <f>Parameters!J169</f>
        <v>8.4851691309092841E-6</v>
      </c>
      <c r="J167" s="65">
        <f>Parameters!K169</f>
        <v>1.2622122216028478E-5</v>
      </c>
      <c r="K167" s="171" t="str">
        <f>'Transition Probabilites'!U37</f>
        <v>[Franck Maunoury et al.]</v>
      </c>
      <c r="AC167" s="119"/>
    </row>
    <row r="168" spans="2:29" ht="16" x14ac:dyDescent="0.2">
      <c r="B168" s="119"/>
      <c r="G168" s="170" t="str">
        <f>Parameters!E170</f>
        <v>Transition from state 4 to state 4 (CHG T4)</v>
      </c>
      <c r="H168" s="169">
        <f>Parameters!H170</f>
        <v>8.9677669175378794E-5</v>
      </c>
      <c r="I168" s="169">
        <f>Parameters!J170</f>
        <v>7.2101168995254781E-5</v>
      </c>
      <c r="J168" s="65">
        <f>Parameters!K170</f>
        <v>1.0725416935550281E-4</v>
      </c>
      <c r="K168" s="171" t="str">
        <f>'Transition Probabilites'!U38</f>
        <v>[Franck Maunoury et al.]</v>
      </c>
      <c r="AC168" s="119"/>
    </row>
    <row r="169" spans="2:29" ht="16" x14ac:dyDescent="0.2">
      <c r="B169" s="119"/>
      <c r="G169" s="170" t="str">
        <f>Parameters!E171</f>
        <v>Transition from state 4 to state 5 (CHG T4)</v>
      </c>
      <c r="H169" s="169">
        <f>Parameters!H171</f>
        <v>3.7683424782206378E-10</v>
      </c>
      <c r="I169" s="169">
        <f>Parameters!J171</f>
        <v>3.0297609243481516E-10</v>
      </c>
      <c r="J169" s="65">
        <f>Parameters!K171</f>
        <v>4.5069240320931241E-10</v>
      </c>
      <c r="K169" s="171" t="str">
        <f>'Transition Probabilites'!U39</f>
        <v>[Franck Maunoury et al.]</v>
      </c>
      <c r="AC169" s="119"/>
    </row>
    <row r="170" spans="2:29" ht="16" x14ac:dyDescent="0.2">
      <c r="B170" s="119"/>
      <c r="G170" s="170" t="str">
        <f>Parameters!E172</f>
        <v>Transition from state 4 to state 6 (CHG T4)</v>
      </c>
      <c r="H170" s="169">
        <f>Parameters!H172</f>
        <v>0</v>
      </c>
      <c r="I170" s="169">
        <f>Parameters!J172</f>
        <v>0</v>
      </c>
      <c r="J170" s="65">
        <f>Parameters!K172</f>
        <v>0</v>
      </c>
      <c r="K170" s="171" t="str">
        <f>'Transition Probabilites'!U40</f>
        <v>[Franck Maunoury et al.]</v>
      </c>
      <c r="AC170" s="119"/>
    </row>
    <row r="171" spans="2:29" ht="16" x14ac:dyDescent="0.2">
      <c r="B171" s="119"/>
      <c r="G171" s="170" t="str">
        <f>Parameters!E173</f>
        <v>Transition from state 4 to state 7 (CHG T4)</v>
      </c>
      <c r="H171" s="169">
        <f>Parameters!H173</f>
        <v>0.7835176038145506</v>
      </c>
      <c r="I171" s="169">
        <f>Parameters!J173</f>
        <v>0.62995097534158639</v>
      </c>
      <c r="J171" s="65">
        <f>Parameters!K173</f>
        <v>0.93708423228751481</v>
      </c>
      <c r="K171" s="171" t="str">
        <f>'Transition Probabilites'!U41</f>
        <v>[Franck Maunoury et al.]</v>
      </c>
      <c r="AC171" s="119"/>
    </row>
    <row r="172" spans="2:29" ht="16" x14ac:dyDescent="0.2">
      <c r="B172" s="119"/>
      <c r="G172" s="170" t="str">
        <f>Parameters!E174</f>
        <v>Transition from state 4 to state 8 (CHG T4)</v>
      </c>
      <c r="H172" s="169">
        <f>Parameters!H174</f>
        <v>0.21460286468146864</v>
      </c>
      <c r="I172" s="169">
        <f>Parameters!J174</f>
        <v>0.17254147610598852</v>
      </c>
      <c r="J172" s="65">
        <f>Parameters!K174</f>
        <v>0.25666425325694875</v>
      </c>
      <c r="K172" s="171" t="str">
        <f>'Transition Probabilites'!U42</f>
        <v>[Franck Maunoury et al.]</v>
      </c>
      <c r="AC172" s="119"/>
    </row>
    <row r="173" spans="2:29" ht="16" x14ac:dyDescent="0.2">
      <c r="B173" s="119"/>
      <c r="G173" s="170" t="str">
        <f>Parameters!E175</f>
        <v>Transition from state 5 to state 1 (CHG T4)</v>
      </c>
      <c r="H173" s="169">
        <f>Parameters!H175</f>
        <v>0</v>
      </c>
      <c r="I173" s="169">
        <f>Parameters!J175</f>
        <v>0</v>
      </c>
      <c r="J173" s="65">
        <f>Parameters!K175</f>
        <v>0</v>
      </c>
      <c r="K173" s="171" t="str">
        <f>'Transition Probabilites'!U43</f>
        <v>[Franck Maunoury et al.]</v>
      </c>
      <c r="AC173" s="119"/>
    </row>
    <row r="174" spans="2:29" ht="16" x14ac:dyDescent="0.2">
      <c r="B174" s="119"/>
      <c r="G174" s="170" t="str">
        <f>Parameters!E176</f>
        <v>Transition from state 5 to state 2 (CHG T4)</v>
      </c>
      <c r="H174" s="169">
        <f>Parameters!H176</f>
        <v>0</v>
      </c>
      <c r="I174" s="169">
        <f>Parameters!J176</f>
        <v>0</v>
      </c>
      <c r="J174" s="65">
        <f>Parameters!K176</f>
        <v>0</v>
      </c>
      <c r="K174" s="171" t="str">
        <f>'Transition Probabilites'!U44</f>
        <v>[Franck Maunoury et al.]</v>
      </c>
      <c r="AC174" s="119"/>
    </row>
    <row r="175" spans="2:29" ht="16" x14ac:dyDescent="0.2">
      <c r="B175" s="119"/>
      <c r="G175" s="170" t="str">
        <f>Parameters!E177</f>
        <v>Transition from state 5 to state 3 (CHG T4)</v>
      </c>
      <c r="H175" s="169">
        <f>Parameters!H177</f>
        <v>0</v>
      </c>
      <c r="I175" s="169">
        <f>Parameters!J177</f>
        <v>0</v>
      </c>
      <c r="J175" s="65">
        <f>Parameters!K177</f>
        <v>0</v>
      </c>
      <c r="K175" s="171" t="str">
        <f>'Transition Probabilites'!U45</f>
        <v>[Franck Maunoury et al.]</v>
      </c>
      <c r="AC175" s="119"/>
    </row>
    <row r="176" spans="2:29" ht="16" x14ac:dyDescent="0.2">
      <c r="B176" s="119"/>
      <c r="G176" s="170" t="str">
        <f>Parameters!E178</f>
        <v>Transition from state 5 to state 4 (CHG T4)</v>
      </c>
      <c r="H176" s="169">
        <f>Parameters!H178</f>
        <v>0</v>
      </c>
      <c r="I176" s="169">
        <f>Parameters!J178</f>
        <v>0</v>
      </c>
      <c r="J176" s="65">
        <f>Parameters!K178</f>
        <v>0</v>
      </c>
      <c r="K176" s="171" t="str">
        <f>'Transition Probabilites'!U46</f>
        <v>[Franck Maunoury et al.]</v>
      </c>
      <c r="AC176" s="119"/>
    </row>
    <row r="177" spans="2:29" ht="16" x14ac:dyDescent="0.2">
      <c r="B177" s="119"/>
      <c r="G177" s="170" t="str">
        <f>Parameters!E179</f>
        <v>Transition from state 5 to state 5 (CHG T4)</v>
      </c>
      <c r="H177" s="169">
        <f>Parameters!H179</f>
        <v>0</v>
      </c>
      <c r="I177" s="169">
        <f>Parameters!J179</f>
        <v>0</v>
      </c>
      <c r="J177" s="65">
        <f>Parameters!K179</f>
        <v>0</v>
      </c>
      <c r="K177" s="171" t="str">
        <f>'Transition Probabilites'!U47</f>
        <v>[Franck Maunoury et al.]</v>
      </c>
      <c r="AC177" s="119"/>
    </row>
    <row r="178" spans="2:29" ht="16" x14ac:dyDescent="0.2">
      <c r="B178" s="119"/>
      <c r="G178" s="170" t="str">
        <f>Parameters!E180</f>
        <v>Transition from state 5 to state 6 (CHG T4)</v>
      </c>
      <c r="H178" s="169">
        <f>Parameters!H180</f>
        <v>1</v>
      </c>
      <c r="I178" s="169">
        <f>Parameters!J180</f>
        <v>0.8040036015459946</v>
      </c>
      <c r="J178" s="65">
        <f>Parameters!K180</f>
        <v>1.1959963984540054</v>
      </c>
      <c r="K178" s="171" t="str">
        <f>'Transition Probabilites'!U48</f>
        <v>[Franck Maunoury et al.]</v>
      </c>
      <c r="AC178" s="119"/>
    </row>
    <row r="179" spans="2:29" ht="16" x14ac:dyDescent="0.2">
      <c r="B179" s="119"/>
      <c r="G179" s="170" t="str">
        <f>Parameters!E181</f>
        <v>Transition from state 5 to state 7 (CHG T4)</v>
      </c>
      <c r="H179" s="169">
        <f>Parameters!H181</f>
        <v>0</v>
      </c>
      <c r="I179" s="169">
        <f>Parameters!J181</f>
        <v>0</v>
      </c>
      <c r="J179" s="65">
        <f>Parameters!K181</f>
        <v>0</v>
      </c>
      <c r="K179" s="171" t="str">
        <f>'Transition Probabilites'!U49</f>
        <v>[Franck Maunoury et al.]</v>
      </c>
      <c r="AC179" s="119"/>
    </row>
    <row r="180" spans="2:29" ht="16" x14ac:dyDescent="0.2">
      <c r="B180" s="119"/>
      <c r="G180" s="170" t="str">
        <f>Parameters!E182</f>
        <v>Transition from state 5 to state 8 (CHG T4)</v>
      </c>
      <c r="H180" s="169">
        <f>Parameters!H182</f>
        <v>0</v>
      </c>
      <c r="I180" s="169">
        <f>Parameters!J182</f>
        <v>0</v>
      </c>
      <c r="J180" s="65">
        <f>Parameters!K182</f>
        <v>0</v>
      </c>
      <c r="K180" s="171" t="str">
        <f>'Transition Probabilites'!U50</f>
        <v>[Franck Maunoury et al.]</v>
      </c>
      <c r="AC180" s="119"/>
    </row>
    <row r="181" spans="2:29" ht="16" x14ac:dyDescent="0.2">
      <c r="B181" s="119"/>
      <c r="G181" s="170" t="str">
        <f>Parameters!E183</f>
        <v>Transition from state 6 to state 1 (CHG T4)</v>
      </c>
      <c r="H181" s="169">
        <f>Parameters!H183</f>
        <v>2.3378119386908817E-4</v>
      </c>
      <c r="I181" s="169">
        <f>Parameters!J183</f>
        <v>1.8796092184446929E-4</v>
      </c>
      <c r="J181" s="65">
        <f>Parameters!K183</f>
        <v>2.7960146589370706E-4</v>
      </c>
      <c r="K181" s="171" t="str">
        <f>'Transition Probabilites'!U51</f>
        <v>[Franck Maunoury et al.]</v>
      </c>
      <c r="AC181" s="119"/>
    </row>
    <row r="182" spans="2:29" ht="16" x14ac:dyDescent="0.2">
      <c r="B182" s="119"/>
      <c r="G182" s="170" t="str">
        <f>Parameters!E184</f>
        <v>Transition from state 6 to state 2 (CHG T4)</v>
      </c>
      <c r="H182" s="169">
        <f>Parameters!H184</f>
        <v>4.0864068928339787E-4</v>
      </c>
      <c r="I182" s="169">
        <f>Parameters!J184</f>
        <v>3.2854858592208961E-4</v>
      </c>
      <c r="J182" s="65">
        <f>Parameters!K184</f>
        <v>4.8873279264470613E-4</v>
      </c>
      <c r="K182" s="171" t="str">
        <f>'Transition Probabilites'!U52</f>
        <v>[Franck Maunoury et al.]</v>
      </c>
      <c r="AC182" s="119"/>
    </row>
    <row r="183" spans="2:29" ht="16" x14ac:dyDescent="0.2">
      <c r="B183" s="119"/>
      <c r="G183" s="170" t="str">
        <f>Parameters!E185</f>
        <v>Transition from state 6 to state 3 (CHG T4)</v>
      </c>
      <c r="H183" s="169">
        <f>Parameters!H185</f>
        <v>4.6210458788130721E-6</v>
      </c>
      <c r="I183" s="169">
        <f>Parameters!J185</f>
        <v>3.7153375294749855E-6</v>
      </c>
      <c r="J183" s="65">
        <f>Parameters!K185</f>
        <v>5.5267542281511587E-6</v>
      </c>
      <c r="K183" s="171" t="str">
        <f>'Transition Probabilites'!U53</f>
        <v>[Franck Maunoury et al.]</v>
      </c>
      <c r="AC183" s="119"/>
    </row>
    <row r="184" spans="2:29" ht="16" x14ac:dyDescent="0.2">
      <c r="B184" s="119"/>
      <c r="G184" s="170" t="str">
        <f>Parameters!E186</f>
        <v>Transition from state 6 to state 4 (CHG T4)</v>
      </c>
      <c r="H184" s="169">
        <f>Parameters!H186</f>
        <v>6.7708788224337023E-6</v>
      </c>
      <c r="I184" s="169">
        <f>Parameters!J186</f>
        <v>5.4438109588681991E-6</v>
      </c>
      <c r="J184" s="65">
        <f>Parameters!K186</f>
        <v>8.0979466859992056E-6</v>
      </c>
      <c r="K184" s="171" t="str">
        <f>'Transition Probabilites'!U54</f>
        <v>[Franck Maunoury et al.]</v>
      </c>
      <c r="AC184" s="119"/>
    </row>
    <row r="185" spans="2:29" ht="16" x14ac:dyDescent="0.2">
      <c r="B185" s="119"/>
      <c r="G185" s="170" t="str">
        <f>Parameters!E187</f>
        <v>Transition from state 6 to state 5 (CHG T4)</v>
      </c>
      <c r="H185" s="169">
        <f>Parameters!H187</f>
        <v>0</v>
      </c>
      <c r="I185" s="169">
        <f>Parameters!J187</f>
        <v>0</v>
      </c>
      <c r="J185" s="65">
        <f>Parameters!K187</f>
        <v>0</v>
      </c>
      <c r="K185" s="171" t="str">
        <f>'Transition Probabilites'!U55</f>
        <v>[Franck Maunoury et al.]</v>
      </c>
      <c r="AC185" s="119"/>
    </row>
    <row r="186" spans="2:29" ht="16" x14ac:dyDescent="0.2">
      <c r="B186" s="119"/>
      <c r="G186" s="170" t="str">
        <f>Parameters!E188</f>
        <v>Transition from state 6 to state 6 (CHG T4)</v>
      </c>
      <c r="H186" s="169">
        <f>Parameters!H188</f>
        <v>2.0621239459207995E-4</v>
      </c>
      <c r="I186" s="169">
        <f>Parameters!J188</f>
        <v>1.6579550793545606E-4</v>
      </c>
      <c r="J186" s="65">
        <f>Parameters!K188</f>
        <v>2.4662928124870385E-4</v>
      </c>
      <c r="K186" s="171" t="str">
        <f>'Transition Probabilites'!U56</f>
        <v>[Franck Maunoury et al.]</v>
      </c>
      <c r="AC186" s="119"/>
    </row>
    <row r="187" spans="2:29" ht="16" x14ac:dyDescent="0.2">
      <c r="B187" s="119"/>
      <c r="G187" s="170" t="str">
        <f>Parameters!E189</f>
        <v>Transition from state 6 to state 7 (CHG T4)</v>
      </c>
      <c r="H187" s="169">
        <f>Parameters!H189</f>
        <v>0.84609897781105425</v>
      </c>
      <c r="I187" s="169">
        <f>Parameters!J189</f>
        <v>0.68026662542447225</v>
      </c>
      <c r="J187" s="65">
        <f>Parameters!K189</f>
        <v>1.0119313301976363</v>
      </c>
      <c r="K187" s="171" t="str">
        <f>'Transition Probabilites'!U57</f>
        <v>[Franck Maunoury et al.]</v>
      </c>
      <c r="AC187" s="119"/>
    </row>
    <row r="188" spans="2:29" ht="16" x14ac:dyDescent="0.2">
      <c r="B188" s="119"/>
      <c r="G188" s="170" t="str">
        <f>Parameters!E190</f>
        <v>Transition from state 6 to state 8 (CHG T4)</v>
      </c>
      <c r="H188" s="169">
        <f>Parameters!H190</f>
        <v>0.15304099598649989</v>
      </c>
      <c r="I188" s="169">
        <f>Parameters!J190</f>
        <v>0.12304551195733202</v>
      </c>
      <c r="J188" s="65">
        <f>Parameters!K190</f>
        <v>0.18303648001566777</v>
      </c>
      <c r="K188" s="171" t="str">
        <f>'Transition Probabilites'!U58</f>
        <v>[Franck Maunoury et al.]</v>
      </c>
      <c r="AC188" s="119"/>
    </row>
    <row r="189" spans="2:29" ht="16" x14ac:dyDescent="0.2">
      <c r="B189" s="119"/>
      <c r="G189" s="170" t="str">
        <f>Parameters!E191</f>
        <v>Transition from state 7 to state 1 (CHG T4)</v>
      </c>
      <c r="H189" s="169">
        <f>Parameters!H191</f>
        <v>0</v>
      </c>
      <c r="I189" s="169">
        <f>Parameters!J191</f>
        <v>0</v>
      </c>
      <c r="J189" s="65">
        <f>Parameters!K191</f>
        <v>0</v>
      </c>
      <c r="K189" s="171" t="str">
        <f>'Transition Probabilites'!U59</f>
        <v>[Franck Maunoury et al.]</v>
      </c>
      <c r="AC189" s="119"/>
    </row>
    <row r="190" spans="2:29" ht="16" x14ac:dyDescent="0.2">
      <c r="B190" s="119"/>
      <c r="G190" s="170" t="str">
        <f>Parameters!E192</f>
        <v>Transition from state 7 to state 2 (CHG T4)</v>
      </c>
      <c r="H190" s="169">
        <f>Parameters!H192</f>
        <v>0</v>
      </c>
      <c r="I190" s="169">
        <f>Parameters!J192</f>
        <v>0</v>
      </c>
      <c r="J190" s="65">
        <f>Parameters!K192</f>
        <v>0</v>
      </c>
      <c r="K190" s="171" t="str">
        <f>'Transition Probabilites'!U60</f>
        <v>[Franck Maunoury et al.]</v>
      </c>
      <c r="AC190" s="119"/>
    </row>
    <row r="191" spans="2:29" ht="16" x14ac:dyDescent="0.2">
      <c r="B191" s="119"/>
      <c r="G191" s="170" t="str">
        <f>Parameters!E193</f>
        <v>Transition from state 7 to state 3 (CHG T4)</v>
      </c>
      <c r="H191" s="169">
        <f>Parameters!H193</f>
        <v>0</v>
      </c>
      <c r="I191" s="169">
        <f>Parameters!J193</f>
        <v>0</v>
      </c>
      <c r="J191" s="65">
        <f>Parameters!K193</f>
        <v>0</v>
      </c>
      <c r="K191" s="171" t="str">
        <f>'Transition Probabilites'!U61</f>
        <v>[Franck Maunoury et al.]</v>
      </c>
      <c r="AC191" s="119"/>
    </row>
    <row r="192" spans="2:29" ht="16" x14ac:dyDescent="0.2">
      <c r="B192" s="119"/>
      <c r="G192" s="170" t="str">
        <f>Parameters!E194</f>
        <v>Transition from state 7 to state 4 (CHG T4)</v>
      </c>
      <c r="H192" s="169">
        <f>Parameters!H194</f>
        <v>0</v>
      </c>
      <c r="I192" s="169">
        <f>Parameters!J194</f>
        <v>0</v>
      </c>
      <c r="J192" s="65">
        <f>Parameters!K194</f>
        <v>0</v>
      </c>
      <c r="K192" s="171" t="str">
        <f>'Transition Probabilites'!U62</f>
        <v>[Franck Maunoury et al.]</v>
      </c>
      <c r="AC192" s="119"/>
    </row>
    <row r="193" spans="2:29" ht="16" x14ac:dyDescent="0.2">
      <c r="B193" s="119"/>
      <c r="G193" s="170" t="str">
        <f>Parameters!E195</f>
        <v>Transition from state 7 to state 5 (CHG T4)</v>
      </c>
      <c r="H193" s="169">
        <f>Parameters!H195</f>
        <v>0</v>
      </c>
      <c r="I193" s="169">
        <f>Parameters!J195</f>
        <v>0</v>
      </c>
      <c r="J193" s="65">
        <f>Parameters!K195</f>
        <v>0</v>
      </c>
      <c r="K193" s="171" t="str">
        <f>'Transition Probabilites'!U63</f>
        <v>[Franck Maunoury et al.]</v>
      </c>
      <c r="AC193" s="119"/>
    </row>
    <row r="194" spans="2:29" ht="16" x14ac:dyDescent="0.2">
      <c r="B194" s="119"/>
      <c r="G194" s="170" t="str">
        <f>Parameters!E196</f>
        <v>Transition from state 7 to state 6 (CHG T4)</v>
      </c>
      <c r="H194" s="169">
        <f>Parameters!H196</f>
        <v>0</v>
      </c>
      <c r="I194" s="169">
        <f>Parameters!J196</f>
        <v>0</v>
      </c>
      <c r="J194" s="65">
        <f>Parameters!K196</f>
        <v>0</v>
      </c>
      <c r="K194" s="171" t="str">
        <f>'Transition Probabilites'!U64</f>
        <v>[Franck Maunoury et al.]</v>
      </c>
      <c r="AC194" s="119"/>
    </row>
    <row r="195" spans="2:29" ht="16" x14ac:dyDescent="0.2">
      <c r="B195" s="119"/>
      <c r="G195" s="170" t="str">
        <f>Parameters!E197</f>
        <v>Transition from state 7 to state 7 (CHG T4)</v>
      </c>
      <c r="H195" s="169">
        <f>Parameters!H197</f>
        <v>1</v>
      </c>
      <c r="I195" s="169">
        <f>Parameters!J197</f>
        <v>0.8040036015459946</v>
      </c>
      <c r="J195" s="65">
        <f>Parameters!K197</f>
        <v>1.1959963984540054</v>
      </c>
      <c r="K195" s="171" t="str">
        <f>'Transition Probabilites'!U65</f>
        <v>[Franck Maunoury et al.]</v>
      </c>
      <c r="AC195" s="119"/>
    </row>
    <row r="196" spans="2:29" ht="16" x14ac:dyDescent="0.2">
      <c r="B196" s="119"/>
      <c r="G196" s="170" t="str">
        <f>Parameters!E198</f>
        <v>Transition from state 7 to state 8 (CHG T4)</v>
      </c>
      <c r="H196" s="169">
        <f>Parameters!H198</f>
        <v>0</v>
      </c>
      <c r="I196" s="169">
        <f>Parameters!J198</f>
        <v>0</v>
      </c>
      <c r="J196" s="65">
        <f>Parameters!K198</f>
        <v>0</v>
      </c>
      <c r="K196" s="171" t="str">
        <f>'Transition Probabilites'!U66</f>
        <v>[Franck Maunoury et al.]</v>
      </c>
      <c r="AC196" s="119"/>
    </row>
    <row r="197" spans="2:29" ht="16" x14ac:dyDescent="0.2">
      <c r="B197" s="119"/>
      <c r="G197" s="170" t="str">
        <f>Parameters!E199</f>
        <v>Transition from state 8 to state 1 (CHG T4)</v>
      </c>
      <c r="H197" s="169">
        <f>Parameters!H199</f>
        <v>0</v>
      </c>
      <c r="I197" s="169">
        <f>Parameters!J199</f>
        <v>0</v>
      </c>
      <c r="J197" s="65">
        <f>Parameters!K199</f>
        <v>0</v>
      </c>
      <c r="K197" s="171" t="str">
        <f>'Transition Probabilites'!U67</f>
        <v>[Franck Maunoury et al.]</v>
      </c>
      <c r="AC197" s="119"/>
    </row>
    <row r="198" spans="2:29" ht="16" x14ac:dyDescent="0.2">
      <c r="B198" s="119"/>
      <c r="G198" s="170" t="str">
        <f>Parameters!E200</f>
        <v>Transition from state 8 to state 2 (CHG T4)</v>
      </c>
      <c r="H198" s="169">
        <f>Parameters!H200</f>
        <v>0</v>
      </c>
      <c r="I198" s="169">
        <f>Parameters!J200</f>
        <v>0</v>
      </c>
      <c r="J198" s="65">
        <f>Parameters!K200</f>
        <v>0</v>
      </c>
      <c r="K198" s="171" t="str">
        <f>'Transition Probabilites'!U68</f>
        <v>[Franck Maunoury et al.]</v>
      </c>
      <c r="AC198" s="119"/>
    </row>
    <row r="199" spans="2:29" ht="16" x14ac:dyDescent="0.2">
      <c r="B199" s="119"/>
      <c r="G199" s="170" t="str">
        <f>Parameters!E201</f>
        <v>Transition from state 8 to state 3 (CHG T4)</v>
      </c>
      <c r="H199" s="169">
        <f>Parameters!H201</f>
        <v>0</v>
      </c>
      <c r="I199" s="169">
        <f>Parameters!J201</f>
        <v>0</v>
      </c>
      <c r="J199" s="65">
        <f>Parameters!K201</f>
        <v>0</v>
      </c>
      <c r="K199" s="171" t="str">
        <f>'Transition Probabilites'!U69</f>
        <v>[Franck Maunoury et al.]</v>
      </c>
      <c r="AC199" s="119"/>
    </row>
    <row r="200" spans="2:29" ht="16" x14ac:dyDescent="0.2">
      <c r="B200" s="119"/>
      <c r="G200" s="170" t="str">
        <f>Parameters!E202</f>
        <v>Transition from state 8 to state 4 (CHG T4)</v>
      </c>
      <c r="H200" s="169">
        <f>Parameters!H202</f>
        <v>0</v>
      </c>
      <c r="I200" s="169">
        <f>Parameters!J202</f>
        <v>0</v>
      </c>
      <c r="J200" s="65">
        <f>Parameters!K202</f>
        <v>0</v>
      </c>
      <c r="K200" s="171" t="str">
        <f>'Transition Probabilites'!U70</f>
        <v>[Franck Maunoury et al.]</v>
      </c>
      <c r="AC200" s="119"/>
    </row>
    <row r="201" spans="2:29" ht="16" x14ac:dyDescent="0.2">
      <c r="B201" s="119"/>
      <c r="G201" s="170" t="str">
        <f>Parameters!E203</f>
        <v>Transition from state 8 to state 5 (CHG T4)</v>
      </c>
      <c r="H201" s="169">
        <f>Parameters!H203</f>
        <v>0</v>
      </c>
      <c r="I201" s="169">
        <f>Parameters!J203</f>
        <v>0</v>
      </c>
      <c r="J201" s="65">
        <f>Parameters!K203</f>
        <v>0</v>
      </c>
      <c r="K201" s="171" t="str">
        <f>'Transition Probabilites'!U71</f>
        <v>[Franck Maunoury et al.]</v>
      </c>
      <c r="AC201" s="119"/>
    </row>
    <row r="202" spans="2:29" ht="16" x14ac:dyDescent="0.2">
      <c r="B202" s="119"/>
      <c r="G202" s="170" t="str">
        <f>Parameters!E204</f>
        <v>Transition from state 8 to state 6 (CHG T4)</v>
      </c>
      <c r="H202" s="169">
        <f>Parameters!H204</f>
        <v>0</v>
      </c>
      <c r="I202" s="169">
        <f>Parameters!J204</f>
        <v>0</v>
      </c>
      <c r="J202" s="65">
        <f>Parameters!K204</f>
        <v>0</v>
      </c>
      <c r="K202" s="171" t="str">
        <f>'Transition Probabilites'!U72</f>
        <v>[Franck Maunoury et al.]</v>
      </c>
      <c r="AC202" s="119"/>
    </row>
    <row r="203" spans="2:29" ht="16" x14ac:dyDescent="0.2">
      <c r="B203" s="119"/>
      <c r="G203" s="170" t="str">
        <f>Parameters!E205</f>
        <v>Transition from state 8 to state 7 (CHG T4)</v>
      </c>
      <c r="H203" s="169">
        <f>Parameters!H205</f>
        <v>0</v>
      </c>
      <c r="I203" s="169">
        <f>Parameters!J205</f>
        <v>0</v>
      </c>
      <c r="J203" s="65">
        <f>Parameters!K205</f>
        <v>0</v>
      </c>
      <c r="K203" s="171" t="str">
        <f>'Transition Probabilites'!U73</f>
        <v>[Franck Maunoury et al.]</v>
      </c>
      <c r="AC203" s="119"/>
    </row>
    <row r="204" spans="2:29" ht="16" x14ac:dyDescent="0.2">
      <c r="B204" s="119"/>
      <c r="G204" s="170" t="str">
        <f>Parameters!E206</f>
        <v>Transition from state 8 to state 8 (CHG T4)</v>
      </c>
      <c r="H204" s="169">
        <f>Parameters!H206</f>
        <v>1</v>
      </c>
      <c r="I204" s="169">
        <f>Parameters!J206</f>
        <v>0.8040036015459946</v>
      </c>
      <c r="J204" s="65">
        <f>Parameters!K206</f>
        <v>1.1959963984540054</v>
      </c>
      <c r="K204" s="171" t="str">
        <f>'Transition Probabilites'!U74</f>
        <v>[Franck Maunoury et al.]</v>
      </c>
      <c r="AC204" s="119"/>
    </row>
    <row r="205" spans="2:29" ht="16" x14ac:dyDescent="0.2">
      <c r="B205" s="119"/>
      <c r="G205" s="170" t="str">
        <f>Parameters!E207</f>
        <v>Transition from state 1 to state 1 (PVI T4)</v>
      </c>
      <c r="H205" s="169">
        <f>Parameters!H207</f>
        <v>3.3611188301699806E-4</v>
      </c>
      <c r="I205" s="169">
        <f>Parameters!J207</f>
        <v>2.7023516446807248E-4</v>
      </c>
      <c r="J205" s="65">
        <f>Parameters!K207</f>
        <v>4.0198860156592364E-4</v>
      </c>
      <c r="K205" s="171" t="str">
        <f>'Transition Probabilites'!AA11</f>
        <v>[Franck Maunoury et al.]</v>
      </c>
      <c r="AC205" s="119"/>
    </row>
    <row r="206" spans="2:29" ht="16" x14ac:dyDescent="0.2">
      <c r="B206" s="119"/>
      <c r="G206" s="170" t="str">
        <f>Parameters!E208</f>
        <v>Transition from state 1 to state 2 (PVI T4)</v>
      </c>
      <c r="H206" s="169">
        <f>Parameters!H208</f>
        <v>5.4119268125983394E-4</v>
      </c>
      <c r="I206" s="169">
        <f>Parameters!J208</f>
        <v>4.3512086486323999E-4</v>
      </c>
      <c r="J206" s="65">
        <f>Parameters!K208</f>
        <v>6.4726449765642783E-4</v>
      </c>
      <c r="K206" s="171" t="str">
        <f>'Transition Probabilites'!AA12</f>
        <v>[Franck Maunoury et al.]</v>
      </c>
      <c r="AC206" s="119"/>
    </row>
    <row r="207" spans="2:29" ht="16" x14ac:dyDescent="0.2">
      <c r="B207" s="119"/>
      <c r="G207" s="170" t="str">
        <f>Parameters!E209</f>
        <v>Transition from state 1 to state 3 (PVI T4)</v>
      </c>
      <c r="H207" s="169">
        <f>Parameters!H209</f>
        <v>1.2652639012015653E-6</v>
      </c>
      <c r="I207" s="169">
        <f>Parameters!J209</f>
        <v>1.0172767334721939E-6</v>
      </c>
      <c r="J207" s="65">
        <f>Parameters!K209</f>
        <v>1.5132510689309366E-6</v>
      </c>
      <c r="K207" s="171" t="str">
        <f>'Transition Probabilites'!AA13</f>
        <v>[Franck Maunoury et al.]</v>
      </c>
      <c r="AC207" s="119"/>
    </row>
    <row r="208" spans="2:29" ht="16" x14ac:dyDescent="0.2">
      <c r="B208" s="119"/>
      <c r="G208" s="170" t="str">
        <f>Parameters!E210</f>
        <v>Transition from state 1 to state 4 (PVI T4)</v>
      </c>
      <c r="H208" s="169">
        <f>Parameters!H210</f>
        <v>9.2459520508072177E-6</v>
      </c>
      <c r="I208" s="169">
        <f>Parameters!J210</f>
        <v>7.4337787485705778E-6</v>
      </c>
      <c r="J208" s="65">
        <f>Parameters!K210</f>
        <v>1.1058125353043858E-5</v>
      </c>
      <c r="K208" s="171" t="str">
        <f>'Transition Probabilites'!AA14</f>
        <v>[Franck Maunoury et al.]</v>
      </c>
      <c r="AC208" s="119"/>
    </row>
    <row r="209" spans="2:29" ht="16" x14ac:dyDescent="0.2">
      <c r="B209" s="119"/>
      <c r="G209" s="170" t="str">
        <f>Parameters!E211</f>
        <v>Transition from state 1 to state 5 (PVI T4)</v>
      </c>
      <c r="H209" s="169">
        <f>Parameters!H211</f>
        <v>2.5923977042398521E-10</v>
      </c>
      <c r="I209" s="169">
        <f>Parameters!J211</f>
        <v>2.0842970908484092E-10</v>
      </c>
      <c r="J209" s="65">
        <f>Parameters!K211</f>
        <v>3.1004983176312948E-10</v>
      </c>
      <c r="K209" s="171" t="str">
        <f>'Transition Probabilites'!AA15</f>
        <v>[Franck Maunoury et al.]</v>
      </c>
      <c r="AC209" s="119"/>
    </row>
    <row r="210" spans="2:29" ht="16" x14ac:dyDescent="0.2">
      <c r="B210" s="119"/>
      <c r="G210" s="170" t="str">
        <f>Parameters!E212</f>
        <v>Transition from state 1 to state 6 (PVI T4)</v>
      </c>
      <c r="H210" s="169">
        <f>Parameters!H212</f>
        <v>0</v>
      </c>
      <c r="I210" s="169">
        <f>Parameters!J212</f>
        <v>0</v>
      </c>
      <c r="J210" s="65">
        <f>Parameters!K212</f>
        <v>0</v>
      </c>
      <c r="K210" s="171" t="str">
        <f>'Transition Probabilites'!AA16</f>
        <v>[Franck Maunoury et al.]</v>
      </c>
      <c r="AC210" s="119"/>
    </row>
    <row r="211" spans="2:29" ht="16" x14ac:dyDescent="0.2">
      <c r="B211" s="119"/>
      <c r="G211" s="170" t="str">
        <f>Parameters!E213</f>
        <v>Transition from state 1 to state 7 (PVI T4)</v>
      </c>
      <c r="H211" s="169">
        <f>Parameters!H213</f>
        <v>0.76985312665640004</v>
      </c>
      <c r="I211" s="169">
        <f>Parameters!J213</f>
        <v>0.61896468649319036</v>
      </c>
      <c r="J211" s="65">
        <f>Parameters!K213</f>
        <v>0.92074156681960972</v>
      </c>
      <c r="K211" s="171" t="str">
        <f>'Transition Probabilites'!AA17</f>
        <v>[Franck Maunoury et al.]</v>
      </c>
      <c r="AC211" s="119"/>
    </row>
    <row r="212" spans="2:29" ht="16" x14ac:dyDescent="0.2">
      <c r="B212" s="119"/>
      <c r="G212" s="170" t="str">
        <f>Parameters!E214</f>
        <v>Transition from state 1 to state 8 (PVI T4)</v>
      </c>
      <c r="H212" s="169">
        <f>Parameters!H214</f>
        <v>0.22925905730413135</v>
      </c>
      <c r="I212" s="169">
        <f>Parameters!J214</f>
        <v>0.18432510775956118</v>
      </c>
      <c r="J212" s="65">
        <f>Parameters!K214</f>
        <v>0.27419300684870151</v>
      </c>
      <c r="K212" s="171" t="str">
        <f>'Transition Probabilites'!AA18</f>
        <v>[Franck Maunoury et al.]</v>
      </c>
      <c r="AC212" s="119"/>
    </row>
    <row r="213" spans="2:29" ht="16" x14ac:dyDescent="0.2">
      <c r="B213" s="119"/>
      <c r="G213" s="170" t="str">
        <f>Parameters!E215</f>
        <v>Transition from state 2 to state 1 (PVI T4)</v>
      </c>
      <c r="H213" s="169">
        <f>Parameters!H215</f>
        <v>3.5770871534286663E-4</v>
      </c>
      <c r="I213" s="169">
        <f>Parameters!J215</f>
        <v>2.8759909544005574E-4</v>
      </c>
      <c r="J213" s="65">
        <f>Parameters!K215</f>
        <v>4.2781833524567752E-4</v>
      </c>
      <c r="K213" s="171" t="str">
        <f>'Transition Probabilites'!AA19</f>
        <v>[Franck Maunoury et al.]</v>
      </c>
      <c r="AC213" s="119"/>
    </row>
    <row r="214" spans="2:29" ht="16" x14ac:dyDescent="0.2">
      <c r="B214" s="119"/>
      <c r="G214" s="170" t="str">
        <f>Parameters!E216</f>
        <v>Transition from state 2 to state 2 (PVI T4)</v>
      </c>
      <c r="H214" s="169">
        <f>Parameters!H216</f>
        <v>5.7599194421941542E-4</v>
      </c>
      <c r="I214" s="169">
        <f>Parameters!J216</f>
        <v>4.630995976138896E-4</v>
      </c>
      <c r="J214" s="65">
        <f>Parameters!K216</f>
        <v>6.8888429082494124E-4</v>
      </c>
      <c r="K214" s="171" t="str">
        <f>'Transition Probabilites'!AA20</f>
        <v>[Franck Maunoury et al.]</v>
      </c>
      <c r="AC214" s="119"/>
    </row>
    <row r="215" spans="2:29" ht="16" x14ac:dyDescent="0.2">
      <c r="B215" s="119"/>
      <c r="G215" s="170" t="str">
        <f>Parameters!E217</f>
        <v>Transition from state 2 to state 3 (PVI T4)</v>
      </c>
      <c r="H215" s="169">
        <f>Parameters!H217</f>
        <v>1.3474262025131128E-6</v>
      </c>
      <c r="I215" s="169">
        <f>Parameters!J217</f>
        <v>1.0833355196379855E-6</v>
      </c>
      <c r="J215" s="65">
        <f>Parameters!K217</f>
        <v>1.6115168853882402E-6</v>
      </c>
      <c r="K215" s="171" t="str">
        <f>'Transition Probabilites'!AA21</f>
        <v>[Franck Maunoury et al.]</v>
      </c>
      <c r="AC215" s="119"/>
    </row>
    <row r="216" spans="2:29" ht="16" x14ac:dyDescent="0.2">
      <c r="B216" s="119"/>
      <c r="G216" s="170" t="str">
        <f>Parameters!E218</f>
        <v>Transition from state 2 to state 4 (PVI T4)</v>
      </c>
      <c r="H216" s="169">
        <f>Parameters!H218</f>
        <v>9.8426403031512951E-6</v>
      </c>
      <c r="I216" s="169">
        <f>Parameters!J218</f>
        <v>7.9135182524554024E-6</v>
      </c>
      <c r="J216" s="65">
        <f>Parameters!K218</f>
        <v>1.1771762353847188E-5</v>
      </c>
      <c r="K216" s="171" t="str">
        <f>'Transition Probabilites'!AA22</f>
        <v>[Franck Maunoury et al.]</v>
      </c>
      <c r="AC216" s="119"/>
    </row>
    <row r="217" spans="2:29" ht="16" x14ac:dyDescent="0.2">
      <c r="B217" s="119"/>
      <c r="G217" s="170" t="str">
        <f>Parameters!E219</f>
        <v>Transition from state 2 to state 5 (PVI T4)</v>
      </c>
      <c r="H217" s="169">
        <f>Parameters!H219</f>
        <v>2.7601890477457801E-10</v>
      </c>
      <c r="I217" s="169">
        <f>Parameters!J219</f>
        <v>2.2192019353354165E-10</v>
      </c>
      <c r="J217" s="65">
        <f>Parameters!K219</f>
        <v>3.3011761601561434E-10</v>
      </c>
      <c r="K217" s="171" t="str">
        <f>'Transition Probabilites'!AA23</f>
        <v>[Franck Maunoury et al.]</v>
      </c>
      <c r="AC217" s="119"/>
    </row>
    <row r="218" spans="2:29" ht="16" x14ac:dyDescent="0.2">
      <c r="B218" s="119"/>
      <c r="G218" s="170" t="str">
        <f>Parameters!E220</f>
        <v>Transition from state 2 to state 6 (PVI T4)</v>
      </c>
      <c r="H218" s="169">
        <f>Parameters!H220</f>
        <v>0</v>
      </c>
      <c r="I218" s="169">
        <f>Parameters!J220</f>
        <v>0</v>
      </c>
      <c r="J218" s="65">
        <f>Parameters!K220</f>
        <v>0</v>
      </c>
      <c r="K218" s="171" t="str">
        <f>'Transition Probabilites'!AA24</f>
        <v>[Franck Maunoury et al.]</v>
      </c>
      <c r="AC218" s="119"/>
    </row>
    <row r="219" spans="2:29" ht="16" x14ac:dyDescent="0.2">
      <c r="B219" s="119"/>
      <c r="G219" s="170" t="str">
        <f>Parameters!E221</f>
        <v>Transition from state 2 to state 7 (PVI T4)</v>
      </c>
      <c r="H219" s="169">
        <f>Parameters!H221</f>
        <v>0.68550935039332217</v>
      </c>
      <c r="I219" s="169">
        <f>Parameters!J221</f>
        <v>0.55115198660968623</v>
      </c>
      <c r="J219" s="65">
        <f>Parameters!K221</f>
        <v>0.81986671417695811</v>
      </c>
      <c r="K219" s="171" t="str">
        <f>'Transition Probabilites'!AA25</f>
        <v>[Franck Maunoury et al.]</v>
      </c>
      <c r="AC219" s="119"/>
    </row>
    <row r="220" spans="2:29" ht="16" x14ac:dyDescent="0.2">
      <c r="B220" s="119"/>
      <c r="G220" s="170" t="str">
        <f>Parameters!E222</f>
        <v>Transition from state 2 to state 8 (PVI T4)</v>
      </c>
      <c r="H220" s="169">
        <f>Parameters!H222</f>
        <v>0.31354575860459116</v>
      </c>
      <c r="I220" s="169">
        <f>Parameters!J222</f>
        <v>0.25209191916756235</v>
      </c>
      <c r="J220" s="65">
        <f>Parameters!K222</f>
        <v>0.37499959804161997</v>
      </c>
      <c r="K220" s="171" t="str">
        <f>'Transition Probabilites'!AA26</f>
        <v>[Franck Maunoury et al.]</v>
      </c>
      <c r="AC220" s="119"/>
    </row>
    <row r="221" spans="2:29" ht="16" x14ac:dyDescent="0.2">
      <c r="B221" s="119"/>
      <c r="G221" s="170" t="str">
        <f>Parameters!E223</f>
        <v>Transition from state 3 to state 1 (PVI T4)</v>
      </c>
      <c r="H221" s="169">
        <f>Parameters!H223</f>
        <v>3.1514739823364056E-4</v>
      </c>
      <c r="I221" s="169">
        <f>Parameters!J223</f>
        <v>2.5337964319769679E-4</v>
      </c>
      <c r="J221" s="65">
        <f>Parameters!K223</f>
        <v>3.7691515326958427E-4</v>
      </c>
      <c r="K221" s="171" t="str">
        <f>'Transition Probabilites'!AA27</f>
        <v>[Franck Maunoury et al.]</v>
      </c>
      <c r="AC221" s="119"/>
    </row>
    <row r="222" spans="2:29" ht="16" x14ac:dyDescent="0.2">
      <c r="B222" s="119"/>
      <c r="G222" s="170" t="str">
        <f>Parameters!E224</f>
        <v>Transition from state 3 to state 2 (PVI T4)</v>
      </c>
      <c r="H222" s="169">
        <f>Parameters!H224</f>
        <v>5.0745138544291382E-4</v>
      </c>
      <c r="I222" s="169">
        <f>Parameters!J224</f>
        <v>4.0799274150560738E-4</v>
      </c>
      <c r="J222" s="65">
        <f>Parameters!K224</f>
        <v>6.0691002938022026E-4</v>
      </c>
      <c r="K222" s="171" t="str">
        <f>'Transition Probabilites'!AA28</f>
        <v>[Franck Maunoury et al.]</v>
      </c>
      <c r="AC222" s="119"/>
    </row>
    <row r="223" spans="2:29" ht="16" x14ac:dyDescent="0.2">
      <c r="B223" s="119"/>
      <c r="G223" s="170" t="str">
        <f>Parameters!E225</f>
        <v>Transition from state 3 to state 3 (PVI T4)</v>
      </c>
      <c r="H223" s="169">
        <f>Parameters!H225</f>
        <v>1.1868532962702738E-6</v>
      </c>
      <c r="I223" s="169">
        <f>Parameters!J225</f>
        <v>9.5423432470803559E-7</v>
      </c>
      <c r="J223" s="65">
        <f>Parameters!K225</f>
        <v>1.4194722678325121E-6</v>
      </c>
      <c r="K223" s="171" t="str">
        <f>'Transition Probabilites'!AA29</f>
        <v>[Franck Maunoury et al.]</v>
      </c>
      <c r="AC223" s="119"/>
    </row>
    <row r="224" spans="2:29" ht="16" x14ac:dyDescent="0.2">
      <c r="B224" s="119"/>
      <c r="G224" s="170" t="str">
        <f>Parameters!E226</f>
        <v>Transition from state 3 to state 4 (PVI T4)</v>
      </c>
      <c r="H224" s="169">
        <f>Parameters!H226</f>
        <v>8.670789608760836E-6</v>
      </c>
      <c r="I224" s="169">
        <f>Parameters!J226</f>
        <v>6.9713460736912977E-6</v>
      </c>
      <c r="J224" s="65">
        <f>Parameters!K226</f>
        <v>1.0370233143830373E-5</v>
      </c>
      <c r="K224" s="171" t="str">
        <f>'Transition Probabilites'!AA30</f>
        <v>[Franck Maunoury et al.]</v>
      </c>
      <c r="AC224" s="119"/>
    </row>
    <row r="225" spans="2:29" ht="16" x14ac:dyDescent="0.2">
      <c r="B225" s="119"/>
      <c r="G225" s="170" t="str">
        <f>Parameters!E227</f>
        <v>Transition from state 3 to state 5 (PVI T4)</v>
      </c>
      <c r="H225" s="169">
        <f>Parameters!H227</f>
        <v>2.4314177653399652E-10</v>
      </c>
      <c r="I225" s="169">
        <f>Parameters!J227</f>
        <v>1.9548686401962462E-10</v>
      </c>
      <c r="J225" s="65">
        <f>Parameters!K227</f>
        <v>2.9079668904836842E-10</v>
      </c>
      <c r="K225" s="171" t="str">
        <f>'Transition Probabilites'!AA31</f>
        <v>[Franck Maunoury et al.]</v>
      </c>
      <c r="AC225" s="119"/>
    </row>
    <row r="226" spans="2:29" ht="16" x14ac:dyDescent="0.2">
      <c r="B226" s="119"/>
      <c r="G226" s="170" t="str">
        <f>Parameters!E228</f>
        <v>Transition from state 3 to state 6 (PVI T4)</v>
      </c>
      <c r="H226" s="169">
        <f>Parameters!H228</f>
        <v>0</v>
      </c>
      <c r="I226" s="169">
        <f>Parameters!J228</f>
        <v>0</v>
      </c>
      <c r="J226" s="65">
        <f>Parameters!K228</f>
        <v>0</v>
      </c>
      <c r="K226" s="171" t="str">
        <f>'Transition Probabilites'!AA32</f>
        <v>[Franck Maunoury et al.]</v>
      </c>
      <c r="AC226" s="119"/>
    </row>
    <row r="227" spans="2:29" ht="16" x14ac:dyDescent="0.2">
      <c r="B227" s="119"/>
      <c r="G227" s="170" t="str">
        <f>Parameters!E229</f>
        <v>Transition from state 3 to state 7 (PVI T4)</v>
      </c>
      <c r="H227" s="169">
        <f>Parameters!H229</f>
        <v>0.75195801540836582</v>
      </c>
      <c r="I227" s="169">
        <f>Parameters!J229</f>
        <v>0.60457695259970468</v>
      </c>
      <c r="J227" s="65">
        <f>Parameters!K229</f>
        <v>0.89933907821702697</v>
      </c>
      <c r="K227" s="171" t="str">
        <f>'Transition Probabilites'!AA33</f>
        <v>[Franck Maunoury et al.]</v>
      </c>
      <c r="AC227" s="119"/>
    </row>
    <row r="228" spans="2:29" ht="16" x14ac:dyDescent="0.2">
      <c r="B228" s="119"/>
      <c r="G228" s="170" t="str">
        <f>Parameters!E230</f>
        <v>Transition from state 3 to state 8 (PVI T4)</v>
      </c>
      <c r="H228" s="169">
        <f>Parameters!H230</f>
        <v>0.24720952792191087</v>
      </c>
      <c r="I228" s="169">
        <f>Parameters!J230</f>
        <v>0.19875735078570145</v>
      </c>
      <c r="J228" s="65">
        <f>Parameters!K230</f>
        <v>0.29566170505812028</v>
      </c>
      <c r="K228" s="171" t="str">
        <f>'Transition Probabilites'!AA34</f>
        <v>[Franck Maunoury et al.]</v>
      </c>
      <c r="AC228" s="119"/>
    </row>
    <row r="229" spans="2:29" ht="16" x14ac:dyDescent="0.2">
      <c r="B229" s="119"/>
      <c r="G229" s="170" t="str">
        <f>Parameters!E231</f>
        <v>Transition from state 4 to state 1 (PVI T4)</v>
      </c>
      <c r="H229" s="169">
        <f>Parameters!H231</f>
        <v>4.2340387366569972E-4</v>
      </c>
      <c r="I229" s="169">
        <f>Parameters!J231</f>
        <v>3.4041823933574788E-4</v>
      </c>
      <c r="J229" s="65">
        <f>Parameters!K231</f>
        <v>5.063895079956515E-4</v>
      </c>
      <c r="K229" s="171" t="str">
        <f>'Transition Probabilites'!AA35</f>
        <v>[Franck Maunoury et al.]</v>
      </c>
      <c r="AC229" s="119"/>
    </row>
    <row r="230" spans="2:29" ht="16" x14ac:dyDescent="0.2">
      <c r="B230" s="119"/>
      <c r="G230" s="170" t="str">
        <f>Parameters!E232</f>
        <v>Transition from state 4 to state 2 (PVI T4)</v>
      </c>
      <c r="H230" s="169">
        <f>Parameters!H232</f>
        <v>6.8178925728564941E-4</v>
      </c>
      <c r="I230" s="169">
        <f>Parameters!J232</f>
        <v>5.4816101835303082E-4</v>
      </c>
      <c r="J230" s="65">
        <f>Parameters!K232</f>
        <v>8.1541749621826789E-4</v>
      </c>
      <c r="K230" s="171" t="str">
        <f>'Transition Probabilites'!AA36</f>
        <v>[Franck Maunoury et al.]</v>
      </c>
      <c r="AC230" s="119"/>
    </row>
    <row r="231" spans="2:29" ht="16" x14ac:dyDescent="0.2">
      <c r="B231" s="119"/>
      <c r="G231" s="170" t="str">
        <f>Parameters!E233</f>
        <v>Transition from state 4 to state 3 (PVI T4)</v>
      </c>
      <c r="H231" s="169">
        <f>Parameters!H233</f>
        <v>1.5952193552472028E-6</v>
      </c>
      <c r="I231" s="169">
        <f>Parameters!J233</f>
        <v>1.2825621068746303E-6</v>
      </c>
      <c r="J231" s="65">
        <f>Parameters!K233</f>
        <v>1.9078766036197752E-6</v>
      </c>
      <c r="K231" s="171" t="str">
        <f>'Transition Probabilites'!AA37</f>
        <v>[Franck Maunoury et al.]</v>
      </c>
      <c r="AC231" s="119"/>
    </row>
    <row r="232" spans="2:29" ht="16" x14ac:dyDescent="0.2">
      <c r="B232" s="119"/>
      <c r="G232" s="170" t="str">
        <f>Parameters!E234</f>
        <v>Transition from state 4 to state 4 (PVI T4)</v>
      </c>
      <c r="H232" s="169">
        <f>Parameters!H234</f>
        <v>1.1654474378914977E-5</v>
      </c>
      <c r="I232" s="169">
        <f>Parameters!J234</f>
        <v>9.3702393747731602E-6</v>
      </c>
      <c r="J232" s="65">
        <f>Parameters!K234</f>
        <v>1.3938709383056793E-5</v>
      </c>
      <c r="K232" s="171" t="str">
        <f>'Transition Probabilites'!AA38</f>
        <v>[Franck Maunoury et al.]</v>
      </c>
      <c r="AC232" s="119"/>
    </row>
    <row r="233" spans="2:29" ht="16" x14ac:dyDescent="0.2">
      <c r="B233" s="119"/>
      <c r="G233" s="170" t="str">
        <f>Parameters!E235</f>
        <v>Transition from state 4 to state 5 (PVI T4)</v>
      </c>
      <c r="H233" s="169">
        <f>Parameters!H235</f>
        <v>3.2675971660885703E-10</v>
      </c>
      <c r="I233" s="169">
        <f>Parameters!J235</f>
        <v>2.6271598899366956E-10</v>
      </c>
      <c r="J233" s="65">
        <f>Parameters!K235</f>
        <v>3.9080344422404444E-10</v>
      </c>
      <c r="K233" s="171" t="str">
        <f>'Transition Probabilites'!AA39</f>
        <v>[Franck Maunoury et al.]</v>
      </c>
      <c r="AC233" s="119"/>
    </row>
    <row r="234" spans="2:29" ht="16" x14ac:dyDescent="0.2">
      <c r="B234" s="119"/>
      <c r="G234" s="170" t="str">
        <f>Parameters!E236</f>
        <v>Transition from state 4 to state 6 (PVI T4)</v>
      </c>
      <c r="H234" s="169">
        <f>Parameters!H236</f>
        <v>0</v>
      </c>
      <c r="I234" s="169">
        <f>Parameters!J236</f>
        <v>0</v>
      </c>
      <c r="J234" s="65">
        <f>Parameters!K236</f>
        <v>0</v>
      </c>
      <c r="K234" s="171" t="str">
        <f>'Transition Probabilites'!AA40</f>
        <v>[Franck Maunoury et al.]</v>
      </c>
      <c r="AC234" s="119"/>
    </row>
    <row r="235" spans="2:29" ht="16" x14ac:dyDescent="0.2">
      <c r="B235" s="119"/>
      <c r="G235" s="170" t="str">
        <f>Parameters!E237</f>
        <v>Transition from state 4 to state 7 (PVI T4)</v>
      </c>
      <c r="H235" s="169">
        <f>Parameters!H237</f>
        <v>0.6586908425431095</v>
      </c>
      <c r="I235" s="169">
        <f>Parameters!J237</f>
        <v>0.52958980971002567</v>
      </c>
      <c r="J235" s="65">
        <f>Parameters!K237</f>
        <v>0.78779187537619333</v>
      </c>
      <c r="K235" s="171" t="str">
        <f>'Transition Probabilites'!AA41</f>
        <v>[Franck Maunoury et al.]</v>
      </c>
      <c r="AC235" s="119"/>
    </row>
    <row r="236" spans="2:29" ht="16" x14ac:dyDescent="0.2">
      <c r="B236" s="119"/>
      <c r="G236" s="170" t="str">
        <f>Parameters!E238</f>
        <v>Transition from state 4 to state 8 (PVI T4)</v>
      </c>
      <c r="H236" s="169">
        <f>Parameters!H238</f>
        <v>0.34019071430544517</v>
      </c>
      <c r="I236" s="169">
        <f>Parameters!J238</f>
        <v>0.27351455951408243</v>
      </c>
      <c r="J236" s="65">
        <f>Parameters!K238</f>
        <v>0.40686686909680791</v>
      </c>
      <c r="K236" s="171" t="str">
        <f>'Transition Probabilites'!AA42</f>
        <v>[Franck Maunoury et al.]</v>
      </c>
      <c r="AC236" s="119"/>
    </row>
    <row r="237" spans="2:29" ht="16" x14ac:dyDescent="0.2">
      <c r="B237" s="119"/>
      <c r="G237" s="170" t="str">
        <f>Parameters!E239</f>
        <v>Transition from state 5 to state 1 (PVI T4)</v>
      </c>
      <c r="H237" s="169">
        <f>Parameters!H239</f>
        <v>0</v>
      </c>
      <c r="I237" s="169">
        <f>Parameters!J239</f>
        <v>0</v>
      </c>
      <c r="J237" s="65">
        <f>Parameters!K239</f>
        <v>0</v>
      </c>
      <c r="K237" s="171" t="str">
        <f>'Transition Probabilites'!AA43</f>
        <v>[Franck Maunoury et al.]</v>
      </c>
      <c r="AC237" s="119"/>
    </row>
    <row r="238" spans="2:29" ht="16" x14ac:dyDescent="0.2">
      <c r="B238" s="119"/>
      <c r="G238" s="170" t="str">
        <f>Parameters!E240</f>
        <v>Transition from state 5 to state 2 (PVI T4)</v>
      </c>
      <c r="H238" s="169">
        <f>Parameters!H240</f>
        <v>0</v>
      </c>
      <c r="I238" s="169">
        <f>Parameters!J240</f>
        <v>0</v>
      </c>
      <c r="J238" s="65">
        <f>Parameters!K240</f>
        <v>0</v>
      </c>
      <c r="K238" s="171" t="str">
        <f>'Transition Probabilites'!AA44</f>
        <v>[Franck Maunoury et al.]</v>
      </c>
      <c r="AC238" s="119"/>
    </row>
    <row r="239" spans="2:29" ht="16" x14ac:dyDescent="0.2">
      <c r="B239" s="119"/>
      <c r="G239" s="170" t="str">
        <f>Parameters!E241</f>
        <v>Transition from state 5 to state 3 (PVI T4)</v>
      </c>
      <c r="H239" s="169">
        <f>Parameters!H241</f>
        <v>0</v>
      </c>
      <c r="I239" s="169">
        <f>Parameters!J241</f>
        <v>0</v>
      </c>
      <c r="J239" s="65">
        <f>Parameters!K241</f>
        <v>0</v>
      </c>
      <c r="K239" s="171" t="str">
        <f>'Transition Probabilites'!AA45</f>
        <v>[Franck Maunoury et al.]</v>
      </c>
      <c r="AC239" s="119"/>
    </row>
    <row r="240" spans="2:29" ht="16" x14ac:dyDescent="0.2">
      <c r="B240" s="119"/>
      <c r="G240" s="170" t="str">
        <f>Parameters!E242</f>
        <v>Transition from state 5 to state 4 (PVI T4)</v>
      </c>
      <c r="H240" s="169">
        <f>Parameters!H242</f>
        <v>0</v>
      </c>
      <c r="I240" s="169">
        <f>Parameters!J242</f>
        <v>0</v>
      </c>
      <c r="J240" s="65">
        <f>Parameters!K242</f>
        <v>0</v>
      </c>
      <c r="K240" s="171" t="str">
        <f>'Transition Probabilites'!AA46</f>
        <v>[Franck Maunoury et al.]</v>
      </c>
      <c r="AC240" s="119"/>
    </row>
    <row r="241" spans="2:29" ht="16" x14ac:dyDescent="0.2">
      <c r="B241" s="119"/>
      <c r="G241" s="170" t="str">
        <f>Parameters!E243</f>
        <v>Transition from state 5 to state 5 (PVI T4)</v>
      </c>
      <c r="H241" s="169">
        <f>Parameters!H243</f>
        <v>0</v>
      </c>
      <c r="I241" s="169">
        <f>Parameters!J243</f>
        <v>0</v>
      </c>
      <c r="J241" s="65">
        <f>Parameters!K243</f>
        <v>0</v>
      </c>
      <c r="K241" s="171" t="str">
        <f>'Transition Probabilites'!AA47</f>
        <v>[Franck Maunoury et al.]</v>
      </c>
      <c r="AC241" s="119"/>
    </row>
    <row r="242" spans="2:29" ht="16" x14ac:dyDescent="0.2">
      <c r="B242" s="119"/>
      <c r="G242" s="170" t="str">
        <f>Parameters!E244</f>
        <v>Transition from state 5 to state 6 (PVI T4)</v>
      </c>
      <c r="H242" s="169">
        <f>Parameters!H244</f>
        <v>1</v>
      </c>
      <c r="I242" s="169">
        <f>Parameters!J244</f>
        <v>0.8040036015459946</v>
      </c>
      <c r="J242" s="65">
        <f>Parameters!K244</f>
        <v>1.1959963984540054</v>
      </c>
      <c r="K242" s="171" t="str">
        <f>'Transition Probabilites'!AA48</f>
        <v>[Franck Maunoury et al.]</v>
      </c>
      <c r="AC242" s="119"/>
    </row>
    <row r="243" spans="2:29" ht="16" x14ac:dyDescent="0.2">
      <c r="B243" s="119"/>
      <c r="G243" s="170" t="str">
        <f>Parameters!E245</f>
        <v>Transition from state 5 to state 7 (PVI T4)</v>
      </c>
      <c r="H243" s="169">
        <f>Parameters!H245</f>
        <v>0</v>
      </c>
      <c r="I243" s="169">
        <f>Parameters!J245</f>
        <v>0</v>
      </c>
      <c r="J243" s="65">
        <f>Parameters!K245</f>
        <v>0</v>
      </c>
      <c r="K243" s="171" t="str">
        <f>'Transition Probabilites'!AA49</f>
        <v>[Franck Maunoury et al.]</v>
      </c>
      <c r="AC243" s="119"/>
    </row>
    <row r="244" spans="2:29" ht="16" x14ac:dyDescent="0.2">
      <c r="B244" s="119"/>
      <c r="G244" s="170" t="str">
        <f>Parameters!E246</f>
        <v>Transition from state 5 to state 8 (PVI T4)</v>
      </c>
      <c r="H244" s="169">
        <f>Parameters!H246</f>
        <v>0</v>
      </c>
      <c r="I244" s="169">
        <f>Parameters!J246</f>
        <v>0</v>
      </c>
      <c r="J244" s="65">
        <f>Parameters!K246</f>
        <v>0</v>
      </c>
      <c r="K244" s="171" t="str">
        <f>'Transition Probabilites'!AA50</f>
        <v>[Franck Maunoury et al.]</v>
      </c>
      <c r="AC244" s="119"/>
    </row>
    <row r="245" spans="2:29" ht="16" x14ac:dyDescent="0.2">
      <c r="B245" s="119"/>
      <c r="G245" s="170" t="str">
        <f>Parameters!E247</f>
        <v>Transition from state 6 to state 1 (PVI T4)</v>
      </c>
      <c r="H245" s="169">
        <f>Parameters!H247</f>
        <v>4.8217991137751708E-4</v>
      </c>
      <c r="I245" s="169">
        <f>Parameters!J247</f>
        <v>3.8767438534065225E-4</v>
      </c>
      <c r="J245" s="65">
        <f>Parameters!K247</f>
        <v>5.7668543741438191E-4</v>
      </c>
      <c r="K245" s="171" t="str">
        <f>'Transition Probabilites'!AA51</f>
        <v>[Franck Maunoury et al.]</v>
      </c>
      <c r="AC245" s="119"/>
    </row>
    <row r="246" spans="2:29" ht="16" x14ac:dyDescent="0.2">
      <c r="B246" s="119"/>
      <c r="G246" s="170" t="str">
        <f>Parameters!E248</f>
        <v>Transition from state 6 to state 2 (PVI T4)</v>
      </c>
      <c r="H246" s="169">
        <f>Parameters!H248</f>
        <v>7.765995183246421E-4</v>
      </c>
      <c r="I246" s="169">
        <f>Parameters!J248</f>
        <v>6.2438880969189689E-4</v>
      </c>
      <c r="J246" s="65">
        <f>Parameters!K248</f>
        <v>9.2881022695738731E-4</v>
      </c>
      <c r="K246" s="171" t="str">
        <f>'Transition Probabilites'!AA52</f>
        <v>[Franck Maunoury et al.]</v>
      </c>
      <c r="AC246" s="119"/>
    </row>
    <row r="247" spans="2:29" ht="16" x14ac:dyDescent="0.2">
      <c r="B247" s="119"/>
      <c r="G247" s="170" t="str">
        <f>Parameters!E249</f>
        <v>Transition from state 6 to state 3 (PVI T4)</v>
      </c>
      <c r="H247" s="169">
        <f>Parameters!H249</f>
        <v>1.8225640430052209E-6</v>
      </c>
      <c r="I247" s="169">
        <f>Parameters!J249</f>
        <v>1.4653480546244266E-6</v>
      </c>
      <c r="J247" s="65">
        <f>Parameters!K249</f>
        <v>2.1797800313860153E-6</v>
      </c>
      <c r="K247" s="171" t="str">
        <f>'Transition Probabilites'!AA53</f>
        <v>[Franck Maunoury et al.]</v>
      </c>
      <c r="AC247" s="119"/>
    </row>
    <row r="248" spans="2:29" ht="16" x14ac:dyDescent="0.2">
      <c r="B248" s="119"/>
      <c r="G248" s="170" t="str">
        <f>Parameters!E250</f>
        <v>Transition from state 6 to state 4 (PVI T4)</v>
      </c>
      <c r="H248" s="169">
        <f>Parameters!H250</f>
        <v>1.3285540313485608E-5</v>
      </c>
      <c r="I248" s="169">
        <f>Parameters!J250</f>
        <v>1.0681622260526931E-5</v>
      </c>
      <c r="J248" s="65">
        <f>Parameters!K250</f>
        <v>1.5889458366444284E-5</v>
      </c>
      <c r="K248" s="171" t="str">
        <f>'Transition Probabilites'!AA54</f>
        <v>[Franck Maunoury et al.]</v>
      </c>
      <c r="AC248" s="119"/>
    </row>
    <row r="249" spans="2:29" ht="16" x14ac:dyDescent="0.2">
      <c r="B249" s="119"/>
      <c r="G249" s="170" t="str">
        <f>Parameters!E251</f>
        <v>Transition from state 6 to state 5 (PVI T4)</v>
      </c>
      <c r="H249" s="169">
        <f>Parameters!H251</f>
        <v>0</v>
      </c>
      <c r="I249" s="169">
        <f>Parameters!J251</f>
        <v>0</v>
      </c>
      <c r="J249" s="65">
        <f>Parameters!K251</f>
        <v>0</v>
      </c>
      <c r="K249" s="171" t="str">
        <f>'Transition Probabilites'!AA55</f>
        <v>[Franck Maunoury et al.]</v>
      </c>
      <c r="AC249" s="119"/>
    </row>
    <row r="250" spans="2:29" ht="16" x14ac:dyDescent="0.2">
      <c r="B250" s="119"/>
      <c r="G250" s="170" t="str">
        <f>Parameters!E252</f>
        <v>Transition from state 6 to state 6 (PVI T4)</v>
      </c>
      <c r="H250" s="169">
        <f>Parameters!H252</f>
        <v>5.1168891207381149E-4</v>
      </c>
      <c r="I250" s="169">
        <f>Parameters!J252</f>
        <v>4.1139972817849624E-4</v>
      </c>
      <c r="J250" s="65">
        <f>Parameters!K252</f>
        <v>6.1197809596912674E-4</v>
      </c>
      <c r="K250" s="171" t="str">
        <f>'Transition Probabilites'!AA56</f>
        <v>[Franck Maunoury et al.]</v>
      </c>
      <c r="AC250" s="119"/>
    </row>
    <row r="251" spans="2:29" ht="16" x14ac:dyDescent="0.2">
      <c r="B251" s="119"/>
      <c r="G251" s="170" t="str">
        <f>Parameters!E253</f>
        <v>Transition from state 6 to state 7 (PVI T4)</v>
      </c>
      <c r="H251" s="169">
        <f>Parameters!H253</f>
        <v>0.7596581179248928</v>
      </c>
      <c r="I251" s="169">
        <f>Parameters!J253</f>
        <v>0.61076786275526573</v>
      </c>
      <c r="J251" s="65">
        <f>Parameters!K253</f>
        <v>0.90854837309451986</v>
      </c>
      <c r="K251" s="171" t="str">
        <f>'Transition Probabilites'!AA57</f>
        <v>[Franck Maunoury et al.]</v>
      </c>
      <c r="AC251" s="119"/>
    </row>
    <row r="252" spans="2:29" ht="16" x14ac:dyDescent="0.2">
      <c r="B252" s="119"/>
      <c r="G252" s="170" t="str">
        <f>Parameters!E254</f>
        <v>Transition from state 6 to state 8 (PVI T4)</v>
      </c>
      <c r="H252" s="169">
        <f>Parameters!H254</f>
        <v>0.23855630562897456</v>
      </c>
      <c r="I252" s="169">
        <f>Parameters!J254</f>
        <v>0.19180012889720258</v>
      </c>
      <c r="J252" s="65">
        <f>Parameters!K254</f>
        <v>0.28531248236074652</v>
      </c>
      <c r="K252" s="171" t="str">
        <f>'Transition Probabilites'!AA58</f>
        <v>[Franck Maunoury et al.]</v>
      </c>
      <c r="AC252" s="119"/>
    </row>
    <row r="253" spans="2:29" ht="16" x14ac:dyDescent="0.2">
      <c r="B253" s="119"/>
      <c r="G253" s="170" t="str">
        <f>Parameters!E255</f>
        <v>Transition from state 7 to state 1 (PVI T4)</v>
      </c>
      <c r="H253" s="169">
        <f>Parameters!H255</f>
        <v>0</v>
      </c>
      <c r="I253" s="169">
        <f>Parameters!J255</f>
        <v>0</v>
      </c>
      <c r="J253" s="65">
        <f>Parameters!K255</f>
        <v>0</v>
      </c>
      <c r="K253" s="171" t="str">
        <f>'Transition Probabilites'!AA59</f>
        <v>[Franck Maunoury et al.]</v>
      </c>
      <c r="AC253" s="119"/>
    </row>
    <row r="254" spans="2:29" ht="16" x14ac:dyDescent="0.2">
      <c r="B254" s="119"/>
      <c r="G254" s="170" t="str">
        <f>Parameters!E256</f>
        <v>Transition from state 7 to state 2 (PVI T4)</v>
      </c>
      <c r="H254" s="169">
        <f>Parameters!H256</f>
        <v>0</v>
      </c>
      <c r="I254" s="169">
        <f>Parameters!J256</f>
        <v>0</v>
      </c>
      <c r="J254" s="65">
        <f>Parameters!K256</f>
        <v>0</v>
      </c>
      <c r="K254" s="171" t="str">
        <f>'Transition Probabilites'!AA60</f>
        <v>[Franck Maunoury et al.]</v>
      </c>
      <c r="AC254" s="119"/>
    </row>
    <row r="255" spans="2:29" ht="16" x14ac:dyDescent="0.2">
      <c r="B255" s="119"/>
      <c r="G255" s="170" t="str">
        <f>Parameters!E257</f>
        <v>Transition from state 7 to state 3 (PVI T4)</v>
      </c>
      <c r="H255" s="169">
        <f>Parameters!H257</f>
        <v>0</v>
      </c>
      <c r="I255" s="169">
        <f>Parameters!J257</f>
        <v>0</v>
      </c>
      <c r="J255" s="65">
        <f>Parameters!K257</f>
        <v>0</v>
      </c>
      <c r="K255" s="171" t="str">
        <f>'Transition Probabilites'!AA61</f>
        <v>[Franck Maunoury et al.]</v>
      </c>
      <c r="AC255" s="119"/>
    </row>
    <row r="256" spans="2:29" ht="16" x14ac:dyDescent="0.2">
      <c r="B256" s="119"/>
      <c r="G256" s="170" t="str">
        <f>Parameters!E258</f>
        <v>Transition from state 7 to state 4 (PVI T4)</v>
      </c>
      <c r="H256" s="169">
        <f>Parameters!H258</f>
        <v>0</v>
      </c>
      <c r="I256" s="169">
        <f>Parameters!J258</f>
        <v>0</v>
      </c>
      <c r="J256" s="65">
        <f>Parameters!K258</f>
        <v>0</v>
      </c>
      <c r="K256" s="171" t="str">
        <f>'Transition Probabilites'!AA62</f>
        <v>[Franck Maunoury et al.]</v>
      </c>
      <c r="AC256" s="119"/>
    </row>
    <row r="257" spans="2:29" ht="16" x14ac:dyDescent="0.2">
      <c r="B257" s="119"/>
      <c r="G257" s="170" t="str">
        <f>Parameters!E259</f>
        <v>Transition from state 7 to state 5 (PVI T4)</v>
      </c>
      <c r="H257" s="169">
        <f>Parameters!H259</f>
        <v>0</v>
      </c>
      <c r="I257" s="169">
        <f>Parameters!J259</f>
        <v>0</v>
      </c>
      <c r="J257" s="65">
        <f>Parameters!K259</f>
        <v>0</v>
      </c>
      <c r="K257" s="171" t="str">
        <f>'Transition Probabilites'!AA63</f>
        <v>[Franck Maunoury et al.]</v>
      </c>
      <c r="AC257" s="119"/>
    </row>
    <row r="258" spans="2:29" ht="16" x14ac:dyDescent="0.2">
      <c r="B258" s="119"/>
      <c r="G258" s="170" t="str">
        <f>Parameters!E260</f>
        <v>Transition from state 7 to state 6 (PVI T4)</v>
      </c>
      <c r="H258" s="169">
        <f>Parameters!H260</f>
        <v>0</v>
      </c>
      <c r="I258" s="169">
        <f>Parameters!J260</f>
        <v>0</v>
      </c>
      <c r="J258" s="65">
        <f>Parameters!K260</f>
        <v>0</v>
      </c>
      <c r="K258" s="171" t="str">
        <f>'Transition Probabilites'!AA64</f>
        <v>[Franck Maunoury et al.]</v>
      </c>
      <c r="AC258" s="119"/>
    </row>
    <row r="259" spans="2:29" ht="16" x14ac:dyDescent="0.2">
      <c r="B259" s="119"/>
      <c r="G259" s="170" t="str">
        <f>Parameters!E261</f>
        <v>Transition from state 7 to state 7 (PVI T4)</v>
      </c>
      <c r="H259" s="169">
        <f>Parameters!H261</f>
        <v>1</v>
      </c>
      <c r="I259" s="169">
        <f>Parameters!J261</f>
        <v>0.8040036015459946</v>
      </c>
      <c r="J259" s="65">
        <f>Parameters!K261</f>
        <v>1.1959963984540054</v>
      </c>
      <c r="K259" s="171" t="str">
        <f>'Transition Probabilites'!AA65</f>
        <v>[Franck Maunoury et al.]</v>
      </c>
      <c r="AC259" s="119"/>
    </row>
    <row r="260" spans="2:29" ht="16" x14ac:dyDescent="0.2">
      <c r="B260" s="119"/>
      <c r="G260" s="170" t="str">
        <f>Parameters!E262</f>
        <v>Transition from state 7 to state 8 (PVI T4)</v>
      </c>
      <c r="H260" s="169">
        <f>Parameters!H262</f>
        <v>0</v>
      </c>
      <c r="I260" s="169">
        <f>Parameters!J262</f>
        <v>0</v>
      </c>
      <c r="J260" s="65">
        <f>Parameters!K262</f>
        <v>0</v>
      </c>
      <c r="K260" s="171" t="str">
        <f>'Transition Probabilites'!AA66</f>
        <v>[Franck Maunoury et al.]</v>
      </c>
      <c r="AC260" s="119"/>
    </row>
    <row r="261" spans="2:29" ht="16" x14ac:dyDescent="0.2">
      <c r="B261" s="119"/>
      <c r="G261" s="170" t="str">
        <f>Parameters!E263</f>
        <v>Transition from state 8 to state 1 (PVI T4)</v>
      </c>
      <c r="H261" s="169">
        <f>Parameters!H263</f>
        <v>0</v>
      </c>
      <c r="I261" s="169">
        <f>Parameters!J263</f>
        <v>0</v>
      </c>
      <c r="J261" s="65">
        <f>Parameters!K263</f>
        <v>0</v>
      </c>
      <c r="K261" s="171" t="str">
        <f>'Transition Probabilites'!AA67</f>
        <v>[Franck Maunoury et al.]</v>
      </c>
      <c r="AC261" s="119"/>
    </row>
    <row r="262" spans="2:29" ht="16" x14ac:dyDescent="0.2">
      <c r="B262" s="119"/>
      <c r="G262" s="170" t="str">
        <f>Parameters!E264</f>
        <v>Transition from state 8 to state 2 (PVI T4)</v>
      </c>
      <c r="H262" s="169">
        <f>Parameters!H264</f>
        <v>0</v>
      </c>
      <c r="I262" s="169">
        <f>Parameters!J264</f>
        <v>0</v>
      </c>
      <c r="J262" s="65">
        <f>Parameters!K264</f>
        <v>0</v>
      </c>
      <c r="K262" s="171" t="str">
        <f>'Transition Probabilites'!AA68</f>
        <v>[Franck Maunoury et al.]</v>
      </c>
      <c r="AC262" s="119"/>
    </row>
    <row r="263" spans="2:29" ht="16" x14ac:dyDescent="0.2">
      <c r="B263" s="119"/>
      <c r="G263" s="170" t="str">
        <f>Parameters!E265</f>
        <v>Transition from state 8 to state 3 (PVI T4)</v>
      </c>
      <c r="H263" s="169">
        <f>Parameters!H265</f>
        <v>0</v>
      </c>
      <c r="I263" s="169">
        <f>Parameters!J265</f>
        <v>0</v>
      </c>
      <c r="J263" s="65">
        <f>Parameters!K265</f>
        <v>0</v>
      </c>
      <c r="K263" s="171" t="str">
        <f>'Transition Probabilites'!AA69</f>
        <v>[Franck Maunoury et al.]</v>
      </c>
      <c r="AC263" s="119"/>
    </row>
    <row r="264" spans="2:29" ht="16" x14ac:dyDescent="0.2">
      <c r="B264" s="119"/>
      <c r="G264" s="170" t="str">
        <f>Parameters!E266</f>
        <v>Transition from state 8 to state 4 (PVI T4)</v>
      </c>
      <c r="H264" s="169">
        <f>Parameters!H266</f>
        <v>0</v>
      </c>
      <c r="I264" s="169">
        <f>Parameters!J266</f>
        <v>0</v>
      </c>
      <c r="J264" s="65">
        <f>Parameters!K266</f>
        <v>0</v>
      </c>
      <c r="K264" s="171" t="str">
        <f>'Transition Probabilites'!AA70</f>
        <v>[Franck Maunoury et al.]</v>
      </c>
      <c r="AC264" s="119"/>
    </row>
    <row r="265" spans="2:29" ht="16" x14ac:dyDescent="0.2">
      <c r="B265" s="119"/>
      <c r="G265" s="170" t="str">
        <f>Parameters!E267</f>
        <v>Transition from state 8 to state 5 (PVI T4)</v>
      </c>
      <c r="H265" s="169">
        <f>Parameters!H267</f>
        <v>0</v>
      </c>
      <c r="I265" s="169">
        <f>Parameters!J267</f>
        <v>0</v>
      </c>
      <c r="J265" s="65">
        <f>Parameters!K267</f>
        <v>0</v>
      </c>
      <c r="K265" s="171" t="str">
        <f>'Transition Probabilites'!AA71</f>
        <v>[Franck Maunoury et al.]</v>
      </c>
      <c r="AC265" s="119"/>
    </row>
    <row r="266" spans="2:29" ht="16" x14ac:dyDescent="0.2">
      <c r="B266" s="119"/>
      <c r="G266" s="170" t="str">
        <f>Parameters!E268</f>
        <v>Transition from state 8 to state 6 (PVI T4)</v>
      </c>
      <c r="H266" s="169">
        <f>Parameters!H268</f>
        <v>0</v>
      </c>
      <c r="I266" s="169">
        <f>Parameters!J268</f>
        <v>0</v>
      </c>
      <c r="J266" s="65">
        <f>Parameters!K268</f>
        <v>0</v>
      </c>
      <c r="K266" s="171" t="str">
        <f>'Transition Probabilites'!AA72</f>
        <v>[Franck Maunoury et al.]</v>
      </c>
      <c r="AC266" s="119"/>
    </row>
    <row r="267" spans="2:29" ht="16" x14ac:dyDescent="0.2">
      <c r="B267" s="119"/>
      <c r="G267" s="170" t="str">
        <f>Parameters!E269</f>
        <v>Transition from state 8 to state 7 (PVI T4)</v>
      </c>
      <c r="H267" s="169">
        <f>Parameters!H269</f>
        <v>0</v>
      </c>
      <c r="I267" s="169">
        <f>Parameters!J269</f>
        <v>0</v>
      </c>
      <c r="J267" s="65">
        <f>Parameters!K269</f>
        <v>0</v>
      </c>
      <c r="K267" s="171" t="str">
        <f>'Transition Probabilites'!AA73</f>
        <v>[Franck Maunoury et al.]</v>
      </c>
      <c r="AC267" s="119"/>
    </row>
    <row r="268" spans="2:29" ht="16" x14ac:dyDescent="0.2">
      <c r="B268" s="119"/>
      <c r="G268" s="170" t="str">
        <f>Parameters!E270</f>
        <v>Transition from state 8 to state 8 (PVI T4)</v>
      </c>
      <c r="H268" s="169">
        <f>Parameters!H270</f>
        <v>1</v>
      </c>
      <c r="I268" s="169">
        <f>Parameters!J270</f>
        <v>0.8040036015459946</v>
      </c>
      <c r="J268" s="65">
        <f>Parameters!K270</f>
        <v>1.1959963984540054</v>
      </c>
      <c r="K268" s="171" t="str">
        <f>'Transition Probabilites'!AA74</f>
        <v>[Franck Maunoury et al.]</v>
      </c>
      <c r="AC268" s="119"/>
    </row>
    <row r="269" spans="2:29" x14ac:dyDescent="0.2">
      <c r="B269" s="119"/>
      <c r="G269" s="221" t="s">
        <v>81</v>
      </c>
      <c r="H269" s="222"/>
      <c r="I269" s="222"/>
      <c r="J269" s="222"/>
      <c r="K269" s="223"/>
      <c r="AC269" s="119"/>
    </row>
    <row r="270" spans="2:29" ht="16" x14ac:dyDescent="0.2">
      <c r="B270" s="119"/>
      <c r="G270" s="182" t="s">
        <v>197</v>
      </c>
      <c r="H270" s="175" t="s">
        <v>198</v>
      </c>
      <c r="I270" s="175" t="s">
        <v>199</v>
      </c>
      <c r="J270" s="175" t="s">
        <v>200</v>
      </c>
      <c r="K270" s="183" t="s">
        <v>122</v>
      </c>
      <c r="AC270" s="119"/>
    </row>
    <row r="271" spans="2:29" ht="32" x14ac:dyDescent="0.2">
      <c r="B271" s="119"/>
      <c r="G271" s="172" t="s">
        <v>34</v>
      </c>
      <c r="H271" s="178">
        <f>p_cost_CGH1</f>
        <v>3.45</v>
      </c>
      <c r="I271" s="178">
        <f>Parameters!J273</f>
        <v>2.7738124253336816</v>
      </c>
      <c r="J271" s="178">
        <f>Parameters!K273</f>
        <v>4.1261875746663188</v>
      </c>
      <c r="K271" s="174" t="str">
        <f>Costs!G11</f>
        <v>[reported by University Hospital of Poitiers]</v>
      </c>
      <c r="AC271" s="119"/>
    </row>
    <row r="272" spans="2:29" ht="32" x14ac:dyDescent="0.2">
      <c r="B272" s="119"/>
      <c r="G272" s="170" t="s">
        <v>32</v>
      </c>
      <c r="H272" s="168">
        <f>p_cost_PVI1</f>
        <v>1.98</v>
      </c>
      <c r="I272" s="168">
        <f>Parameters!J271</f>
        <v>1.5919271310610692</v>
      </c>
      <c r="J272" s="168">
        <f>Parameters!K271</f>
        <v>2.3680728689389308</v>
      </c>
      <c r="K272" s="171" t="str">
        <f>Costs!G12</f>
        <v>[reported by University Hospital of Poitiers]</v>
      </c>
      <c r="AC272" s="119"/>
    </row>
    <row r="273" spans="2:29" ht="32" x14ac:dyDescent="0.2">
      <c r="B273" s="119"/>
      <c r="G273" s="170" t="s">
        <v>35</v>
      </c>
      <c r="H273" s="168">
        <f>p_cost_CGH4</f>
        <v>4.8499999999999996</v>
      </c>
      <c r="I273" s="168">
        <f>Parameters!J274</f>
        <v>3.8994174674980737</v>
      </c>
      <c r="J273" s="168">
        <f>Parameters!K274</f>
        <v>5.8005825325019256</v>
      </c>
      <c r="K273" s="171" t="str">
        <f>Costs!G13</f>
        <v>[reported by University Hospital of Poitiers]</v>
      </c>
      <c r="AC273" s="119"/>
    </row>
    <row r="274" spans="2:29" ht="32" x14ac:dyDescent="0.2">
      <c r="B274" s="119"/>
      <c r="G274" s="170" t="s">
        <v>33</v>
      </c>
      <c r="H274" s="168">
        <f>p_cost_PVI4</f>
        <v>3.53</v>
      </c>
      <c r="I274" s="168">
        <f>Parameters!J272</f>
        <v>2.8381327134573606</v>
      </c>
      <c r="J274" s="168">
        <f>Parameters!K272</f>
        <v>4.221867286542639</v>
      </c>
      <c r="K274" s="171" t="str">
        <f>Costs!G14</f>
        <v>[reported by University Hospital of Poitiers]</v>
      </c>
      <c r="AC274" s="119"/>
    </row>
    <row r="275" spans="2:29" x14ac:dyDescent="0.2">
      <c r="B275" s="119"/>
      <c r="G275" s="221" t="s">
        <v>82</v>
      </c>
      <c r="H275" s="222"/>
      <c r="I275" s="222"/>
      <c r="J275" s="222"/>
      <c r="K275" s="223"/>
      <c r="AC275" s="119"/>
    </row>
    <row r="276" spans="2:29" ht="16" x14ac:dyDescent="0.2">
      <c r="B276" s="119"/>
      <c r="G276" s="182" t="s">
        <v>197</v>
      </c>
      <c r="H276" s="175" t="s">
        <v>198</v>
      </c>
      <c r="I276" s="175" t="s">
        <v>199</v>
      </c>
      <c r="J276" s="175" t="s">
        <v>200</v>
      </c>
      <c r="K276" s="183" t="s">
        <v>122</v>
      </c>
      <c r="AC276" s="119"/>
    </row>
    <row r="277" spans="2:29" ht="16" x14ac:dyDescent="0.2">
      <c r="B277" s="119"/>
      <c r="G277" s="170" t="s">
        <v>55</v>
      </c>
      <c r="H277" s="168">
        <f>p_AE_c_derma</f>
        <v>0.12</v>
      </c>
      <c r="I277" s="168">
        <f>Parameters!J282</f>
        <v>9.6480432185519355E-2</v>
      </c>
      <c r="J277" s="168">
        <f>Parameters!K282</f>
        <v>0.14351956781448064</v>
      </c>
      <c r="K277" s="171" t="str">
        <f>Costs!G31</f>
        <v>[Carole  Schwebel et al.]</v>
      </c>
      <c r="AC277" s="119"/>
    </row>
    <row r="278" spans="2:29" x14ac:dyDescent="0.2">
      <c r="B278" s="119"/>
      <c r="G278" s="221" t="s">
        <v>19</v>
      </c>
      <c r="H278" s="222"/>
      <c r="I278" s="222"/>
      <c r="J278" s="222"/>
      <c r="K278" s="223"/>
      <c r="AC278" s="119"/>
    </row>
    <row r="279" spans="2:29" ht="16" x14ac:dyDescent="0.2">
      <c r="B279" s="119"/>
      <c r="G279" s="182" t="s">
        <v>197</v>
      </c>
      <c r="H279" s="175" t="s">
        <v>198</v>
      </c>
      <c r="I279" s="175" t="s">
        <v>199</v>
      </c>
      <c r="J279" s="175" t="s">
        <v>200</v>
      </c>
      <c r="K279" s="183" t="s">
        <v>122</v>
      </c>
      <c r="AC279" s="119"/>
    </row>
    <row r="280" spans="2:29" ht="16" x14ac:dyDescent="0.2">
      <c r="B280" s="119"/>
      <c r="G280" s="170" t="s">
        <v>47</v>
      </c>
      <c r="H280" s="168">
        <f>p_treatment_cost</f>
        <v>715.01</v>
      </c>
      <c r="I280" s="168">
        <f>Parameters!J283</f>
        <v>574.87061514140157</v>
      </c>
      <c r="J280" s="168">
        <f>Parameters!K283</f>
        <v>855.14938485859841</v>
      </c>
      <c r="K280" s="171" t="str">
        <f>Costs!G21</f>
        <v>[Carole  Schwebel et al.]</v>
      </c>
      <c r="AC280" s="119"/>
    </row>
    <row r="281" spans="2:29" x14ac:dyDescent="0.2">
      <c r="B281" s="119"/>
      <c r="G281" s="215" t="s">
        <v>20</v>
      </c>
      <c r="H281" s="216"/>
      <c r="I281" s="216"/>
      <c r="J281" s="216"/>
      <c r="K281" s="217"/>
      <c r="AC281" s="119"/>
    </row>
    <row r="282" spans="2:29" ht="16" x14ac:dyDescent="0.2">
      <c r="B282" s="119"/>
      <c r="G282" s="182" t="s">
        <v>197</v>
      </c>
      <c r="H282" s="175" t="s">
        <v>198</v>
      </c>
      <c r="I282" s="175" t="s">
        <v>199</v>
      </c>
      <c r="J282" s="175" t="s">
        <v>200</v>
      </c>
      <c r="K282" s="183" t="s">
        <v>122</v>
      </c>
      <c r="AC282" s="119"/>
    </row>
    <row r="283" spans="2:29" ht="16" x14ac:dyDescent="0.2">
      <c r="B283" s="119"/>
      <c r="G283" s="170" t="s">
        <v>138</v>
      </c>
      <c r="H283" s="168">
        <f>p_ICU_cost</f>
        <v>1125.4100000000001</v>
      </c>
      <c r="I283" s="168">
        <f>Parameters!J284</f>
        <v>904.83369321587793</v>
      </c>
      <c r="J283" s="168">
        <f>Parameters!K284</f>
        <v>1345.9863067841222</v>
      </c>
      <c r="K283" s="171" t="str">
        <f>Costs!G24</f>
        <v>[Prof Olivier Mimoz et al.]</v>
      </c>
      <c r="AC283" s="119"/>
    </row>
    <row r="284" spans="2:29" ht="16" x14ac:dyDescent="0.2">
      <c r="B284" s="119"/>
      <c r="G284" s="170" t="s">
        <v>49</v>
      </c>
      <c r="H284" s="168">
        <f>p_add_cost_los</f>
        <v>11.77</v>
      </c>
      <c r="I284" s="168">
        <f>Parameters!J285</f>
        <v>9.4631223901963555</v>
      </c>
      <c r="J284" s="168">
        <f>Parameters!K285</f>
        <v>14.076877609803642</v>
      </c>
      <c r="K284" s="171" t="str">
        <f>Costs!G26</f>
        <v>[Prof Olivier Mimoz et al.]</v>
      </c>
      <c r="AC284" s="119"/>
    </row>
    <row r="285" spans="2:29" x14ac:dyDescent="0.2">
      <c r="B285" s="119"/>
      <c r="G285" s="215" t="s">
        <v>83</v>
      </c>
      <c r="H285" s="216"/>
      <c r="I285" s="216"/>
      <c r="J285" s="216"/>
      <c r="K285" s="217"/>
      <c r="AC285" s="119"/>
    </row>
    <row r="286" spans="2:29" ht="16" x14ac:dyDescent="0.2">
      <c r="B286" s="119"/>
      <c r="G286" s="182" t="s">
        <v>197</v>
      </c>
      <c r="H286" s="175" t="s">
        <v>198</v>
      </c>
      <c r="I286" s="175" t="s">
        <v>199</v>
      </c>
      <c r="J286" s="175" t="s">
        <v>200</v>
      </c>
      <c r="K286" s="183" t="s">
        <v>122</v>
      </c>
      <c r="AC286" s="119"/>
    </row>
    <row r="287" spans="2:29" ht="17" thickBot="1" x14ac:dyDescent="0.25">
      <c r="B287" s="119"/>
      <c r="G287" s="179" t="s">
        <v>84</v>
      </c>
      <c r="H287" s="180">
        <f>p_Reso_cost</f>
        <v>117.02</v>
      </c>
      <c r="I287" s="180">
        <f>Parameters!J286</f>
        <v>94.084501452912292</v>
      </c>
      <c r="J287" s="180">
        <f>Parameters!K286</f>
        <v>139.9554985470877</v>
      </c>
      <c r="K287" s="181" t="str">
        <f>Costs!G28</f>
        <v>[Carole  Schwebel et al.]</v>
      </c>
      <c r="AC287" s="119"/>
    </row>
    <row r="288" spans="2:29" x14ac:dyDescent="0.2">
      <c r="B288" s="119"/>
      <c r="AC288" s="119"/>
    </row>
    <row r="289" spans="1:29" ht="16" thickBot="1" x14ac:dyDescent="0.25">
      <c r="A289" s="93"/>
      <c r="B289" s="98"/>
      <c r="C289" s="95"/>
      <c r="D289" s="95"/>
      <c r="E289" s="95"/>
      <c r="F289" s="95"/>
      <c r="G289" s="95"/>
      <c r="H289" s="95"/>
      <c r="I289" s="95"/>
      <c r="J289" s="95"/>
      <c r="K289" s="95"/>
      <c r="L289" s="95"/>
      <c r="M289" s="95"/>
      <c r="N289" s="95"/>
      <c r="O289" s="95"/>
      <c r="P289" s="95"/>
      <c r="Q289" s="95"/>
      <c r="R289" s="95"/>
      <c r="S289" s="95"/>
      <c r="T289" s="95"/>
      <c r="U289" s="95"/>
      <c r="V289" s="95"/>
      <c r="W289" s="95"/>
      <c r="X289" s="95"/>
      <c r="Y289" s="95"/>
      <c r="Z289" s="95"/>
      <c r="AA289" s="95"/>
      <c r="AB289" s="95"/>
      <c r="AC289" s="94"/>
    </row>
  </sheetData>
  <mergeCells count="7">
    <mergeCell ref="G281:K281"/>
    <mergeCell ref="G285:K285"/>
    <mergeCell ref="G8:K8"/>
    <mergeCell ref="G11:K11"/>
    <mergeCell ref="G269:K269"/>
    <mergeCell ref="G275:K275"/>
    <mergeCell ref="G278:K27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A6894E5B894AB49BC749F2545497438" ma:contentTypeVersion="13" ma:contentTypeDescription="Create a new document." ma:contentTypeScope="" ma:versionID="90e4a10fab40ab65703180f1a6391556">
  <xsd:schema xmlns:xsd="http://www.w3.org/2001/XMLSchema" xmlns:xs="http://www.w3.org/2001/XMLSchema" xmlns:p="http://schemas.microsoft.com/office/2006/metadata/properties" xmlns:ns2="b8138c5f-ea85-49fe-a114-1080ef91c40c" xmlns:ns3="92124dbe-dfba-4a2c-80f9-3e88e7a815ea" targetNamespace="http://schemas.microsoft.com/office/2006/metadata/properties" ma:root="true" ma:fieldsID="ca83e1ed0410d0b0e683bba960839d0d" ns2:_="" ns3:_="">
    <xsd:import namespace="b8138c5f-ea85-49fe-a114-1080ef91c40c"/>
    <xsd:import namespace="92124dbe-dfba-4a2c-80f9-3e88e7a815e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138c5f-ea85-49fe-a114-1080ef91c40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2124dbe-dfba-4a2c-80f9-3e88e7a815e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F1D9300-2621-4E92-817F-5D83011BE55C}">
  <ds:schemaRefs>
    <ds:schemaRef ds:uri="http://schemas.microsoft.com/sharepoint/v3/contenttype/forms"/>
  </ds:schemaRefs>
</ds:datastoreItem>
</file>

<file path=customXml/itemProps2.xml><?xml version="1.0" encoding="utf-8"?>
<ds:datastoreItem xmlns:ds="http://schemas.openxmlformats.org/officeDocument/2006/customXml" ds:itemID="{BF6C057A-8686-4472-B65D-5C4BF8B3E9B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138c5f-ea85-49fe-a114-1080ef91c40c"/>
    <ds:schemaRef ds:uri="92124dbe-dfba-4a2c-80f9-3e88e7a815e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F1645F9-6FDF-426E-B3C2-BCE8E5CC5C5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574</vt:i4>
      </vt:variant>
    </vt:vector>
  </HeadingPairs>
  <TitlesOfParts>
    <vt:vector size="596" baseType="lpstr">
      <vt:lpstr>Cover</vt:lpstr>
      <vt:lpstr>Version Control Sheet</vt:lpstr>
      <vt:lpstr>Parameter Overview</vt:lpstr>
      <vt:lpstr>Introduction</vt:lpstr>
      <vt:lpstr>Model Structure</vt:lpstr>
      <vt:lpstr>Assumptions</vt:lpstr>
      <vt:lpstr>Model Settings</vt:lpstr>
      <vt:lpstr>Costs</vt:lpstr>
      <vt:lpstr>Transition Probabilites</vt:lpstr>
      <vt:lpstr>Calculation</vt:lpstr>
      <vt:lpstr>Results_1</vt:lpstr>
      <vt:lpstr>OWSA</vt:lpstr>
      <vt:lpstr>PSA_1</vt:lpstr>
      <vt:lpstr>Results</vt:lpstr>
      <vt:lpstr>OWSA_Results</vt:lpstr>
      <vt:lpstr>PSA</vt:lpstr>
      <vt:lpstr>Parameters</vt:lpstr>
      <vt:lpstr>PF CHG T1</vt:lpstr>
      <vt:lpstr>PF PVI T1</vt:lpstr>
      <vt:lpstr>PF CHG T4</vt:lpstr>
      <vt:lpstr>PF PVI T4</vt:lpstr>
      <vt:lpstr>Report Export</vt:lpstr>
      <vt:lpstr>Adverse_Event_Cost</vt:lpstr>
      <vt:lpstr>assumedSE</vt:lpstr>
      <vt:lpstr>c_currency</vt:lpstr>
      <vt:lpstr>c_WTP</vt:lpstr>
      <vt:lpstr>CHG1_cost_perpatient</vt:lpstr>
      <vt:lpstr>CHG4_cost_perpatient</vt:lpstr>
      <vt:lpstr>Comparator</vt:lpstr>
      <vt:lpstr>con_age</vt:lpstr>
      <vt:lpstr>ICU_Cost_per_day_without</vt:lpstr>
      <vt:lpstr>ICU_cost_with</vt:lpstr>
      <vt:lpstr>ICU_Cost_without</vt:lpstr>
      <vt:lpstr>Incl_AE</vt:lpstr>
      <vt:lpstr>Include_CHGT4</vt:lpstr>
      <vt:lpstr>Include_PVIT1</vt:lpstr>
      <vt:lpstr>Include_PVIT4</vt:lpstr>
      <vt:lpstr>Intervention</vt:lpstr>
      <vt:lpstr>No_of_iterations_PSA</vt:lpstr>
      <vt:lpstr>OWSA_active</vt:lpstr>
      <vt:lpstr>OWSA_clear_range</vt:lpstr>
      <vt:lpstr>OWSA_ICER_1</vt:lpstr>
      <vt:lpstr>OWSA_ICER_2</vt:lpstr>
      <vt:lpstr>OWSA_ICER_3</vt:lpstr>
      <vt:lpstr>OWSA_include</vt:lpstr>
      <vt:lpstr>OWSA_n</vt:lpstr>
      <vt:lpstr>OWSA_pastelb</vt:lpstr>
      <vt:lpstr>OWSA_pastepara</vt:lpstr>
      <vt:lpstr>OWSA_pasteub</vt:lpstr>
      <vt:lpstr>OWSA_range</vt:lpstr>
      <vt:lpstr>OWSA_Results</vt:lpstr>
      <vt:lpstr>p_add_cost_los</vt:lpstr>
      <vt:lpstr>p_AE_c_derma</vt:lpstr>
      <vt:lpstr>p_con_age</vt:lpstr>
      <vt:lpstr>p_Control</vt:lpstr>
      <vt:lpstr>p_cost_CGH1</vt:lpstr>
      <vt:lpstr>p_cost_CGH4</vt:lpstr>
      <vt:lpstr>p_cost_PVI1</vt:lpstr>
      <vt:lpstr>p_cost_PVI4</vt:lpstr>
      <vt:lpstr>p_ICU_cost</vt:lpstr>
      <vt:lpstr>p_OWSAN</vt:lpstr>
      <vt:lpstr>p_Reso_cost</vt:lpstr>
      <vt:lpstr>p_rows</vt:lpstr>
      <vt:lpstr>p_tp_CHG4_1_1</vt:lpstr>
      <vt:lpstr>p_tp_CHG4_1_2</vt:lpstr>
      <vt:lpstr>p_tp_CHG4_1_3</vt:lpstr>
      <vt:lpstr>p_tp_CHG4_1_4</vt:lpstr>
      <vt:lpstr>p_tp_CHG4_1_5</vt:lpstr>
      <vt:lpstr>p_tp_CHG4_1_6</vt:lpstr>
      <vt:lpstr>p_tp_CHG4_1_7</vt:lpstr>
      <vt:lpstr>p_tp_CHG4_1_8</vt:lpstr>
      <vt:lpstr>p_tp_CHG4_2_1</vt:lpstr>
      <vt:lpstr>p_tp_CHG4_2_2</vt:lpstr>
      <vt:lpstr>p_tp_CHG4_2_3</vt:lpstr>
      <vt:lpstr>p_tp_CHG4_2_4</vt:lpstr>
      <vt:lpstr>p_tp_CHG4_2_5</vt:lpstr>
      <vt:lpstr>p_tp_CHG4_2_6</vt:lpstr>
      <vt:lpstr>p_tp_CHG4_2_7</vt:lpstr>
      <vt:lpstr>p_tp_CHG4_2_8</vt:lpstr>
      <vt:lpstr>p_tp_CHG4_3_1</vt:lpstr>
      <vt:lpstr>p_tp_CHG4_3_2</vt:lpstr>
      <vt:lpstr>p_tp_CHG4_3_3</vt:lpstr>
      <vt:lpstr>p_tp_CHG4_3_4</vt:lpstr>
      <vt:lpstr>p_tp_CHG4_3_5</vt:lpstr>
      <vt:lpstr>p_tp_CHG4_3_6</vt:lpstr>
      <vt:lpstr>p_tp_CHG4_3_7</vt:lpstr>
      <vt:lpstr>p_tp_CHG4_3_8</vt:lpstr>
      <vt:lpstr>p_tp_CHG4_4_1</vt:lpstr>
      <vt:lpstr>p_tp_CHG4_4_2</vt:lpstr>
      <vt:lpstr>p_tp_CHG4_4_3</vt:lpstr>
      <vt:lpstr>p_tp_CHG4_4_4</vt:lpstr>
      <vt:lpstr>p_tp_CHG4_4_5</vt:lpstr>
      <vt:lpstr>p_tp_CHG4_4_6</vt:lpstr>
      <vt:lpstr>p_tp_CHG4_4_7</vt:lpstr>
      <vt:lpstr>p_tp_CHG4_4_8</vt:lpstr>
      <vt:lpstr>p_tp_CHG4_5_1</vt:lpstr>
      <vt:lpstr>p_tp_CHG4_5_2</vt:lpstr>
      <vt:lpstr>p_tp_CHG4_5_3</vt:lpstr>
      <vt:lpstr>p_tp_CHG4_5_4</vt:lpstr>
      <vt:lpstr>p_tp_CHG4_5_5</vt:lpstr>
      <vt:lpstr>p_tp_CHG4_5_6</vt:lpstr>
      <vt:lpstr>p_tp_CHG4_5_7</vt:lpstr>
      <vt:lpstr>p_tp_CHG4_5_8</vt:lpstr>
      <vt:lpstr>p_tp_CHG4_6_1</vt:lpstr>
      <vt:lpstr>p_tp_CHG4_6_2</vt:lpstr>
      <vt:lpstr>p_tp_CHG4_6_3</vt:lpstr>
      <vt:lpstr>p_tp_CHG4_6_4</vt:lpstr>
      <vt:lpstr>p_tp_CHG4_6_5</vt:lpstr>
      <vt:lpstr>p_tp_CHG4_6_6</vt:lpstr>
      <vt:lpstr>p_tp_CHG4_6_7</vt:lpstr>
      <vt:lpstr>p_tp_CHG4_6_8</vt:lpstr>
      <vt:lpstr>p_tp_CHG4_7_1</vt:lpstr>
      <vt:lpstr>p_tp_CHG4_7_2</vt:lpstr>
      <vt:lpstr>p_tp_CHG4_7_3</vt:lpstr>
      <vt:lpstr>p_tp_CHG4_7_4</vt:lpstr>
      <vt:lpstr>p_tp_CHG4_7_5</vt:lpstr>
      <vt:lpstr>p_tp_CHG4_7_6</vt:lpstr>
      <vt:lpstr>p_tp_CHG4_7_7</vt:lpstr>
      <vt:lpstr>p_tp_CHG4_7_8</vt:lpstr>
      <vt:lpstr>p_tp_CHG4_8_1</vt:lpstr>
      <vt:lpstr>p_tp_CHG4_8_2</vt:lpstr>
      <vt:lpstr>p_tp_CHG4_8_3</vt:lpstr>
      <vt:lpstr>p_tp_CHG4_8_4</vt:lpstr>
      <vt:lpstr>p_tp_CHG4_8_5</vt:lpstr>
      <vt:lpstr>p_tp_CHG4_8_6</vt:lpstr>
      <vt:lpstr>p_tp_CHG4_8_7</vt:lpstr>
      <vt:lpstr>p_tp_CHG4_8_8</vt:lpstr>
      <vt:lpstr>p_tp_pvi1_1_1</vt:lpstr>
      <vt:lpstr>p_tp_pvi1_1_2</vt:lpstr>
      <vt:lpstr>p_tp_pvi1_1_3</vt:lpstr>
      <vt:lpstr>p_tp_pvi1_1_4</vt:lpstr>
      <vt:lpstr>p_tp_pvi1_1_5</vt:lpstr>
      <vt:lpstr>p_tp_pvi1_1_6</vt:lpstr>
      <vt:lpstr>p_tp_pvi1_1_7</vt:lpstr>
      <vt:lpstr>p_tp_pvi1_1_8</vt:lpstr>
      <vt:lpstr>p_tp_pvi1_2_1</vt:lpstr>
      <vt:lpstr>p_tp_pvi1_2_2</vt:lpstr>
      <vt:lpstr>p_tp_pvi1_2_3</vt:lpstr>
      <vt:lpstr>p_tp_pvi1_2_4</vt:lpstr>
      <vt:lpstr>p_tp_pvi1_2_5</vt:lpstr>
      <vt:lpstr>p_tp_pvi1_2_6</vt:lpstr>
      <vt:lpstr>p_tp_pvi1_2_7</vt:lpstr>
      <vt:lpstr>p_tp_pvi1_2_8</vt:lpstr>
      <vt:lpstr>p_tp_pvi1_3_1</vt:lpstr>
      <vt:lpstr>p_tp_pvi1_3_2</vt:lpstr>
      <vt:lpstr>p_tp_pvi1_3_3</vt:lpstr>
      <vt:lpstr>p_tp_pvi1_3_4</vt:lpstr>
      <vt:lpstr>p_tp_pvi1_3_5</vt:lpstr>
      <vt:lpstr>p_tp_pvi1_3_6</vt:lpstr>
      <vt:lpstr>p_tp_pvi1_3_7</vt:lpstr>
      <vt:lpstr>p_tp_pvi1_3_8</vt:lpstr>
      <vt:lpstr>p_tp_pvi1_4_1</vt:lpstr>
      <vt:lpstr>p_tp_pvi1_4_2</vt:lpstr>
      <vt:lpstr>p_tp_pvi1_4_3</vt:lpstr>
      <vt:lpstr>p_tp_pvi1_4_4</vt:lpstr>
      <vt:lpstr>p_tp_pvi1_4_5</vt:lpstr>
      <vt:lpstr>p_tp_pvi1_4_6</vt:lpstr>
      <vt:lpstr>p_tp_pvi1_4_7</vt:lpstr>
      <vt:lpstr>p_tp_pvi1_4_8</vt:lpstr>
      <vt:lpstr>p_tp_pvi1_5_1</vt:lpstr>
      <vt:lpstr>p_tp_pvi1_5_2</vt:lpstr>
      <vt:lpstr>p_tp_pvi1_5_3</vt:lpstr>
      <vt:lpstr>p_tp_pvi1_5_4</vt:lpstr>
      <vt:lpstr>p_tp_pvi1_5_5</vt:lpstr>
      <vt:lpstr>p_tp_pvi1_5_6</vt:lpstr>
      <vt:lpstr>p_tp_pvi1_5_7</vt:lpstr>
      <vt:lpstr>p_tp_pvi1_5_8</vt:lpstr>
      <vt:lpstr>p_tp_pvi1_6_1</vt:lpstr>
      <vt:lpstr>p_tp_pvi1_6_2</vt:lpstr>
      <vt:lpstr>p_tp_pvi1_6_3</vt:lpstr>
      <vt:lpstr>p_tp_pvi1_6_4</vt:lpstr>
      <vt:lpstr>p_tp_pvi1_6_5</vt:lpstr>
      <vt:lpstr>p_tp_pvi1_6_6</vt:lpstr>
      <vt:lpstr>p_tp_pvi1_6_7</vt:lpstr>
      <vt:lpstr>p_tp_pvi1_6_8</vt:lpstr>
      <vt:lpstr>p_tp_pvi1_7_1</vt:lpstr>
      <vt:lpstr>p_tp_pvi1_7_2</vt:lpstr>
      <vt:lpstr>p_tp_pvi1_7_3</vt:lpstr>
      <vt:lpstr>p_tp_pvi1_7_4</vt:lpstr>
      <vt:lpstr>p_tp_pvi1_7_5</vt:lpstr>
      <vt:lpstr>p_tp_pvi1_7_6</vt:lpstr>
      <vt:lpstr>p_tp_pvi1_7_7</vt:lpstr>
      <vt:lpstr>p_tp_pvi1_7_8</vt:lpstr>
      <vt:lpstr>p_tp_pvi1_8_1</vt:lpstr>
      <vt:lpstr>p_tp_pvi1_8_2</vt:lpstr>
      <vt:lpstr>p_tp_pvi1_8_3</vt:lpstr>
      <vt:lpstr>p_tp_pvi1_8_4</vt:lpstr>
      <vt:lpstr>p_tp_pvi1_8_5</vt:lpstr>
      <vt:lpstr>p_tp_pvi1_8_6</vt:lpstr>
      <vt:lpstr>p_tp_pvi1_8_7</vt:lpstr>
      <vt:lpstr>p_tp_pvi1_8_8</vt:lpstr>
      <vt:lpstr>p_tp_pvi4_1_1</vt:lpstr>
      <vt:lpstr>p_tp_pvi4_1_2</vt:lpstr>
      <vt:lpstr>p_tp_pvi4_1_3</vt:lpstr>
      <vt:lpstr>p_tp_pvi4_1_4</vt:lpstr>
      <vt:lpstr>p_tp_pvi4_1_5</vt:lpstr>
      <vt:lpstr>p_tp_pvi4_1_6</vt:lpstr>
      <vt:lpstr>p_tp_pvi4_1_7</vt:lpstr>
      <vt:lpstr>p_tp_pvi4_1_8</vt:lpstr>
      <vt:lpstr>p_tp_pvi4_2_1</vt:lpstr>
      <vt:lpstr>p_tp_pvi4_2_2</vt:lpstr>
      <vt:lpstr>p_tp_pvi4_2_3</vt:lpstr>
      <vt:lpstr>p_tp_pvi4_2_4</vt:lpstr>
      <vt:lpstr>p_tp_pvi4_2_5</vt:lpstr>
      <vt:lpstr>p_tp_pvi4_2_6</vt:lpstr>
      <vt:lpstr>p_tp_pvi4_2_7</vt:lpstr>
      <vt:lpstr>p_tp_pvi4_2_8</vt:lpstr>
      <vt:lpstr>p_tp_pvi4_3_1</vt:lpstr>
      <vt:lpstr>p_tp_pvi4_3_2</vt:lpstr>
      <vt:lpstr>p_tp_pvi4_3_3</vt:lpstr>
      <vt:lpstr>p_tp_pvi4_3_4</vt:lpstr>
      <vt:lpstr>p_tp_pvi4_3_5</vt:lpstr>
      <vt:lpstr>p_tp_pvi4_3_6</vt:lpstr>
      <vt:lpstr>p_tp_pvi4_3_7</vt:lpstr>
      <vt:lpstr>p_tp_pvi4_3_8</vt:lpstr>
      <vt:lpstr>p_tp_pvi4_4_1</vt:lpstr>
      <vt:lpstr>p_tp_pvi4_4_2</vt:lpstr>
      <vt:lpstr>p_tp_pvi4_4_3</vt:lpstr>
      <vt:lpstr>p_tp_pvi4_4_4</vt:lpstr>
      <vt:lpstr>p_tp_pvi4_4_5</vt:lpstr>
      <vt:lpstr>p_tp_pvi4_4_6</vt:lpstr>
      <vt:lpstr>p_tp_pvi4_4_7</vt:lpstr>
      <vt:lpstr>p_tp_pvi4_4_8</vt:lpstr>
      <vt:lpstr>p_tp_pvi4_5_1</vt:lpstr>
      <vt:lpstr>p_tp_pvi4_5_2</vt:lpstr>
      <vt:lpstr>p_tp_pvi4_5_3</vt:lpstr>
      <vt:lpstr>p_tp_pvi4_5_4</vt:lpstr>
      <vt:lpstr>p_tp_pvi4_5_5</vt:lpstr>
      <vt:lpstr>p_tp_pvi4_5_6</vt:lpstr>
      <vt:lpstr>p_tp_pvi4_5_7</vt:lpstr>
      <vt:lpstr>p_tp_pvi4_5_8</vt:lpstr>
      <vt:lpstr>p_tp_pvi4_6_1</vt:lpstr>
      <vt:lpstr>p_tp_pvi4_6_2</vt:lpstr>
      <vt:lpstr>p_tp_pvi4_6_3</vt:lpstr>
      <vt:lpstr>p_tp_pvi4_6_4</vt:lpstr>
      <vt:lpstr>p_tp_pvi4_6_5</vt:lpstr>
      <vt:lpstr>p_tp_pvi4_6_6</vt:lpstr>
      <vt:lpstr>p_tp_pvi4_6_7</vt:lpstr>
      <vt:lpstr>p_tp_pvi4_6_8</vt:lpstr>
      <vt:lpstr>p_tp_pvi4_7_1</vt:lpstr>
      <vt:lpstr>p_tp_pvi4_7_2</vt:lpstr>
      <vt:lpstr>p_tp_pvi4_7_3</vt:lpstr>
      <vt:lpstr>p_tp_pvi4_7_4</vt:lpstr>
      <vt:lpstr>p_tp_pvi4_7_5</vt:lpstr>
      <vt:lpstr>p_tp_pvi4_7_6</vt:lpstr>
      <vt:lpstr>p_tp_pvi4_7_7</vt:lpstr>
      <vt:lpstr>p_tp_pvi4_7_8</vt:lpstr>
      <vt:lpstr>p_tp_pvi4_8_1</vt:lpstr>
      <vt:lpstr>p_tp_pvi4_8_2</vt:lpstr>
      <vt:lpstr>p_tp_pvi4_8_3</vt:lpstr>
      <vt:lpstr>p_tp_pvi4_8_4</vt:lpstr>
      <vt:lpstr>p_tp_pvi4_8_5</vt:lpstr>
      <vt:lpstr>p_tp_pvi4_8_6</vt:lpstr>
      <vt:lpstr>p_tp_pvi4_8_7</vt:lpstr>
      <vt:lpstr>p_tp_pvi4_8_8</vt:lpstr>
      <vt:lpstr>p_tp1_1</vt:lpstr>
      <vt:lpstr>p_tp1_2</vt:lpstr>
      <vt:lpstr>p_tp1_3</vt:lpstr>
      <vt:lpstr>p_tp1_4</vt:lpstr>
      <vt:lpstr>p_tp1_5</vt:lpstr>
      <vt:lpstr>p_tp1_6</vt:lpstr>
      <vt:lpstr>p_tp1_7</vt:lpstr>
      <vt:lpstr>p_tp1_8</vt:lpstr>
      <vt:lpstr>p_tp2_1</vt:lpstr>
      <vt:lpstr>p_tp2_2</vt:lpstr>
      <vt:lpstr>p_tp2_3</vt:lpstr>
      <vt:lpstr>p_tp2_4</vt:lpstr>
      <vt:lpstr>p_tp2_5</vt:lpstr>
      <vt:lpstr>p_tp2_6</vt:lpstr>
      <vt:lpstr>p_tp2_7</vt:lpstr>
      <vt:lpstr>p_tp2_8</vt:lpstr>
      <vt:lpstr>p_tp3_1</vt:lpstr>
      <vt:lpstr>p_tp3_2</vt:lpstr>
      <vt:lpstr>p_tp3_3</vt:lpstr>
      <vt:lpstr>p_tp3_4</vt:lpstr>
      <vt:lpstr>p_tp3_5</vt:lpstr>
      <vt:lpstr>p_tp3_6</vt:lpstr>
      <vt:lpstr>p_tp3_7</vt:lpstr>
      <vt:lpstr>p_tp3_8</vt:lpstr>
      <vt:lpstr>p_tp4_1</vt:lpstr>
      <vt:lpstr>p_tp4_2</vt:lpstr>
      <vt:lpstr>p_tp4_3</vt:lpstr>
      <vt:lpstr>p_tp4_4</vt:lpstr>
      <vt:lpstr>p_tp4_5</vt:lpstr>
      <vt:lpstr>p_tp4_6</vt:lpstr>
      <vt:lpstr>p_tp4_7</vt:lpstr>
      <vt:lpstr>p_tp4_8</vt:lpstr>
      <vt:lpstr>p_tp5_1</vt:lpstr>
      <vt:lpstr>p_tp5_2</vt:lpstr>
      <vt:lpstr>p_tp5_3</vt:lpstr>
      <vt:lpstr>p_tp5_4</vt:lpstr>
      <vt:lpstr>p_tp5_5</vt:lpstr>
      <vt:lpstr>p_tp5_6</vt:lpstr>
      <vt:lpstr>p_tp5_7</vt:lpstr>
      <vt:lpstr>p_tp5_8</vt:lpstr>
      <vt:lpstr>p_tp6_1</vt:lpstr>
      <vt:lpstr>p_tp6_2</vt:lpstr>
      <vt:lpstr>p_tp6_3</vt:lpstr>
      <vt:lpstr>p_tp6_4</vt:lpstr>
      <vt:lpstr>p_tp6_5</vt:lpstr>
      <vt:lpstr>p_tp6_6</vt:lpstr>
      <vt:lpstr>p_tp6_7</vt:lpstr>
      <vt:lpstr>p_tp6_8</vt:lpstr>
      <vt:lpstr>p_tp7_1</vt:lpstr>
      <vt:lpstr>p_tp7_2</vt:lpstr>
      <vt:lpstr>p_tp7_3</vt:lpstr>
      <vt:lpstr>p_tp7_4</vt:lpstr>
      <vt:lpstr>p_tp7_5</vt:lpstr>
      <vt:lpstr>p_tp7_6</vt:lpstr>
      <vt:lpstr>p_tp7_7</vt:lpstr>
      <vt:lpstr>p_tp7_8</vt:lpstr>
      <vt:lpstr>p_tp8_1</vt:lpstr>
      <vt:lpstr>p_tp8_2</vt:lpstr>
      <vt:lpstr>p_tp8_3</vt:lpstr>
      <vt:lpstr>p_tp8_4</vt:lpstr>
      <vt:lpstr>p_tp8_5</vt:lpstr>
      <vt:lpstr>p_tp8_6</vt:lpstr>
      <vt:lpstr>p_tp8_7</vt:lpstr>
      <vt:lpstr>p_tp8_8</vt:lpstr>
      <vt:lpstr>p_treatment_cost</vt:lpstr>
      <vt:lpstr>para_name</vt:lpstr>
      <vt:lpstr>pf_cost_CHG_T1</vt:lpstr>
      <vt:lpstr>pf_cost_CHG_T4</vt:lpstr>
      <vt:lpstr>pf_cost_PVI_T1</vt:lpstr>
      <vt:lpstr>pf_cost_PVI_T4</vt:lpstr>
      <vt:lpstr>pf_CRBSI_redu_CHG_T1</vt:lpstr>
      <vt:lpstr>pf_CRBSI_redu_CHG_T4</vt:lpstr>
      <vt:lpstr>pf_CRBSI_redu_PVI_T1</vt:lpstr>
      <vt:lpstr>pf_CRBSI_redu_PVI_T4</vt:lpstr>
      <vt:lpstr>PSA_live</vt:lpstr>
      <vt:lpstr>PSA_paste</vt:lpstr>
      <vt:lpstr>PSA_range</vt:lpstr>
      <vt:lpstr>PVI1_cost_perpatient</vt:lpstr>
      <vt:lpstr>PVI4_cost_perpatient</vt:lpstr>
      <vt:lpstr>Resource_cost</vt:lpstr>
      <vt:lpstr>Resource_use_cost</vt:lpstr>
      <vt:lpstr>Results_range</vt:lpstr>
      <vt:lpstr>tp_CHG4_1_1</vt:lpstr>
      <vt:lpstr>tp_CHG4_1_2</vt:lpstr>
      <vt:lpstr>tp_CHG4_1_3</vt:lpstr>
      <vt:lpstr>tp_CHG4_1_4</vt:lpstr>
      <vt:lpstr>tp_CHG4_1_5</vt:lpstr>
      <vt:lpstr>tp_CHG4_1_6</vt:lpstr>
      <vt:lpstr>tp_CHG4_1_7</vt:lpstr>
      <vt:lpstr>tp_CHG4_1_8</vt:lpstr>
      <vt:lpstr>tp_CHG4_2_1</vt:lpstr>
      <vt:lpstr>tp_CHG4_2_2</vt:lpstr>
      <vt:lpstr>tp_CHG4_2_3</vt:lpstr>
      <vt:lpstr>tp_CHG4_2_4</vt:lpstr>
      <vt:lpstr>tp_chg4_2_5</vt:lpstr>
      <vt:lpstr>tp_CHG4_2_6</vt:lpstr>
      <vt:lpstr>tp_CHG4_2_7</vt:lpstr>
      <vt:lpstr>tp_CHG4_2_8</vt:lpstr>
      <vt:lpstr>tp_CHG4_3_1</vt:lpstr>
      <vt:lpstr>tp_CHG4_3_2</vt:lpstr>
      <vt:lpstr>tp_CHG4_3_3</vt:lpstr>
      <vt:lpstr>tp_CHG4_3_4</vt:lpstr>
      <vt:lpstr>tp_CHG4_3_5</vt:lpstr>
      <vt:lpstr>tp_CHG4_3_6</vt:lpstr>
      <vt:lpstr>tp_CHG4_3_7</vt:lpstr>
      <vt:lpstr>tp_CHG4_3_8</vt:lpstr>
      <vt:lpstr>tp_CHG4_4_1</vt:lpstr>
      <vt:lpstr>tp_CHG4_4_2</vt:lpstr>
      <vt:lpstr>tp_CHG4_4_3</vt:lpstr>
      <vt:lpstr>tp_CHG4_4_4</vt:lpstr>
      <vt:lpstr>tp_CHG4_4_5</vt:lpstr>
      <vt:lpstr>tp_CHG4_4_6</vt:lpstr>
      <vt:lpstr>tp_CHG4_4_7</vt:lpstr>
      <vt:lpstr>tp_CHG4_4_8</vt:lpstr>
      <vt:lpstr>tp_CHG4_5_1</vt:lpstr>
      <vt:lpstr>tp_CHG4_5_2</vt:lpstr>
      <vt:lpstr>tp_CHG4_5_3</vt:lpstr>
      <vt:lpstr>tp_CHG4_5_4</vt:lpstr>
      <vt:lpstr>tp_CHG4_5_5</vt:lpstr>
      <vt:lpstr>tp_CHG4_5_6</vt:lpstr>
      <vt:lpstr>tp_CHG4_5_7</vt:lpstr>
      <vt:lpstr>tp_CHG4_5_8</vt:lpstr>
      <vt:lpstr>tp_CHG4_6_1</vt:lpstr>
      <vt:lpstr>tp_CHG4_6_2</vt:lpstr>
      <vt:lpstr>tp_CHG4_6_3</vt:lpstr>
      <vt:lpstr>tp_CHG4_6_4</vt:lpstr>
      <vt:lpstr>tp_CHG4_6_5</vt:lpstr>
      <vt:lpstr>tp_CHG4_6_6</vt:lpstr>
      <vt:lpstr>tp_CHG4_6_7</vt:lpstr>
      <vt:lpstr>tp_CHG4_6_8</vt:lpstr>
      <vt:lpstr>tp_CHG4_7_1</vt:lpstr>
      <vt:lpstr>tp_CHG4_7_2</vt:lpstr>
      <vt:lpstr>tp_CHG4_7_3</vt:lpstr>
      <vt:lpstr>tp_CHG4_7_4</vt:lpstr>
      <vt:lpstr>tp_CHG4_7_5</vt:lpstr>
      <vt:lpstr>tp_CHG4_7_6</vt:lpstr>
      <vt:lpstr>tp_CHG4_7_7</vt:lpstr>
      <vt:lpstr>tp_CHG4_7_8</vt:lpstr>
      <vt:lpstr>tp_CHG4_8_1</vt:lpstr>
      <vt:lpstr>tp_CHG4_8_2</vt:lpstr>
      <vt:lpstr>tp_CHG4_8_3</vt:lpstr>
      <vt:lpstr>tp_CHG4_8_4</vt:lpstr>
      <vt:lpstr>tp_CHG4_8_5</vt:lpstr>
      <vt:lpstr>tp_CHG4_8_6</vt:lpstr>
      <vt:lpstr>tp_CHG4_8_7</vt:lpstr>
      <vt:lpstr>tp_CHG4_8_8</vt:lpstr>
      <vt:lpstr>tp_pvi1_1_1</vt:lpstr>
      <vt:lpstr>tp_pvi1_1_2</vt:lpstr>
      <vt:lpstr>tp_pvi1_1_3</vt:lpstr>
      <vt:lpstr>tp_pvi1_1_4</vt:lpstr>
      <vt:lpstr>tp_pvi1_1_5</vt:lpstr>
      <vt:lpstr>tp_pvi1_1_6</vt:lpstr>
      <vt:lpstr>tp_pvi1_1_7</vt:lpstr>
      <vt:lpstr>tp_pvi1_1_8</vt:lpstr>
      <vt:lpstr>tp_pvi1_2_1</vt:lpstr>
      <vt:lpstr>tp_pvi1_2_2</vt:lpstr>
      <vt:lpstr>tp_pvi1_2_3</vt:lpstr>
      <vt:lpstr>tp_pvi1_2_4</vt:lpstr>
      <vt:lpstr>tp_pvi1_2_5</vt:lpstr>
      <vt:lpstr>tp_pvi1_2_6</vt:lpstr>
      <vt:lpstr>tp_pvi1_2_7</vt:lpstr>
      <vt:lpstr>tp_pvi1_2_8</vt:lpstr>
      <vt:lpstr>tp_pvi1_3_1</vt:lpstr>
      <vt:lpstr>tp_pvi1_3_2</vt:lpstr>
      <vt:lpstr>tp_pvi1_3_3</vt:lpstr>
      <vt:lpstr>tp_pvi1_3_4</vt:lpstr>
      <vt:lpstr>tp_pvi1_3_5</vt:lpstr>
      <vt:lpstr>tp_pvi1_3_6</vt:lpstr>
      <vt:lpstr>tp_pvi1_3_7</vt:lpstr>
      <vt:lpstr>tp_pvi1_3_8</vt:lpstr>
      <vt:lpstr>tp_pvi1_4_1</vt:lpstr>
      <vt:lpstr>tp_pvi1_4_2</vt:lpstr>
      <vt:lpstr>tp_pvi1_4_3</vt:lpstr>
      <vt:lpstr>tp_pvi1_4_4</vt:lpstr>
      <vt:lpstr>tp_pvi1_4_5</vt:lpstr>
      <vt:lpstr>tp_pvi1_4_6</vt:lpstr>
      <vt:lpstr>tp_pvi1_4_7</vt:lpstr>
      <vt:lpstr>tp_pvi1_4_8</vt:lpstr>
      <vt:lpstr>tp_pvi1_5_1</vt:lpstr>
      <vt:lpstr>tp_pvi1_5_2</vt:lpstr>
      <vt:lpstr>tp_pvi1_5_3</vt:lpstr>
      <vt:lpstr>tp_pvi1_5_4</vt:lpstr>
      <vt:lpstr>tp_pvi1_5_5</vt:lpstr>
      <vt:lpstr>tp_pvi1_5_6</vt:lpstr>
      <vt:lpstr>tp_pvi1_5_7</vt:lpstr>
      <vt:lpstr>tp_pvi1_5_8</vt:lpstr>
      <vt:lpstr>tp_pvi1_6_1</vt:lpstr>
      <vt:lpstr>tp_pvi1_6_2</vt:lpstr>
      <vt:lpstr>tp_pvi1_6_3</vt:lpstr>
      <vt:lpstr>tp_pvi1_6_4</vt:lpstr>
      <vt:lpstr>tp_pvi1_6_5</vt:lpstr>
      <vt:lpstr>tp_pvi1_6_6</vt:lpstr>
      <vt:lpstr>tp_pvi1_6_7</vt:lpstr>
      <vt:lpstr>tp_pvi1_6_8</vt:lpstr>
      <vt:lpstr>tp_pvi1_7_1</vt:lpstr>
      <vt:lpstr>tp_pvi1_7_2</vt:lpstr>
      <vt:lpstr>tp_pvi1_7_3</vt:lpstr>
      <vt:lpstr>tp_pvi1_7_4</vt:lpstr>
      <vt:lpstr>tp_pvi1_7_5</vt:lpstr>
      <vt:lpstr>tp_pvi1_7_6</vt:lpstr>
      <vt:lpstr>tp_pvi1_7_7</vt:lpstr>
      <vt:lpstr>tp_pvi1_7_8</vt:lpstr>
      <vt:lpstr>tp_pvi1_8_1</vt:lpstr>
      <vt:lpstr>tp_pvi1_8_2</vt:lpstr>
      <vt:lpstr>tp_pvi1_8_3</vt:lpstr>
      <vt:lpstr>tp_pvi1_8_4</vt:lpstr>
      <vt:lpstr>tp_pvi1_8_5</vt:lpstr>
      <vt:lpstr>tp_pvi1_8_6</vt:lpstr>
      <vt:lpstr>tp_pvi1_8_7</vt:lpstr>
      <vt:lpstr>tp_pvi1_8_8</vt:lpstr>
      <vt:lpstr>tp_pvi4_1_1</vt:lpstr>
      <vt:lpstr>tp_pvi4_1_2</vt:lpstr>
      <vt:lpstr>tp_pvi4_1_3</vt:lpstr>
      <vt:lpstr>tp_pvi4_1_4</vt:lpstr>
      <vt:lpstr>tp_pvi4_1_5</vt:lpstr>
      <vt:lpstr>tp_pvi4_1_6</vt:lpstr>
      <vt:lpstr>tp_pvi4_1_7</vt:lpstr>
      <vt:lpstr>tp_pvi4_1_8</vt:lpstr>
      <vt:lpstr>tp_pvi4_2_1</vt:lpstr>
      <vt:lpstr>tp_pvi4_2_2</vt:lpstr>
      <vt:lpstr>tp_pvi4_2_3</vt:lpstr>
      <vt:lpstr>tp_pvi4_2_4</vt:lpstr>
      <vt:lpstr>tp_pvi4_2_5</vt:lpstr>
      <vt:lpstr>tp_pvi4_2_6</vt:lpstr>
      <vt:lpstr>tp_pvi4_2_7</vt:lpstr>
      <vt:lpstr>tp_pvi4_2_8</vt:lpstr>
      <vt:lpstr>tp_pvi4_3_1</vt:lpstr>
      <vt:lpstr>tp_pvi4_3_2</vt:lpstr>
      <vt:lpstr>tp_pvi4_3_3</vt:lpstr>
      <vt:lpstr>tp_pvi4_3_4</vt:lpstr>
      <vt:lpstr>tp_pvi4_3_5</vt:lpstr>
      <vt:lpstr>tp_pvi4_3_6</vt:lpstr>
      <vt:lpstr>tp_pvi4_3_7</vt:lpstr>
      <vt:lpstr>tp_pvi4_3_8</vt:lpstr>
      <vt:lpstr>tp_pvi4_4_1</vt:lpstr>
      <vt:lpstr>tp_pvi4_4_2</vt:lpstr>
      <vt:lpstr>tp_pvi4_4_3</vt:lpstr>
      <vt:lpstr>tp_pvi4_4_4</vt:lpstr>
      <vt:lpstr>tp_pvi4_4_5</vt:lpstr>
      <vt:lpstr>tp_pvi4_4_6</vt:lpstr>
      <vt:lpstr>tp_pvi4_4_7</vt:lpstr>
      <vt:lpstr>tp_pvi4_4_8</vt:lpstr>
      <vt:lpstr>tp_pvi4_5_1</vt:lpstr>
      <vt:lpstr>tp_pvi4_5_2</vt:lpstr>
      <vt:lpstr>tp_pvi4_5_3</vt:lpstr>
      <vt:lpstr>tp_pvi4_5_4</vt:lpstr>
      <vt:lpstr>tp_pvi4_5_5</vt:lpstr>
      <vt:lpstr>tp_pvi4_5_6</vt:lpstr>
      <vt:lpstr>tp_pvi4_5_7</vt:lpstr>
      <vt:lpstr>tp_pvi4_5_8</vt:lpstr>
      <vt:lpstr>tp_pvi4_6_1</vt:lpstr>
      <vt:lpstr>tp_pvi4_6_2</vt:lpstr>
      <vt:lpstr>tp_pvi4_6_3</vt:lpstr>
      <vt:lpstr>tp_pvi4_6_4</vt:lpstr>
      <vt:lpstr>tp_pvi4_6_5</vt:lpstr>
      <vt:lpstr>tp_pvi4_6_6</vt:lpstr>
      <vt:lpstr>tp_pvi4_6_7</vt:lpstr>
      <vt:lpstr>tp_pvi4_6_8</vt:lpstr>
      <vt:lpstr>tp_pvi4_7_1</vt:lpstr>
      <vt:lpstr>tp_pvi4_7_2</vt:lpstr>
      <vt:lpstr>tp_pvi4_7_3</vt:lpstr>
      <vt:lpstr>tp_pvi4_7_4</vt:lpstr>
      <vt:lpstr>tp_pvi4_7_5</vt:lpstr>
      <vt:lpstr>tp_pvi4_7_6</vt:lpstr>
      <vt:lpstr>tp_pvi4_7_7</vt:lpstr>
      <vt:lpstr>tp_pvi4_7_8</vt:lpstr>
      <vt:lpstr>tp_pvi4_8_1</vt:lpstr>
      <vt:lpstr>tp_pvi4_8_2</vt:lpstr>
      <vt:lpstr>tp_pvi4_8_3</vt:lpstr>
      <vt:lpstr>tp_pvi4_8_4</vt:lpstr>
      <vt:lpstr>tp_pvi4_8_5</vt:lpstr>
      <vt:lpstr>tp_pvi4_8_6</vt:lpstr>
      <vt:lpstr>tp_pvi4_8_7</vt:lpstr>
      <vt:lpstr>tp_pvi4_8_8</vt:lpstr>
      <vt:lpstr>tp_pvi4_85</vt:lpstr>
      <vt:lpstr>tp1_1</vt:lpstr>
      <vt:lpstr>tp1_2</vt:lpstr>
      <vt:lpstr>tp1_3</vt:lpstr>
      <vt:lpstr>tp1_4</vt:lpstr>
      <vt:lpstr>tp1_5</vt:lpstr>
      <vt:lpstr>tp1_6</vt:lpstr>
      <vt:lpstr>tp1_7</vt:lpstr>
      <vt:lpstr>tp1_8</vt:lpstr>
      <vt:lpstr>tp2_1</vt:lpstr>
      <vt:lpstr>tp2_2</vt:lpstr>
      <vt:lpstr>tp2_3</vt:lpstr>
      <vt:lpstr>tp2_4</vt:lpstr>
      <vt:lpstr>tp2_5</vt:lpstr>
      <vt:lpstr>tp2_6</vt:lpstr>
      <vt:lpstr>tp2_7</vt:lpstr>
      <vt:lpstr>tp2_8</vt:lpstr>
      <vt:lpstr>tp3_1</vt:lpstr>
      <vt:lpstr>tp3_2</vt:lpstr>
      <vt:lpstr>tp3_3</vt:lpstr>
      <vt:lpstr>tp3_4</vt:lpstr>
      <vt:lpstr>tp3_5</vt:lpstr>
      <vt:lpstr>tp3_6</vt:lpstr>
      <vt:lpstr>tp3_7</vt:lpstr>
      <vt:lpstr>tp3_8</vt:lpstr>
      <vt:lpstr>tp4_1</vt:lpstr>
      <vt:lpstr>tp4_2</vt:lpstr>
      <vt:lpstr>tp4_3</vt:lpstr>
      <vt:lpstr>tp4_4</vt:lpstr>
      <vt:lpstr>tp4_5</vt:lpstr>
      <vt:lpstr>tp4_6</vt:lpstr>
      <vt:lpstr>tp4_7</vt:lpstr>
      <vt:lpstr>tp4_8</vt:lpstr>
      <vt:lpstr>tp5_1</vt:lpstr>
      <vt:lpstr>tp5_2</vt:lpstr>
      <vt:lpstr>tp5_3</vt:lpstr>
      <vt:lpstr>tp5_4</vt:lpstr>
      <vt:lpstr>tp5_5</vt:lpstr>
      <vt:lpstr>tp5_6</vt:lpstr>
      <vt:lpstr>tp5_7</vt:lpstr>
      <vt:lpstr>tp5_8</vt:lpstr>
      <vt:lpstr>tp6_1</vt:lpstr>
      <vt:lpstr>tp6_2</vt:lpstr>
      <vt:lpstr>tp6_3</vt:lpstr>
      <vt:lpstr>tp6_4</vt:lpstr>
      <vt:lpstr>tp6_5</vt:lpstr>
      <vt:lpstr>tp6_6</vt:lpstr>
      <vt:lpstr>tp6_7</vt:lpstr>
      <vt:lpstr>tp6_8</vt:lpstr>
      <vt:lpstr>tp7_1</vt:lpstr>
      <vt:lpstr>tp7_2</vt:lpstr>
      <vt:lpstr>tp7_3</vt:lpstr>
      <vt:lpstr>tp7_4</vt:lpstr>
      <vt:lpstr>tp7_5</vt:lpstr>
      <vt:lpstr>tp7_6</vt:lpstr>
      <vt:lpstr>tp7_7</vt:lpstr>
      <vt:lpstr>tp7_8</vt:lpstr>
      <vt:lpstr>tp8_1</vt:lpstr>
      <vt:lpstr>tp8_2</vt:lpstr>
      <vt:lpstr>tp8_3</vt:lpstr>
      <vt:lpstr>tp8_4</vt:lpstr>
      <vt:lpstr>tp8_5</vt:lpstr>
      <vt:lpstr>tp8_6</vt:lpstr>
      <vt:lpstr>tp8_7</vt:lpstr>
      <vt:lpstr>tp8_8</vt:lpstr>
      <vt:lpstr>treatment_cost</vt:lpstr>
      <vt:lpstr>Use_in_PSA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CHEORS DELL 04</dc:creator>
  <cp:keywords/>
  <dc:description/>
  <cp:lastModifiedBy>Yadav, Shivani (yadavsn)</cp:lastModifiedBy>
  <cp:revision/>
  <dcterms:created xsi:type="dcterms:W3CDTF">2021-02-22T13:24:46Z</dcterms:created>
  <dcterms:modified xsi:type="dcterms:W3CDTF">2024-12-13T20:07:09Z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0x010100CA6894E5B894AB49BC749F2545497438</vt:lpwstr>
  </property>
</Properties>
</file>